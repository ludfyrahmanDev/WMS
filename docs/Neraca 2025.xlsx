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13.xml" ContentType="application/vnd.ms-excel.person+xml"/>
  <Override PartName="/xl/persons/person28.xml" ContentType="application/vnd.ms-excel.person+xml"/>
  <Override PartName="/xl/persons/person32.xml" ContentType="application/vnd.ms-excel.person+xml"/>
  <Override PartName="/xl/persons/person50.xml" ContentType="application/vnd.ms-excel.person+xml"/>
  <Override PartName="/xl/persons/person55.xml" ContentType="application/vnd.ms-excel.person+xml"/>
  <Override PartName="/xl/persons/person15.xml" ContentType="application/vnd.ms-excel.person+xml"/>
  <Override PartName="/xl/persons/person3.xml" ContentType="application/vnd.ms-excel.person+xml"/>
  <Override PartName="/xl/persons/person22.xml" ContentType="application/vnd.ms-excel.person+xml"/>
  <Override PartName="/xl/persons/person39.xml" ContentType="application/vnd.ms-excel.person+xml"/>
  <Override PartName="/xl/persons/person43.xml" ContentType="application/vnd.ms-excel.person+xml"/>
  <Override PartName="/xl/persons/person1.xml" ContentType="application/vnd.ms-excel.person+xml"/>
  <Override PartName="/xl/persons/person5.xml" ContentType="application/vnd.ms-excel.person+xml"/>
  <Override PartName="/xl/persons/person27.xml" ContentType="application/vnd.ms-excel.person+xml"/>
  <Override PartName="/xl/persons/person10.xml" ContentType="application/vnd.ms-excel.person+xml"/>
  <Override PartName="/xl/persons/person31.xml" ContentType="application/vnd.ms-excel.person+xml"/>
  <Override PartName="/xl/persons/person52.xml" ContentType="application/vnd.ms-excel.person+xml"/>
  <Override PartName="/xl/persons/person47.xml" ContentType="application/vnd.ms-excel.person+xml"/>
  <Override PartName="/xl/persons/person6.xml" ContentType="application/vnd.ms-excel.person+xml"/>
  <Override PartName="/xl/persons/person8.xml" ContentType="application/vnd.ms-excel.person+xml"/>
  <Override PartName="/xl/persons/person2.xml" ContentType="application/vnd.ms-excel.person+xml"/>
  <Override PartName="/xl/persons/person25.xml" ContentType="application/vnd.ms-excel.person+xml"/>
  <Override PartName="/xl/persons/person18.xml" ContentType="application/vnd.ms-excel.person+xml"/>
  <Override PartName="/xl/persons/person29.xml" ContentType="application/vnd.ms-excel.person+xml"/>
  <Override PartName="/xl/persons/person34.xml" ContentType="application/vnd.ms-excel.person+xml"/>
  <Override PartName="/xl/persons/person42.xml" ContentType="application/vnd.ms-excel.person+xml"/>
  <Override PartName="/xl/persons/person51.xml" ContentType="application/vnd.ms-excel.person+xml"/>
  <Override PartName="/xl/persons/person46.xml" ContentType="application/vnd.ms-excel.person+xml"/>
  <Override PartName="/xl/persons/person12.xml" ContentType="application/vnd.ms-excel.person+xml"/>
  <Override PartName="/xl/persons/person56.xml" ContentType="application/vnd.ms-excel.person+xml"/>
  <Override PartName="/xl/persons/person37.xml" ContentType="application/vnd.ms-excel.person+xml"/>
  <Override PartName="/xl/persons/person48.xml" ContentType="application/vnd.ms-excel.person+xml"/>
  <Override PartName="/xl/persons/person33.xml" ContentType="application/vnd.ms-excel.person+xml"/>
  <Override PartName="/xl/persons/person11.xml" ContentType="application/vnd.ms-excel.person+xml"/>
  <Override PartName="/xl/persons/person16.xml" ContentType="application/vnd.ms-excel.person+xml"/>
  <Override PartName="/xl/persons/person23.xml" ContentType="application/vnd.ms-excel.person+xml"/>
  <Override PartName="/xl/persons/person54.xml" ContentType="application/vnd.ms-excel.person+xml"/>
  <Override PartName="/xl/persons/person7.xml" ContentType="application/vnd.ms-excel.person+xml"/>
  <Override PartName="/xl/persons/person0.xml" ContentType="application/vnd.ms-excel.person+xml"/>
  <Override PartName="/xl/persons/person41.xml" ContentType="application/vnd.ms-excel.person+xml"/>
  <Override PartName="/xl/persons/person26.xml" ContentType="application/vnd.ms-excel.person+xml"/>
  <Override PartName="/xl/persons/person49.xml" ContentType="application/vnd.ms-excel.person+xml"/>
  <Override PartName="/xl/persons/person44.xml" ContentType="application/vnd.ms-excel.person+xml"/>
  <Override PartName="/xl/persons/person9.xml" ContentType="application/vnd.ms-excel.person+xml"/>
  <Override PartName="/xl/persons/person14.xml" ContentType="application/vnd.ms-excel.person+xml"/>
  <Override PartName="/xl/persons/person21.xml" ContentType="application/vnd.ms-excel.person+xml"/>
  <Override PartName="/xl/persons/person35.xml" ContentType="application/vnd.ms-excel.person+xml"/>
  <Override PartName="/xl/persons/person20.xml" ContentType="application/vnd.ms-excel.person+xml"/>
  <Override PartName="/xl/persons/person4.xml" ContentType="application/vnd.ms-excel.person+xml"/>
  <Override PartName="/xl/persons/person57.xml" ContentType="application/vnd.ms-excel.person+xml"/>
  <Override PartName="/xl/persons/person53.xml" ContentType="application/vnd.ms-excel.person+xml"/>
  <Override PartName="/xl/persons/person17.xml" ContentType="application/vnd.ms-excel.person+xml"/>
  <Override PartName="/xl/persons/person30.xml" ContentType="application/vnd.ms-excel.person+xml"/>
  <Override PartName="/xl/persons/person38.xml" ContentType="application/vnd.ms-excel.person+xml"/>
  <Override PartName="/xl/persons/person45.xml" ContentType="application/vnd.ms-excel.person+xml"/>
  <Override PartName="/xl/persons/person24.xml" ContentType="application/vnd.ms-excel.person+xml"/>
  <Override PartName="/xl/persons/person.xml" ContentType="application/vnd.ms-excel.person+xml"/>
  <Override PartName="/xl/persons/person19.xml" ContentType="application/vnd.ms-excel.person+xml"/>
  <Override PartName="/xl/persons/person36.xml" ContentType="application/vnd.ms-excel.person+xml"/>
  <Override PartName="/xl/persons/person40.xml" ContentType="application/vnd.ms-excel.person+xml"/>
  <Override PartName="/xl/persons/person58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\Daily\"/>
    </mc:Choice>
  </mc:AlternateContent>
  <xr:revisionPtr revIDLastSave="0" documentId="13_ncr:1_{0BABCA68-BAA6-46A9-A512-802C1A6AE490}" xr6:coauthVersionLast="47" xr6:coauthVersionMax="47" xr10:uidLastSave="{00000000-0000-0000-0000-000000000000}"/>
  <bookViews>
    <workbookView xWindow="-120" yWindow="-120" windowWidth="29040" windowHeight="15720" activeTab="8" xr2:uid="{90AB2D30-BF65-40A3-9DE9-F91B6EB8E8D5}"/>
  </bookViews>
  <sheets>
    <sheet name="Jan" sheetId="24" r:id="rId1"/>
    <sheet name="Feb" sheetId="25" r:id="rId2"/>
    <sheet name="Mar" sheetId="26" r:id="rId3"/>
    <sheet name="Apr" sheetId="27" r:id="rId4"/>
    <sheet name="Mei" sheetId="28" r:id="rId5"/>
    <sheet name="Juni" sheetId="29" r:id="rId6"/>
    <sheet name="Juli" sheetId="30" r:id="rId7"/>
    <sheet name="Agust" sheetId="31" r:id="rId8"/>
    <sheet name="Sept" sheetId="32" r:id="rId9"/>
    <sheet name="Deposit" sheetId="17" r:id="rId10"/>
    <sheet name="Audit mingguan" sheetId="21" r:id="rId11"/>
  </sheets>
  <definedNames>
    <definedName name="_xlnm._FilterDatabase" localSheetId="9" hidden="1">Deposit!$A$3:$F$196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3" i="32" l="1"/>
  <c r="G488" i="32"/>
  <c r="D305" i="17"/>
  <c r="D520" i="32"/>
  <c r="D511" i="32"/>
  <c r="D508" i="32"/>
  <c r="D494" i="32"/>
  <c r="G491" i="32"/>
  <c r="D464" i="32"/>
  <c r="D513" i="32" l="1"/>
  <c r="D522" i="32" s="1"/>
  <c r="G441" i="32"/>
  <c r="D473" i="32"/>
  <c r="D465" i="32"/>
  <c r="D466" i="32" s="1"/>
  <c r="D461" i="32"/>
  <c r="D447" i="32"/>
  <c r="G444" i="32"/>
  <c r="D475" i="32" l="1"/>
  <c r="G482" i="32" s="1"/>
  <c r="G446" i="32"/>
  <c r="D317" i="17" l="1"/>
  <c r="D426" i="32"/>
  <c r="D418" i="32"/>
  <c r="D417" i="32"/>
  <c r="D414" i="32"/>
  <c r="D400" i="32"/>
  <c r="G396" i="32"/>
  <c r="G393" i="32"/>
  <c r="G398" i="32" s="1"/>
  <c r="D419" i="32" l="1"/>
  <c r="D428" i="32"/>
  <c r="G435" i="32" s="1"/>
  <c r="G347" i="32"/>
  <c r="D370" i="32"/>
  <c r="D379" i="32"/>
  <c r="D371" i="32"/>
  <c r="D367" i="32"/>
  <c r="D353" i="32"/>
  <c r="G351" i="32"/>
  <c r="G300" i="32"/>
  <c r="G305" i="32"/>
  <c r="G307" i="32" l="1"/>
  <c r="G353" i="32"/>
  <c r="D372" i="32"/>
  <c r="D381" i="32" s="1"/>
  <c r="G388" i="32" s="1"/>
  <c r="D323" i="32"/>
  <c r="D324" i="32"/>
  <c r="D332" i="32" l="1"/>
  <c r="D325" i="32"/>
  <c r="D320" i="32"/>
  <c r="D306" i="32"/>
  <c r="D275" i="32"/>
  <c r="D334" i="32" l="1"/>
  <c r="G341" i="32" s="1"/>
  <c r="G254" i="32"/>
  <c r="D285" i="32"/>
  <c r="D278" i="32"/>
  <c r="D272" i="32"/>
  <c r="D258" i="32"/>
  <c r="G257" i="32"/>
  <c r="G259" i="32" l="1"/>
  <c r="D287" i="32"/>
  <c r="G294" i="32" s="1"/>
  <c r="G208" i="32" l="1"/>
  <c r="D227" i="32"/>
  <c r="D237" i="32" l="1"/>
  <c r="D230" i="32"/>
  <c r="D224" i="32"/>
  <c r="D209" i="32"/>
  <c r="G203" i="32"/>
  <c r="G210" i="32" s="1"/>
  <c r="G155" i="32"/>
  <c r="G158" i="32"/>
  <c r="G160" i="32" l="1"/>
  <c r="D239" i="32"/>
  <c r="G246" i="32" s="1"/>
  <c r="D188" i="32"/>
  <c r="D179" i="32"/>
  <c r="D178" i="32"/>
  <c r="D175" i="32"/>
  <c r="D161" i="32"/>
  <c r="D181" i="32" l="1"/>
  <c r="D190" i="32" s="1"/>
  <c r="G197" i="32" s="1"/>
  <c r="D131" i="32"/>
  <c r="D130" i="32"/>
  <c r="D140" i="32" l="1"/>
  <c r="D133" i="32"/>
  <c r="D127" i="32"/>
  <c r="G110" i="32"/>
  <c r="D113" i="32"/>
  <c r="G107" i="32"/>
  <c r="G112" i="32" l="1"/>
  <c r="D142" i="32"/>
  <c r="D82" i="32"/>
  <c r="G149" i="32" l="1"/>
  <c r="D92" i="32"/>
  <c r="G71" i="32" l="1"/>
  <c r="D83" i="32"/>
  <c r="D79" i="32"/>
  <c r="D65" i="32"/>
  <c r="G59" i="32"/>
  <c r="G73" i="32" s="1"/>
  <c r="D85" i="32" l="1"/>
  <c r="D94" i="32" s="1"/>
  <c r="G101" i="32" s="1"/>
  <c r="G26" i="32"/>
  <c r="G13" i="32" l="1"/>
  <c r="G28" i="32" s="1"/>
  <c r="D35" i="32"/>
  <c r="D34" i="32"/>
  <c r="D44" i="32" l="1"/>
  <c r="D37" i="32"/>
  <c r="D31" i="32"/>
  <c r="D17" i="32"/>
  <c r="D46" i="32" l="1"/>
  <c r="D1198" i="31"/>
  <c r="G1174" i="31"/>
  <c r="G1179" i="31" s="1"/>
  <c r="D1207" i="31"/>
  <c r="D1197" i="31"/>
  <c r="D1194" i="31"/>
  <c r="D1180" i="31"/>
  <c r="G1177" i="31"/>
  <c r="G53" i="32" l="1"/>
  <c r="D1200" i="31"/>
  <c r="D1209" i="31" s="1"/>
  <c r="D1159" i="31"/>
  <c r="D1150" i="31"/>
  <c r="D1149" i="31"/>
  <c r="D1152" i="31" s="1"/>
  <c r="D1146" i="31"/>
  <c r="D1133" i="31"/>
  <c r="G1129" i="31"/>
  <c r="G1126" i="31"/>
  <c r="G1131" i="31" s="1"/>
  <c r="G5" i="32" l="1"/>
  <c r="D1161" i="31"/>
  <c r="G1168" i="31" s="1"/>
  <c r="D1102" i="31" l="1"/>
  <c r="G1080" i="31"/>
  <c r="D1112" i="31"/>
  <c r="D1103" i="31"/>
  <c r="D1099" i="31"/>
  <c r="D1086" i="31"/>
  <c r="G1084" i="31"/>
  <c r="D1105" i="31" l="1"/>
  <c r="D1114" i="31" s="1"/>
  <c r="G1121" i="31" s="1"/>
  <c r="G1086" i="31"/>
  <c r="D1065" i="31" l="1"/>
  <c r="D1056" i="31"/>
  <c r="D1055" i="31"/>
  <c r="D1052" i="31"/>
  <c r="D1039" i="31"/>
  <c r="G1036" i="31"/>
  <c r="G1032" i="31"/>
  <c r="D1058" i="31" l="1"/>
  <c r="D1067" i="31" s="1"/>
  <c r="G1074" i="31" s="1"/>
  <c r="G1038" i="31"/>
  <c r="D1008" i="31"/>
  <c r="G987" i="31"/>
  <c r="G991" i="31" l="1"/>
  <c r="G993" i="31" s="1"/>
  <c r="D1018" i="31"/>
  <c r="D1009" i="31"/>
  <c r="D1011" i="31" s="1"/>
  <c r="D1005" i="31"/>
  <c r="D992" i="31"/>
  <c r="G942" i="31"/>
  <c r="D1020" i="31" l="1"/>
  <c r="D961" i="31"/>
  <c r="G938" i="31"/>
  <c r="G944" i="31" s="1"/>
  <c r="D971" i="31"/>
  <c r="D962" i="31"/>
  <c r="D958" i="31"/>
  <c r="D944" i="31"/>
  <c r="G1027" i="31" l="1"/>
  <c r="D964" i="31"/>
  <c r="D973" i="31"/>
  <c r="G980" i="31" s="1"/>
  <c r="D923" i="31"/>
  <c r="D914" i="31"/>
  <c r="D913" i="31"/>
  <c r="D910" i="31"/>
  <c r="D897" i="31"/>
  <c r="G894" i="31"/>
  <c r="G890" i="31"/>
  <c r="G848" i="31"/>
  <c r="G896" i="31" l="1"/>
  <c r="D916" i="31"/>
  <c r="D925" i="31"/>
  <c r="D876" i="31"/>
  <c r="D867" i="31"/>
  <c r="D866" i="31"/>
  <c r="D863" i="31"/>
  <c r="D850" i="31"/>
  <c r="G844" i="31"/>
  <c r="G850" i="31" s="1"/>
  <c r="G932" i="31" l="1"/>
  <c r="D869" i="31"/>
  <c r="D878" i="31"/>
  <c r="G885" i="31" s="1"/>
  <c r="G808" i="31" l="1"/>
  <c r="G798" i="31"/>
  <c r="D819" i="31"/>
  <c r="D818" i="31"/>
  <c r="G810" i="31" l="1"/>
  <c r="D828" i="31"/>
  <c r="D829" i="31" s="1"/>
  <c r="D821" i="31"/>
  <c r="D815" i="31"/>
  <c r="D802" i="31"/>
  <c r="D831" i="31" l="1"/>
  <c r="G838" i="31" s="1"/>
  <c r="D780" i="31" l="1"/>
  <c r="D781" i="31" l="1"/>
  <c r="D771" i="31"/>
  <c r="D770" i="31"/>
  <c r="D767" i="31"/>
  <c r="D755" i="31"/>
  <c r="G752" i="31"/>
  <c r="G749" i="31"/>
  <c r="D773" i="31" l="1"/>
  <c r="D783" i="31" s="1"/>
  <c r="G790" i="31" s="1"/>
  <c r="G754" i="31"/>
  <c r="G709" i="31"/>
  <c r="G704" i="31"/>
  <c r="G711" i="31" l="1"/>
  <c r="D734" i="31"/>
  <c r="D726" i="31"/>
  <c r="D725" i="31"/>
  <c r="D722" i="31"/>
  <c r="D710" i="31"/>
  <c r="D728" i="31" l="1"/>
  <c r="D736" i="31" s="1"/>
  <c r="G743" i="31" s="1"/>
  <c r="G663" i="31"/>
  <c r="D689" i="31" l="1"/>
  <c r="D681" i="31"/>
  <c r="D680" i="31"/>
  <c r="D677" i="31"/>
  <c r="D665" i="31"/>
  <c r="G658" i="31"/>
  <c r="G665" i="31" s="1"/>
  <c r="G618" i="31"/>
  <c r="G614" i="31"/>
  <c r="D683" i="31" l="1"/>
  <c r="D691" i="31" s="1"/>
  <c r="G698" i="31" s="1"/>
  <c r="G620" i="31"/>
  <c r="D644" i="31"/>
  <c r="D636" i="31"/>
  <c r="D635" i="31"/>
  <c r="D632" i="31"/>
  <c r="D620" i="31"/>
  <c r="D590" i="31"/>
  <c r="D638" i="31" l="1"/>
  <c r="D646" i="31" s="1"/>
  <c r="G653" i="31" s="1"/>
  <c r="G569" i="31" l="1"/>
  <c r="D599" i="31"/>
  <c r="D592" i="31"/>
  <c r="D591" i="31"/>
  <c r="D587" i="31"/>
  <c r="D575" i="31"/>
  <c r="G572" i="31"/>
  <c r="G574" i="31" l="1"/>
  <c r="D593" i="31"/>
  <c r="D601" i="31" s="1"/>
  <c r="D544" i="31"/>
  <c r="D545" i="31"/>
  <c r="G608" i="31" l="1"/>
  <c r="G522" i="31"/>
  <c r="D554" i="31"/>
  <c r="D546" i="31"/>
  <c r="D547" i="31" s="1"/>
  <c r="D541" i="31"/>
  <c r="G528" i="31"/>
  <c r="D529" i="31"/>
  <c r="G530" i="31" l="1"/>
  <c r="D556" i="31"/>
  <c r="G563" i="31" s="1"/>
  <c r="G483" i="31" l="1"/>
  <c r="G475" i="31"/>
  <c r="D507" i="31"/>
  <c r="D508" i="31" s="1"/>
  <c r="D500" i="31"/>
  <c r="D498" i="31"/>
  <c r="D495" i="31"/>
  <c r="D482" i="31"/>
  <c r="G485" i="31" l="1"/>
  <c r="D501" i="31"/>
  <c r="D510" i="31" s="1"/>
  <c r="G517" i="31" s="1"/>
  <c r="D453" i="31"/>
  <c r="D451" i="31"/>
  <c r="D460" i="31"/>
  <c r="D461" i="31" s="1"/>
  <c r="D448" i="31"/>
  <c r="G432" i="31"/>
  <c r="D435" i="31"/>
  <c r="G429" i="31"/>
  <c r="G434" i="31" l="1"/>
  <c r="D454" i="31"/>
  <c r="D463" i="31" s="1"/>
  <c r="G470" i="31" s="1"/>
  <c r="G383" i="31" l="1"/>
  <c r="G389" i="31" l="1"/>
  <c r="G391" i="31" s="1"/>
  <c r="D412" i="31" l="1"/>
  <c r="D414" i="31" s="1"/>
  <c r="D403" i="31"/>
  <c r="D406" i="31" s="1"/>
  <c r="D400" i="31"/>
  <c r="D388" i="31"/>
  <c r="D416" i="31" l="1"/>
  <c r="G423" i="31" s="1"/>
  <c r="D367" i="31"/>
  <c r="D356" i="31"/>
  <c r="D359" i="31" s="1"/>
  <c r="D353" i="31"/>
  <c r="D341" i="31"/>
  <c r="G339" i="31"/>
  <c r="G335" i="31"/>
  <c r="G293" i="31"/>
  <c r="G341" i="31" l="1"/>
  <c r="D369" i="31"/>
  <c r="G376" i="31" s="1"/>
  <c r="D311" i="31"/>
  <c r="D320" i="31" l="1"/>
  <c r="D310" i="31"/>
  <c r="D313" i="31" s="1"/>
  <c r="D307" i="31"/>
  <c r="D295" i="31"/>
  <c r="G289" i="31"/>
  <c r="D264" i="31"/>
  <c r="D263" i="31"/>
  <c r="G295" i="31" l="1"/>
  <c r="D322" i="31"/>
  <c r="G329" i="31" s="1"/>
  <c r="G248" i="31"/>
  <c r="G196" i="31"/>
  <c r="D274" i="31" l="1"/>
  <c r="D260" i="31"/>
  <c r="D248" i="31"/>
  <c r="G243" i="31"/>
  <c r="G250" i="31" s="1"/>
  <c r="D266" i="31" l="1"/>
  <c r="D276" i="31" s="1"/>
  <c r="G283" i="31" s="1"/>
  <c r="G200" i="31"/>
  <c r="D227" i="31"/>
  <c r="D217" i="31"/>
  <c r="D216" i="31"/>
  <c r="D213" i="31"/>
  <c r="D200" i="31"/>
  <c r="D219" i="31" l="1"/>
  <c r="D229" i="31" s="1"/>
  <c r="G236" i="31" s="1"/>
  <c r="G202" i="31"/>
  <c r="D169" i="31"/>
  <c r="G150" i="31" l="1"/>
  <c r="G147" i="31"/>
  <c r="D179" i="31"/>
  <c r="D170" i="31"/>
  <c r="D172" i="31" s="1"/>
  <c r="D166" i="31"/>
  <c r="D153" i="31"/>
  <c r="G152" i="31" l="1"/>
  <c r="D181" i="31"/>
  <c r="G188" i="31" s="1"/>
  <c r="D132" i="31"/>
  <c r="G105" i="31" l="1"/>
  <c r="D123" i="31"/>
  <c r="D122" i="31"/>
  <c r="G101" i="31" l="1"/>
  <c r="G107" i="31" s="1"/>
  <c r="D124" i="31"/>
  <c r="D125" i="31" l="1"/>
  <c r="D119" i="31"/>
  <c r="D107" i="31"/>
  <c r="D134" i="31" l="1"/>
  <c r="G141" i="31" s="1"/>
  <c r="D86" i="31"/>
  <c r="D79" i="31"/>
  <c r="D78" i="31"/>
  <c r="D77" i="31"/>
  <c r="D74" i="31"/>
  <c r="G59" i="31"/>
  <c r="D62" i="31"/>
  <c r="G55" i="31"/>
  <c r="G26" i="31"/>
  <c r="G61" i="31" l="1"/>
  <c r="D80" i="31"/>
  <c r="D88" i="31" s="1"/>
  <c r="G95" i="31" s="1"/>
  <c r="G13" i="31"/>
  <c r="G28" i="31" s="1"/>
  <c r="D41" i="31" l="1"/>
  <c r="D34" i="31"/>
  <c r="D33" i="31"/>
  <c r="D32" i="31"/>
  <c r="D29" i="31"/>
  <c r="D17" i="31"/>
  <c r="G1287" i="30"/>
  <c r="D35" i="31" l="1"/>
  <c r="D43" i="31" s="1"/>
  <c r="D1301" i="30"/>
  <c r="D1310" i="30"/>
  <c r="D1303" i="30"/>
  <c r="D1302" i="30"/>
  <c r="D1298" i="30"/>
  <c r="D1286" i="30"/>
  <c r="G1281" i="30"/>
  <c r="G50" i="31" l="1"/>
  <c r="D1304" i="30"/>
  <c r="D1312" i="30" s="1"/>
  <c r="G5" i="31" s="1"/>
  <c r="G1289" i="30"/>
  <c r="G1241" i="30"/>
  <c r="G1236" i="30" l="1"/>
  <c r="G1243" i="30" s="1"/>
  <c r="D1258" i="30" l="1"/>
  <c r="D1257" i="30"/>
  <c r="D1265" i="30"/>
  <c r="D1259" i="30"/>
  <c r="D1254" i="30"/>
  <c r="D1241" i="30"/>
  <c r="D1207" i="30"/>
  <c r="D1260" i="30" l="1"/>
  <c r="D1267" i="30" s="1"/>
  <c r="G1274" i="30" s="1"/>
  <c r="G1189" i="30"/>
  <c r="D1220" i="30"/>
  <c r="D1214" i="30"/>
  <c r="D1213" i="30"/>
  <c r="D1212" i="30"/>
  <c r="D1209" i="30"/>
  <c r="G1193" i="30"/>
  <c r="D1196" i="30"/>
  <c r="G1195" i="30" l="1"/>
  <c r="D1215" i="30"/>
  <c r="D1222" i="30" s="1"/>
  <c r="G1229" i="30" s="1"/>
  <c r="G1151" i="30" l="1"/>
  <c r="D1175" i="30" l="1"/>
  <c r="D1168" i="30"/>
  <c r="D1167" i="30"/>
  <c r="D1166" i="30"/>
  <c r="D1163" i="30"/>
  <c r="D1151" i="30"/>
  <c r="G1144" i="30"/>
  <c r="G1153" i="30" s="1"/>
  <c r="D1169" i="30" l="1"/>
  <c r="D1177" i="30" s="1"/>
  <c r="G1184" i="30" s="1"/>
  <c r="D1123" i="30" l="1"/>
  <c r="D1122" i="30"/>
  <c r="D1121" i="30"/>
  <c r="G1100" i="30"/>
  <c r="D1130" i="30"/>
  <c r="D1118" i="30"/>
  <c r="G1103" i="30"/>
  <c r="D1106" i="30"/>
  <c r="G1105" i="30" l="1"/>
  <c r="D1124" i="30"/>
  <c r="D1132" i="30" s="1"/>
  <c r="G1139" i="30" s="1"/>
  <c r="D1078" i="30" l="1"/>
  <c r="D1077" i="30"/>
  <c r="G1063" i="30"/>
  <c r="D1085" i="30"/>
  <c r="D1074" i="30"/>
  <c r="D1062" i="30"/>
  <c r="G1055" i="30"/>
  <c r="D1079" i="30" l="1"/>
  <c r="D1087" i="30" s="1"/>
  <c r="G1094" i="30" s="1"/>
  <c r="G1065" i="30"/>
  <c r="G1020" i="30" l="1"/>
  <c r="D1040" i="30" l="1"/>
  <c r="D1033" i="30"/>
  <c r="D1041" i="30" l="1"/>
  <c r="D1034" i="30"/>
  <c r="D1030" i="30"/>
  <c r="D1018" i="30"/>
  <c r="G1013" i="30"/>
  <c r="G1022" i="30" s="1"/>
  <c r="D1043" i="30" l="1"/>
  <c r="G1050" i="30" s="1"/>
  <c r="G972" i="30"/>
  <c r="G968" i="30" l="1"/>
  <c r="G974" i="30" s="1"/>
  <c r="D988" i="30" l="1"/>
  <c r="D997" i="30" l="1"/>
  <c r="D989" i="30"/>
  <c r="D985" i="30"/>
  <c r="D971" i="30"/>
  <c r="D990" i="30" l="1"/>
  <c r="D999" i="30" s="1"/>
  <c r="G1006" i="30" s="1"/>
  <c r="D940" i="30"/>
  <c r="D939" i="30"/>
  <c r="D941" i="30"/>
  <c r="G917" i="30"/>
  <c r="D950" i="30"/>
  <c r="D936" i="30"/>
  <c r="G921" i="30"/>
  <c r="D922" i="30"/>
  <c r="D891" i="30"/>
  <c r="D892" i="30"/>
  <c r="D942" i="30" l="1"/>
  <c r="D952" i="30" s="1"/>
  <c r="G959" i="30" s="1"/>
  <c r="G923" i="30"/>
  <c r="G869" i="30"/>
  <c r="D901" i="30"/>
  <c r="D893" i="30"/>
  <c r="D888" i="30"/>
  <c r="G875" i="30"/>
  <c r="D874" i="30"/>
  <c r="G823" i="30"/>
  <c r="G877" i="30" l="1"/>
  <c r="D903" i="30"/>
  <c r="G910" i="30" s="1"/>
  <c r="D844" i="30"/>
  <c r="D843" i="30" l="1"/>
  <c r="D853" i="30"/>
  <c r="D840" i="30"/>
  <c r="D823" i="30"/>
  <c r="G817" i="30"/>
  <c r="G825" i="30" s="1"/>
  <c r="D792" i="30"/>
  <c r="D845" i="30" l="1"/>
  <c r="D855" i="30" s="1"/>
  <c r="G862" i="30" s="1"/>
  <c r="D787" i="30"/>
  <c r="D789" i="30" s="1"/>
  <c r="G768" i="30"/>
  <c r="D802" i="30"/>
  <c r="D793" i="30"/>
  <c r="D794" i="30" s="1"/>
  <c r="D771" i="30"/>
  <c r="G765" i="30"/>
  <c r="G715" i="30"/>
  <c r="G770" i="30" l="1"/>
  <c r="D804" i="30"/>
  <c r="G811" i="30" s="1"/>
  <c r="D741" i="30"/>
  <c r="D740" i="30"/>
  <c r="D742" i="30" l="1"/>
  <c r="G718" i="30"/>
  <c r="G720" i="30" s="1"/>
  <c r="D750" i="30"/>
  <c r="D737" i="30"/>
  <c r="D719" i="30"/>
  <c r="D752" i="30" l="1"/>
  <c r="G759" i="30" s="1"/>
  <c r="D698" i="30"/>
  <c r="D689" i="30"/>
  <c r="D690" i="30" s="1"/>
  <c r="D686" i="30"/>
  <c r="G665" i="30"/>
  <c r="D669" i="30"/>
  <c r="G662" i="30"/>
  <c r="G619" i="30"/>
  <c r="D265" i="17"/>
  <c r="G667" i="30" l="1"/>
  <c r="D700" i="30"/>
  <c r="D648" i="30"/>
  <c r="D639" i="30"/>
  <c r="D640" i="30" s="1"/>
  <c r="D636" i="30"/>
  <c r="D619" i="30"/>
  <c r="G614" i="30"/>
  <c r="G621" i="30" s="1"/>
  <c r="D589" i="30"/>
  <c r="D590" i="30"/>
  <c r="G566" i="30"/>
  <c r="G707" i="30" l="1"/>
  <c r="D591" i="30"/>
  <c r="D650" i="30"/>
  <c r="G657" i="30" s="1"/>
  <c r="D598" i="30"/>
  <c r="D586" i="30"/>
  <c r="G569" i="30"/>
  <c r="G571" i="30" s="1"/>
  <c r="D569" i="30"/>
  <c r="G520" i="30"/>
  <c r="D600" i="30" l="1"/>
  <c r="G607" i="30" s="1"/>
  <c r="D540" i="30" l="1"/>
  <c r="G514" i="30" l="1"/>
  <c r="G522" i="30" s="1"/>
  <c r="D548" i="30"/>
  <c r="D541" i="30"/>
  <c r="D537" i="30"/>
  <c r="D520" i="30"/>
  <c r="G471" i="30"/>
  <c r="D550" i="30" l="1"/>
  <c r="G557" i="30" s="1"/>
  <c r="D499" i="30"/>
  <c r="D491" i="30"/>
  <c r="D490" i="30"/>
  <c r="D487" i="30"/>
  <c r="D471" i="30"/>
  <c r="G465" i="30"/>
  <c r="G473" i="30" s="1"/>
  <c r="D441" i="30"/>
  <c r="D492" i="30" l="1"/>
  <c r="D501" i="30" s="1"/>
  <c r="G508" i="30" s="1"/>
  <c r="D450" i="30"/>
  <c r="D442" i="30"/>
  <c r="D443" i="30" s="1"/>
  <c r="D438" i="30"/>
  <c r="G421" i="30"/>
  <c r="D421" i="30"/>
  <c r="G415" i="30"/>
  <c r="D391" i="30"/>
  <c r="G367" i="30"/>
  <c r="G423" i="30" l="1"/>
  <c r="D452" i="30"/>
  <c r="G459" i="30" s="1"/>
  <c r="G373" i="30"/>
  <c r="G375" i="30" s="1"/>
  <c r="D400" i="30" l="1"/>
  <c r="D392" i="30"/>
  <c r="D393" i="30" s="1"/>
  <c r="D388" i="30"/>
  <c r="D371" i="30"/>
  <c r="D402" i="30" l="1"/>
  <c r="G409" i="30" s="1"/>
  <c r="D341" i="30" l="1"/>
  <c r="D340" i="30"/>
  <c r="D290" i="30"/>
  <c r="D289" i="30"/>
  <c r="G265" i="30"/>
  <c r="G318" i="30" l="1"/>
  <c r="D350" i="30"/>
  <c r="D342" i="30"/>
  <c r="D337" i="30"/>
  <c r="D320" i="30"/>
  <c r="G314" i="30"/>
  <c r="G320" i="30" l="1"/>
  <c r="D352" i="30"/>
  <c r="G359" i="30" s="1"/>
  <c r="D299" i="30" l="1"/>
  <c r="D291" i="30"/>
  <c r="D286" i="30"/>
  <c r="D269" i="30"/>
  <c r="G268" i="30"/>
  <c r="G213" i="30"/>
  <c r="G270" i="30" l="1"/>
  <c r="D301" i="30"/>
  <c r="G308" i="30" s="1"/>
  <c r="D248" i="30"/>
  <c r="D240" i="30"/>
  <c r="D239" i="30"/>
  <c r="D236" i="30"/>
  <c r="D219" i="30"/>
  <c r="G216" i="30"/>
  <c r="G218" i="30" s="1"/>
  <c r="D241" i="30" l="1"/>
  <c r="D250" i="30" s="1"/>
  <c r="G257" i="30" s="1"/>
  <c r="D198" i="30" l="1"/>
  <c r="D192" i="30"/>
  <c r="D191" i="30"/>
  <c r="D188" i="30"/>
  <c r="G167" i="30"/>
  <c r="D169" i="30"/>
  <c r="G163" i="30"/>
  <c r="D193" i="30" l="1"/>
  <c r="D200" i="30" s="1"/>
  <c r="G207" i="30" s="1"/>
  <c r="G169" i="30"/>
  <c r="G121" i="30"/>
  <c r="D140" i="30" l="1"/>
  <c r="G114" i="30"/>
  <c r="G123" i="30" s="1"/>
  <c r="D148" i="30"/>
  <c r="D141" i="30"/>
  <c r="D137" i="30"/>
  <c r="D119" i="30"/>
  <c r="D90" i="30"/>
  <c r="D142" i="30" l="1"/>
  <c r="D150" i="30" s="1"/>
  <c r="G157" i="30" s="1"/>
  <c r="D87" i="30"/>
  <c r="D98" i="30" l="1"/>
  <c r="D91" i="30"/>
  <c r="G66" i="30"/>
  <c r="D68" i="30"/>
  <c r="G62" i="30"/>
  <c r="G68" i="30" l="1"/>
  <c r="D92" i="30"/>
  <c r="D100" i="30" s="1"/>
  <c r="G107" i="30" s="1"/>
  <c r="G27" i="30"/>
  <c r="D47" i="30" l="1"/>
  <c r="D40" i="30"/>
  <c r="D39" i="30"/>
  <c r="D36" i="30"/>
  <c r="D17" i="30"/>
  <c r="G12" i="30"/>
  <c r="G29" i="30" s="1"/>
  <c r="D41" i="30" l="1"/>
  <c r="D49" i="30" s="1"/>
  <c r="G56" i="30" l="1"/>
  <c r="G1103" i="29"/>
  <c r="D1123" i="29" l="1"/>
  <c r="D1131" i="29" l="1"/>
  <c r="D1124" i="29"/>
  <c r="D1120" i="29"/>
  <c r="D1101" i="29"/>
  <c r="G1096" i="29"/>
  <c r="G1105" i="29" s="1"/>
  <c r="D1125" i="29" l="1"/>
  <c r="D1133" i="29" s="1"/>
  <c r="D1073" i="29"/>
  <c r="G5" i="30" l="1"/>
  <c r="G1047" i="29"/>
  <c r="D1080" i="29"/>
  <c r="D1072" i="29"/>
  <c r="D1074" i="29" s="1"/>
  <c r="D1069" i="29"/>
  <c r="G1050" i="29"/>
  <c r="D1051" i="29"/>
  <c r="G1052" i="29" l="1"/>
  <c r="D1082" i="29"/>
  <c r="G1089" i="29" s="1"/>
  <c r="D1022" i="29" l="1"/>
  <c r="D1023" i="29"/>
  <c r="G1001" i="29" l="1"/>
  <c r="D1030" i="29" l="1"/>
  <c r="D1024" i="29"/>
  <c r="D1019" i="29"/>
  <c r="D1001" i="29"/>
  <c r="G995" i="29"/>
  <c r="G1003" i="29" s="1"/>
  <c r="D1032" i="29" l="1"/>
  <c r="G1039" i="29" l="1"/>
  <c r="G947" i="29"/>
  <c r="D972" i="29" l="1"/>
  <c r="D980" i="29" l="1"/>
  <c r="D973" i="29"/>
  <c r="D974" i="29" s="1"/>
  <c r="D969" i="29"/>
  <c r="G951" i="29"/>
  <c r="G953" i="29" s="1"/>
  <c r="D951" i="29"/>
  <c r="G902" i="29"/>
  <c r="D982" i="29" l="1"/>
  <c r="D922" i="29"/>
  <c r="D921" i="29"/>
  <c r="G989" i="29" l="1"/>
  <c r="G895" i="29"/>
  <c r="G904" i="29" s="1"/>
  <c r="D930" i="29" l="1"/>
  <c r="D923" i="29"/>
  <c r="D918" i="29"/>
  <c r="D900" i="29"/>
  <c r="G848" i="29"/>
  <c r="D932" i="29" l="1"/>
  <c r="G939" i="29" s="1"/>
  <c r="D823" i="29" l="1"/>
  <c r="D822" i="29"/>
  <c r="D821" i="29"/>
  <c r="D773" i="29"/>
  <c r="D772" i="29"/>
  <c r="D771" i="29"/>
  <c r="D721" i="29"/>
  <c r="D720" i="29"/>
  <c r="D668" i="29"/>
  <c r="D670" i="29"/>
  <c r="D669" i="29"/>
  <c r="D871" i="29"/>
  <c r="D872" i="29"/>
  <c r="D671" i="29" l="1"/>
  <c r="D879" i="29"/>
  <c r="D873" i="29"/>
  <c r="D868" i="29"/>
  <c r="D850" i="29"/>
  <c r="G844" i="29"/>
  <c r="G850" i="29" s="1"/>
  <c r="D881" i="29" l="1"/>
  <c r="G888" i="29" s="1"/>
  <c r="G798" i="29"/>
  <c r="G806" i="29" l="1"/>
  <c r="G808" i="29" s="1"/>
  <c r="D829" i="29" l="1"/>
  <c r="D818" i="29"/>
  <c r="D800" i="29"/>
  <c r="D824" i="29" l="1"/>
  <c r="D831" i="29" s="1"/>
  <c r="G838" i="29" s="1"/>
  <c r="G745" i="29" l="1"/>
  <c r="D779" i="29" l="1"/>
  <c r="D774" i="29"/>
  <c r="D768" i="29"/>
  <c r="D750" i="29"/>
  <c r="G748" i="29"/>
  <c r="G750" i="29" s="1"/>
  <c r="D729" i="29"/>
  <c r="D719" i="29"/>
  <c r="D716" i="29"/>
  <c r="D699" i="29"/>
  <c r="G696" i="29"/>
  <c r="G693" i="29"/>
  <c r="D781" i="29" l="1"/>
  <c r="G698" i="29"/>
  <c r="D722" i="29"/>
  <c r="D731" i="29" s="1"/>
  <c r="G648" i="29"/>
  <c r="G644" i="29"/>
  <c r="G738" i="29" l="1"/>
  <c r="G788" i="29"/>
  <c r="G650" i="29"/>
  <c r="D678" i="29" l="1"/>
  <c r="D665" i="29"/>
  <c r="D649" i="29"/>
  <c r="D680" i="29" l="1"/>
  <c r="G687" i="29" s="1"/>
  <c r="D619" i="29"/>
  <c r="D628" i="29"/>
  <c r="D620" i="29"/>
  <c r="D616" i="29"/>
  <c r="D600" i="29"/>
  <c r="G597" i="29"/>
  <c r="G594" i="29"/>
  <c r="G551" i="29"/>
  <c r="G599" i="29" l="1"/>
  <c r="D621" i="29"/>
  <c r="D630" i="29" s="1"/>
  <c r="G637" i="29" s="1"/>
  <c r="G547" i="29"/>
  <c r="G553" i="29" l="1"/>
  <c r="D579" i="29"/>
  <c r="D573" i="29"/>
  <c r="D572" i="29"/>
  <c r="D571" i="29"/>
  <c r="D568" i="29"/>
  <c r="D552" i="29"/>
  <c r="D574" i="29" l="1"/>
  <c r="D581" i="29" s="1"/>
  <c r="G588" i="29" s="1"/>
  <c r="D531" i="29"/>
  <c r="D523" i="29"/>
  <c r="D522" i="29"/>
  <c r="D521" i="29"/>
  <c r="D518" i="29"/>
  <c r="G498" i="29"/>
  <c r="D501" i="29"/>
  <c r="G495" i="29"/>
  <c r="G500" i="29" l="1"/>
  <c r="D524" i="29"/>
  <c r="D533" i="29" s="1"/>
  <c r="G540" i="29" s="1"/>
  <c r="D478" i="29"/>
  <c r="G451" i="29" l="1"/>
  <c r="D469" i="29" l="1"/>
  <c r="D471" i="29"/>
  <c r="D480" i="29"/>
  <c r="D470" i="29"/>
  <c r="D466" i="29"/>
  <c r="D451" i="29"/>
  <c r="G445" i="29"/>
  <c r="G453" i="29" s="1"/>
  <c r="D472" i="29" l="1"/>
  <c r="D482" i="29" s="1"/>
  <c r="G489" i="29" s="1"/>
  <c r="G405" i="29" l="1"/>
  <c r="D430" i="29"/>
  <c r="D423" i="29"/>
  <c r="D422" i="29"/>
  <c r="D421" i="29"/>
  <c r="D418" i="29"/>
  <c r="D403" i="29"/>
  <c r="G398" i="29"/>
  <c r="G407" i="29" l="1"/>
  <c r="D424" i="29"/>
  <c r="D432" i="29" s="1"/>
  <c r="G439" i="29" s="1"/>
  <c r="D373" i="29" l="1"/>
  <c r="G352" i="29" l="1"/>
  <c r="D382" i="29"/>
  <c r="D375" i="29"/>
  <c r="D374" i="29"/>
  <c r="D370" i="29"/>
  <c r="G356" i="29"/>
  <c r="D355" i="29"/>
  <c r="D376" i="29" l="1"/>
  <c r="D384" i="29" s="1"/>
  <c r="G391" i="29" s="1"/>
  <c r="G358" i="29"/>
  <c r="G309" i="29" l="1"/>
  <c r="G301" i="29" l="1"/>
  <c r="G311" i="29" s="1"/>
  <c r="D334" i="29"/>
  <c r="D326" i="29"/>
  <c r="D325" i="29"/>
  <c r="D324" i="29"/>
  <c r="D321" i="29"/>
  <c r="D306" i="29"/>
  <c r="D327" i="29" l="1"/>
  <c r="D336" i="29" s="1"/>
  <c r="G343" i="29" s="1"/>
  <c r="D285" i="29"/>
  <c r="D278" i="29"/>
  <c r="D277" i="29"/>
  <c r="D276" i="29"/>
  <c r="D273" i="29"/>
  <c r="D258" i="29"/>
  <c r="G254" i="29"/>
  <c r="G251" i="29"/>
  <c r="D229" i="29"/>
  <c r="G204" i="29"/>
  <c r="G256" i="29" l="1"/>
  <c r="D279" i="29"/>
  <c r="D287" i="29" s="1"/>
  <c r="G294" i="29" s="1"/>
  <c r="D237" i="29"/>
  <c r="D228" i="29"/>
  <c r="D227" i="29"/>
  <c r="D224" i="29"/>
  <c r="D210" i="29"/>
  <c r="G207" i="29"/>
  <c r="G209" i="29" s="1"/>
  <c r="D230" i="29" l="1"/>
  <c r="D239" i="29" s="1"/>
  <c r="G246" i="29" s="1"/>
  <c r="D179" i="29" l="1"/>
  <c r="D189" i="29"/>
  <c r="D181" i="29"/>
  <c r="D180" i="29"/>
  <c r="D176" i="29"/>
  <c r="G159" i="29"/>
  <c r="D160" i="29"/>
  <c r="G154" i="29"/>
  <c r="G161" i="29" l="1"/>
  <c r="D182" i="29"/>
  <c r="D191" i="29" s="1"/>
  <c r="G198" i="29" s="1"/>
  <c r="D130" i="29"/>
  <c r="D139" i="29" l="1"/>
  <c r="D132" i="29"/>
  <c r="D131" i="29"/>
  <c r="D127" i="29"/>
  <c r="G112" i="29"/>
  <c r="D111" i="29"/>
  <c r="G106" i="29"/>
  <c r="D133" i="29" l="1"/>
  <c r="D141" i="29" s="1"/>
  <c r="G148" i="29" s="1"/>
  <c r="G114" i="29"/>
  <c r="D233" i="17" l="1"/>
  <c r="D232" i="17"/>
  <c r="D231" i="17"/>
  <c r="D230" i="17"/>
  <c r="G66" i="29" l="1"/>
  <c r="D82" i="29" l="1"/>
  <c r="D81" i="29" l="1"/>
  <c r="D90" i="29" l="1"/>
  <c r="D83" i="29"/>
  <c r="D84" i="29" s="1"/>
  <c r="D78" i="29"/>
  <c r="D63" i="29"/>
  <c r="G58" i="29"/>
  <c r="G68" i="29" s="1"/>
  <c r="D92" i="29" l="1"/>
  <c r="G99" i="29" s="1"/>
  <c r="G22" i="29" l="1"/>
  <c r="G13" i="29" l="1"/>
  <c r="G24" i="29" s="1"/>
  <c r="D35" i="29" l="1"/>
  <c r="D34" i="29"/>
  <c r="D36" i="29" l="1"/>
  <c r="G1081" i="28"/>
  <c r="D42" i="29"/>
  <c r="D31" i="29"/>
  <c r="D17" i="29"/>
  <c r="D44" i="29" l="1"/>
  <c r="G51" i="29" l="1"/>
  <c r="D1098" i="28"/>
  <c r="D1105" i="28" l="1"/>
  <c r="D1099" i="28"/>
  <c r="D1095" i="28"/>
  <c r="D1081" i="28"/>
  <c r="G1076" i="28"/>
  <c r="G1083" i="28" s="1"/>
  <c r="G1038" i="28"/>
  <c r="D1107" i="28" l="1"/>
  <c r="G5" i="29" l="1"/>
  <c r="D1052" i="28"/>
  <c r="G1031" i="28" l="1"/>
  <c r="G1040" i="28" s="1"/>
  <c r="D1060" i="28"/>
  <c r="D1053" i="28"/>
  <c r="D1054" i="28" s="1"/>
  <c r="D1049" i="28"/>
  <c r="D1035" i="28"/>
  <c r="D1062" i="28" l="1"/>
  <c r="G1069" i="28" s="1"/>
  <c r="G988" i="28" l="1"/>
  <c r="D1007" i="28" l="1"/>
  <c r="D1006" i="28" l="1"/>
  <c r="G982" i="28"/>
  <c r="G990" i="28" s="1"/>
  <c r="D1014" i="28"/>
  <c r="D1005" i="28"/>
  <c r="D1002" i="28"/>
  <c r="D988" i="28"/>
  <c r="G938" i="28"/>
  <c r="G934" i="28"/>
  <c r="D1008" i="28" l="1"/>
  <c r="D1016" i="28" s="1"/>
  <c r="G1023" i="28" s="1"/>
  <c r="G940" i="28"/>
  <c r="D967" i="28"/>
  <c r="D960" i="28"/>
  <c r="D959" i="28"/>
  <c r="D958" i="28"/>
  <c r="D955" i="28"/>
  <c r="D940" i="28"/>
  <c r="D961" i="28" l="1"/>
  <c r="D969" i="28" s="1"/>
  <c r="G976" i="28" s="1"/>
  <c r="G892" i="28"/>
  <c r="D919" i="28" l="1"/>
  <c r="D912" i="28"/>
  <c r="D911" i="28"/>
  <c r="D910" i="28"/>
  <c r="D907" i="28"/>
  <c r="D892" i="28"/>
  <c r="G885" i="28"/>
  <c r="G894" i="28" s="1"/>
  <c r="D913" i="28" l="1"/>
  <c r="D921" i="28" s="1"/>
  <c r="G844" i="28"/>
  <c r="G928" i="28" l="1"/>
  <c r="D871" i="28"/>
  <c r="D863" i="28"/>
  <c r="D862" i="28"/>
  <c r="D861" i="28"/>
  <c r="D858" i="28"/>
  <c r="D844" i="28"/>
  <c r="G839" i="28"/>
  <c r="G846" i="28" s="1"/>
  <c r="G796" i="28"/>
  <c r="G792" i="28"/>
  <c r="G798" i="28" l="1"/>
  <c r="D864" i="28"/>
  <c r="D873" i="28" s="1"/>
  <c r="G880" i="28" s="1"/>
  <c r="D813" i="28" l="1"/>
  <c r="D823" i="28"/>
  <c r="D815" i="28"/>
  <c r="D814" i="28"/>
  <c r="D810" i="28"/>
  <c r="D796" i="28"/>
  <c r="D816" i="28" l="1"/>
  <c r="D825" i="28" s="1"/>
  <c r="G832" i="28" s="1"/>
  <c r="D765" i="28" l="1"/>
  <c r="G743" i="28"/>
  <c r="D775" i="28" l="1"/>
  <c r="D767" i="28"/>
  <c r="D766" i="28"/>
  <c r="D762" i="28"/>
  <c r="G748" i="28"/>
  <c r="G750" i="28" s="1"/>
  <c r="D747" i="28"/>
  <c r="D768" i="28" l="1"/>
  <c r="D777" i="28" s="1"/>
  <c r="G784" i="28" s="1"/>
  <c r="G701" i="28" l="1"/>
  <c r="D717" i="28" l="1"/>
  <c r="G695" i="28" l="1"/>
  <c r="G703" i="28" s="1"/>
  <c r="D726" i="28"/>
  <c r="D718" i="28"/>
  <c r="D716" i="28"/>
  <c r="D713" i="28"/>
  <c r="D699" i="28"/>
  <c r="D719" i="28" l="1"/>
  <c r="D728" i="28" s="1"/>
  <c r="G735" i="28" s="1"/>
  <c r="D670" i="28"/>
  <c r="D668" i="28"/>
  <c r="D678" i="28"/>
  <c r="D665" i="28"/>
  <c r="G652" i="28"/>
  <c r="D652" i="28"/>
  <c r="G645" i="28"/>
  <c r="G654" i="28" l="1"/>
  <c r="D671" i="28"/>
  <c r="D680" i="28" s="1"/>
  <c r="G612" i="28"/>
  <c r="G601" i="28"/>
  <c r="G687" i="28" l="1"/>
  <c r="G614" i="28"/>
  <c r="D623" i="28"/>
  <c r="D622" i="28"/>
  <c r="D631" i="28"/>
  <c r="D619" i="28"/>
  <c r="D606" i="28"/>
  <c r="D624" i="28" l="1"/>
  <c r="D633" i="28" s="1"/>
  <c r="G640" i="28" s="1"/>
  <c r="D579" i="28" l="1"/>
  <c r="D585" i="28" l="1"/>
  <c r="D580" i="28"/>
  <c r="D576" i="28"/>
  <c r="D563" i="28"/>
  <c r="G560" i="28"/>
  <c r="G557" i="28"/>
  <c r="G562" i="28" l="1"/>
  <c r="D587" i="28"/>
  <c r="G594" i="28" s="1"/>
  <c r="D536" i="28" l="1"/>
  <c r="D542" i="28" l="1"/>
  <c r="D537" i="28"/>
  <c r="D533" i="28"/>
  <c r="G519" i="28"/>
  <c r="D520" i="28"/>
  <c r="G515" i="28"/>
  <c r="G521" i="28" l="1"/>
  <c r="D544" i="28"/>
  <c r="G551" i="28" s="1"/>
  <c r="G472" i="28"/>
  <c r="G477" i="28" l="1"/>
  <c r="G479" i="28" s="1"/>
  <c r="D499" i="28"/>
  <c r="D494" i="28"/>
  <c r="D489" i="28"/>
  <c r="D477" i="28"/>
  <c r="D501" i="28" l="1"/>
  <c r="G508" i="28" s="1"/>
  <c r="D456" i="28"/>
  <c r="D451" i="28"/>
  <c r="D446" i="28"/>
  <c r="G434" i="28"/>
  <c r="D435" i="28"/>
  <c r="G430" i="28"/>
  <c r="G436" i="28" l="1"/>
  <c r="D458" i="28"/>
  <c r="G465" i="28" s="1"/>
  <c r="G395" i="28"/>
  <c r="G385" i="28" l="1"/>
  <c r="G397" i="28" s="1"/>
  <c r="D414" i="28" l="1"/>
  <c r="D407" i="28"/>
  <c r="D402" i="28"/>
  <c r="D389" i="28"/>
  <c r="D416" i="28" l="1"/>
  <c r="G423" i="28" s="1"/>
  <c r="G339" i="28"/>
  <c r="D368" i="28"/>
  <c r="D362" i="28"/>
  <c r="D357" i="28"/>
  <c r="D344" i="28"/>
  <c r="G342" i="28"/>
  <c r="D370" i="28" l="1"/>
  <c r="G377" i="28" s="1"/>
  <c r="G344" i="28"/>
  <c r="D323" i="28"/>
  <c r="D317" i="28"/>
  <c r="D312" i="28"/>
  <c r="D299" i="28"/>
  <c r="G298" i="28"/>
  <c r="G293" i="28"/>
  <c r="G300" i="28" l="1"/>
  <c r="D325" i="28"/>
  <c r="G252" i="28"/>
  <c r="G332" i="28" l="1"/>
  <c r="D278" i="28"/>
  <c r="D272" i="28"/>
  <c r="D267" i="28"/>
  <c r="D253" i="28"/>
  <c r="G247" i="28"/>
  <c r="G254" i="28" s="1"/>
  <c r="D280" i="28" l="1"/>
  <c r="G287" i="28" s="1"/>
  <c r="D232" i="28" l="1"/>
  <c r="D225" i="28"/>
  <c r="D219" i="28"/>
  <c r="D204" i="28"/>
  <c r="G202" i="28"/>
  <c r="G198" i="28"/>
  <c r="G204" i="28" l="1"/>
  <c r="D234" i="28"/>
  <c r="G241" i="28" s="1"/>
  <c r="D183" i="28"/>
  <c r="D177" i="28"/>
  <c r="D171" i="28"/>
  <c r="G154" i="28"/>
  <c r="D155" i="28"/>
  <c r="G149" i="28"/>
  <c r="G156" i="28" l="1"/>
  <c r="D185" i="28"/>
  <c r="G192" i="28" s="1"/>
  <c r="G108" i="28" l="1"/>
  <c r="G103" i="28" l="1"/>
  <c r="G110" i="28" s="1"/>
  <c r="D134" i="28"/>
  <c r="D128" i="28"/>
  <c r="D123" i="28"/>
  <c r="D108" i="28"/>
  <c r="D136" i="28" l="1"/>
  <c r="G143" i="28" s="1"/>
  <c r="D87" i="28"/>
  <c r="D82" i="28"/>
  <c r="D77" i="28"/>
  <c r="G60" i="28"/>
  <c r="D63" i="28"/>
  <c r="G57" i="28"/>
  <c r="G62" i="28" l="1"/>
  <c r="D89" i="28"/>
  <c r="G96" i="28" s="1"/>
  <c r="G24" i="28" l="1"/>
  <c r="G14" i="28"/>
  <c r="G26" i="28" l="1"/>
  <c r="D42" i="28"/>
  <c r="D36" i="28"/>
  <c r="D31" i="28"/>
  <c r="D17" i="28"/>
  <c r="G1147" i="27"/>
  <c r="G1138" i="27"/>
  <c r="G1149" i="27" s="1"/>
  <c r="D44" i="28" l="1"/>
  <c r="D1170" i="27"/>
  <c r="D1164" i="27"/>
  <c r="D1159" i="27"/>
  <c r="D1144" i="27"/>
  <c r="G51" i="28" l="1"/>
  <c r="D1172" i="27"/>
  <c r="G5" i="28" s="1"/>
  <c r="G1103" i="27"/>
  <c r="G1094" i="27"/>
  <c r="G1105" i="27" s="1"/>
  <c r="D1123" i="27" l="1"/>
  <c r="D1117" i="27"/>
  <c r="D1112" i="27"/>
  <c r="D1098" i="27"/>
  <c r="D1125" i="27" l="1"/>
  <c r="G1132" i="27" s="1"/>
  <c r="G1052" i="27"/>
  <c r="G1046" i="27" l="1"/>
  <c r="G1054" i="27" s="1"/>
  <c r="D1077" i="27" l="1"/>
  <c r="D1071" i="27"/>
  <c r="D1066" i="27"/>
  <c r="D1052" i="27"/>
  <c r="D1031" i="27"/>
  <c r="D1024" i="27"/>
  <c r="D1018" i="27"/>
  <c r="G1001" i="27"/>
  <c r="D1005" i="27"/>
  <c r="G998" i="27"/>
  <c r="G964" i="27"/>
  <c r="G1003" i="27" l="1"/>
  <c r="D1079" i="27"/>
  <c r="G1086" i="27" s="1"/>
  <c r="D1033" i="27"/>
  <c r="D984" i="27"/>
  <c r="D978" i="27"/>
  <c r="D972" i="27"/>
  <c r="D959" i="27"/>
  <c r="G953" i="27"/>
  <c r="G966" i="27" s="1"/>
  <c r="G1040" i="27" l="1"/>
  <c r="D986" i="27"/>
  <c r="G993" i="27" l="1"/>
  <c r="G914" i="27"/>
  <c r="G908" i="27"/>
  <c r="G916" i="27" l="1"/>
  <c r="D938" i="27"/>
  <c r="D930" i="27"/>
  <c r="D924" i="27"/>
  <c r="D912" i="27"/>
  <c r="D940" i="27" l="1"/>
  <c r="G947" i="27" s="1"/>
  <c r="D891" i="27" l="1"/>
  <c r="D883" i="27"/>
  <c r="D877" i="27"/>
  <c r="D865" i="27"/>
  <c r="G861" i="27"/>
  <c r="G858" i="27"/>
  <c r="G863" i="27" l="1"/>
  <c r="D893" i="27"/>
  <c r="D836" i="27"/>
  <c r="G900" i="27" l="1"/>
  <c r="D844" i="27"/>
  <c r="D830" i="27"/>
  <c r="G816" i="27"/>
  <c r="D818" i="27"/>
  <c r="G812" i="27"/>
  <c r="G818" i="27" l="1"/>
  <c r="D846" i="27"/>
  <c r="G853" i="27" l="1"/>
  <c r="D789" i="27"/>
  <c r="G771" i="27" l="1"/>
  <c r="G765" i="27"/>
  <c r="D797" i="27"/>
  <c r="D784" i="27"/>
  <c r="D770" i="27"/>
  <c r="G719" i="27"/>
  <c r="G773" i="27" l="1"/>
  <c r="D799" i="27"/>
  <c r="G806" i="27" s="1"/>
  <c r="G715" i="27" l="1"/>
  <c r="G721" i="27" s="1"/>
  <c r="D749" i="27"/>
  <c r="D741" i="27"/>
  <c r="D737" i="27"/>
  <c r="D722" i="27"/>
  <c r="D751" i="27" l="1"/>
  <c r="G758" i="27" s="1"/>
  <c r="D701" i="27" l="1"/>
  <c r="D693" i="27"/>
  <c r="D689" i="27"/>
  <c r="D675" i="27"/>
  <c r="G671" i="27"/>
  <c r="G668" i="27"/>
  <c r="G673" i="27" l="1"/>
  <c r="D703" i="27"/>
  <c r="G710" i="27" s="1"/>
  <c r="D654" i="27"/>
  <c r="D646" i="27"/>
  <c r="D642" i="27"/>
  <c r="D629" i="27"/>
  <c r="G626" i="27"/>
  <c r="G623" i="27"/>
  <c r="G628" i="27" l="1"/>
  <c r="D656" i="27"/>
  <c r="G663" i="27" s="1"/>
  <c r="G581" i="27" l="1"/>
  <c r="D608" i="27" l="1"/>
  <c r="D599" i="27"/>
  <c r="D594" i="27"/>
  <c r="D582" i="27"/>
  <c r="G576" i="27"/>
  <c r="G583" i="27" s="1"/>
  <c r="D610" i="27" l="1"/>
  <c r="G617" i="27" s="1"/>
  <c r="D547" i="27"/>
  <c r="G530" i="27" l="1"/>
  <c r="G534" i="27" l="1"/>
  <c r="D561" i="27"/>
  <c r="D552" i="27"/>
  <c r="D534" i="27"/>
  <c r="D563" i="27" l="1"/>
  <c r="G570" i="27" s="1"/>
  <c r="G536" i="27"/>
  <c r="D513" i="27" l="1"/>
  <c r="D504" i="27"/>
  <c r="D499" i="27"/>
  <c r="D485" i="27"/>
  <c r="G482" i="27"/>
  <c r="G479" i="27"/>
  <c r="G437" i="27"/>
  <c r="G433" i="27"/>
  <c r="G484" i="27" l="1"/>
  <c r="G439" i="27"/>
  <c r="D515" i="27"/>
  <c r="G522" i="27" s="1"/>
  <c r="D464" i="27"/>
  <c r="D457" i="27"/>
  <c r="D452" i="27"/>
  <c r="D439" i="27"/>
  <c r="G389" i="27"/>
  <c r="D466" i="27" l="1"/>
  <c r="G473" i="27" s="1"/>
  <c r="D418" i="27" l="1"/>
  <c r="D410" i="27"/>
  <c r="D405" i="27"/>
  <c r="G392" i="27"/>
  <c r="G394" i="27" s="1"/>
  <c r="D392" i="27"/>
  <c r="D420" i="27" l="1"/>
  <c r="G427" i="27" s="1"/>
  <c r="G347" i="27" l="1"/>
  <c r="D371" i="27"/>
  <c r="D363" i="27"/>
  <c r="D358" i="27"/>
  <c r="D345" i="27"/>
  <c r="G340" i="27"/>
  <c r="G349" i="27" l="1"/>
  <c r="D373" i="27"/>
  <c r="G380" i="27" l="1"/>
  <c r="D324" i="27"/>
  <c r="D316" i="27"/>
  <c r="D311" i="27"/>
  <c r="G297" i="27"/>
  <c r="D297" i="27"/>
  <c r="G293" i="27"/>
  <c r="G299" i="27" l="1"/>
  <c r="D326" i="27"/>
  <c r="G333" i="27" s="1"/>
  <c r="G252" i="27"/>
  <c r="G246" i="27" l="1"/>
  <c r="G254" i="27" s="1"/>
  <c r="D276" i="27"/>
  <c r="D269" i="27"/>
  <c r="D264" i="27"/>
  <c r="D250" i="27"/>
  <c r="D278" i="27" l="1"/>
  <c r="G200" i="27"/>
  <c r="G285" i="27" l="1"/>
  <c r="G195" i="27"/>
  <c r="D229" i="27"/>
  <c r="D221" i="27"/>
  <c r="D216" i="27"/>
  <c r="D201" i="27"/>
  <c r="D231" i="27" l="1"/>
  <c r="G238" i="27" s="1"/>
  <c r="G202" i="27"/>
  <c r="G152" i="27"/>
  <c r="D180" i="27"/>
  <c r="D173" i="27"/>
  <c r="D168" i="27"/>
  <c r="D155" i="27"/>
  <c r="G148" i="27"/>
  <c r="G154" i="27" s="1"/>
  <c r="D182" i="27" l="1"/>
  <c r="G189" i="27" s="1"/>
  <c r="G103" i="27" l="1"/>
  <c r="D134" i="27" l="1"/>
  <c r="D127" i="27"/>
  <c r="D122" i="27"/>
  <c r="D109" i="27"/>
  <c r="G106" i="27"/>
  <c r="G108" i="27" s="1"/>
  <c r="D136" i="27" l="1"/>
  <c r="D88" i="27"/>
  <c r="D81" i="27"/>
  <c r="D76" i="27"/>
  <c r="G60" i="27"/>
  <c r="D63" i="27"/>
  <c r="G56" i="27"/>
  <c r="G143" i="27" l="1"/>
  <c r="G62" i="27"/>
  <c r="D90" i="27"/>
  <c r="G97" i="27" s="1"/>
  <c r="G12" i="27"/>
  <c r="G22" i="27"/>
  <c r="D42" i="27"/>
  <c r="D35" i="27"/>
  <c r="D30" i="27"/>
  <c r="D17" i="27"/>
  <c r="D44" i="27" l="1"/>
  <c r="G51" i="27" s="1"/>
  <c r="G24" i="27"/>
  <c r="D1109" i="26"/>
  <c r="D1102" i="26"/>
  <c r="D1097" i="26"/>
  <c r="G1083" i="26"/>
  <c r="D1084" i="26"/>
  <c r="G1077" i="26"/>
  <c r="D1111" i="26" l="1"/>
  <c r="G1085" i="26"/>
  <c r="G1039" i="26"/>
  <c r="G5" i="27" l="1"/>
  <c r="D1063" i="26"/>
  <c r="D1055" i="26"/>
  <c r="D1050" i="26"/>
  <c r="D1037" i="26"/>
  <c r="G1031" i="26"/>
  <c r="G1041" i="26" s="1"/>
  <c r="G989" i="26"/>
  <c r="D1065" i="26" l="1"/>
  <c r="G1072" i="26" s="1"/>
  <c r="G984" i="26" l="1"/>
  <c r="G991" i="26" s="1"/>
  <c r="D1016" i="26"/>
  <c r="D1008" i="26"/>
  <c r="D1002" i="26"/>
  <c r="D989" i="26"/>
  <c r="D1018" i="26" l="1"/>
  <c r="G1025" i="26" s="1"/>
  <c r="D968" i="26" l="1"/>
  <c r="D960" i="26"/>
  <c r="D954" i="26"/>
  <c r="G941" i="26"/>
  <c r="D941" i="26"/>
  <c r="G934" i="26"/>
  <c r="G943" i="26" l="1"/>
  <c r="D970" i="26"/>
  <c r="G893" i="26"/>
  <c r="G977" i="26" l="1"/>
  <c r="G888" i="26"/>
  <c r="G895" i="26" s="1"/>
  <c r="D920" i="26"/>
  <c r="D912" i="26"/>
  <c r="D906" i="26"/>
  <c r="D893" i="26"/>
  <c r="G843" i="26"/>
  <c r="D922" i="26" l="1"/>
  <c r="D872" i="26"/>
  <c r="D865" i="26"/>
  <c r="D860" i="26"/>
  <c r="D846" i="26"/>
  <c r="G839" i="26"/>
  <c r="G845" i="26" s="1"/>
  <c r="G929" i="26" l="1"/>
  <c r="D874" i="26"/>
  <c r="G881" i="26" s="1"/>
  <c r="G795" i="26"/>
  <c r="D825" i="26" l="1"/>
  <c r="D818" i="26"/>
  <c r="D813" i="26"/>
  <c r="D800" i="26"/>
  <c r="G798" i="26"/>
  <c r="G800" i="26" s="1"/>
  <c r="D827" i="26" l="1"/>
  <c r="G834" i="26" s="1"/>
  <c r="G753" i="26"/>
  <c r="D779" i="26"/>
  <c r="D772" i="26"/>
  <c r="D767" i="26"/>
  <c r="D754" i="26"/>
  <c r="G747" i="26"/>
  <c r="G755" i="26" s="1"/>
  <c r="D781" i="26" l="1"/>
  <c r="G788" i="26" l="1"/>
  <c r="D733" i="26"/>
  <c r="D727" i="26"/>
  <c r="D722" i="26"/>
  <c r="G709" i="26"/>
  <c r="D709" i="26"/>
  <c r="G704" i="26"/>
  <c r="G711" i="26" l="1"/>
  <c r="D735" i="26"/>
  <c r="G742" i="26" s="1"/>
  <c r="G658" i="26"/>
  <c r="D688" i="26" l="1"/>
  <c r="D681" i="26"/>
  <c r="D676" i="26"/>
  <c r="G663" i="26"/>
  <c r="G665" i="26" s="1"/>
  <c r="D663" i="26"/>
  <c r="G617" i="26"/>
  <c r="D690" i="26" l="1"/>
  <c r="G697" i="26" s="1"/>
  <c r="G611" i="26"/>
  <c r="G619" i="26" s="1"/>
  <c r="D642" i="26" l="1"/>
  <c r="D635" i="26"/>
  <c r="D630" i="26"/>
  <c r="D617" i="26"/>
  <c r="D644" i="26" l="1"/>
  <c r="G570" i="26"/>
  <c r="G651" i="26" l="1"/>
  <c r="D596" i="26"/>
  <c r="D589" i="26"/>
  <c r="D584" i="26"/>
  <c r="D570" i="26"/>
  <c r="G565" i="26"/>
  <c r="G572" i="26" s="1"/>
  <c r="G518" i="26"/>
  <c r="D598" i="26" l="1"/>
  <c r="G605" i="26" s="1"/>
  <c r="G522" i="26" l="1"/>
  <c r="G524" i="26" s="1"/>
  <c r="D549" i="26"/>
  <c r="D542" i="26"/>
  <c r="D537" i="26"/>
  <c r="D523" i="26"/>
  <c r="G470" i="26"/>
  <c r="D551" i="26" l="1"/>
  <c r="G558" i="26" l="1"/>
  <c r="D502" i="26"/>
  <c r="D495" i="26"/>
  <c r="D490" i="26"/>
  <c r="G473" i="26"/>
  <c r="D476" i="26"/>
  <c r="D504" i="26" l="1"/>
  <c r="G475" i="26"/>
  <c r="G425" i="26"/>
  <c r="G429" i="26"/>
  <c r="G431" i="26" l="1"/>
  <c r="G511" i="26"/>
  <c r="D455" i="26"/>
  <c r="D448" i="26"/>
  <c r="D443" i="26"/>
  <c r="D429" i="26"/>
  <c r="D457" i="26" l="1"/>
  <c r="G464" i="26" l="1"/>
  <c r="G380" i="26" l="1"/>
  <c r="D408" i="26" l="1"/>
  <c r="D401" i="26"/>
  <c r="D396" i="26"/>
  <c r="D382" i="26"/>
  <c r="G383" i="26"/>
  <c r="G385" i="26" s="1"/>
  <c r="G330" i="26"/>
  <c r="D361" i="26"/>
  <c r="D354" i="26"/>
  <c r="D349" i="26"/>
  <c r="D335" i="26"/>
  <c r="G333" i="26"/>
  <c r="D410" i="26" l="1"/>
  <c r="D363" i="26"/>
  <c r="G335" i="26"/>
  <c r="G287" i="26"/>
  <c r="D288" i="26"/>
  <c r="G370" i="26" l="1"/>
  <c r="G417" i="26"/>
  <c r="D314" i="26"/>
  <c r="D307" i="26"/>
  <c r="D302" i="26"/>
  <c r="G281" i="26"/>
  <c r="G289" i="26" s="1"/>
  <c r="D316" i="26" l="1"/>
  <c r="G323" i="26" s="1"/>
  <c r="G236" i="26" l="1"/>
  <c r="D267" i="26"/>
  <c r="D260" i="26"/>
  <c r="D255" i="26"/>
  <c r="D242" i="26"/>
  <c r="G239" i="26"/>
  <c r="G194" i="26"/>
  <c r="G241" i="26" l="1"/>
  <c r="D269" i="26"/>
  <c r="D221" i="26"/>
  <c r="D214" i="26"/>
  <c r="D209" i="26"/>
  <c r="D196" i="26"/>
  <c r="G189" i="26"/>
  <c r="G196" i="26" s="1"/>
  <c r="D223" i="26" l="1"/>
  <c r="G230" i="26" s="1"/>
  <c r="G276" i="26"/>
  <c r="D175" i="26"/>
  <c r="D168" i="26"/>
  <c r="D163" i="26"/>
  <c r="G148" i="26"/>
  <c r="D150" i="26"/>
  <c r="G144" i="26"/>
  <c r="G150" i="26" l="1"/>
  <c r="D177" i="26"/>
  <c r="G106" i="26"/>
  <c r="G184" i="26" l="1"/>
  <c r="D129" i="26"/>
  <c r="D122" i="26"/>
  <c r="D117" i="26"/>
  <c r="D105" i="26"/>
  <c r="G99" i="26"/>
  <c r="G108" i="26" s="1"/>
  <c r="D77" i="26"/>
  <c r="D131" i="26" l="1"/>
  <c r="G138" i="26" s="1"/>
  <c r="D84" i="26" l="1"/>
  <c r="D72" i="26"/>
  <c r="G61" i="26"/>
  <c r="D60" i="26"/>
  <c r="G57" i="26"/>
  <c r="G63" i="26" l="1"/>
  <c r="D86" i="26"/>
  <c r="G93" i="26" s="1"/>
  <c r="G13" i="26"/>
  <c r="G21" i="26"/>
  <c r="G23" i="26" l="1"/>
  <c r="D39" i="26"/>
  <c r="D33" i="26"/>
  <c r="D29" i="26"/>
  <c r="D17" i="26"/>
  <c r="D41" i="26" l="1"/>
  <c r="G1063" i="25"/>
  <c r="G48" i="26" l="1"/>
  <c r="D1093" i="25"/>
  <c r="D1086" i="25"/>
  <c r="D1082" i="25"/>
  <c r="D1068" i="25"/>
  <c r="G1066" i="25"/>
  <c r="G1068" i="25" s="1"/>
  <c r="G1015" i="25"/>
  <c r="D1095" i="25" l="1"/>
  <c r="G5" i="26" l="1"/>
  <c r="D1047" i="25"/>
  <c r="D1040" i="25"/>
  <c r="D1036" i="25"/>
  <c r="D1021" i="25"/>
  <c r="G1019" i="25"/>
  <c r="G1021" i="25" s="1"/>
  <c r="D1000" i="25"/>
  <c r="D993" i="25"/>
  <c r="D989" i="25"/>
  <c r="G972" i="25"/>
  <c r="D974" i="25"/>
  <c r="G968" i="25"/>
  <c r="G917" i="25"/>
  <c r="G928" i="25"/>
  <c r="D1049" i="25" l="1"/>
  <c r="G1056" i="25" s="1"/>
  <c r="G974" i="25"/>
  <c r="D1002" i="25"/>
  <c r="G930" i="25"/>
  <c r="D945" i="25"/>
  <c r="G1009" i="25" l="1"/>
  <c r="D953" i="25"/>
  <c r="D941" i="25"/>
  <c r="D937" i="25"/>
  <c r="D922" i="25"/>
  <c r="D955" i="25" l="1"/>
  <c r="G962" i="25" s="1"/>
  <c r="G875" i="25"/>
  <c r="D901" i="25" l="1"/>
  <c r="D894" i="25"/>
  <c r="D890" i="25"/>
  <c r="D876" i="25"/>
  <c r="G870" i="25"/>
  <c r="G877" i="25" s="1"/>
  <c r="D903" i="25" l="1"/>
  <c r="G910" i="25" s="1"/>
  <c r="D855" i="25"/>
  <c r="D848" i="25"/>
  <c r="D844" i="25"/>
  <c r="G829" i="25"/>
  <c r="D830" i="25"/>
  <c r="G824" i="25"/>
  <c r="G831" i="25" l="1"/>
  <c r="D857" i="25"/>
  <c r="G864" i="25" s="1"/>
  <c r="G786" i="25" l="1"/>
  <c r="G780" i="25" l="1"/>
  <c r="G788" i="25" s="1"/>
  <c r="D809" i="25"/>
  <c r="D802" i="25"/>
  <c r="D798" i="25"/>
  <c r="D785" i="25"/>
  <c r="D811" i="25" l="1"/>
  <c r="D764" i="25"/>
  <c r="D758" i="25"/>
  <c r="D754" i="25"/>
  <c r="D742" i="25"/>
  <c r="G739" i="25"/>
  <c r="G735" i="25"/>
  <c r="G741" i="25" l="1"/>
  <c r="G818" i="25"/>
  <c r="D766" i="25"/>
  <c r="G773" i="25" s="1"/>
  <c r="D715" i="25"/>
  <c r="G694" i="25"/>
  <c r="D721" i="25"/>
  <c r="D711" i="25"/>
  <c r="D699" i="25"/>
  <c r="G698" i="25"/>
  <c r="G654" i="25"/>
  <c r="G700" i="25" l="1"/>
  <c r="D723" i="25"/>
  <c r="G730" i="25" s="1"/>
  <c r="D678" i="25"/>
  <c r="D672" i="25"/>
  <c r="D668" i="25"/>
  <c r="D656" i="25"/>
  <c r="G650" i="25"/>
  <c r="G656" i="25" s="1"/>
  <c r="D680" i="25" l="1"/>
  <c r="G687" i="25" s="1"/>
  <c r="G608" i="25"/>
  <c r="G617" i="25"/>
  <c r="G619" i="25" l="1"/>
  <c r="D635" i="25"/>
  <c r="D629" i="25"/>
  <c r="D625" i="25"/>
  <c r="D613" i="25"/>
  <c r="G566" i="25"/>
  <c r="D637" i="25" l="1"/>
  <c r="D592" i="25"/>
  <c r="D585" i="25"/>
  <c r="D581" i="25"/>
  <c r="D577" i="25"/>
  <c r="D566" i="25"/>
  <c r="G559" i="25"/>
  <c r="G568" i="25" s="1"/>
  <c r="G644" i="25" l="1"/>
  <c r="D594" i="25"/>
  <c r="G601" i="25" s="1"/>
  <c r="G524" i="25" l="1"/>
  <c r="G515" i="25" l="1"/>
  <c r="G526" i="25" s="1"/>
  <c r="D545" i="25" l="1"/>
  <c r="D539" i="25"/>
  <c r="D535" i="25"/>
  <c r="D531" i="25"/>
  <c r="D520" i="25"/>
  <c r="D547" i="25" l="1"/>
  <c r="G554" i="25" s="1"/>
  <c r="D499" i="25"/>
  <c r="D492" i="25"/>
  <c r="D488" i="25"/>
  <c r="D484" i="25"/>
  <c r="G474" i="25"/>
  <c r="D473" i="25"/>
  <c r="G466" i="25"/>
  <c r="G476" i="25" l="1"/>
  <c r="D501" i="25"/>
  <c r="G508" i="25" s="1"/>
  <c r="D446" i="25"/>
  <c r="G427" i="25" l="1"/>
  <c r="G421" i="25" l="1"/>
  <c r="G429" i="25" s="1"/>
  <c r="D452" i="25"/>
  <c r="D442" i="25"/>
  <c r="D438" i="25"/>
  <c r="D427" i="25"/>
  <c r="D454" i="25" l="1"/>
  <c r="G461" i="25" s="1"/>
  <c r="D406" i="25" l="1"/>
  <c r="D399" i="25"/>
  <c r="D394" i="25"/>
  <c r="G379" i="25"/>
  <c r="D383" i="25"/>
  <c r="G376" i="25"/>
  <c r="G381" i="25" l="1"/>
  <c r="D408" i="25"/>
  <c r="G415" i="25" s="1"/>
  <c r="G340" i="25"/>
  <c r="G333" i="25" l="1"/>
  <c r="G342" i="25" s="1"/>
  <c r="D362" i="25"/>
  <c r="D354" i="25"/>
  <c r="D349" i="25"/>
  <c r="D338" i="25"/>
  <c r="G293" i="25"/>
  <c r="D364" i="25" l="1"/>
  <c r="D317" i="25"/>
  <c r="D309" i="25"/>
  <c r="D304" i="25"/>
  <c r="D294" i="25"/>
  <c r="G287" i="25"/>
  <c r="G295" i="25" s="1"/>
  <c r="G371" i="25" l="1"/>
  <c r="D319" i="25"/>
  <c r="G326" i="25" s="1"/>
  <c r="G245" i="25" l="1"/>
  <c r="D273" i="25"/>
  <c r="D266" i="25"/>
  <c r="D261" i="25"/>
  <c r="G249" i="25"/>
  <c r="D251" i="25"/>
  <c r="G207" i="25"/>
  <c r="G251" i="25" l="1"/>
  <c r="D275" i="25"/>
  <c r="G282" i="25" s="1"/>
  <c r="D230" i="25" l="1"/>
  <c r="D222" i="25"/>
  <c r="D217" i="25"/>
  <c r="D207" i="25"/>
  <c r="G200" i="25"/>
  <c r="G209" i="25" s="1"/>
  <c r="D232" i="25" l="1"/>
  <c r="G239" i="25" s="1"/>
  <c r="D186" i="25"/>
  <c r="D179" i="25" l="1"/>
  <c r="D175" i="25"/>
  <c r="D170" i="25"/>
  <c r="G156" i="25"/>
  <c r="D160" i="25"/>
  <c r="G153" i="25"/>
  <c r="G158" i="25" l="1"/>
  <c r="D188" i="25"/>
  <c r="G195" i="25" s="1"/>
  <c r="G115" i="25"/>
  <c r="G109" i="25" l="1"/>
  <c r="G117" i="25" s="1"/>
  <c r="D139" i="25" l="1"/>
  <c r="D133" i="25"/>
  <c r="D129" i="25"/>
  <c r="D124" i="25"/>
  <c r="D114" i="25"/>
  <c r="D141" i="25" l="1"/>
  <c r="G148" i="25" s="1"/>
  <c r="D93" i="25" l="1"/>
  <c r="D85" i="25"/>
  <c r="D81" i="25"/>
  <c r="D76" i="25"/>
  <c r="D66" i="25"/>
  <c r="G60" i="25"/>
  <c r="G13" i="25"/>
  <c r="D95" i="25" l="1"/>
  <c r="G102" i="25" s="1"/>
  <c r="G25" i="25"/>
  <c r="G27" i="25" s="1"/>
  <c r="D45" i="25" l="1"/>
  <c r="D37" i="25"/>
  <c r="D33" i="25"/>
  <c r="D28" i="25"/>
  <c r="D17" i="25"/>
  <c r="D47" i="25" l="1"/>
  <c r="D1188" i="24"/>
  <c r="D1181" i="24"/>
  <c r="D1177" i="24"/>
  <c r="D1172" i="24"/>
  <c r="G1162" i="24"/>
  <c r="G1156" i="24"/>
  <c r="G1164" i="24" s="1"/>
  <c r="D1161" i="24"/>
  <c r="G1111" i="24"/>
  <c r="G54" i="25" l="1"/>
  <c r="D1190" i="24"/>
  <c r="G5" i="25" s="1"/>
  <c r="G1121" i="24" l="1"/>
  <c r="G1123" i="24" s="1"/>
  <c r="D1140" i="24" l="1"/>
  <c r="D1131" i="24"/>
  <c r="D1127" i="24"/>
  <c r="D1122" i="24"/>
  <c r="D1111" i="24"/>
  <c r="D1142" i="24" l="1"/>
  <c r="G1149" i="24" s="1"/>
  <c r="D1090" i="24" l="1"/>
  <c r="D1082" i="24"/>
  <c r="D1077" i="24"/>
  <c r="D1072" i="24"/>
  <c r="G1060" i="24"/>
  <c r="G1057" i="24"/>
  <c r="D1062" i="24"/>
  <c r="G1062" i="24" l="1"/>
  <c r="D1092" i="24"/>
  <c r="G1099" i="24" s="1"/>
  <c r="D1033" i="24"/>
  <c r="G1021" i="24" l="1"/>
  <c r="G1013" i="24" l="1"/>
  <c r="G1023" i="24" s="1"/>
  <c r="D1041" i="24" l="1"/>
  <c r="D1028" i="24"/>
  <c r="D1023" i="24"/>
  <c r="D1013" i="24"/>
  <c r="G966" i="24"/>
  <c r="D1043" i="24" l="1"/>
  <c r="G1050" i="24" s="1"/>
  <c r="D992" i="24"/>
  <c r="D985" i="24"/>
  <c r="D981" i="24"/>
  <c r="D976" i="24"/>
  <c r="G970" i="24"/>
  <c r="D966" i="24"/>
  <c r="D994" i="24" l="1"/>
  <c r="G1001" i="24" s="1"/>
  <c r="G972" i="24"/>
  <c r="G923" i="24"/>
  <c r="G916" i="24"/>
  <c r="G925" i="24" l="1"/>
  <c r="D945" i="24"/>
  <c r="D937" i="24"/>
  <c r="D933" i="24"/>
  <c r="D928" i="24"/>
  <c r="D918" i="24"/>
  <c r="D947" i="24" l="1"/>
  <c r="G954" i="24" s="1"/>
  <c r="G868" i="24"/>
  <c r="D897" i="24"/>
  <c r="D890" i="24"/>
  <c r="D886" i="24"/>
  <c r="D881" i="24"/>
  <c r="G871" i="24"/>
  <c r="D871" i="24"/>
  <c r="G873" i="24" l="1"/>
  <c r="D899" i="24"/>
  <c r="G906" i="24" s="1"/>
  <c r="G830" i="24"/>
  <c r="G822" i="24" l="1"/>
  <c r="G832" i="24" s="1"/>
  <c r="D833" i="24" l="1"/>
  <c r="D850" i="24" l="1"/>
  <c r="D842" i="24"/>
  <c r="D838" i="24"/>
  <c r="D823" i="24"/>
  <c r="D852" i="24" l="1"/>
  <c r="G859" i="24" s="1"/>
  <c r="G774" i="24" l="1"/>
  <c r="G768" i="24" l="1"/>
  <c r="G776" i="24" s="1"/>
  <c r="D802" i="24"/>
  <c r="D793" i="24"/>
  <c r="D789" i="24"/>
  <c r="D784" i="24"/>
  <c r="D773" i="24"/>
  <c r="D804" i="24" l="1"/>
  <c r="G811" i="24" s="1"/>
  <c r="G722" i="24"/>
  <c r="G718" i="24" l="1"/>
  <c r="G724" i="24" s="1"/>
  <c r="D752" i="24"/>
  <c r="D744" i="24"/>
  <c r="D740" i="24"/>
  <c r="D735" i="24"/>
  <c r="D724" i="24"/>
  <c r="D754" i="24" l="1"/>
  <c r="G761" i="24" s="1"/>
  <c r="D703" i="24"/>
  <c r="D695" i="24"/>
  <c r="D691" i="24"/>
  <c r="D686" i="24"/>
  <c r="G671" i="24"/>
  <c r="D675" i="24"/>
  <c r="G668" i="24"/>
  <c r="G627" i="24"/>
  <c r="G620" i="24"/>
  <c r="D647" i="24"/>
  <c r="G673" i="24" l="1"/>
  <c r="G629" i="24"/>
  <c r="D705" i="24"/>
  <c r="G712" i="24" l="1"/>
  <c r="D654" i="24"/>
  <c r="D643" i="24"/>
  <c r="D638" i="24"/>
  <c r="D626" i="24"/>
  <c r="G583" i="24"/>
  <c r="D656" i="24" l="1"/>
  <c r="G663" i="24" s="1"/>
  <c r="D605" i="24"/>
  <c r="D597" i="24"/>
  <c r="D592" i="24"/>
  <c r="D580" i="24"/>
  <c r="G574" i="24"/>
  <c r="G585" i="24" s="1"/>
  <c r="D607" i="24" l="1"/>
  <c r="G614" i="24" s="1"/>
  <c r="G530" i="24"/>
  <c r="D559" i="24" l="1"/>
  <c r="D552" i="24"/>
  <c r="D547" i="24"/>
  <c r="D535" i="24"/>
  <c r="G534" i="24"/>
  <c r="G536" i="24" s="1"/>
  <c r="D561" i="24" l="1"/>
  <c r="G568" i="24" s="1"/>
  <c r="G488" i="24" l="1"/>
  <c r="G444" i="24" l="1"/>
  <c r="D514" i="24" l="1"/>
  <c r="D507" i="24"/>
  <c r="D502" i="24"/>
  <c r="D490" i="24"/>
  <c r="G483" i="24"/>
  <c r="G490" i="24" s="1"/>
  <c r="D516" i="24" l="1"/>
  <c r="G523" i="24" s="1"/>
  <c r="D469" i="24"/>
  <c r="D463" i="24"/>
  <c r="D458" i="24"/>
  <c r="D446" i="24"/>
  <c r="G440" i="24"/>
  <c r="G446" i="24" s="1"/>
  <c r="G397" i="24"/>
  <c r="D471" i="24" l="1"/>
  <c r="G478" i="24" s="1"/>
  <c r="D425" i="24" l="1"/>
  <c r="D418" i="24"/>
  <c r="D413" i="24"/>
  <c r="D402" i="24"/>
  <c r="G401" i="24"/>
  <c r="G403" i="24" s="1"/>
  <c r="D427" i="24" l="1"/>
  <c r="G434" i="24" s="1"/>
  <c r="G353" i="24" l="1"/>
  <c r="G349" i="24" l="1"/>
  <c r="G355" i="24" s="1"/>
  <c r="D381" i="24" l="1"/>
  <c r="D374" i="24"/>
  <c r="D370" i="24"/>
  <c r="D365" i="24"/>
  <c r="D354" i="24"/>
  <c r="D383" i="24" l="1"/>
  <c r="G390" i="24" s="1"/>
  <c r="G303" i="24"/>
  <c r="G298" i="24" l="1"/>
  <c r="G305" i="24" s="1"/>
  <c r="D333" i="24"/>
  <c r="D325" i="24" l="1"/>
  <c r="D320" i="24"/>
  <c r="D315" i="24"/>
  <c r="D304" i="24"/>
  <c r="D335" i="24" l="1"/>
  <c r="G342" i="24" s="1"/>
  <c r="D283" i="24" l="1"/>
  <c r="D277" i="24"/>
  <c r="D272" i="24"/>
  <c r="D267" i="24"/>
  <c r="D256" i="24"/>
  <c r="G253" i="24"/>
  <c r="G250" i="24"/>
  <c r="G255" i="24" l="1"/>
  <c r="D285" i="24"/>
  <c r="G292" i="24" s="1"/>
  <c r="D235" i="24"/>
  <c r="D229" i="24"/>
  <c r="D223" i="24"/>
  <c r="D218" i="24"/>
  <c r="D208" i="24"/>
  <c r="G206" i="24"/>
  <c r="G203" i="24"/>
  <c r="G208" i="24" l="1"/>
  <c r="D237" i="24"/>
  <c r="G244" i="24" s="1"/>
  <c r="G154" i="24" l="1"/>
  <c r="G158" i="24" l="1"/>
  <c r="G160" i="24" s="1"/>
  <c r="D187" i="24" l="1"/>
  <c r="D181" i="24"/>
  <c r="D174" i="24"/>
  <c r="D169" i="24"/>
  <c r="D159" i="24"/>
  <c r="D189" i="24" l="1"/>
  <c r="G196" i="24" s="1"/>
  <c r="G111" i="24" l="1"/>
  <c r="D138" i="24" l="1"/>
  <c r="D132" i="24"/>
  <c r="D125" i="24"/>
  <c r="D120" i="24"/>
  <c r="D110" i="24"/>
  <c r="G105" i="24"/>
  <c r="G113" i="24" s="1"/>
  <c r="G59" i="24"/>
  <c r="D140" i="24" l="1"/>
  <c r="G147" i="24" s="1"/>
  <c r="D42" i="24" l="1"/>
  <c r="D36" i="24"/>
  <c r="D32" i="24"/>
  <c r="D27" i="24"/>
  <c r="G20" i="24"/>
  <c r="D17" i="24"/>
  <c r="G13" i="24"/>
  <c r="G22" i="24" l="1"/>
  <c r="D44" i="24"/>
  <c r="D83" i="24"/>
  <c r="D89" i="24"/>
  <c r="D78" i="24"/>
  <c r="D73" i="24"/>
  <c r="G66" i="24"/>
  <c r="G68" i="24" s="1"/>
  <c r="D63" i="24"/>
  <c r="D91" i="24" l="1"/>
  <c r="G51" i="24" l="1"/>
  <c r="G98" i="24"/>
  <c r="F11" i="21"/>
  <c r="F20" i="21"/>
  <c r="F17" i="21"/>
  <c r="F22" i="21" l="1"/>
  <c r="C23" i="21"/>
  <c r="C15" i="21"/>
  <c r="C25" i="21" l="1"/>
  <c r="G64" i="25" l="1"/>
  <c r="G66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cvspb</author>
  </authors>
  <commentList>
    <comment ref="C30" authorId="0" shapeId="0" xr:uid="{FE4F1408-E414-4360-BFED-7EBDB77A0A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0" authorId="0" shapeId="0" xr:uid="{A10DF62B-CE20-4F8A-8F9B-D4359B938D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31" authorId="0" shapeId="0" xr:uid="{1283F936-43E2-4B34-A5CB-B8EC47C17A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76" authorId="0" shapeId="0" xr:uid="{C748BC7A-CD6A-4330-978F-30F93363E3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6" authorId="0" shapeId="0" xr:uid="{A443138B-FEFA-4CFD-8641-DD65269C47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77" authorId="0" shapeId="0" xr:uid="{746BFE70-0C84-4D88-8059-25A98A643D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23" authorId="0" shapeId="0" xr:uid="{2B71261B-3F44-4520-9BAA-1B8E991712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23" authorId="0" shapeId="0" xr:uid="{53723592-A102-40E0-9924-33738280E5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124" authorId="0" shapeId="0" xr:uid="{4D3041F0-CE25-445C-8F73-1B93503095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72" authorId="0" shapeId="0" xr:uid="{B567921F-B068-471A-9058-152365F980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72" authorId="0" shapeId="0" xr:uid="{DFF6B891-57DB-4BCF-BE12-523E454E0D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173" authorId="0" shapeId="0" xr:uid="{23899C50-2AB2-42F6-A5EE-1B12241276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221" authorId="0" shapeId="0" xr:uid="{4C2846A7-48FF-42FC-A1AC-925DCD5674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21" authorId="0" shapeId="0" xr:uid="{CE4CB609-1F5F-488B-8670-140BACCF37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222" authorId="0" shapeId="0" xr:uid="{C5E20A11-A3C4-448F-B70C-B9D9CE3085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270" authorId="0" shapeId="0" xr:uid="{02FF9355-8752-42F9-8891-7846113874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70" authorId="0" shapeId="0" xr:uid="{28ABB267-9399-4828-8F38-8CD8A82E7E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271" authorId="0" shapeId="0" xr:uid="{B4D92712-775E-4A46-9625-B170D8ACA8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318" authorId="0" shapeId="0" xr:uid="{5F2E8637-6BD6-44E0-93A2-87AFA6E21B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18" authorId="0" shapeId="0" xr:uid="{689F0D72-2CE1-4C8C-9DB8-6A639AE759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319" authorId="0" shapeId="0" xr:uid="{0AF63A5A-4B4B-4BC2-9B42-65E9B6EB74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368" authorId="0" shapeId="0" xr:uid="{9E6F4C0D-98FD-4B75-B9F5-1154AD8E4D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68" authorId="0" shapeId="0" xr:uid="{ED28DE08-4DFD-49BA-8B11-C1158F7688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369" authorId="0" shapeId="0" xr:uid="{55BAD30B-0DD1-47B1-A3B9-2F2B1B9702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416" authorId="0" shapeId="0" xr:uid="{E10CFE50-75A0-4B89-A1FD-B90DCCB11E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16" authorId="0" shapeId="0" xr:uid="{B0339FDE-80D3-444D-8CBE-AFEE78C0BC1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417" authorId="0" shapeId="0" xr:uid="{6A5AC1CF-45F9-4C20-9DB1-E0A53F00FD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461" authorId="0" shapeId="0" xr:uid="{D0D1A131-33D7-4C3E-A94F-4E8B34F884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61" authorId="0" shapeId="0" xr:uid="{368AEE4F-77B7-4C3A-8C1F-F05DED3992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462" authorId="0" shapeId="0" xr:uid="{E7621B7A-599C-4954-B81F-0DBC942673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505" authorId="0" shapeId="0" xr:uid="{5AD96033-7915-4F10-B0FB-0D2F973519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05" authorId="0" shapeId="0" xr:uid="{4B67411C-C598-4942-90EF-FE3E617ECD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506" authorId="0" shapeId="0" xr:uid="{17370A1D-2B1B-43D5-B9CD-51205DF631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550" authorId="0" shapeId="0" xr:uid="{29E91ECF-1297-439A-9F94-2B474C5E7C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50" authorId="0" shapeId="0" xr:uid="{D68E0685-92AC-45A4-A12D-5BB584AABA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551" authorId="0" shapeId="0" xr:uid="{B9E236EA-9DD0-4D8B-AA63-EEF0260099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595" authorId="0" shapeId="0" xr:uid="{122F0FBC-4AD2-4907-86AE-CA47EFD998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95" authorId="0" shapeId="0" xr:uid="{1C0703D4-E5BF-430D-9FFA-49358345B2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596" authorId="0" shapeId="0" xr:uid="{3F47F21A-224E-4AC8-86A8-C7254F7B36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636" authorId="0" shapeId="0" xr:uid="{21D53BB0-6905-4924-BCF3-99DCA08B48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pencairan mandiri 101.700.000</t>
        </r>
      </text>
    </comment>
    <comment ref="C641" authorId="0" shapeId="0" xr:uid="{8EE88322-54E1-45E4-9DCC-55ED01EA0E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41" authorId="0" shapeId="0" xr:uid="{13A141C8-09E3-4455-9D4A-5485490F93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642" authorId="0" shapeId="0" xr:uid="{166F267F-59F3-4501-B9DB-C136B48825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689" authorId="0" shapeId="0" xr:uid="{4F394830-C58F-4B4E-90EC-34EFFA346F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89" authorId="0" shapeId="0" xr:uid="{1C66473C-B2B2-4C82-8534-27B4C26A5C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690" authorId="0" shapeId="0" xr:uid="{85CB9107-9828-4589-9A35-889DCAC2C9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701" authorId="0" shapeId="0" xr:uid="{74E67952-FEEF-4603-980A-2294EF8267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16-17
18000x8250</t>
        </r>
      </text>
    </comment>
    <comment ref="F717" authorId="1" shapeId="0" xr:uid="{3EA2C850-AD9F-4D9E-BB15-472E38750696}">
      <text>
        <r>
          <rPr>
            <b/>
            <sz val="9"/>
            <color indexed="81"/>
            <rFont val="Tahoma"/>
            <family val="2"/>
          </rPr>
          <t>cvspb:</t>
        </r>
        <r>
          <rPr>
            <sz val="9"/>
            <color indexed="81"/>
            <rFont val="Tahoma"/>
            <family val="2"/>
          </rPr>
          <t xml:space="preserve">
awalnya tebus bola tgl 17 untuk kirim pak yanto tapi dirubah ke pak kasan sukodono.</t>
        </r>
      </text>
    </comment>
    <comment ref="C738" authorId="0" shapeId="0" xr:uid="{857CF646-AD88-43E1-977B-7862F415B7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38" authorId="0" shapeId="0" xr:uid="{54A38050-4A6A-4A50-9932-9D64976576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739" authorId="0" shapeId="0" xr:uid="{525E22F8-55C3-4A44-A314-67B7A07477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750" authorId="0" shapeId="0" xr:uid="{7040FE7C-310D-4715-95AE-D9DD56A856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16-17
18000x8250</t>
        </r>
      </text>
    </comment>
    <comment ref="C787" authorId="0" shapeId="0" xr:uid="{DE975DFD-3DA5-4D02-B0C9-B789D3EDD9D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87" authorId="0" shapeId="0" xr:uid="{D0D7CEE9-FBFE-4095-8F6D-20CF026873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788" authorId="0" shapeId="0" xr:uid="{9AA9A79C-EF3D-4EB0-A81D-0DEDC9275F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799" authorId="0" shapeId="0" xr:uid="{829DE1A0-155A-4792-BC42-515C437412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20/1
10000x8250</t>
        </r>
      </text>
    </comment>
    <comment ref="G827" authorId="0" shapeId="0" xr:uid="{CCD5AE61-93D9-475C-A6A2-81C1FD31F6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angs bri unit 10.138.400
lain2nya kemungkinan tax</t>
        </r>
      </text>
    </comment>
    <comment ref="C836" authorId="0" shapeId="0" xr:uid="{D8B24973-DB61-4D46-A336-852E8BB0A4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36" authorId="0" shapeId="0" xr:uid="{E2A246A0-E71D-4A39-9E1E-8AFDB210BE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837" authorId="0" shapeId="0" xr:uid="{C0BC48F3-D42C-4320-B745-29D47BD6FF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48" authorId="0" shapeId="0" xr:uid="{4A491F0E-342B-4C71-9749-76F75102EC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21/1
8000x8250
31000x8500</t>
        </r>
      </text>
    </comment>
    <comment ref="C884" authorId="0" shapeId="0" xr:uid="{C2F588EF-FCF4-46E4-85D3-EFF26E8C7B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84" authorId="0" shapeId="0" xr:uid="{2C4FB421-8CC2-4FA2-AE5E-EAA4EED508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885" authorId="0" shapeId="0" xr:uid="{B1310720-1CDB-4A3E-AC47-4E9D65AC5E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96" authorId="0" shapeId="0" xr:uid="{4FA63E3B-AB79-4CE3-B2BC-80DEC819CD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22/1
48000x8500</t>
        </r>
      </text>
    </comment>
    <comment ref="C931" authorId="0" shapeId="0" xr:uid="{A6B5A724-76EF-4BEC-9294-ED618AE209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31" authorId="0" shapeId="0" xr:uid="{691E79E1-40E4-4E03-A8D4-B0C3A4BCF4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932" authorId="0" shapeId="0" xr:uid="{F24CC92A-66C7-4364-9D3F-B92006204D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44" authorId="0" shapeId="0" xr:uid="{E794ED55-C086-4B02-8422-9BBB822C604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22/1
48000x8500
sip 23/1
9000x8500</t>
        </r>
      </text>
    </comment>
    <comment ref="F964" authorId="0" shapeId="0" xr:uid="{53A53A5B-BB72-44D3-96F6-302BC3ADDF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bu yatini 2rit
pak sukem 1rit</t>
        </r>
      </text>
    </comment>
    <comment ref="F965" authorId="0" shapeId="0" xr:uid="{71D05513-323B-402B-AEEB-2D007E6307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eko turen 1rit</t>
        </r>
      </text>
    </comment>
    <comment ref="C979" authorId="0" shapeId="0" xr:uid="{C31304CB-8FBE-4AC8-B2CD-8C7B818FC9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79" authorId="0" shapeId="0" xr:uid="{5426EE00-40A6-4190-85D5-71ADA63D00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980" authorId="0" shapeId="0" xr:uid="{7F3E0B20-8A8C-4E9F-BD02-598A572D6D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91" authorId="0" shapeId="0" xr:uid="{DFF44C18-AD78-4927-9133-074A2AD70A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23/1
9000x8500
sip 24/1
19000x8500</t>
        </r>
      </text>
    </comment>
    <comment ref="F1011" authorId="0" shapeId="0" xr:uid="{B184461C-ED7D-4198-BBBB-2D55D240E9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kopti sepanjang 10mt
toko 10mt
bu kasmi 20mt</t>
        </r>
      </text>
    </comment>
    <comment ref="F1012" authorId="0" shapeId="0" xr:uid="{BC5FF6B2-F956-4FDE-90F6-EAECCF5660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pak anwar 10mt</t>
        </r>
      </text>
    </comment>
    <comment ref="C1026" authorId="0" shapeId="0" xr:uid="{63D376E6-95C5-46FE-A0EB-3913D068EF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26" authorId="0" shapeId="0" xr:uid="{4A8EE0F8-A6AD-467B-B746-9477D2DC96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1027" authorId="0" shapeId="0" xr:uid="{A2812B08-9D75-4600-8BFD-7BFDE996726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40" authorId="0" shapeId="0" xr:uid="{F616F7E4-00CC-486B-96C1-A40F4CDC7B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25/1
19000x8500</t>
        </r>
      </text>
    </comment>
    <comment ref="C1075" authorId="0" shapeId="0" xr:uid="{27D86240-2331-4D92-B9B4-870FAA596A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75" authorId="0" shapeId="0" xr:uid="{286A5EF2-ECC4-4556-BBE5-14C06098D9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1076" authorId="0" shapeId="0" xr:uid="{98D58FF0-BFFF-4B26-9FAB-F7E5A1762D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89" authorId="0" shapeId="0" xr:uid="{912EC4D4-E3ED-405A-BAB9-6777D9680B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25/1
19000x8500
sip 28/1
19000x8500</t>
        </r>
      </text>
    </comment>
    <comment ref="F1104" authorId="0" shapeId="0" xr:uid="{4F9C84DB-0219-4E7F-B6E8-7F858486CD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toko beli ragi tgl 25/1</t>
        </r>
      </text>
    </comment>
    <comment ref="C1125" authorId="0" shapeId="0" xr:uid="{F953D7A8-AE66-47CE-AEE1-1B8703D93A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25" authorId="0" shapeId="0" xr:uid="{951CEFCD-3E83-4AB5-8CE2-FFDCD093B6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1126" authorId="0" shapeId="0" xr:uid="{42553313-D2E4-4570-A8D4-E5D94CB0D7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39" authorId="0" shapeId="0" xr:uid="{3BEA15C9-B3E5-4318-B3A3-CE9665492A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30/1
5000x8500
39000x8550</t>
        </r>
      </text>
    </comment>
    <comment ref="C1175" authorId="0" shapeId="0" xr:uid="{09DD2ABE-2218-4270-B41F-C6479637C8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75" authorId="0" shapeId="0" xr:uid="{C0127609-F977-42C5-96DF-65B470D148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1176" authorId="0" shapeId="0" xr:uid="{1FC39697-62E0-4898-89F6-5EE720E8D8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87" authorId="0" shapeId="0" xr:uid="{14159F8E-E466-4780-89F8-8E74760E10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31/1
10000x8550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31" authorId="0" shapeId="0" xr:uid="{BCF98D4C-9497-4D65-984C-B6C84249DE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1" authorId="0" shapeId="0" xr:uid="{82C2F70D-2E75-4B58-937A-06C70C86D2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32" authorId="0" shapeId="0" xr:uid="{9F96344F-97E1-44B9-AEDC-64F16DB1D5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4" authorId="0" shapeId="0" xr:uid="{032E117C-8673-4436-90DD-E431C3CF0C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31/1
10000x8550
sip tgl 1/2
37000x8550</t>
        </r>
      </text>
    </comment>
    <comment ref="C79" authorId="0" shapeId="0" xr:uid="{74BAD6D3-EB57-4A7B-B8DD-45906C9DCD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9" authorId="0" shapeId="0" xr:uid="{25A82800-06A8-4153-B98E-336D2B7FEF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80" authorId="0" shapeId="0" xr:uid="{5AC04E85-7410-4FC9-9230-FBD899D16E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1" authorId="0" shapeId="0" xr:uid="{4841C2DC-8E22-4AEC-9D27-BEBEE5E915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7000x8000
2000x8800</t>
        </r>
      </text>
    </comment>
    <comment ref="D92" authorId="0" shapeId="0" xr:uid="{6938F91F-6593-4762-B73D-8E8CABA220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3/2
29000x8550</t>
        </r>
      </text>
    </comment>
    <comment ref="C127" authorId="0" shapeId="0" xr:uid="{25656C21-FF5D-4202-B61F-9D6228C190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27" authorId="0" shapeId="0" xr:uid="{377F56A7-EF24-47D9-8A45-98EBF7A293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128" authorId="0" shapeId="0" xr:uid="{F74DCEAD-4349-41C7-9770-7D62A30F7C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38" authorId="0" shapeId="0" xr:uid="{C7BFA9D3-1940-411C-9A16-10354DB15A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4/2
47000x8550</t>
        </r>
      </text>
    </comment>
    <comment ref="C173" authorId="0" shapeId="0" xr:uid="{E6E3999A-4A7F-45EB-83CD-385FCA5C33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73" authorId="0" shapeId="0" xr:uid="{DE290ADD-5502-4F6C-8099-3F50460422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174" authorId="0" shapeId="0" xr:uid="{826D8DBA-7700-4140-ACC7-01E3D87685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85" authorId="0" shapeId="0" xr:uid="{E1F4F680-A530-4F42-89A9-02C17E674B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5/2
48000x8550</t>
        </r>
      </text>
    </comment>
    <comment ref="C220" authorId="0" shapeId="0" xr:uid="{01FAC8C6-9E4A-421F-9211-7F6FCDB7B3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20" authorId="0" shapeId="0" xr:uid="{5F20EAF1-B179-4746-B5A0-C812B73596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221" authorId="0" shapeId="0" xr:uid="{D6865EA4-1C1A-45FB-AD50-34155408BB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229" authorId="0" shapeId="0" xr:uid="{B90F2386-1DEA-4DA6-9822-452E225AD4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5/2
48000x8550
sip tgl 6/2
9000x8550</t>
        </r>
      </text>
    </comment>
    <comment ref="C264" authorId="0" shapeId="0" xr:uid="{34718073-388C-4005-AEDE-62ABF1301D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64" authorId="0" shapeId="0" xr:uid="{16F6A7A8-147F-4CA9-A096-1D52CF0A01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265" authorId="0" shapeId="0" xr:uid="{F696641F-8CDF-4847-A8AD-BB01D090CF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272" authorId="0" shapeId="0" xr:uid="{C728FF61-A613-475E-9E0C-DF9645D007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5/2
48000x8550
sip tgl 6/2
9000x8550
sip tgl 7/2
10000x8550</t>
        </r>
      </text>
    </comment>
    <comment ref="F292" authorId="0" shapeId="0" xr:uid="{EEA7E7F3-00D9-4563-B06F-8E86D7C237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gaji pak mantri</t>
        </r>
      </text>
    </comment>
    <comment ref="C307" authorId="0" shapeId="0" xr:uid="{FC40C0D8-12F3-4898-9127-D6322F25E1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07" authorId="0" shapeId="0" xr:uid="{F4979235-B5EA-474B-B822-B8B69F6562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308" authorId="0" shapeId="0" xr:uid="{0EA4CD5D-5E31-4651-95DA-5A72EB2A32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15" authorId="0" shapeId="0" xr:uid="{980BD197-7473-42CC-8C95-81C8620C60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SGR tgl 8/2
9000x8800</t>
        </r>
      </text>
    </comment>
    <comment ref="D316" authorId="0" shapeId="0" xr:uid="{E8AC8671-F24F-46FD-B32C-5BF6BE700937}">
      <text>
        <r>
          <rPr>
            <sz val="9"/>
            <color indexed="81"/>
            <rFont val="Tahoma"/>
            <family val="2"/>
          </rPr>
          <t>sip tgl 6/2
9000x8550
sip tgl 7/2
10000x8550
sip tgl 8/2
9000x8550</t>
        </r>
      </text>
    </comment>
    <comment ref="C348" authorId="0" shapeId="0" xr:uid="{0F54D62B-1748-4D37-ABFA-4E2B257FE6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352" authorId="0" shapeId="0" xr:uid="{476D70DA-5EA4-4C57-A81C-514EB4DFBE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52" authorId="0" shapeId="0" xr:uid="{A826C39A-CBEC-4C96-B23A-90DDABD266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353" authorId="0" shapeId="0" xr:uid="{83437168-69EB-496E-9A1A-FF5445F2A9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60" authorId="0" shapeId="0" xr:uid="{AD4FED98-1093-4426-9633-B4A6068D37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sisa kurang bayar.</t>
        </r>
      </text>
    </comment>
    <comment ref="D361" authorId="0" shapeId="0" xr:uid="{FEEDF15B-741C-4AAE-B12D-14C9DCBE5044}">
      <text>
        <r>
          <rPr>
            <sz val="9"/>
            <color indexed="81"/>
            <rFont val="Tahoma"/>
            <family val="2"/>
          </rPr>
          <t>sip tgl 6/2
9000x8550
sip tgl 7/2
10000x8550
sip tgl 8/2
9000x8550
sip tgl 10/2
27000x8550</t>
        </r>
      </text>
    </comment>
    <comment ref="C393" authorId="0" shapeId="0" xr:uid="{4BDFB8A1-9796-4344-A708-D249D031BB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397" authorId="0" shapeId="0" xr:uid="{6ECB8ABB-24EC-4D94-8BBF-C56F4AD397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97" authorId="0" shapeId="0" xr:uid="{715FA4F5-6D0B-4C5A-B2B1-73B9A0FB18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C398" authorId="0" shapeId="0" xr:uid="{F721CAA0-C8FB-4284-BABB-2CD8254BAD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05" authorId="0" shapeId="0" xr:uid="{D33B2811-3D59-4A80-8D31-F4A340CB1209}">
      <text>
        <r>
          <rPr>
            <sz val="9"/>
            <color indexed="81"/>
            <rFont val="Tahoma"/>
            <family val="2"/>
          </rPr>
          <t>sip tgl 8/2
9000x8550
sip tgl 10/2
27000x8550
sip tgl 11/2
19000x8550</t>
        </r>
      </text>
    </comment>
    <comment ref="C437" authorId="0" shapeId="0" xr:uid="{0CA08618-B3DD-48A3-8A91-19CB98CE44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441" authorId="0" shapeId="0" xr:uid="{673A7A04-4220-4C78-90A3-9A7E9ED1A8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41" authorId="0" shapeId="0" xr:uid="{191FD1ED-42DC-4D71-9752-05EB547EC8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D451" authorId="0" shapeId="0" xr:uid="{D20315D1-4FF7-4152-8009-FCA5F576C167}">
      <text>
        <r>
          <rPr>
            <sz val="9"/>
            <color indexed="81"/>
            <rFont val="Tahoma"/>
            <family val="2"/>
          </rPr>
          <t>sip tgl 8/2
9000x8550
sip tgl 10/2
27000x8550
sip tgl 11/2
19000x8550</t>
        </r>
      </text>
    </comment>
    <comment ref="C483" authorId="0" shapeId="0" xr:uid="{14FDC753-DFF7-471B-A313-943C9F0024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487" authorId="0" shapeId="0" xr:uid="{8E09AF11-2467-451C-94A1-CD2FE74EB4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87" authorId="0" shapeId="0" xr:uid="{1C46988C-7FD1-4C3E-A222-04FE2227A4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D498" authorId="0" shapeId="0" xr:uid="{C44A8E2A-8A29-4957-B854-468BD06438DF}">
      <text>
        <r>
          <rPr>
            <sz val="9"/>
            <color indexed="81"/>
            <rFont val="Tahoma"/>
            <family val="2"/>
          </rPr>
          <t>sip tgl 11/2
19000x8550</t>
        </r>
      </text>
    </comment>
    <comment ref="C530" authorId="0" shapeId="0" xr:uid="{55FAB42E-FE4A-40F4-AE86-30399BF8B6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534" authorId="0" shapeId="0" xr:uid="{455F68AF-112D-4DF3-A96A-115D939F52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34" authorId="0" shapeId="0" xr:uid="{9634B9AF-25CD-4936-8E46-4DCC5FB642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D544" authorId="0" shapeId="0" xr:uid="{D0B572FB-F798-4B76-902A-05C111330346}">
      <text>
        <r>
          <rPr>
            <sz val="9"/>
            <color indexed="81"/>
            <rFont val="Tahoma"/>
            <family val="2"/>
          </rPr>
          <t>sip tgl 11/2
19000x8550</t>
        </r>
      </text>
    </comment>
    <comment ref="F562" authorId="0" shapeId="0" xr:uid="{161EC5F9-8633-4263-A3F0-9EE6DDBF78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bayar lis kantor.</t>
        </r>
      </text>
    </comment>
    <comment ref="F565" authorId="0" shapeId="0" xr:uid="{E0E556E1-2D2F-4F66-8FB9-C768605299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tf ke ibu mila.</t>
        </r>
      </text>
    </comment>
    <comment ref="C576" authorId="0" shapeId="0" xr:uid="{4D5BB05B-39D1-43A1-B27F-54B1CF61F4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580" authorId="0" shapeId="0" xr:uid="{93BFF38E-1D7B-4E96-978D-4B51148FAE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80" authorId="0" shapeId="0" xr:uid="{C6FFAD8C-2D16-4AED-8748-895F7B4C7B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cv 7jt u/ tambah modal.</t>
        </r>
      </text>
    </comment>
    <comment ref="D591" authorId="0" shapeId="0" xr:uid="{5D922492-9DC8-4DB9-8210-947AD92A3BBF}">
      <text>
        <r>
          <rPr>
            <sz val="9"/>
            <color indexed="81"/>
            <rFont val="Tahoma"/>
            <family val="2"/>
          </rPr>
          <t>sip tgl 11/2
19000x8550
sip tgl 15/2
16000x8550
4000x8500</t>
        </r>
      </text>
    </comment>
    <comment ref="F610" authorId="0" shapeId="0" xr:uid="{38F8158A-EC8A-46C4-B6D8-14FE2B6480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bayar tukang
tf ke bu mila.</t>
        </r>
      </text>
    </comment>
    <comment ref="F614" authorId="0" shapeId="0" xr:uid="{DA67C08C-DC61-4FBC-993B-9ACCE898A9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tf ke mohammad dwi beli bayar uruk.</t>
        </r>
      </text>
    </comment>
    <comment ref="C624" authorId="0" shapeId="0" xr:uid="{8F2AD0F2-8A61-40AA-A00D-CCE6899472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D634" authorId="0" shapeId="0" xr:uid="{7D6C48F9-F5A2-43FF-89B0-1FC27CF71BAA}">
      <text>
        <r>
          <rPr>
            <sz val="9"/>
            <color indexed="81"/>
            <rFont val="Tahoma"/>
            <family val="2"/>
          </rPr>
          <t>sip tgl 15/2
16000x8550
4000x8500</t>
        </r>
      </text>
    </comment>
    <comment ref="C667" authorId="0" shapeId="0" xr:uid="{75686B4C-4F69-44B2-927A-564A5FFA62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D677" authorId="0" shapeId="0" xr:uid="{026E66D7-E6E4-42CC-84B6-E7E6E9A219C3}">
      <text>
        <r>
          <rPr>
            <sz val="9"/>
            <color indexed="81"/>
            <rFont val="Tahoma"/>
            <family val="2"/>
          </rPr>
          <t>sip tgl 18/2
20000x8500</t>
        </r>
      </text>
    </comment>
    <comment ref="C710" authorId="0" shapeId="0" xr:uid="{61B48FCD-FA7C-4C43-9584-F37CA3348B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714" authorId="0" shapeId="0" xr:uid="{01FAB419-9422-4D3F-847C-B8688645DD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753" authorId="0" shapeId="0" xr:uid="{8E69BEB8-11F3-4272-9C89-568AE59410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757" authorId="0" shapeId="0" xr:uid="{010699E9-E52E-48D1-844D-40915EFE46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F782" authorId="0" shapeId="0" xr:uid="{4C58C3EC-31CA-499B-9EBE-4ED0BD9C9F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bayar cat.</t>
        </r>
      </text>
    </comment>
    <comment ref="F785" authorId="0" shapeId="0" xr:uid="{4DC581B9-0169-4D44-A94A-297F06E32E3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bayar granit+lampu.
Tf bu mila</t>
        </r>
      </text>
    </comment>
    <comment ref="C797" authorId="0" shapeId="0" xr:uid="{6976BBEF-4F50-4923-9BD3-7D5EB5AC71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801" authorId="0" shapeId="0" xr:uid="{B4E91CA0-865B-4840-B0E4-FB4A84A4EA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08" authorId="0" shapeId="0" xr:uid="{C45630E0-ABA8-43BB-B1CC-C695435D6BD7}">
      <text>
        <r>
          <rPr>
            <sz val="9"/>
            <color indexed="81"/>
            <rFont val="Tahoma"/>
            <family val="2"/>
          </rPr>
          <t>sip tgl 21/2
20000x8500</t>
        </r>
      </text>
    </comment>
    <comment ref="C843" authorId="0" shapeId="0" xr:uid="{4C4A496B-11DB-4325-A773-C6B6C83E9E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847" authorId="0" shapeId="0" xr:uid="{F820ACAA-36AB-4964-9C5C-5BB03604D0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54" authorId="0" shapeId="0" xr:uid="{09109061-DB7D-43B9-9615-B2B049BD640C}">
      <text>
        <r>
          <rPr>
            <sz val="9"/>
            <color indexed="81"/>
            <rFont val="Tahoma"/>
            <family val="2"/>
          </rPr>
          <t>sip tgl 21/2
20000x8500
sip tgl 22/2
6000x8500
14000x8300</t>
        </r>
      </text>
    </comment>
    <comment ref="C889" authorId="0" shapeId="0" xr:uid="{5E6B842C-721C-4221-A86C-C8DF6F785C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893" authorId="0" shapeId="0" xr:uid="{D19B3BED-8E74-400A-8997-FAA6DAD944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00" authorId="0" shapeId="0" xr:uid="{6AB100E1-8C16-4EBE-BC67-0DF0BA595910}">
      <text>
        <r>
          <rPr>
            <sz val="9"/>
            <color indexed="81"/>
            <rFont val="Tahoma"/>
            <family val="2"/>
          </rPr>
          <t>sip tgl 22/2
6000x8500
14000x8300
sip tgl 24/2
6000x8300
13000x8250</t>
        </r>
      </text>
    </comment>
    <comment ref="F926" authorId="0" shapeId="0" xr:uid="{D3DDD5CD-5AD5-47CD-B3B4-302CC5E800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510x8834
80x8584</t>
        </r>
      </text>
    </comment>
    <comment ref="C936" authorId="0" shapeId="0" xr:uid="{36F40E48-9FF9-4A2A-9CDC-770EE8C5C3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940" authorId="0" shapeId="0" xr:uid="{76D2BFD4-6F41-44A5-88A5-15705659B7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52" authorId="0" shapeId="0" xr:uid="{6B172F56-E367-4626-A046-988FD69BB031}">
      <text>
        <r>
          <rPr>
            <sz val="9"/>
            <color indexed="81"/>
            <rFont val="Tahoma"/>
            <family val="2"/>
          </rPr>
          <t>sip tgl 24/2
6000x8300
13000x8250
sip tgl 25/2
27000x8250</t>
        </r>
      </text>
    </comment>
    <comment ref="C988" authorId="0" shapeId="0" xr:uid="{2F4404E4-9202-4C64-BEC6-29EBA7292D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992" authorId="0" shapeId="0" xr:uid="{EF6B26BF-9ED0-4474-AA3C-931E3A9F0D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99" authorId="0" shapeId="0" xr:uid="{4CC7BCA5-BFEE-4B21-9655-2216B15E5147}">
      <text>
        <r>
          <rPr>
            <sz val="9"/>
            <color indexed="81"/>
            <rFont val="Tahoma"/>
            <family val="2"/>
          </rPr>
          <t>sip tgl 25/2
27000x8250</t>
        </r>
      </text>
    </comment>
    <comment ref="C1035" authorId="0" shapeId="0" xr:uid="{76FD992D-4487-477D-8602-E38C51D0F8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039" authorId="0" shapeId="0" xr:uid="{1573E794-7D9C-4C33-B280-F7F477AE71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46" authorId="0" shapeId="0" xr:uid="{08C3BE16-4EF2-4FEC-9AC7-6DFDF824C6F0}">
      <text>
        <r>
          <rPr>
            <sz val="9"/>
            <color indexed="81"/>
            <rFont val="Tahoma"/>
            <family val="2"/>
          </rPr>
          <t>sip tgl 25/2
27000x8250</t>
        </r>
      </text>
    </comment>
    <comment ref="C1081" authorId="0" shapeId="0" xr:uid="{ACB381F4-C118-41EA-AE92-A579AEF7FF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085" authorId="0" shapeId="0" xr:uid="{6FF6B815-C0D1-4875-A339-81DAE13D5C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92" authorId="0" shapeId="0" xr:uid="{9606A80D-6C37-4FA3-8866-873E148CD98D}">
      <text>
        <r>
          <rPr>
            <sz val="9"/>
            <color indexed="81"/>
            <rFont val="Tahoma"/>
            <family val="2"/>
          </rPr>
          <t>sip tgl 25/2
27000x8250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8" authorId="0" shapeId="0" xr:uid="{EE9E15F5-CB6F-47F3-AA98-551B887C86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32" authorId="0" shapeId="0" xr:uid="{99984BAB-05E4-4DE0-A899-CAC6B3275D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71" authorId="0" shapeId="0" xr:uid="{82C143A7-E431-45CF-964B-7DA8D896D2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75" authorId="0" shapeId="0" xr:uid="{9BAE659C-C0BE-4E3F-B9A2-BE067585A0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76" authorId="0" shapeId="0" xr:uid="{E8CD5611-C384-4D65-95C1-17F25F0223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3" authorId="0" shapeId="0" xr:uid="{70AC5D1F-074E-444E-9AB7-B238EFDB72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3/3
18000x8250</t>
        </r>
      </text>
    </comment>
    <comment ref="C116" authorId="0" shapeId="0" xr:uid="{AA404A7D-6F60-4F9C-8639-3A2839E87A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20" authorId="0" shapeId="0" xr:uid="{D4114728-A6CA-4DEE-8838-29626C17B3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121" authorId="0" shapeId="0" xr:uid="{2EFF9622-B6F3-46E1-A39B-8844A5AAED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128" authorId="0" shapeId="0" xr:uid="{AD8667FD-691F-4199-AA13-95D0327333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3/3
18000x8250
sip tgl 4/3
18000x8250</t>
        </r>
      </text>
    </comment>
    <comment ref="F147" authorId="0" shapeId="0" xr:uid="{C43A9458-7ABF-430D-A4C0-486B80CBF4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beli batu alam u/ kantor.</t>
        </r>
      </text>
    </comment>
    <comment ref="C162" authorId="0" shapeId="0" xr:uid="{D53F6A6D-659B-4848-9F62-3B11EC8E26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66" authorId="0" shapeId="0" xr:uid="{EF80A893-2C93-4BAB-9286-2FDB1446E0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167" authorId="0" shapeId="0" xr:uid="{E11769F7-A11E-442F-A0A0-7B6CA79B3D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174" authorId="0" shapeId="0" xr:uid="{0F13947A-5EBC-430A-B3DA-5FFC62EE9025}">
      <text>
        <r>
          <rPr>
            <sz val="9"/>
            <color indexed="81"/>
            <rFont val="Tahoma"/>
            <family val="2"/>
          </rPr>
          <t>sip tgl 4/3
18000x8250
sip tgl 5/3
9000x8250</t>
        </r>
      </text>
    </comment>
    <comment ref="F191" authorId="0" shapeId="0" xr:uid="{77F7384C-AB13-4886-B9DA-8AE4B4AF0B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beli keramik u/ kantor.</t>
        </r>
      </text>
    </comment>
    <comment ref="C208" authorId="0" shapeId="0" xr:uid="{C7E1DEE9-CE8E-40F9-AF24-57A34544A7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212" authorId="0" shapeId="0" xr:uid="{CC9FF140-51C2-4869-BD2E-F34DA22507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213" authorId="0" shapeId="0" xr:uid="{8FC3F94F-4937-4D65-B8B0-4B21113C6C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220" authorId="0" shapeId="0" xr:uid="{B770B169-C2B4-4B4A-9D8C-352AD4BE45FC}">
      <text>
        <r>
          <rPr>
            <sz val="9"/>
            <color indexed="81"/>
            <rFont val="Tahoma"/>
            <family val="2"/>
          </rPr>
          <t>sip tgl 5/3
9000x8250
sip tgl 6/3
9000x8250</t>
        </r>
      </text>
    </comment>
    <comment ref="C254" authorId="0" shapeId="0" xr:uid="{39A01E52-AA51-4BE0-B221-F45A79ED45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258" authorId="0" shapeId="0" xr:uid="{C6468C09-7E8F-40A9-98F0-A1CA5AE799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259" authorId="0" shapeId="0" xr:uid="{E24715B5-CB3C-4FCB-A781-4CC5617AF6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266" authorId="0" shapeId="0" xr:uid="{0EADE5EC-9302-4ED5-A351-D0865B5A9DFD}">
      <text>
        <r>
          <rPr>
            <sz val="9"/>
            <color indexed="81"/>
            <rFont val="Tahoma"/>
            <family val="2"/>
          </rPr>
          <t>sip tgl 7/3
20000x8250</t>
        </r>
      </text>
    </comment>
    <comment ref="F285" authorId="0" shapeId="0" xr:uid="{B7DD1C22-3198-45B0-AFDC-FA9B155C54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 pintu + gaji tukang (pak budi)</t>
        </r>
      </text>
    </comment>
    <comment ref="F286" authorId="0" shapeId="0" xr:uid="{AC3379E8-6431-4A1D-8192-502AF2B4A8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bayar pintu + engsel.</t>
        </r>
      </text>
    </comment>
    <comment ref="D297" authorId="0" shapeId="0" xr:uid="{3E214A5D-215C-4B13-963B-B6D39D1627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00" authorId="0" shapeId="0" xr:uid="{B48332DD-2084-4343-801E-E7366D7877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301" authorId="0" shapeId="0" xr:uid="{C0C83211-EFFC-454A-ACD5-CFEBCECB04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305" authorId="0" shapeId="0" xr:uid="{88D47A72-219A-43FF-85FA-98DF697B4F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306" authorId="0" shapeId="0" xr:uid="{84B74420-3FDE-4CEB-AF0C-70C91177FC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13" authorId="0" shapeId="0" xr:uid="{1240F0A8-23DE-4416-B296-8FB1EB7C8B9C}">
      <text>
        <r>
          <rPr>
            <sz val="9"/>
            <color indexed="81"/>
            <rFont val="Tahoma"/>
            <family val="2"/>
          </rPr>
          <t>sip tgl 7/3
20000x8250</t>
        </r>
      </text>
    </comment>
    <comment ref="D344" authorId="0" shapeId="0" xr:uid="{5591B3C5-19F5-45E2-9197-ABB03EC44F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47" authorId="0" shapeId="0" xr:uid="{5BD15E2A-46EE-4EB4-BF59-F74D665CC4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348" authorId="0" shapeId="0" xr:uid="{8C01EECB-FC5E-48EF-8C35-C5EE841902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352" authorId="0" shapeId="0" xr:uid="{CC175613-5CCB-43FA-A8F1-FE6ABBA50D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353" authorId="0" shapeId="0" xr:uid="{7D33CF52-61D0-4460-86F7-86625266BB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60" authorId="0" shapeId="0" xr:uid="{048B8E16-F30B-4386-A827-EFB0D6974205}">
      <text>
        <r>
          <rPr>
            <sz val="9"/>
            <color indexed="81"/>
            <rFont val="Tahoma"/>
            <family val="2"/>
          </rPr>
          <t>sip tgl 7/3
20000x8250
sip tgl 10/3
9000x8250</t>
        </r>
      </text>
    </comment>
    <comment ref="D391" authorId="0" shapeId="0" xr:uid="{39FA1D38-9CB8-4E5F-87BE-30FC116895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94" authorId="0" shapeId="0" xr:uid="{9834BBF2-3A7A-48E5-AA8C-7A34B0FEE5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395" authorId="0" shapeId="0" xr:uid="{A72450EE-EC3C-4352-8042-364682CDBFC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399" authorId="0" shapeId="0" xr:uid="{AAAF2219-14F8-44E0-AE73-98E740CA8C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400" authorId="0" shapeId="0" xr:uid="{1F8F3652-11D5-412C-89FB-DE28FD43AC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07" authorId="0" shapeId="0" xr:uid="{99C09F94-4997-44BF-9EE1-4F1F83E3B009}">
      <text>
        <r>
          <rPr>
            <sz val="9"/>
            <color indexed="81"/>
            <rFont val="Tahoma"/>
            <family val="2"/>
          </rPr>
          <t>sip tgl 7/3
20000x8250
sip tgl 10/3
9000x8250</t>
        </r>
      </text>
    </comment>
    <comment ref="D438" authorId="0" shapeId="0" xr:uid="{34EEE150-56FB-4C28-9827-5792CACBB1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41" authorId="0" shapeId="0" xr:uid="{1DB25AAF-04AA-418F-9C23-03BC3DEDB3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442" authorId="0" shapeId="0" xr:uid="{BEEEE6FD-13E5-458A-BFD7-A9A828F4D4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446" authorId="0" shapeId="0" xr:uid="{2EB94EA1-CC66-4FE3-B3C0-7C8F802D53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447" authorId="0" shapeId="0" xr:uid="{B24CFDB2-88EE-484F-8CE8-AA076023DA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54" authorId="0" shapeId="0" xr:uid="{EE84A597-901E-4519-A440-D53DB03E1AE9}">
      <text>
        <r>
          <rPr>
            <sz val="9"/>
            <color indexed="81"/>
            <rFont val="Tahoma"/>
            <family val="2"/>
          </rPr>
          <t>sip tgl 7/3
20000x8250
sip tgl 10/3
9000x8250
sip tgl 12/3
9000x8250</t>
        </r>
      </text>
    </comment>
    <comment ref="D485" authorId="0" shapeId="0" xr:uid="{7B9FD965-4BB6-4D9F-8706-AEA9A5065E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88" authorId="0" shapeId="0" xr:uid="{E862B53B-5F6E-4405-A879-6F65418C88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489" authorId="0" shapeId="0" xr:uid="{B85C6F85-70CD-45F4-8C5A-BB16049D87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493" authorId="0" shapeId="0" xr:uid="{4C8CCCA7-C400-41C0-A4F4-5D262676C1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494" authorId="0" shapeId="0" xr:uid="{06688A2B-F9C7-4DA1-82C4-F300B04D32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501" authorId="0" shapeId="0" xr:uid="{B1C3D76F-3200-4B41-B1DB-00030B0E415E}">
      <text>
        <r>
          <rPr>
            <sz val="9"/>
            <color indexed="81"/>
            <rFont val="Tahoma"/>
            <family val="2"/>
          </rPr>
          <t>sip tgl 10/3
9000x8250
sip tgl 12/3
9000x8250
sip tgl 13/2
19000x8250</t>
        </r>
      </text>
    </comment>
    <comment ref="D532" authorId="0" shapeId="0" xr:uid="{24165AB2-F2A6-483F-923E-66C1431CA9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535" authorId="0" shapeId="0" xr:uid="{773F9990-841E-4FD2-B9A2-316FE79C27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536" authorId="0" shapeId="0" xr:uid="{B5FF787F-EB42-416D-A11C-2EBB580669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540" authorId="0" shapeId="0" xr:uid="{D559B741-1403-4CE8-BA73-87F6C08DCB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541" authorId="0" shapeId="0" xr:uid="{2C5EF31D-43AF-419B-8F4B-CFF0EAC933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548" authorId="0" shapeId="0" xr:uid="{0C4A59AB-B62A-4AAE-A822-CACEDCBB787D}">
      <text>
        <r>
          <rPr>
            <sz val="9"/>
            <color indexed="81"/>
            <rFont val="Tahoma"/>
            <family val="2"/>
          </rPr>
          <t>sip tgl 10/3
9000x8250
sip tgl 12/3
9000x8250
sip tgl 13/2
19000x8250</t>
        </r>
      </text>
    </comment>
    <comment ref="D579" authorId="0" shapeId="0" xr:uid="{F41358CE-6881-40A2-A1F1-4A8CD1E7B6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582" authorId="0" shapeId="0" xr:uid="{5ECA0F9D-4C68-4AA2-92A5-CBF166ABA3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583" authorId="0" shapeId="0" xr:uid="{6E164118-FE81-493D-B108-3D5AB4383C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587" authorId="0" shapeId="0" xr:uid="{A8FA2298-F56E-45B4-A176-FEAB1DE68D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C588" authorId="0" shapeId="0" xr:uid="{0BA43AF5-DCC8-4BBE-A2DE-1DDAB72DDF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595" authorId="0" shapeId="0" xr:uid="{3C0728C9-4CFE-40DA-BCF3-1B7CB55599C1}">
      <text>
        <r>
          <rPr>
            <sz val="9"/>
            <color indexed="81"/>
            <rFont val="Tahoma"/>
            <family val="2"/>
          </rPr>
          <t>sip tgl 10/3
9000x8250
sip tgl 12/3
9000x8250
sip tgl 13/2
19000x8250</t>
        </r>
      </text>
    </comment>
    <comment ref="D626" authorId="0" shapeId="0" xr:uid="{0E4225D6-5919-4ED9-A6DB-8DBDA924D5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27" authorId="0" shapeId="0" xr:uid="{CE919E4A-81FA-43E4-B079-49A25A7247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628" authorId="0" shapeId="0" xr:uid="{DDCA06F2-4D67-434B-B9E1-147A0473F4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629" authorId="0" shapeId="0" xr:uid="{D2271BFB-58EE-47F2-898E-408ADBF7A4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633" authorId="0" shapeId="0" xr:uid="{1A43E4E6-F559-405D-9019-A1CCC535E2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33" authorId="0" shapeId="0" xr:uid="{D50E2EBC-EDAE-4338-B890-7CAED04DBF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634" authorId="0" shapeId="0" xr:uid="{99AE5209-9B0B-4CC5-B52B-A38481D600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641" authorId="0" shapeId="0" xr:uid="{9D1D0A77-046D-449A-AA84-8F0604E5707B}">
      <text>
        <r>
          <rPr>
            <sz val="9"/>
            <color indexed="81"/>
            <rFont val="Tahoma"/>
            <family val="2"/>
          </rPr>
          <t>sip tgl 10/3
9000x8250
sip tgl 12/3
9000x8250
sip tgl 13/2
19000x8250</t>
        </r>
      </text>
    </comment>
    <comment ref="F660" authorId="0" shapeId="0" xr:uid="{2305DE35-464F-4FB4-9ABB-47739FFC18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70x8484
190x8384
370x8409</t>
        </r>
      </text>
    </comment>
    <comment ref="D672" authorId="0" shapeId="0" xr:uid="{FF73DCEF-9C82-4835-B2B4-537F49403F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73" authorId="0" shapeId="0" xr:uid="{773E29D7-D449-4EF1-A5CC-ADF79F2CB6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674" authorId="0" shapeId="0" xr:uid="{338F08D7-7FE1-422E-B494-DA61CC2652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675" authorId="0" shapeId="0" xr:uid="{BC713356-D8F9-413C-8DD1-25FB57FB77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679" authorId="0" shapeId="0" xr:uid="{D3811580-5AD5-46EF-94E2-7D93838368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79" authorId="0" shapeId="0" xr:uid="{F390BF99-CADB-4E55-8C06-C193F9F2DA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680" authorId="0" shapeId="0" xr:uid="{54198AFF-ABA8-4B4E-B818-06A456B393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687" authorId="0" shapeId="0" xr:uid="{38C06E3B-CB08-457C-83DF-9ED477746221}">
      <text>
        <r>
          <rPr>
            <sz val="9"/>
            <color indexed="81"/>
            <rFont val="Tahoma"/>
            <family val="2"/>
          </rPr>
          <t>sip tgl 10/3
9000x8250
sip tgl 12/3
9000x8250
sip tgl 13/2
19000x8250</t>
        </r>
      </text>
    </comment>
    <comment ref="G708" authorId="0" shapeId="0" xr:uid="{6440797B-251D-4703-8C2C-4556F6D6E8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kas 10jt
ongkir ragi 3.350.000</t>
        </r>
      </text>
    </comment>
    <comment ref="D718" authorId="0" shapeId="0" xr:uid="{A2D91AA7-FA3A-43BF-8E1D-2FC0106CBB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19" authorId="0" shapeId="0" xr:uid="{A239CA0B-38B5-49B2-94C3-824E00DC12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720" authorId="0" shapeId="0" xr:uid="{4B080E66-7590-4DF2-B221-86CBA3E424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721" authorId="0" shapeId="0" xr:uid="{7F6B784F-FA8B-4D06-8337-B626FEEB0F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725" authorId="0" shapeId="0" xr:uid="{D62B7513-5A57-4F48-A1DB-DBBACD033B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725" authorId="0" shapeId="0" xr:uid="{1D9EA1EC-304E-4831-95DB-7E00750A84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726" authorId="0" shapeId="0" xr:uid="{22FFA041-4CA0-4974-8E9C-3113AC2391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763" authorId="0" shapeId="0" xr:uid="{8F0D114D-CB8C-43AA-BEEC-AA21A7BD5D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64" authorId="0" shapeId="0" xr:uid="{A376E924-12C2-44A7-BBF4-37D3E0F0CA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765" authorId="0" shapeId="0" xr:uid="{A6FB5902-5EAE-4825-821A-19E4B87A64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766" authorId="0" shapeId="0" xr:uid="{B4185ED4-0EA9-465E-AAC0-92B773952F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770" authorId="0" shapeId="0" xr:uid="{3DA593B8-B850-40FE-9919-DF22C0AB0C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770" authorId="0" shapeId="0" xr:uid="{3E7189BE-F383-4CF6-BF86-2C03340849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771" authorId="0" shapeId="0" xr:uid="{DEC77356-26E8-4CD1-BBA6-E4B4D41E63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778" authorId="0" shapeId="0" xr:uid="{660CDB5D-50FC-4E79-85DF-DFFAE4044D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20/3
10000x8250</t>
        </r>
      </text>
    </comment>
    <comment ref="D809" authorId="0" shapeId="0" xr:uid="{36663E20-BF5A-4DBC-A9BA-95DB8DE2B7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10" authorId="0" shapeId="0" xr:uid="{A6A713A4-DE66-4ECD-88A1-A376150927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811" authorId="0" shapeId="0" xr:uid="{622597E0-5B5B-4490-B777-EAF07F737A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812" authorId="0" shapeId="0" xr:uid="{557F5091-3BCD-45BB-9919-7AFA3B6557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816" authorId="0" shapeId="0" xr:uid="{41531488-E0C3-4C1E-B733-0B2778AEA5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816" authorId="0" shapeId="0" xr:uid="{F8E1ACDC-A30F-4F65-8742-4B172B8279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817" authorId="0" shapeId="0" xr:uid="{EF0F6CBE-5377-46E0-A114-EBCEA9E9F3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24" authorId="0" shapeId="0" xr:uid="{CB577D45-0832-4717-8417-B7953D39D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21/3
19000x8250</t>
        </r>
      </text>
    </comment>
    <comment ref="D855" authorId="0" shapeId="0" xr:uid="{2A48F681-B35E-478C-A3E0-DA2647D4A1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56" authorId="0" shapeId="0" xr:uid="{E99516D3-7C15-411D-AAB5-93FCABAFFA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857" authorId="0" shapeId="0" xr:uid="{3A651813-5829-46D8-BACE-B3BBAD87C8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859" authorId="0" shapeId="0" xr:uid="{34EC9EBF-8E73-4E4B-BFDD-FA74D407BB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863" authorId="0" shapeId="0" xr:uid="{026E872B-A926-4B88-BFBE-D7EA73D94F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863" authorId="0" shapeId="0" xr:uid="{C0D64B83-17F2-40B1-A7D0-061FE393E9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864" authorId="0" shapeId="0" xr:uid="{25C00059-D45A-4448-86E6-A1669E4AC6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71" authorId="0" shapeId="0" xr:uid="{AB2F0C4F-7D59-4048-8D52-6178C8667D02}">
      <text>
        <r>
          <rPr>
            <sz val="9"/>
            <color indexed="81"/>
            <rFont val="Tahoma"/>
            <family val="2"/>
          </rPr>
          <t>sip tgl 21/3
19000x8250
sip tgl 22/3
5000x8250
4000x8450</t>
        </r>
      </text>
    </comment>
    <comment ref="F892" authorId="0" shapeId="0" xr:uid="{005AA6A6-9028-437E-BD8A-71A25B2721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beli token rumah.</t>
        </r>
      </text>
    </comment>
    <comment ref="D902" authorId="0" shapeId="0" xr:uid="{1A1AF06E-68B2-4192-A35A-988B099F90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03" authorId="0" shapeId="0" xr:uid="{6922A3CB-9C0B-4B19-BA07-8207320BEF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904" authorId="0" shapeId="0" xr:uid="{A9210F4A-A3D0-441A-962A-237A19BED3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905" authorId="0" shapeId="0" xr:uid="{D04AA994-7434-447A-B737-0E6615323A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909" authorId="0" shapeId="0" xr:uid="{71BF33C9-0008-4312-94A2-E4EE79E80D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909" authorId="0" shapeId="0" xr:uid="{5B1FAABC-3D00-4333-A054-CEC36272D3A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910" authorId="0" shapeId="0" xr:uid="{F0E9DE8C-806F-4CD6-ABBF-7B7C02062B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911" authorId="0" shapeId="0" xr:uid="{726CA3DC-549D-4D9C-A66D-2EE14B1C74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919" authorId="0" shapeId="0" xr:uid="{CC2FE939-26B3-49BA-BE88-CD6F3F444C0A}">
      <text>
        <r>
          <rPr>
            <sz val="9"/>
            <color indexed="81"/>
            <rFont val="Tahoma"/>
            <family val="2"/>
          </rPr>
          <t>sip tgl 21/3
19000x8250
sip tgl 22/3
5000x8250
4000x8450</t>
        </r>
      </text>
    </comment>
    <comment ref="D950" authorId="0" shapeId="0" xr:uid="{8C3A68FD-3C4A-4079-B6D7-C626BBB6CC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51" authorId="0" shapeId="0" xr:uid="{FE4C323D-5B92-4063-8416-E9F769969F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952" authorId="0" shapeId="0" xr:uid="{E4F4A79A-CFC0-4252-B90E-91E96998DF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953" authorId="0" shapeId="0" xr:uid="{5D801D30-C731-4A0A-AF0A-FD4DDA1CC4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957" authorId="0" shapeId="0" xr:uid="{203832CC-1031-4782-BB3B-0646E4F4DC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957" authorId="0" shapeId="0" xr:uid="{3F1DD191-5511-4B6A-9A90-FE20233DB9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958" authorId="0" shapeId="0" xr:uid="{1D2217D3-D967-46AC-B509-7A95D220DD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959" authorId="0" shapeId="0" xr:uid="{6BC56908-CA56-46CF-AB86-D7B4ABC0B4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966" authorId="0" shapeId="0" xr:uid="{106F84DF-CABD-41AD-AE04-96925EB0B8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deposit setelah dipotong tagihan bu tutik 22.325.000
</t>
        </r>
      </text>
    </comment>
    <comment ref="D967" authorId="0" shapeId="0" xr:uid="{92EBFD31-390B-4B0E-A328-ABA621D3BCF3}">
      <text>
        <r>
          <rPr>
            <sz val="9"/>
            <color indexed="81"/>
            <rFont val="Tahoma"/>
            <family val="2"/>
          </rPr>
          <t>sip tgl 21/3
19000x8250
sip tgl 22/3
5000x8250
4000x8450</t>
        </r>
      </text>
    </comment>
    <comment ref="G986" authorId="0" shapeId="0" xr:uid="{E88F783C-88FE-4359-AAF0-F573C48F17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cv 5jt
bayar pintu 15jt</t>
        </r>
      </text>
    </comment>
    <comment ref="D998" authorId="0" shapeId="0" xr:uid="{D16235B1-BE32-4E0E-BDCA-33BB91B2A6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99" authorId="0" shapeId="0" xr:uid="{BDA5B68C-B94B-4D2C-A28A-6E1C1B40C4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1000" authorId="0" shapeId="0" xr:uid="{91B7AD83-20D4-4818-9425-064A1B17B6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001" authorId="0" shapeId="0" xr:uid="{691A724E-1836-4B21-A939-96E7B164F6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005" authorId="0" shapeId="0" xr:uid="{E72F887C-4465-4D93-A942-2F77525408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005" authorId="0" shapeId="0" xr:uid="{1D759D56-7D04-42CF-8CAC-9EC9FAD550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006" authorId="0" shapeId="0" xr:uid="{CCCF9F08-C218-43BC-8702-54F58242E5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007" authorId="0" shapeId="0" xr:uid="{C1DD715C-7370-4D5B-B94E-BF91BB911E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15" authorId="0" shapeId="0" xr:uid="{79E1757D-253B-4EAF-AE92-6E96CBB01DC7}">
      <text>
        <r>
          <rPr>
            <sz val="9"/>
            <color indexed="81"/>
            <rFont val="Tahoma"/>
            <family val="2"/>
          </rPr>
          <t>sip tgl 21/3
19000x8250
sip tgl 22/3
5000x8250
4000x8450</t>
        </r>
      </text>
    </comment>
    <comment ref="D1046" authorId="0" shapeId="0" xr:uid="{C15C0699-243B-4519-A6A8-06AD798177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047" authorId="0" shapeId="0" xr:uid="{F77BAEC1-B995-4FE4-9D08-A4D3BA7160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1048" authorId="0" shapeId="0" xr:uid="{F0636ECF-6E8D-426B-B7D3-5F0CEAE196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049" authorId="0" shapeId="0" xr:uid="{2BDEBB6E-E33F-4540-8998-5A5FDD1C35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053" authorId="0" shapeId="0" xr:uid="{F469318D-265F-4871-A9FF-94D86851E6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053" authorId="0" shapeId="0" xr:uid="{D83AFC40-4AA1-4772-B8C1-DBEC02C03B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054" authorId="0" shapeId="0" xr:uid="{A3A9B72C-5DF0-4230-A13E-7A8B3688BC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62" authorId="0" shapeId="0" xr:uid="{2C46D8BE-FE18-4688-973E-11FC5829900D}">
      <text>
        <r>
          <rPr>
            <sz val="9"/>
            <color indexed="81"/>
            <rFont val="Tahoma"/>
            <family val="2"/>
          </rPr>
          <t>sip tgl 21/3
19000x8250
sip tgl 22/3
5000x8250
4000x8450</t>
        </r>
      </text>
    </comment>
    <comment ref="D1093" authorId="0" shapeId="0" xr:uid="{CFC82529-DA22-4B7B-B4F9-D43C68AA9E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094" authorId="0" shapeId="0" xr:uid="{669AAFDB-F581-472D-BDF0-27AEB03E28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1095" authorId="0" shapeId="0" xr:uid="{3B0DBD1F-7D70-42B6-9770-912602C33E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096" authorId="0" shapeId="0" xr:uid="{527A937E-FEB1-47F1-8AB4-2393A8A605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100" authorId="0" shapeId="0" xr:uid="{79B7FDDA-187F-4545-86B6-45A9D200BB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100" authorId="0" shapeId="0" xr:uid="{8D50F27C-4A24-433B-8CD6-8AEFE141BF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101" authorId="0" shapeId="0" xr:uid="{C1E95B6D-A2CB-4E40-9DB8-F2D2B5157B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cvspb</author>
    <author>USER</author>
  </authors>
  <commentList>
    <comment ref="F18" authorId="0" shapeId="0" xr:uid="{AFD77611-3DD3-4380-B5F2-3B42F6BB958B}">
      <text>
        <r>
          <rPr>
            <b/>
            <sz val="9"/>
            <color indexed="81"/>
            <rFont val="Tahoma"/>
            <family val="2"/>
          </rPr>
          <t>cvspb:</t>
        </r>
        <r>
          <rPr>
            <sz val="9"/>
            <color indexed="81"/>
            <rFont val="Tahoma"/>
            <family val="2"/>
          </rPr>
          <t xml:space="preserve">
beli ban innova.</t>
        </r>
      </text>
    </comment>
    <comment ref="D26" authorId="1" shapeId="0" xr:uid="{21D19034-EA2E-4F3E-8E28-9FC3037968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7" authorId="1" shapeId="0" xr:uid="{EA424222-4509-432A-8186-75B78239944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28" authorId="1" shapeId="0" xr:uid="{C3C20896-A63D-4AFD-8DE1-F22EA0221E4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29" authorId="1" shapeId="0" xr:uid="{5105BAF9-C9EC-4456-8F81-13997223D9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33" authorId="1" shapeId="0" xr:uid="{F16CD544-6091-48B5-97D7-8B4E868FB6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33" authorId="1" shapeId="0" xr:uid="{8A7F92ED-D266-463C-BEA2-97C15AD325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34" authorId="1" shapeId="0" xr:uid="{C3CF7C18-5332-49D7-973F-6D6C0885F9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72" authorId="1" shapeId="0" xr:uid="{D0FE14DE-1E4B-43F2-A283-B2D909820F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3" authorId="1" shapeId="0" xr:uid="{37BA06CA-B6E1-40CE-9626-2584C5A348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74" authorId="1" shapeId="0" xr:uid="{9BC2B887-8CAC-428C-8D74-5BB9BF37D8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75" authorId="1" shapeId="0" xr:uid="{3DA9B923-285E-48EB-9CFE-4F4612498C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79" authorId="1" shapeId="0" xr:uid="{A796B108-9AB5-42C6-A1CE-56622CDCB4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79" authorId="1" shapeId="0" xr:uid="{9A263CCA-3B5F-402D-9355-6995BE2476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80" authorId="1" shapeId="0" xr:uid="{9302AD33-98A2-455F-BD5D-AA08DE1EFE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18" authorId="1" shapeId="0" xr:uid="{413C71EC-856B-4859-B360-518EB45B1A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19" authorId="1" shapeId="0" xr:uid="{8045500D-7F39-4533-8521-55C85BC7C4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120" authorId="1" shapeId="0" xr:uid="{54ED6E10-CF14-4278-9573-14E164C4B1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21" authorId="1" shapeId="0" xr:uid="{3F4C27C3-B7E0-460E-BBD9-361A59B913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25" authorId="1" shapeId="0" xr:uid="{AFF6FD53-0B8F-4C70-BCE6-C432A25ACC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25" authorId="1" shapeId="0" xr:uid="{33D00CB2-E75C-4CEE-B510-94548D6441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26" authorId="1" shapeId="0" xr:uid="{75F1783D-C9B8-4786-92AB-6AF21B68F6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33" authorId="1" shapeId="0" xr:uid="{7DC28F15-35DD-471C-A9B9-567B6060EF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164" authorId="1" shapeId="0" xr:uid="{1458B882-CD4D-47F9-B372-50E057AD9A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65" authorId="1" shapeId="0" xr:uid="{BFA90DD3-0AB0-4C8B-95CE-EDBB81F66B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166" authorId="1" shapeId="0" xr:uid="{19FB82C8-C356-475B-A31E-DD2448E088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67" authorId="1" shapeId="0" xr:uid="{3013D6C8-BE18-4F93-A8EE-6A428A47BA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171" authorId="1" shapeId="0" xr:uid="{986B41ED-8187-4701-B7AD-DC31AF888C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71" authorId="1" shapeId="0" xr:uid="{D172BE46-FC43-4E37-8D7C-54104A281E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72" authorId="1" shapeId="0" xr:uid="{EC733D4F-621B-4B2B-BCF3-67F481F1BA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79" authorId="1" shapeId="0" xr:uid="{53E5FA82-5A85-4676-82A1-B6854EDFDE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210" authorId="1" shapeId="0" xr:uid="{732FAFBC-338E-40E8-B078-FA459CABE9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11" authorId="1" shapeId="0" xr:uid="{16B331BC-E065-4725-A038-F43C09EB97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212" authorId="1" shapeId="0" xr:uid="{BBA399DB-73EC-44BD-BD03-3CCC1175EB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215" authorId="1" shapeId="0" xr:uid="{05B977C2-9943-4B9F-B9E6-DD89821C53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219" authorId="1" shapeId="0" xr:uid="{BC13DE08-6F36-4097-99F9-ADA5E4EE24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219" authorId="1" shapeId="0" xr:uid="{2EC5A8B0-30C1-410E-8A31-0F1B6B864D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220" authorId="1" shapeId="0" xr:uid="{327775F2-984F-4C21-8ED8-4129DD7039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228" authorId="1" shapeId="0" xr:uid="{9755D7EA-0E31-4E6D-ABF3-5772E8657B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F249" authorId="1" shapeId="0" xr:uid="{3AAE37B1-CAB3-4342-ADE3-A7A4868F43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tambah daya listrik kantor = 3.150.000
bayar kebutuhan pokok = 3.498.000</t>
        </r>
      </text>
    </comment>
    <comment ref="F251" authorId="1" shapeId="0" xr:uid="{034923E3-15F1-4A11-84C0-6DB9FEBEBC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400x8384</t>
        </r>
      </text>
    </comment>
    <comment ref="D259" authorId="1" shapeId="0" xr:uid="{6D9E639B-79F2-4F12-B36D-A101142C85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60" authorId="1" shapeId="0" xr:uid="{41EFED59-7320-4B9A-ADB2-797DBA2414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261" authorId="1" shapeId="0" xr:uid="{77372C0D-B155-4CA6-9786-59C51DE2BC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62" authorId="1" shapeId="0" xr:uid="{48C52BAE-E589-4C60-96AE-17BDB90B62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saldo tertahan 100jt
uang sobek pak nain 50rb</t>
        </r>
      </text>
    </comment>
    <comment ref="C263" authorId="1" shapeId="0" xr:uid="{342EC49B-2721-4ECB-A8FF-3896FA319F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C267" authorId="1" shapeId="0" xr:uid="{B2862902-B097-4568-A292-7411C3F09E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267" authorId="1" shapeId="0" xr:uid="{813D27ED-270F-4BC4-AEAB-3E1757E0BA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268" authorId="1" shapeId="0" xr:uid="{5DE8D863-C83B-4F09-9B9D-B68E4BD57B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275" authorId="1" shapeId="0" xr:uid="{76E40971-6698-4746-BFE8-EFA35EF95B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306" authorId="1" shapeId="0" xr:uid="{08919E40-C1B5-46B5-BA2B-55B6BD0336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07" authorId="1" shapeId="0" xr:uid="{454CAD63-86D9-41AF-9697-F2C9147FBA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308" authorId="1" shapeId="0" xr:uid="{473073BC-E36A-4E1B-B454-288CC19403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09" authorId="1" shapeId="0" xr:uid="{6F75257D-91E8-459D-A8B9-FF56A4126B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saldo tertahan 100jt
uang sobek pak nain 50rb</t>
        </r>
      </text>
    </comment>
    <comment ref="C310" authorId="1" shapeId="0" xr:uid="{3726CD00-7EE0-4EB7-A8F7-B9C194EDC3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D310" authorId="1" shapeId="0" xr:uid="{D1791557-08B8-41AB-BBAB-01D0DC1322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dp terop 10jt
pelunasan make up 4jt
beli freezer box 3,4jt
pinjam 2,5jt
beli bahan makanan 8.688.000</t>
        </r>
      </text>
    </comment>
    <comment ref="C314" authorId="1" shapeId="0" xr:uid="{DB49A988-E0C0-4B00-955B-06502119FE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314" authorId="1" shapeId="0" xr:uid="{F8B67111-4406-42C3-8EF9-A073A03738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315" authorId="1" shapeId="0" xr:uid="{22B583D9-8186-4D04-8E2A-2A02BEE038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322" authorId="1" shapeId="0" xr:uid="{2F12CC4A-9ABC-462D-B486-A45996062F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15000x8150
4000x8375</t>
        </r>
      </text>
    </comment>
    <comment ref="D323" authorId="1" shapeId="0" xr:uid="{9DC229A7-A6FF-48FD-BD5A-60656021AE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354" authorId="1" shapeId="0" xr:uid="{B40C7265-514E-4EBD-AE48-41FE51460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55" authorId="1" shapeId="0" xr:uid="{4D55C351-E3BD-418A-A490-98D1BDBDBE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356" authorId="1" shapeId="0" xr:uid="{8336512D-18CD-4653-8F01-635572535F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C357" authorId="1" shapeId="0" xr:uid="{165131DF-B064-4D73-BAC6-863A475FBC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D357" authorId="1" shapeId="0" xr:uid="{6774796B-1C08-42E6-9B0C-FBCEE0732091}">
      <text>
        <r>
          <rPr>
            <sz val="9"/>
            <color indexed="81"/>
            <rFont val="Tahoma"/>
            <family val="2"/>
          </rPr>
          <t>dp terop 10jt
pelunasan make up 4jt
beli freezer box 3,4jt
pinjam 2,5jt
beli bahan makanan 8.688.000
beli ac kantor 5,8jt
pinjam 3jt</t>
        </r>
      </text>
    </comment>
    <comment ref="C361" authorId="1" shapeId="0" xr:uid="{6E421BB1-62AF-41C8-832E-5572A8947D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361" authorId="1" shapeId="0" xr:uid="{22AFCC66-FBC5-4F84-8AEA-6E8988F648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362" authorId="1" shapeId="0" xr:uid="{E5FC829A-0FC2-46BC-B931-4CBF51F0CD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369" authorId="1" shapeId="0" xr:uid="{DF6CCDF7-D1D5-4FFB-9FB5-0131257FAE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14000x8375
3500x8725</t>
        </r>
      </text>
    </comment>
    <comment ref="D370" authorId="1" shapeId="0" xr:uid="{8055D480-7792-4410-B084-CA4443CE09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401" authorId="1" shapeId="0" xr:uid="{C4A26F15-3EEC-4FAE-AF3B-A2812CD7D5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02" authorId="1" shapeId="0" xr:uid="{6AF54A7A-FC39-4BBD-A62A-CC32C030A0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403" authorId="1" shapeId="0" xr:uid="{E09F7E77-192F-4567-9320-0A9305AD29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C404" authorId="1" shapeId="0" xr:uid="{7AB472D2-0F0C-45D6-AB92-AA42534411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D404" authorId="1" shapeId="0" xr:uid="{CFFE8247-D250-462D-A078-87978B0E5FCF}">
      <text>
        <r>
          <rPr>
            <sz val="9"/>
            <color indexed="81"/>
            <rFont val="Tahoma"/>
            <family val="2"/>
          </rPr>
          <t>dp terop 10jt 10/2
pelunasan make up 4jt 8/4
beli freezer box 3,4jt 8/4
pinjam 2,5jt 9/4
beli bahan makanan 8.688.000 9/4
beli ac kantor 5,8jt 9/4
pinjam 3jt 9/4
bayar karangan bunga 3,9jt 11/4
pinjam 5jt 11/4</t>
        </r>
      </text>
    </comment>
    <comment ref="C408" authorId="1" shapeId="0" xr:uid="{FFE7D1FA-FD80-4702-ADFF-0A1241EF5F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408" authorId="1" shapeId="0" xr:uid="{91ED3AAE-59DA-4202-A4A3-77148313FC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409" authorId="1" shapeId="0" xr:uid="{C614ECD5-6B45-4E62-A751-050FAF6CBA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416" authorId="1" shapeId="0" xr:uid="{6FCF31EA-CE9B-451B-AC5C-EE17EB041417}">
      <text>
        <r>
          <rPr>
            <sz val="9"/>
            <color indexed="81"/>
            <rFont val="Tahoma"/>
            <family val="2"/>
          </rPr>
          <t>bw tgl 10/4
14000x8375
3500x8525
tomat tgl 11/4
9000x8725</t>
        </r>
      </text>
    </comment>
    <comment ref="D417" authorId="1" shapeId="0" xr:uid="{4C8C46D0-FEC8-4832-9B03-25657B31D4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448" authorId="1" shapeId="0" xr:uid="{38B1C9F7-3A56-431E-AC62-5849E4CB61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49" authorId="1" shapeId="0" xr:uid="{20693872-1282-43FE-9A12-2B6F07A280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450" authorId="1" shapeId="0" xr:uid="{F13CC4DA-CCED-448D-99DC-2859CC00C3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C451" authorId="1" shapeId="0" xr:uid="{1D2415EB-73BA-4E78-8017-C529C0E3F3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D451" authorId="1" shapeId="0" xr:uid="{4FFA06DB-6639-4999-AB44-48F2070EB0B7}">
      <text>
        <r>
          <rPr>
            <sz val="9"/>
            <color indexed="81"/>
            <rFont val="Tahoma"/>
            <family val="2"/>
          </rPr>
          <t>dp terop 10jt 10/2
pelunasan make up 4jt 8/4
beli freezer box 3,4jt 8/4
pinjam 2,5jt 9/4
beli bahan makanan 8.688.000 9/4
beli ac kantor 5,8jt 9/4
pinjam 3jt 9/4
bayar karangan bunga 3,9jt 11/4
pinjam 5jt 11/4</t>
        </r>
      </text>
    </comment>
    <comment ref="C455" authorId="1" shapeId="0" xr:uid="{E23B2C72-A521-49D3-AB74-D7D9F4B224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455" authorId="1" shapeId="0" xr:uid="{E35BDA16-C86F-471D-A6D3-5B78D25D7A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456" authorId="1" shapeId="0" xr:uid="{B7C473D1-A4EF-4937-B348-9DCA3D1E87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463" authorId="1" shapeId="0" xr:uid="{E282C47E-928A-49D0-96D9-4A10A5F5E1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494" authorId="1" shapeId="0" xr:uid="{86C07084-4517-4713-B77B-873EA7ADA4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95" authorId="1" shapeId="0" xr:uid="{AE796D30-8EEC-4482-B92B-33DF7E8397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 bayu yg tf, besok minta ganti bapak.</t>
        </r>
      </text>
    </comment>
    <comment ref="D496" authorId="1" shapeId="0" xr:uid="{6A0C68AF-6E4B-4FE7-8766-3429A34F01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C498" authorId="1" shapeId="0" xr:uid="{DA4D04C8-1801-483B-BE5A-440D31D976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masuk hutang bapak.</t>
        </r>
      </text>
    </comment>
    <comment ref="D498" authorId="1" shapeId="0" xr:uid="{0A17DBF2-E866-42C8-989E-48BFD1A04BFE}">
      <text>
        <r>
          <rPr>
            <sz val="9"/>
            <color indexed="81"/>
            <rFont val="Tahoma"/>
            <family val="2"/>
          </rPr>
          <t>dp terop 10jt 10/2
pelunasan make up 4jt 8/4
beli freezer box 3,4jt 8/4
pinjam 2,5jt 9/4
beli bahan makanan 8.688.000 9/4
beli ac kantor 5,8jt 9/4
pinjam 3jt 9/4
bayar karangan bunga 3,9jt 11/4
pinjam 5jt 11/4</t>
        </r>
      </text>
    </comment>
    <comment ref="C502" authorId="1" shapeId="0" xr:uid="{D5B857C8-6FC4-4F6E-84CD-9986CD7D01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502" authorId="1" shapeId="0" xr:uid="{5F568436-396B-4036-B999-393994AAE0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503" authorId="1" shapeId="0" xr:uid="{9578D0D3-9A60-44E4-BA29-E8EBF48E70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512" authorId="1" shapeId="0" xr:uid="{465BD820-14D1-4D26-8B02-C25F5BAA96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543" authorId="1" shapeId="0" xr:uid="{56C26A4D-CE7B-4EA1-808C-91C1DA3EC2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544" authorId="1" shapeId="0" xr:uid="{899AA8DB-8AF1-49B0-A004-3C9B5C7940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D546" authorId="1" shapeId="0" xr:uid="{42C6EB46-4E72-47CF-AE89-D5B4D1FC94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pak nain 50rb</t>
        </r>
      </text>
    </comment>
    <comment ref="C550" authorId="1" shapeId="0" xr:uid="{93B2F3A5-91E7-4687-ADBC-C0734B7440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550" authorId="1" shapeId="0" xr:uid="{253D0B0C-C0B2-4D05-B891-A81F534A39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551" authorId="1" shapeId="0" xr:uid="{6D443D91-8B57-4ACF-82A1-196193DC71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560" authorId="1" shapeId="0" xr:uid="{406340DE-B03A-4B54-99F0-A04BC2A603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591" authorId="1" shapeId="0" xr:uid="{48F469F1-1F4B-4F48-BC17-BC69FFCDAD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592" authorId="1" shapeId="0" xr:uid="{13A81800-4B68-481F-8CBF-066313165C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D593" authorId="1" shapeId="0" xr:uid="{9BD6B14F-1A94-4E7C-B2D5-5EFF59EF1A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pak nain 50rb</t>
        </r>
      </text>
    </comment>
    <comment ref="C597" authorId="1" shapeId="0" xr:uid="{933D1EE1-76E9-4E59-B56D-FCC5045C87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597" authorId="1" shapeId="0" xr:uid="{4D765042-FD5F-4333-90AD-3DF4DB4279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598" authorId="1" shapeId="0" xr:uid="{CA688E82-BBF5-4AFA-B0A7-4AFC04DFB7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606" authorId="1" shapeId="0" xr:uid="{2C1842DC-C5A1-4D4A-9BBA-C24AFD43F525}">
      <text>
        <r>
          <rPr>
            <sz val="9"/>
            <color indexed="81"/>
            <rFont val="Tahoma"/>
            <family val="2"/>
          </rPr>
          <t>bw tgl 15/4
9000x8525
bw tgl 16/4
9000x8525
9000x8725</t>
        </r>
      </text>
    </comment>
    <comment ref="D607" authorId="1" shapeId="0" xr:uid="{C4FCAB52-1ADC-4366-B2E5-9B479BA2EC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4/4
9000x8450</t>
        </r>
      </text>
    </comment>
    <comment ref="D638" authorId="1" shapeId="0" xr:uid="{13582B30-E6EF-48D8-B58E-1E825BAF71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39" authorId="1" shapeId="0" xr:uid="{F99B2DA8-0AAC-47E7-B1AE-C1E4C89C78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D641" authorId="1" shapeId="0" xr:uid="{527C2E71-B446-4C61-8E1F-B114410D3C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pak nain 50rb
pak nain 72.500.000</t>
        </r>
      </text>
    </comment>
    <comment ref="C645" authorId="1" shapeId="0" xr:uid="{21AD70F7-36DB-435B-9FE3-8626E21A48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645" authorId="1" shapeId="0" xr:uid="{60905E8C-60CB-4F78-B13E-2DF13C87C6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D652" authorId="1" shapeId="0" xr:uid="{FE1E2384-43D9-4DC1-979D-2C1DF61CDCDE}">
      <text>
        <r>
          <rPr>
            <sz val="9"/>
            <color indexed="81"/>
            <rFont val="Tahoma"/>
            <family val="2"/>
          </rPr>
          <t>bw tgl 17/4
2500x8725</t>
        </r>
      </text>
    </comment>
    <comment ref="D653" authorId="1" shapeId="0" xr:uid="{1FB11881-6B1E-4003-AE32-C8205227D3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17/4
18000x8450</t>
        </r>
      </text>
    </comment>
    <comment ref="D684" authorId="1" shapeId="0" xr:uid="{A253FA7F-B6BA-4260-ABA6-A43B349E9A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85" authorId="1" shapeId="0" xr:uid="{54917315-84E8-46CD-AEC3-D6538A050E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D688" authorId="1" shapeId="0" xr:uid="{391CCB30-E740-4DB9-991C-EF1AFA034E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pak nain 50rb
pak nain 72.500.000</t>
        </r>
      </text>
    </comment>
    <comment ref="C692" authorId="1" shapeId="0" xr:uid="{CE8B0AB5-C796-418A-8778-62D93ED2DA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692" authorId="1" shapeId="0" xr:uid="{07EEDB48-5029-4311-BC99-A591E8BDDF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D699" authorId="1" shapeId="0" xr:uid="{97BB537A-C98C-4DCC-A358-705548D15B44}">
      <text>
        <r>
          <rPr>
            <sz val="9"/>
            <color indexed="81"/>
            <rFont val="Tahoma"/>
            <family val="2"/>
          </rPr>
          <t>bw tgl 17/4
2500x8725
bw tgl 18/4
9000x8725</t>
        </r>
      </text>
    </comment>
    <comment ref="D700" authorId="1" shapeId="0" xr:uid="{64CAC3D7-FB72-4CAB-833A-D45F36A57A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17/4
18000x8450</t>
        </r>
      </text>
    </comment>
    <comment ref="D731" authorId="1" shapeId="0" xr:uid="{4EB8285B-985B-48BF-B7BD-0542F737E2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32" authorId="1" shapeId="0" xr:uid="{608B6281-B5EE-4560-B771-96B106A50D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
uang cash pak nain 50rb</t>
        </r>
      </text>
    </comment>
    <comment ref="D736" authorId="1" shapeId="0" xr:uid="{D76F3496-3A90-46C0-A5BE-ADDF67720C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pak nain 50rb
pak nain 72.500.000</t>
        </r>
      </text>
    </comment>
    <comment ref="C740" authorId="1" shapeId="0" xr:uid="{4AF2268E-B0AF-472D-BDFC-302B4195E8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740" authorId="1" shapeId="0" xr:uid="{1F994419-44FC-449F-9444-CD651C7033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D747" authorId="1" shapeId="0" xr:uid="{DBBCC112-A7A9-4009-AF67-0B539912E3F3}">
      <text>
        <r>
          <rPr>
            <sz val="9"/>
            <color indexed="81"/>
            <rFont val="Tahoma"/>
            <family val="2"/>
          </rPr>
          <t>bw tgl 17/4
2500x8725
bw tgl 18/4
9000x8725</t>
        </r>
      </text>
    </comment>
    <comment ref="D748" authorId="1" shapeId="0" xr:uid="{E5F937B6-7496-4C0D-9B5D-351F5884C0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17/4
18000x8450
sip tgl 19/4
9000x8450</t>
        </r>
      </text>
    </comment>
    <comment ref="D779" authorId="1" shapeId="0" xr:uid="{D28F66E5-BAA1-44E8-95CD-1A016D236C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80" authorId="1" shapeId="0" xr:uid="{C8E9B7BF-5FC8-4E72-8B8E-BBF1B6E344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D783" authorId="1" shapeId="0" xr:uid="{A442E3B0-2210-420E-911B-57D099BD65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pak nain 50rb</t>
        </r>
      </text>
    </comment>
    <comment ref="C787" authorId="1" shapeId="0" xr:uid="{6DD79D7F-E5CF-4CD3-B759-FC967BADD7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787" authorId="1" shapeId="0" xr:uid="{F57AE0A6-0839-4891-9F65-763B30E1F5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788" authorId="1" shapeId="0" xr:uid="{2994D7A2-D4B1-4D78-A1FA-27A5C3CC26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795" authorId="1" shapeId="0" xr:uid="{B4BFE304-824E-4BB9-BCF4-7C70AD1E1B61}">
      <text>
        <r>
          <rPr>
            <sz val="9"/>
            <color indexed="81"/>
            <rFont val="Tahoma"/>
            <family val="2"/>
          </rPr>
          <t>bw tgl 21/4
22000x8725</t>
        </r>
      </text>
    </comment>
    <comment ref="D796" authorId="1" shapeId="0" xr:uid="{639CCE88-60D5-4ECE-91C0-7E7E9ACEDA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19/4
9000x8450</t>
        </r>
      </text>
    </comment>
    <comment ref="G815" authorId="1" shapeId="0" xr:uid="{64FD2821-C596-4DF5-B90B-67290F7EB9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cv 5jt
bapak 5jt</t>
        </r>
      </text>
    </comment>
    <comment ref="D827" authorId="1" shapeId="0" xr:uid="{72ED4DEA-BAE5-4A4E-87D0-7B3DC50877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28" authorId="1" shapeId="0" xr:uid="{AB23BF3C-54F2-45EA-BD99-595C5896683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D829" authorId="1" shapeId="0" xr:uid="{1F076B1C-2250-487D-9F7F-BEB4F57228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pak nain 50rb</t>
        </r>
      </text>
    </comment>
    <comment ref="C833" authorId="1" shapeId="0" xr:uid="{A018A2DE-7139-4BCF-A8A6-9284D1D5DD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833" authorId="1" shapeId="0" xr:uid="{90B019B6-DAFF-4E54-A1C1-7D77C07F1B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834" authorId="1" shapeId="0" xr:uid="{C6E6C90A-31CF-41F2-A0F3-D42FFB8D39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835" authorId="1" shapeId="0" xr:uid="{6FFB8AE4-1FB9-4D32-8606-4BB896F999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842" authorId="1" shapeId="0" xr:uid="{793CBA22-E780-4EBE-9D64-FDC51A5AA96A}">
      <text>
        <r>
          <rPr>
            <sz val="9"/>
            <color indexed="81"/>
            <rFont val="Tahoma"/>
            <family val="2"/>
          </rPr>
          <t>bw tgl 22/4
28000x8725</t>
        </r>
      </text>
    </comment>
    <comment ref="D843" authorId="1" shapeId="0" xr:uid="{93ECE75E-CAF2-4F7C-B694-12BB366A28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22/4
9000x8450</t>
        </r>
      </text>
    </comment>
    <comment ref="D874" authorId="1" shapeId="0" xr:uid="{3866595F-1800-4400-80D6-275BDB627F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75" authorId="1" shapeId="0" xr:uid="{626EECBD-C0B9-4B9C-B0B5-DACA917846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D876" authorId="1" shapeId="0" xr:uid="{4E029786-62FA-4A22-9C0C-9485394F44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pak nain 50rb</t>
        </r>
      </text>
    </comment>
    <comment ref="C880" authorId="1" shapeId="0" xr:uid="{79D4A26B-27F5-4796-8096-02BCA9B5E5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880" authorId="1" shapeId="0" xr:uid="{3A6A9673-6CA2-46B5-94C9-D0ED2DB694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881" authorId="1" shapeId="0" xr:uid="{10CABB40-FCE0-43A3-976A-C2DE0BC79D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882" authorId="1" shapeId="0" xr:uid="{04BF52B7-B66F-4473-A113-E647AC071B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889" authorId="1" shapeId="0" xr:uid="{01016B42-07AF-4BFC-9497-A3C7E624FEB7}">
      <text>
        <r>
          <rPr>
            <sz val="9"/>
            <color indexed="81"/>
            <rFont val="Tahoma"/>
            <family val="2"/>
          </rPr>
          <t>bw tgl 22/4
28000x8725</t>
        </r>
      </text>
    </comment>
    <comment ref="D890" authorId="1" shapeId="0" xr:uid="{885FCD22-F44B-4945-932D-A13A7814AF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22/4
9000x8450</t>
        </r>
      </text>
    </comment>
    <comment ref="D921" authorId="1" shapeId="0" xr:uid="{108795CA-C6C9-4A13-9102-27CF12087C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22" authorId="1" shapeId="0" xr:uid="{76686DEC-5D59-45A7-9E67-56D8D01EFA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C927" authorId="1" shapeId="0" xr:uid="{EAA8093F-48E2-4DB7-A2F8-F1880B0243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927" authorId="1" shapeId="0" xr:uid="{1DDC32B5-FA2F-4129-A265-0556439D39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928" authorId="1" shapeId="0" xr:uid="{F578EF6B-2F49-49C1-A01B-E0119B5D15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929" authorId="1" shapeId="0" xr:uid="{657F6B52-71D4-4896-8553-2D8B7DB37C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936" authorId="1" shapeId="0" xr:uid="{F876791D-8108-43E4-BC5D-22A2087AC3EE}">
      <text>
        <r>
          <rPr>
            <sz val="9"/>
            <color indexed="81"/>
            <rFont val="Tahoma"/>
            <family val="2"/>
          </rPr>
          <t>bw tgl 24/4
11500x8725</t>
        </r>
      </text>
    </comment>
    <comment ref="D937" authorId="1" shapeId="0" xr:uid="{7AC8F4D9-D9E8-457A-A2BE-081E53AEF5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24/4
9000x8450</t>
        </r>
      </text>
    </comment>
    <comment ref="D968" authorId="1" shapeId="0" xr:uid="{046AF510-7A90-4E0C-ADF0-1AFB2DA9FE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69" authorId="1" shapeId="0" xr:uid="{1BEBE411-A07F-44BC-A626-7F1C1F539C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C975" authorId="1" shapeId="0" xr:uid="{79B3BB8D-6B79-405D-8F38-39EF7B94AE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975" authorId="1" shapeId="0" xr:uid="{17110A79-C987-45D9-AE6D-42B09FC13F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976" authorId="1" shapeId="0" xr:uid="{CEF79234-26D9-4F7C-8ECE-0A10AE131D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977" authorId="1" shapeId="0" xr:uid="{B7F1941D-8339-49A4-BB86-6AA1A8B6B4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983" authorId="1" shapeId="0" xr:uid="{C3080CBB-C0BC-4806-9BB9-742317F098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24/4
9000x8450
sip tgl 25/4
9000x8450</t>
        </r>
      </text>
    </comment>
    <comment ref="D1014" authorId="1" shapeId="0" xr:uid="{D9072DA6-6499-4418-91CC-E9B3E2E654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015" authorId="1" shapeId="0" xr:uid="{91FF7004-37A9-479D-A9C1-63135D5AF0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C1021" authorId="1" shapeId="0" xr:uid="{AF46C006-2CB1-47FA-B213-74ED2F0A7B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021" authorId="1" shapeId="0" xr:uid="{78F4AA77-4402-478A-AA9D-3A8D8BAE6DB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022" authorId="1" shapeId="0" xr:uid="{6636C05C-D024-44A8-9B8E-BAF449A993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1023" authorId="1" shapeId="0" xr:uid="{C8CDD9F1-B599-4220-B831-EF0F7C00E4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1029" authorId="1" shapeId="0" xr:uid="{C0A35515-F817-46A5-BA56-501C7DBBFA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BW tgl 26/4
9000x8725</t>
        </r>
      </text>
    </comment>
    <comment ref="D1030" authorId="1" shapeId="0" xr:uid="{AD9381F2-D9C3-40E9-8FC0-8FCAED6D31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26/4
9000x8450</t>
        </r>
      </text>
    </comment>
    <comment ref="G1051" authorId="1" shapeId="0" xr:uid="{8B211984-00C2-4066-A607-EF7FB3CA24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300x8334
110x8509</t>
        </r>
      </text>
    </comment>
    <comment ref="D1061" authorId="1" shapeId="0" xr:uid="{D2CC1CA1-23C5-4D22-B6ED-2EBAFF6692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062" authorId="1" shapeId="0" xr:uid="{1370E0F0-F494-4D44-AA05-D4B86D71DA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D1064" authorId="1" shapeId="0" xr:uid="{43AC9F91-BDF7-4514-BF64-D22EAB7742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</t>
        </r>
      </text>
    </comment>
    <comment ref="C1069" authorId="1" shapeId="0" xr:uid="{4D47CD5B-E1EA-4150-838E-43AFB35FA21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069" authorId="1" shapeId="0" xr:uid="{78826C1D-2DF5-4604-9ED4-7F0542576D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070" authorId="1" shapeId="0" xr:uid="{8D3841A4-272F-4071-A2D3-4834739715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1076" authorId="1" shapeId="0" xr:uid="{6AA93A3E-9B0F-40F6-9401-F5B9F54738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28/4
9000x8450</t>
        </r>
      </text>
    </comment>
    <comment ref="D1107" authorId="1" shapeId="0" xr:uid="{2D44DDAB-2AB0-43E7-9519-5D44DABF50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108" authorId="1" shapeId="0" xr:uid="{D3D222BE-84C1-40D0-A55B-A08E87FD2E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D1111" authorId="1" shapeId="0" xr:uid="{43123B42-E6AF-4988-A4F8-B84CB6ADA5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</t>
        </r>
      </text>
    </comment>
    <comment ref="C1115" authorId="1" shapeId="0" xr:uid="{FFE45974-5C30-43C3-A779-7769283B56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115" authorId="1" shapeId="0" xr:uid="{588233C7-A3B7-448A-A9ED-C741DD0BAB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116" authorId="1" shapeId="0" xr:uid="{80D34589-E45A-4312-9893-48319463DD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1122" authorId="1" shapeId="0" xr:uid="{72A05FFB-D995-4BDD-B418-163A666CB101}">
      <text>
        <r>
          <rPr>
            <sz val="9"/>
            <color indexed="81"/>
            <rFont val="Tahoma"/>
            <family val="2"/>
          </rPr>
          <t>BW tgl 29/4
9000x8725
10000x8850 dikurangi sisa tagihan bu tutik 6.525.000</t>
        </r>
      </text>
    </comment>
    <comment ref="G1136" authorId="1" shapeId="0" xr:uid="{45E8ED97-DF5C-4447-9BAD-4161F99D4E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laba 17.470.000 + revisi bu iin jadi 10mt laba bertambah 200rb.</t>
        </r>
      </text>
    </comment>
    <comment ref="D1153" authorId="1" shapeId="0" xr:uid="{EBFDED6B-DC76-42B5-95CB-5560E342D3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154" authorId="1" shapeId="0" xr:uid="{0A8411DE-B918-4CE3-B50F-36B923CE89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
Beli truk 160jt</t>
        </r>
      </text>
    </comment>
    <comment ref="D1157" authorId="1" shapeId="0" xr:uid="{A50CEDF3-C85C-439F-A717-C8FAA6D562E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1158" authorId="1" shapeId="0" xr:uid="{8608C18E-78FC-479D-B7CC-F0527BCDE0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
titip 500rb</t>
        </r>
      </text>
    </comment>
    <comment ref="C1162" authorId="1" shapeId="0" xr:uid="{F2792D18-28FD-44D3-BF19-498F37AED4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162" authorId="1" shapeId="0" xr:uid="{EB08A4A0-2BB6-4E25-8009-1EA94FE2144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163" authorId="1" shapeId="0" xr:uid="{9449B7E0-EF11-426A-896F-AE9E780FD7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1169" authorId="1" shapeId="0" xr:uid="{894E8C44-9663-4844-81BF-308B63F1785E}">
      <text>
        <r>
          <rPr>
            <sz val="9"/>
            <color indexed="81"/>
            <rFont val="Tahoma"/>
            <family val="2"/>
          </rPr>
          <t>BW tgl 30/4
18000x8850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6" authorId="0" shapeId="0" xr:uid="{5792AF22-B771-4CBD-9CF2-DB35218C99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9" authorId="0" shapeId="0" xr:uid="{5F71C81A-4745-4629-9C85-3C2D44EA89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30" authorId="0" shapeId="0" xr:uid="{DDCB9F46-E4F8-4626-AEA2-6893D4627A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
titip 500rb</t>
        </r>
      </text>
    </comment>
    <comment ref="C34" authorId="0" shapeId="0" xr:uid="{81DBC44A-949E-4AE0-908A-9B26EDDFF6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34" authorId="0" shapeId="0" xr:uid="{5FCE483D-33B9-4F5C-A674-3FD4726742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35" authorId="0" shapeId="0" xr:uid="{B75AE366-FE94-4239-8FB7-C6D3FA822D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41" authorId="0" shapeId="0" xr:uid="{4D8F08E8-3A12-40E2-9D20-CA654EEF122F}">
      <text>
        <r>
          <rPr>
            <sz val="9"/>
            <color indexed="81"/>
            <rFont val="Tahoma"/>
            <family val="2"/>
          </rPr>
          <t>BW tgl 2/5
3000x8850
dikurangi tagihan bu tutik + ragi = 14.250.000</t>
        </r>
      </text>
    </comment>
    <comment ref="D72" authorId="0" shapeId="0" xr:uid="{08ECE5F7-5981-4C1D-ADE3-4E17D70D1D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5" authorId="0" shapeId="0" xr:uid="{79E7110D-6502-43D1-8D72-E999408E7D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76" authorId="0" shapeId="0" xr:uid="{D25F3FE9-5586-45EB-A110-7C2CFBD058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
titip 500rb</t>
        </r>
      </text>
    </comment>
    <comment ref="C80" authorId="0" shapeId="0" xr:uid="{679D2275-F8C8-4A69-808E-BC6E27CDFA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80" authorId="0" shapeId="0" xr:uid="{AFE0F1E4-93B1-4EA8-B8A2-0267C3D6A5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81" authorId="0" shapeId="0" xr:uid="{5DC87673-9FFC-4204-9EE8-E88330DB95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117" authorId="0" shapeId="0" xr:uid="{DD425467-861E-430E-B528-003301C30B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19" authorId="0" shapeId="0" xr:uid="{E5849AEB-B2A7-40EA-A783-E2A9F4A75F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122" authorId="0" shapeId="0" xr:uid="{D44D0601-97A4-4C83-858A-F7855B4EE0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
titip 500rb</t>
        </r>
      </text>
    </comment>
    <comment ref="C126" authorId="0" shapeId="0" xr:uid="{22C1222E-9F60-46D4-93FE-EF061AA417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26" authorId="0" shapeId="0" xr:uid="{D870EC1B-F665-498A-8C6B-BBA11A35E2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27" authorId="0" shapeId="0" xr:uid="{89D29F9B-F672-4F39-981E-4CFAA8D068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133" authorId="0" shapeId="0" xr:uid="{B258BEBC-A07F-4FAF-95E2-746C3A66CB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BW tgl 5/5
19000x8850 dikurangi tagihan bu tutik 70.800.000</t>
        </r>
      </text>
    </comment>
    <comment ref="F153" authorId="0" shapeId="0" xr:uid="{294DCCB7-929D-4407-8F62-285DAC9CDB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biaya operasional bapak</t>
        </r>
      </text>
    </comment>
    <comment ref="D164" authorId="0" shapeId="0" xr:uid="{F8717B31-C6B3-419A-9E8E-7D7E96C750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66" authorId="0" shapeId="0" xr:uid="{85393E24-4B31-4786-8137-14276BC852B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167" authorId="0" shapeId="0" xr:uid="{4726F2FA-958B-4153-B6FC-425E918D67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sudah diganti 130jt dari penjualan truk W 8707 DQ</t>
        </r>
      </text>
    </comment>
    <comment ref="D170" authorId="0" shapeId="0" xr:uid="{CE17B91D-3508-43AE-8682-F081007B91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
titip 500rb</t>
        </r>
      </text>
    </comment>
    <comment ref="C174" authorId="0" shapeId="0" xr:uid="{5260E9C6-9A5A-4BC9-AB2D-4632050372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174" authorId="0" shapeId="0" xr:uid="{1693B6F1-60CC-49E8-A1A1-966B5A011C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175" authorId="0" shapeId="0" xr:uid="{1EE272BB-E3D9-4842-AA9F-4DE75142C8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176" authorId="0" shapeId="0" xr:uid="{4F07C533-C3EC-4A45-96CC-C54077DE77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182" authorId="0" shapeId="0" xr:uid="{895F2F16-2DA4-4DD0-8CB4-3020F7E684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BW tgl 5/5
19000x8850 dikurangi tagihan bu tutik 70.800.000
BW tgl 6/5 (old)
9000x8525</t>
        </r>
      </text>
    </comment>
    <comment ref="D213" authorId="0" shapeId="0" xr:uid="{6F5DDA45-4A64-4E5B-9828-262E14B561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15" authorId="0" shapeId="0" xr:uid="{5BC25F92-4C3E-4AA1-8002-18A0FDBFBA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218" authorId="0" shapeId="0" xr:uid="{B1E259C6-F198-4CE7-B517-B6A1EC32CCA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
titip 500rb</t>
        </r>
      </text>
    </comment>
    <comment ref="C222" authorId="0" shapeId="0" xr:uid="{BC60E2B1-47F2-44D4-AAE8-D0CC275814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222" authorId="0" shapeId="0" xr:uid="{CF75226E-EC3E-4A1B-96FE-370747362E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223" authorId="0" shapeId="0" xr:uid="{FA837FDF-3E60-4CFF-870C-D351A9EB9E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224" authorId="0" shapeId="0" xr:uid="{16C81D0E-4A42-4E31-A400-81C6667AFB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ditoko.</t>
        </r>
      </text>
    </comment>
    <comment ref="D230" authorId="0" shapeId="0" xr:uid="{EEB63EC3-9476-48A8-9085-6059EDBF03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7/5
15000x8450
3000x9100</t>
        </r>
      </text>
    </comment>
    <comment ref="D231" authorId="0" shapeId="0" xr:uid="{06781681-1308-4360-87AE-C975CF4CAEB5}">
      <text>
        <r>
          <rPr>
            <sz val="9"/>
            <color indexed="81"/>
            <rFont val="Tahoma"/>
            <family val="2"/>
          </rPr>
          <t>BW tgl 7/5
3000x8525
ditambah sisa kurang bayar cv ke bu tutik 17.900.000</t>
        </r>
      </text>
    </comment>
    <comment ref="D262" authorId="0" shapeId="0" xr:uid="{0B1F2C42-4B4F-449D-B7D1-B2071EDA55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63" authorId="0" shapeId="0" xr:uid="{9B01327E-83CA-4F75-B7FF-061BF26FA94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266" authorId="0" shapeId="0" xr:uid="{505B908E-FABC-4AF2-B742-F113AE3A91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titip 500rb
ragi 660rb
titip 500rb</t>
        </r>
      </text>
    </comment>
    <comment ref="C270" authorId="0" shapeId="0" xr:uid="{D7DCF751-B13E-4CA0-93C4-C226A5C986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270" authorId="0" shapeId="0" xr:uid="{D1CD9132-C7B0-4DD4-B73E-C271B65724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271" authorId="0" shapeId="0" xr:uid="{755872A0-57A4-45BA-9ACA-25405AF570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277" authorId="0" shapeId="0" xr:uid="{30DA2725-580D-4A56-BAC7-2F9EFF47A5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7/5
15000x8450
3000x9100</t>
        </r>
      </text>
    </comment>
    <comment ref="D308" authorId="0" shapeId="0" xr:uid="{1FF7FC8B-4953-4A9B-865E-73D0FCB3958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09" authorId="0" shapeId="0" xr:uid="{E72277EA-CA42-4C2E-8C00-015E014856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311" authorId="0" shapeId="0" xr:uid="{04F2CFFA-9820-4910-92FB-C0BE6E06D36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315" authorId="0" shapeId="0" xr:uid="{069D0FEB-2D2B-4B18-B4B0-3C102759D2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315" authorId="0" shapeId="0" xr:uid="{C436B50A-E41B-4A9E-9901-7118A04536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316" authorId="0" shapeId="0" xr:uid="{07F24D0A-7CCA-48AB-B5A9-43CCD0B759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322" authorId="0" shapeId="0" xr:uid="{3DF23711-A5C8-4AAC-B8B5-187FDD0FC4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7/5
15000x8450
3000x9100</t>
        </r>
      </text>
    </comment>
    <comment ref="D353" authorId="0" shapeId="0" xr:uid="{B9A14B53-9A51-421D-830C-DAA319E374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54" authorId="0" shapeId="0" xr:uid="{79E9C8B9-08E6-4101-A09B-EDE6043A5A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356" authorId="0" shapeId="0" xr:uid="{34DE9F31-30BD-45F3-B75F-91858FE500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360" authorId="0" shapeId="0" xr:uid="{6E35C970-14A5-4790-B72B-A85A899027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360" authorId="0" shapeId="0" xr:uid="{4F1022E3-5A64-452B-BC58-DC6D849BCF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361" authorId="0" shapeId="0" xr:uid="{8774ECDD-63B7-41C9-8871-2BABDBE4B3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367" authorId="0" shapeId="0" xr:uid="{C83EABF4-EDB1-484D-9F3A-69292E34F5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7/5
15000x8450
3000x9100</t>
        </r>
      </text>
    </comment>
    <comment ref="D398" authorId="0" shapeId="0" xr:uid="{70DAD16B-895A-4EB5-B216-C4320285D7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99" authorId="0" shapeId="0" xr:uid="{CC320086-DE8C-46FF-9637-24ABEB329F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9000x8850</t>
        </r>
      </text>
    </comment>
    <comment ref="D401" authorId="0" shapeId="0" xr:uid="{763BD3A8-82C1-4A91-995A-CD5AA5A19E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405" authorId="0" shapeId="0" xr:uid="{B35B3BD8-D957-4F39-B1AD-CE4652653C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18/3</t>
        </r>
      </text>
    </comment>
    <comment ref="D405" authorId="0" shapeId="0" xr:uid="{C5528020-B164-44A7-A0F1-50D53DE4E1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ditebus tgl 17/3 pinjam uang cv 168.700.000</t>
        </r>
      </text>
    </comment>
    <comment ref="C406" authorId="0" shapeId="0" xr:uid="{739686EB-1728-419B-AB26-475CDB7E2D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413" authorId="0" shapeId="0" xr:uid="{9E5A9544-8426-4922-8B19-8956CDAEA5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7/5
15000x8450
3000x9100</t>
        </r>
      </text>
    </comment>
    <comment ref="D444" authorId="0" shapeId="0" xr:uid="{E21069B2-03EB-42E3-8B33-4CAA3D3E9A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45" authorId="0" shapeId="0" xr:uid="{87CE6E4A-BC1D-4506-9CE1-DF0F509D6D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449" authorId="0" shapeId="0" xr:uid="{299575AF-6AAE-41EE-9184-A549629876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belum datang.</t>
        </r>
      </text>
    </comment>
    <comment ref="D449" authorId="0" shapeId="0" xr:uid="{5FF001FA-F6AA-43F9-AFEF-C7FF1257AB27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450" authorId="0" shapeId="0" xr:uid="{E336F0D1-3780-4F3C-B0EF-24B9F58BB6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F475" authorId="0" shapeId="0" xr:uid="{DB0C25CF-8F9F-40B3-B880-E9B8B86885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pelunasan pagar + tangga kolam renang.</t>
        </r>
      </text>
    </comment>
    <comment ref="D486" authorId="0" shapeId="0" xr:uid="{4EA55771-5503-4796-BAD1-D08A408899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88" authorId="0" shapeId="0" xr:uid="{119ACCE5-85E7-4073-AD73-1E005404AB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492" authorId="0" shapeId="0" xr:uid="{F3205F6F-0478-44E6-8671-3D4BDD8442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492" authorId="0" shapeId="0" xr:uid="{5753ADC2-224C-4E64-AF56-954D852C8CBB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493" authorId="0" shapeId="0" xr:uid="{E782F11E-B516-4F60-837F-448CB8BBCC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F517" authorId="0" shapeId="0" xr:uid="{B937A353-D244-40B3-9019-A5C1810B34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beli token rumah.</t>
        </r>
      </text>
    </comment>
    <comment ref="F518" authorId="0" shapeId="0" xr:uid="{52722484-47B7-4600-97EF-911AB4D69F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bapak minta cash.</t>
        </r>
      </text>
    </comment>
    <comment ref="D529" authorId="0" shapeId="0" xr:uid="{24133E92-E2C1-434B-9BD5-1DC51E7AB8B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532" authorId="0" shapeId="0" xr:uid="{63B9A8FD-3BF1-4554-A96F-82A755ADAB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536" authorId="0" shapeId="0" xr:uid="{E4368AF0-2413-456B-9939-013D5C2DBC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536" authorId="0" shapeId="0" xr:uid="{19797F07-5FDF-4396-AFBA-A46009B297A5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D572" authorId="0" shapeId="0" xr:uid="{91C90609-2803-453E-89A0-86E798DB0E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575" authorId="0" shapeId="0" xr:uid="{FA307E9C-6787-4E73-935F-9B7A1E2BE6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579" authorId="0" shapeId="0" xr:uid="{CD635B3C-FB1D-4211-B660-9FFF6A46DC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579" authorId="0" shapeId="0" xr:uid="{287C0F63-F4CF-4E35-9F66-88600203C6A1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D615" authorId="0" shapeId="0" xr:uid="{3A5FF09F-617C-4B00-9558-9E1F9226A7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17" authorId="0" shapeId="0" xr:uid="{56B71C30-1B9B-46BE-8B6D-492137F761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18" authorId="0" shapeId="0" xr:uid="{BEFA2EB6-32C2-4DCF-B4AC-B06883971B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622" authorId="0" shapeId="0" xr:uid="{4E4CFDBD-D6D2-4B1E-8AC4-A75240C383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C623" authorId="0" shapeId="0" xr:uid="{B383192B-7D9B-4884-AB36-2BE4F0BFF5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623" authorId="0" shapeId="0" xr:uid="{F152DA5A-B219-4727-A515-1FE227673F25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D629" authorId="0" shapeId="0" xr:uid="{AABF07B7-A07C-41F3-9377-9EFDA89AA1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19/5
27000x9100</t>
        </r>
      </text>
    </comment>
    <comment ref="F650" authorId="0" shapeId="0" xr:uid="{278C6D28-AB8C-4E7D-8CF2-E261D2187E3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token gudang 1.003.000
bapak minta cash 2jt</t>
        </r>
      </text>
    </comment>
    <comment ref="D661" authorId="0" shapeId="0" xr:uid="{1BD89730-4DDB-4AE5-84B2-9EE9786F7B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63" authorId="0" shapeId="0" xr:uid="{7B6C4A0E-7786-4D91-B02D-0153681E5F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64" authorId="0" shapeId="0" xr:uid="{A7F3C470-6F34-4E3B-BF04-AE1D197600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</t>
        </r>
      </text>
    </comment>
    <comment ref="C668" authorId="0" shapeId="0" xr:uid="{4C5B775B-C8B0-459E-AADA-724D72C250D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668" authorId="0" shapeId="0" xr:uid="{88411CBA-7E3C-45DE-B55B-0B4A5CCEE08A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669" authorId="0" shapeId="0" xr:uid="{F1FF8972-9F9E-4A57-84D0-4AAD72F47B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670" authorId="0" shapeId="0" xr:uid="{6BA27DD5-2241-489A-81BD-C8D000EF34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676" authorId="0" shapeId="0" xr:uid="{0A1C0B59-650F-4369-8194-C6E876B530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19/5
27000x9100</t>
        </r>
      </text>
    </comment>
    <comment ref="D708" authorId="0" shapeId="0" xr:uid="{5F6CE1E0-D881-4C39-BA40-31E67D32C0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10" authorId="0" shapeId="0" xr:uid="{1A669F51-7846-4D5E-B1A9-824C7DF91D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12" authorId="0" shapeId="0" xr:uid="{848CD86B-B1C0-4F13-8D78-AEEAB040AD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titip 300rb</t>
        </r>
      </text>
    </comment>
    <comment ref="C716" authorId="0" shapeId="0" xr:uid="{4EC3FA83-F349-412A-92E0-432A03785C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716" authorId="0" shapeId="0" xr:uid="{C430B302-75CE-42B7-AB95-ABFBCCA75538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717" authorId="0" shapeId="0" xr:uid="{C0D75BC8-CC65-4B0B-8DD3-77DFA4FDD2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718" authorId="0" shapeId="0" xr:uid="{65E619E2-AB7A-4FAA-9686-7FF14D5F0F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724" authorId="0" shapeId="0" xr:uid="{40EF4615-969D-4BEC-82A7-5ACB139170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21/5
18000x9100</t>
        </r>
      </text>
    </comment>
    <comment ref="D756" authorId="0" shapeId="0" xr:uid="{A4BA429D-43A6-4997-BB40-6B55AFD3C6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58" authorId="0" shapeId="0" xr:uid="{24F9AB6F-0432-4E3F-8DFC-126EAF9370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61" authorId="0" shapeId="0" xr:uid="{3C572353-E451-4750-BDAE-743458D778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titip 300rb</t>
        </r>
      </text>
    </comment>
    <comment ref="C765" authorId="0" shapeId="0" xr:uid="{1EC8CC37-FCCF-4AE3-99CF-468B22F113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765" authorId="0" shapeId="0" xr:uid="{45BBF163-FA9D-4725-9E25-07EE584C580E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766" authorId="0" shapeId="0" xr:uid="{421DC898-DC37-4136-B1B0-5BB017AF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767" authorId="0" shapeId="0" xr:uid="{7659FFCB-3FBE-4DFF-B9F9-CBF035B58FD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773" authorId="0" shapeId="0" xr:uid="{D19DFB81-A421-4788-8D9B-43AD182D115B}">
      <text>
        <r>
          <rPr>
            <sz val="9"/>
            <color indexed="81"/>
            <rFont val="Tahoma"/>
            <family val="2"/>
          </rPr>
          <t>sip tgl 21/5
18000x9100
sip tgl 22/5
2000x9100
8000x9200</t>
        </r>
      </text>
    </comment>
    <comment ref="D805" authorId="0" shapeId="0" xr:uid="{63D389C7-EAE6-41AA-BAE1-FAF963B6BE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07" authorId="0" shapeId="0" xr:uid="{7FE71EAF-C206-4498-B557-A0D60BC5BB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09" authorId="0" shapeId="0" xr:uid="{4D0B94C7-13B1-427C-B515-DEA05B6997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titip 300rb</t>
        </r>
      </text>
    </comment>
    <comment ref="C813" authorId="0" shapeId="0" xr:uid="{B3131331-CA8F-41C9-8452-5CCB4ABE9DD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813" authorId="0" shapeId="0" xr:uid="{E0F06F5D-DE73-4D7F-8844-C6D85A9789FE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814" authorId="0" shapeId="0" xr:uid="{A4130773-FB80-4EF7-B9DC-AF3192140A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815" authorId="0" shapeId="0" xr:uid="{7B8C9801-7C7B-4833-A0E3-57E188C8BB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821" authorId="0" shapeId="0" xr:uid="{AB97D173-7306-4E7B-B95E-A6A6CDC86AB5}">
      <text>
        <r>
          <rPr>
            <sz val="9"/>
            <color indexed="81"/>
            <rFont val="Tahoma"/>
            <family val="2"/>
          </rPr>
          <t>sip tgl 21/5
18000x9100
sip tgl 22/5
2000x9100
8000x9200
sip tgl 23/5
10000x9200</t>
        </r>
      </text>
    </comment>
    <comment ref="D853" authorId="0" shapeId="0" xr:uid="{6C48DDD2-CC8C-4C84-8D9D-5DEEACABA8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55" authorId="0" shapeId="0" xr:uid="{5DFDEA03-F259-4AB4-9AE0-B9A3F9B5391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57" authorId="0" shapeId="0" xr:uid="{88015434-38BC-40DF-81DA-965D82A3DE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titip 300rb</t>
        </r>
      </text>
    </comment>
    <comment ref="C861" authorId="0" shapeId="0" xr:uid="{35C2B92B-6DC8-4D56-A542-0E84052976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861" authorId="0" shapeId="0" xr:uid="{354C2698-829B-41EF-9F2F-F060FF90F59F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862" authorId="0" shapeId="0" xr:uid="{44C25034-2C92-4261-A9E2-9FCD8842DB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863" authorId="0" shapeId="0" xr:uid="{4AF055EE-375A-4BA8-BE34-ACCB549337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869" authorId="0" shapeId="0" xr:uid="{3A9AEDF1-4FA8-44E1-B3E6-434EEEA33B58}">
      <text>
        <r>
          <rPr>
            <sz val="9"/>
            <color indexed="81"/>
            <rFont val="Tahoma"/>
            <family val="2"/>
          </rPr>
          <t>sip tgl 21/5
18000x9100
sip tgl 22/5
2000x9100
8000x9200
sip tgl 23/5
10000x9200</t>
        </r>
      </text>
    </comment>
    <comment ref="D901" authorId="0" shapeId="0" xr:uid="{86D67845-3B73-4946-BDEA-90D7335912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03" authorId="0" shapeId="0" xr:uid="{564B1306-C036-4377-8D95-E7AD06A75D0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05" authorId="0" shapeId="0" xr:uid="{07E01B2D-4333-449F-8369-1401B84A7F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D906" authorId="0" shapeId="0" xr:uid="{1E863E90-3D4A-4956-B7D8-F5110E6BEC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titip 300rb</t>
        </r>
      </text>
    </comment>
    <comment ref="C910" authorId="0" shapeId="0" xr:uid="{C9C859FF-F52D-49AE-A232-C6593E9ECC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910" authorId="0" shapeId="0" xr:uid="{8CC549A9-0280-44F3-8176-14830C319847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911" authorId="0" shapeId="0" xr:uid="{DF8C73BB-FE3D-4EBB-AD45-2F44DD8B13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912" authorId="0" shapeId="0" xr:uid="{FA83A875-E666-47E9-9286-707057DFBD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918" authorId="0" shapeId="0" xr:uid="{1CC5E4A2-DA02-41CC-A473-145CC4837555}">
      <text>
        <r>
          <rPr>
            <sz val="9"/>
            <color indexed="81"/>
            <rFont val="Tahoma"/>
            <family val="2"/>
          </rPr>
          <t>sip tgl 22/5
2000x9100
8000x9200
sip tgl 23/5
10000x9200
sip tgl 26/5
10000x9200</t>
        </r>
      </text>
    </comment>
    <comment ref="D949" authorId="0" shapeId="0" xr:uid="{8998416B-DCAD-4DFF-B64E-B2676A0270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51" authorId="0" shapeId="0" xr:uid="{4E44C0A2-0522-410C-883F-CE9103286F0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60.002.500
rek ragi.
K 8094 IS = 95jt
rek cv.</t>
        </r>
      </text>
    </comment>
    <comment ref="D953" authorId="0" shapeId="0" xr:uid="{C13CB8D7-CB7B-4EB5-ACDF-C29E095C5A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D954" authorId="0" shapeId="0" xr:uid="{85C704BE-E7FC-45D0-9ACF-CB98DB1CB0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ragi 660rb
titip 300rb</t>
        </r>
      </text>
    </comment>
    <comment ref="C958" authorId="0" shapeId="0" xr:uid="{997E0A6F-176C-4FC0-A596-F54B235F47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958" authorId="0" shapeId="0" xr:uid="{70D96A14-E1EF-4578-ADF9-ECB1D455CF61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959" authorId="0" shapeId="0" xr:uid="{036E99AD-B83D-47FE-9D36-F78077B03C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960" authorId="0" shapeId="0" xr:uid="{AC7FEDDA-FF29-4D3C-B3A7-8191381CFC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966" authorId="0" shapeId="0" xr:uid="{7FB9D0D2-2892-44EF-9004-9DC08BCFA0F5}">
      <text>
        <r>
          <rPr>
            <sz val="9"/>
            <color indexed="81"/>
            <rFont val="Tahoma"/>
            <family val="2"/>
          </rPr>
          <t>sip tgl 23/5
10000x9200
sip tgl 26/5
10000x9200
sip tgl 27/5
9000x9200</t>
        </r>
      </text>
    </comment>
    <comment ref="D997" authorId="0" shapeId="0" xr:uid="{E398584E-B98B-4792-98DE-8901560BCF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99" authorId="0" shapeId="0" xr:uid="{CA819043-981C-4663-9347-87A392F875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60.002.500
rek ragi.
K 8094 IS = 95jt
rek cv.</t>
        </r>
      </text>
    </comment>
    <comment ref="D1001" authorId="0" shapeId="0" xr:uid="{082260B9-CEE5-4D9B-A2C0-8616F93BBC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005" authorId="0" shapeId="0" xr:uid="{D29925A9-D180-4CB1-B26F-C3E1B9917E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1005" authorId="0" shapeId="0" xr:uid="{9A102518-4AB9-4F70-832E-C3487FE3C20E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006" authorId="0" shapeId="0" xr:uid="{5D12A2BC-D947-4AA1-87AC-620989D914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007" authorId="0" shapeId="0" xr:uid="{2680746E-7CFD-4E82-B2B0-F7621393D7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13" authorId="0" shapeId="0" xr:uid="{12B065A1-F4C8-404F-9F28-3547F0BFE3FB}">
      <text>
        <r>
          <rPr>
            <sz val="9"/>
            <color indexed="81"/>
            <rFont val="Tahoma"/>
            <family val="2"/>
          </rPr>
          <t>sip tgl 27/5
9000x9200
sip tgl 28/5
10000x9200</t>
        </r>
      </text>
    </comment>
    <comment ref="D1044" authorId="0" shapeId="0" xr:uid="{15FC2456-1D8C-4C9E-88FB-E998337AC0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046" authorId="0" shapeId="0" xr:uid="{67B40261-B211-42FD-8DFF-9C4857F2F4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60.002.500
rek ragi.
K 8094 IS = 95jt
rek cv.</t>
        </r>
      </text>
    </comment>
    <comment ref="D1048" authorId="0" shapeId="0" xr:uid="{F29F43D3-7862-47DF-A2F4-537BC0B994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052" authorId="0" shapeId="0" xr:uid="{60B56012-7183-47F2-A47F-F4C4194123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Yg 280dus sudah datang.</t>
        </r>
      </text>
    </comment>
    <comment ref="D1052" authorId="0" shapeId="0" xr:uid="{3A5A75BB-BD35-422F-810A-9286DE71FF0D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053" authorId="0" shapeId="0" xr:uid="{F4C0A825-C5ED-47E7-B66E-786BC3999E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59" authorId="0" shapeId="0" xr:uid="{26057A32-7FB4-4DAC-AC7F-F011E9A01982}">
      <text>
        <r>
          <rPr>
            <sz val="9"/>
            <color indexed="81"/>
            <rFont val="Tahoma"/>
            <family val="2"/>
          </rPr>
          <t>sip tgl 30/5
19000x9200</t>
        </r>
      </text>
    </comment>
    <comment ref="D1090" authorId="0" shapeId="0" xr:uid="{AFD1B310-CC4A-4C70-BC75-D0B915DBB5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092" authorId="0" shapeId="0" xr:uid="{87D742ED-B3AD-4F25-B9D7-E9605C46A1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60.002.500
rek ragi.
K 8094 IS = 95jt
rek cv.</t>
        </r>
      </text>
    </comment>
    <comment ref="D1094" authorId="0" shapeId="0" xr:uid="{F72A0F8E-2021-4A8D-A2EC-1F521EFC86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098" authorId="0" shapeId="0" xr:uid="{A78D28E6-0E11-4649-B6EE-7C19F8DD38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98" authorId="0" shapeId="0" xr:uid="{EB48756D-3145-469B-8220-9B3794FB0D10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D1104" authorId="0" shapeId="0" xr:uid="{1343BDFF-8959-4A30-8794-0B69F8E40C5E}">
      <text>
        <r>
          <rPr>
            <sz val="9"/>
            <color indexed="81"/>
            <rFont val="Tahoma"/>
            <family val="2"/>
          </rPr>
          <t>sip tgl 30/5
19000x9200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6" authorId="0" shapeId="0" xr:uid="{DABC8BA7-B2F1-4E0C-840D-F8FCA7470E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8" authorId="0" shapeId="0" xr:uid="{45401BF2-D376-45F5-9B42-29CF57E58D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60.002.500
rek ragi.
K 8094 IS = 95jt
rek cv.</t>
        </r>
      </text>
    </comment>
    <comment ref="D30" authorId="0" shapeId="0" xr:uid="{AACC41DE-7A7F-41BA-9B42-1F1A0D9D3C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34" authorId="0" shapeId="0" xr:uid="{F39DE315-296E-4AEA-8D74-8F9700D20A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4" authorId="0" shapeId="0" xr:uid="{E98853A1-A501-4BD3-81B9-63BB43A18A6E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35" authorId="0" shapeId="0" xr:uid="{655166D3-0692-41AE-A5EE-13F93D4BB5F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1" authorId="0" shapeId="0" xr:uid="{4D3E70E9-B8A4-41C7-B1E7-8B6EB9285FAA}">
      <text>
        <r>
          <rPr>
            <sz val="9"/>
            <color indexed="81"/>
            <rFont val="Tahoma"/>
            <family val="2"/>
          </rPr>
          <t>sip tgl 30/5
19000x9200</t>
        </r>
      </text>
    </comment>
    <comment ref="G61" authorId="0" shapeId="0" xr:uid="{50047E6C-D351-4E45-869D-1E96481E31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260x8982
500x9032
290x9232</t>
        </r>
      </text>
    </comment>
    <comment ref="D72" authorId="0" shapeId="0" xr:uid="{B5FDFA89-D043-4F31-989A-186E42C6A0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4" authorId="0" shapeId="0" xr:uid="{402CD404-7D4B-4A62-8018-547FE48A27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60.002.500
rek ragi.
K 8094 IS = 95jt
rek cv.</t>
        </r>
      </text>
    </comment>
    <comment ref="D77" authorId="0" shapeId="0" xr:uid="{8FBF51E9-C2F0-46CD-BCB0-F810CAA559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81" authorId="0" shapeId="0" xr:uid="{993E2F2E-0EC2-4102-85FA-A63A62353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1" authorId="0" shapeId="0" xr:uid="{3403211D-5E15-4181-98C3-0414A43EE523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82" authorId="0" shapeId="0" xr:uid="{5F36DD45-4463-4108-9AE6-36F137143D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83" authorId="0" shapeId="0" xr:uid="{35D82430-67BF-4146-9FA8-5EE9E5BCE3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9" authorId="0" shapeId="0" xr:uid="{35BF1C2F-5B0A-4F6F-8998-8D97F4FC1E42}">
      <text>
        <r>
          <rPr>
            <sz val="9"/>
            <color indexed="81"/>
            <rFont val="Tahoma"/>
            <family val="2"/>
          </rPr>
          <t>sip tgl 3/6
9000x9200</t>
        </r>
      </text>
    </comment>
    <comment ref="D120" authorId="0" shapeId="0" xr:uid="{5BFBF572-DE88-4A93-91E5-3FE7E2336C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22" authorId="0" shapeId="0" xr:uid="{0728B12D-0D57-49B8-B9D0-CFA46AFF53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60.002.500
rek ragi.
K 8094 IS = 95jt
rek cv.</t>
        </r>
      </text>
    </comment>
    <comment ref="D126" authorId="0" shapeId="0" xr:uid="{96ABE04B-CB08-41AA-9884-701B019902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30" authorId="0" shapeId="0" xr:uid="{9733396E-5647-41C5-B1DF-EBAD1F0BDE6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30" authorId="0" shapeId="0" xr:uid="{77F1F3AE-DE78-41F7-8900-FF786531131C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31" authorId="0" shapeId="0" xr:uid="{D3F453F0-7363-43FE-BF73-45309F8AE6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132" authorId="0" shapeId="0" xr:uid="{43F0A79D-1628-41EC-9852-2446F0CC61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138" authorId="0" shapeId="0" xr:uid="{516AF90B-44CB-4041-84C6-23E90CC3A25E}">
      <text>
        <r>
          <rPr>
            <sz val="9"/>
            <color indexed="81"/>
            <rFont val="Tahoma"/>
            <family val="2"/>
          </rPr>
          <t>sip tgl 4/6
19000x9200</t>
        </r>
      </text>
    </comment>
    <comment ref="D169" authorId="0" shapeId="0" xr:uid="{94084E0A-0693-48E4-8080-416C76AE065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71" authorId="0" shapeId="0" xr:uid="{7D831187-73EF-401D-8969-D499D4C243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60.002.500
rek ragi.
K 8094 IS = 95jt
rek cv.</t>
        </r>
      </text>
    </comment>
    <comment ref="D173" authorId="0" shapeId="0" xr:uid="{16FB6466-8422-4FB8-B315-3C97695FB0F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75" authorId="0" shapeId="0" xr:uid="{10E8505B-A9FD-41C1-9095-1DF105888A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79" authorId="0" shapeId="0" xr:uid="{311CE23A-F335-4DF1-B192-E34AE33B4E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79" authorId="0" shapeId="0" xr:uid="{41A5B56B-5674-4F01-8D74-B196B7FCB467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80" authorId="0" shapeId="0" xr:uid="{19549F99-DDE4-4ECF-BDB1-53EB641AE2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181" authorId="0" shapeId="0" xr:uid="{67F66412-76DF-43A5-B0F1-B553B4AF4A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188" authorId="0" shapeId="0" xr:uid="{BB18BAD0-945C-4C0F-9B97-EF55615005FA}">
      <text>
        <r>
          <rPr>
            <sz val="9"/>
            <color indexed="81"/>
            <rFont val="Tahoma"/>
            <family val="2"/>
          </rPr>
          <t>sip tgl 4/6
19000x9200</t>
        </r>
      </text>
    </comment>
    <comment ref="D219" authorId="0" shapeId="0" xr:uid="{4B4A3D83-737A-49B1-BD00-541DDE88FB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21" authorId="0" shapeId="0" xr:uid="{362C2825-96D4-4F60-B90B-52608EAB84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223" authorId="0" shapeId="0" xr:uid="{D5613184-1282-40A8-A091-796EEDB52D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227" authorId="0" shapeId="0" xr:uid="{3A71B8A3-84FC-4F3C-9B52-C4E54F4BF2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27" authorId="0" shapeId="0" xr:uid="{9E5C1A91-50A8-4E79-90D4-0E20EAC33490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228" authorId="0" shapeId="0" xr:uid="{AE83FCC2-0B0C-45DF-89EB-AA2241F913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229" authorId="0" shapeId="0" xr:uid="{48760012-4BF6-491F-B7BC-C7EA9E1797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236" authorId="0" shapeId="0" xr:uid="{53E6C3CA-AC3D-44BE-8CBE-7EED1C537C5A}">
      <text>
        <r>
          <rPr>
            <sz val="9"/>
            <color indexed="81"/>
            <rFont val="Tahoma"/>
            <family val="2"/>
          </rPr>
          <t>sip tgl 4/6
19000x9200</t>
        </r>
      </text>
    </comment>
    <comment ref="D267" authorId="0" shapeId="0" xr:uid="{AD18BB4E-7567-4E93-8F23-D4EFF2BF5F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269" authorId="0" shapeId="0" xr:uid="{4AFB8BFF-9B99-4AD0-999A-3A72DCFDE2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272" authorId="0" shapeId="0" xr:uid="{9ECFFE77-929A-47BA-9D8C-A8D0534313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276" authorId="0" shapeId="0" xr:uid="{BCB9CC3F-7522-47C5-A7C0-568D1BB854C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76" authorId="0" shapeId="0" xr:uid="{C54016CE-3986-45DE-93F6-3723736A22E1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277" authorId="0" shapeId="0" xr:uid="{9CC7252B-D609-475D-B682-DA3DFE02CD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278" authorId="0" shapeId="0" xr:uid="{B7A705CD-D660-47FA-93EF-9D2F78843A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284" authorId="0" shapeId="0" xr:uid="{7B975E07-6F45-4F81-A4B5-1A48FD7B4628}">
      <text>
        <r>
          <rPr>
            <sz val="9"/>
            <color indexed="81"/>
            <rFont val="Tahoma"/>
            <family val="2"/>
          </rPr>
          <t>sip tgl 4/6
19000x9200</t>
        </r>
      </text>
    </comment>
    <comment ref="D315" authorId="0" shapeId="0" xr:uid="{B09B131C-6593-4421-9A9B-B746BF80E0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17" authorId="0" shapeId="0" xr:uid="{98E790B0-D30B-49FB-9733-FC3D075C12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319" authorId="0" shapeId="0" xr:uid="{973D76F7-FF7A-4CEC-B560-987F579B0286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320" authorId="0" shapeId="0" xr:uid="{BF8C8534-482C-41B6-A121-CD24B302C6F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324" authorId="0" shapeId="0" xr:uid="{010290E6-A653-47DE-AC0B-66257BDA55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24" authorId="0" shapeId="0" xr:uid="{3047E3C8-B675-4305-883F-2F7900449EBC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325" authorId="0" shapeId="0" xr:uid="{182F5DD1-66FF-4B0F-8B08-0164F2F60C9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326" authorId="0" shapeId="0" xr:uid="{FA517F50-0EE2-43B9-A545-C209465978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33" authorId="0" shapeId="0" xr:uid="{741E30B5-DCB1-4454-B66A-5560024A8CDA}">
      <text>
        <r>
          <rPr>
            <sz val="9"/>
            <color indexed="81"/>
            <rFont val="Tahoma"/>
            <family val="2"/>
          </rPr>
          <t>sip tgl 4/6
19000x9200
sip tgl 10/6
9000x9200</t>
        </r>
      </text>
    </comment>
    <comment ref="D364" authorId="0" shapeId="0" xr:uid="{F479863F-54F8-40F0-9B59-2C88680C1E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366" authorId="0" shapeId="0" xr:uid="{B93E1D62-CE71-48F9-B747-F90A44FF91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368" authorId="0" shapeId="0" xr:uid="{3199F3A5-8BCE-42FE-B8FE-449B9A8E8D91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369" authorId="0" shapeId="0" xr:uid="{DB601F57-E82B-41A0-AC21-9656565412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373" authorId="0" shapeId="0" xr:uid="{BB0FF7E2-29B4-42AF-9BD6-115482FD48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73" authorId="0" shapeId="0" xr:uid="{B6C044AC-F3A4-4269-AAEF-3B4D4BA7112A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374" authorId="0" shapeId="0" xr:uid="{A9717A58-EFF5-41A6-A09D-40554E4965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375" authorId="0" shapeId="0" xr:uid="{8E593BDC-DC33-4590-BAAC-AFBA43C648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81" authorId="0" shapeId="0" xr:uid="{13CE7590-699E-4395-AD75-BE094AA469B4}">
      <text>
        <r>
          <rPr>
            <sz val="9"/>
            <color indexed="81"/>
            <rFont val="Tahoma"/>
            <family val="2"/>
          </rPr>
          <t>sip tgl 4/6
19000x9200
sip tgl 10/6
9000x9200</t>
        </r>
      </text>
    </comment>
    <comment ref="D412" authorId="0" shapeId="0" xr:uid="{8B9626DF-8D0B-40B4-88FB-DE0E60FF53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14" authorId="0" shapeId="0" xr:uid="{44C939CB-04E4-430C-AE77-753384FB81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416" authorId="0" shapeId="0" xr:uid="{A5893B3C-4580-485A-9251-1D1978E97B06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417" authorId="0" shapeId="0" xr:uid="{E6EB1BA7-F3AD-4B54-8A36-8E890171688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421" authorId="0" shapeId="0" xr:uid="{47767EE6-C1EB-4A50-8049-CC1824CA63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21" authorId="0" shapeId="0" xr:uid="{89920313-E49A-45A7-93AA-403B2D94584B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422" authorId="0" shapeId="0" xr:uid="{320F861F-DE39-407B-BD7D-99DE7DFBE9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423" authorId="0" shapeId="0" xr:uid="{779DC932-BF6D-4D96-855C-9457D4DCF4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29" authorId="0" shapeId="0" xr:uid="{718DE853-F6E6-4108-91C0-A3CA95611699}">
      <text>
        <r>
          <rPr>
            <sz val="9"/>
            <color indexed="81"/>
            <rFont val="Tahoma"/>
            <family val="2"/>
          </rPr>
          <t>sip tgl 10/6
9000x9200
sip tgl 12/6
10000x9200</t>
        </r>
      </text>
    </comment>
    <comment ref="D460" authorId="0" shapeId="0" xr:uid="{388F3ECC-2340-4F09-94E9-F837A9F5E9B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462" authorId="0" shapeId="0" xr:uid="{8CC57516-457C-42F4-BE82-47EEF80CD5C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464" authorId="0" shapeId="0" xr:uid="{06A0C039-3C04-4F5C-8BA6-FFE30A93B61C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465" authorId="0" shapeId="0" xr:uid="{6CB256B3-94EE-406D-A05D-AEF040ECF0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469" authorId="0" shapeId="0" xr:uid="{B63BBAA9-FFC2-4B56-9BCC-32E15CF008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69" authorId="0" shapeId="0" xr:uid="{FE74277A-5D1E-4099-9FC2-F6F76DB16824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470" authorId="0" shapeId="0" xr:uid="{D1ACFE59-7629-42D8-9FDA-750691D1C6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471" authorId="0" shapeId="0" xr:uid="{8621D6B2-FCEE-4644-9FDA-ADCAE53334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79" authorId="0" shapeId="0" xr:uid="{BAC9864F-A89F-4572-99E9-ACAF79C7F6BB}">
      <text>
        <r>
          <rPr>
            <sz val="9"/>
            <color indexed="81"/>
            <rFont val="Tahoma"/>
            <family val="2"/>
          </rPr>
          <t>sip tgl 10/6
9000x9200
sip tgl 12/6
10000x9200</t>
        </r>
      </text>
    </comment>
    <comment ref="D511" authorId="0" shapeId="0" xr:uid="{C32882BC-D2F6-4890-9D82-42E92830C4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513" authorId="0" shapeId="0" xr:uid="{0806D4BB-80A7-46A1-8B3E-474EF49B74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515" authorId="0" shapeId="0" xr:uid="{65587D62-169E-46DD-9C6F-0F359F332C88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517" authorId="0" shapeId="0" xr:uid="{2042F2AB-150E-43E9-B6A4-098773864B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521" authorId="0" shapeId="0" xr:uid="{64231944-8D07-41F0-8CAF-7F7B52D527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21" authorId="0" shapeId="0" xr:uid="{2C771414-AE4D-4229-AE55-B96340509752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522" authorId="0" shapeId="0" xr:uid="{501940A6-4C1D-41ED-A8B7-318368795A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523" authorId="0" shapeId="0" xr:uid="{36ABA900-7D2E-4DAA-A307-A69158858E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530" authorId="0" shapeId="0" xr:uid="{2B3042FB-1A4E-4337-AA2E-8623D3A163BD}">
      <text>
        <r>
          <rPr>
            <sz val="9"/>
            <color indexed="81"/>
            <rFont val="Tahoma"/>
            <family val="2"/>
          </rPr>
          <t>sip tgl 14/6
9000x9200</t>
        </r>
      </text>
    </comment>
    <comment ref="D562" authorId="0" shapeId="0" xr:uid="{DC46C222-BAFB-4518-89D9-89BA29BAD8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564" authorId="0" shapeId="0" xr:uid="{AB1AF8CA-10B8-4D3E-AA47-72BEF38BCF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566" authorId="0" shapeId="0" xr:uid="{297CD780-0168-4BF8-9DE9-DF941F1DDA4B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567" authorId="0" shapeId="0" xr:uid="{7958628D-EEE6-44AC-9A8D-FFD20F44AC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571" authorId="0" shapeId="0" xr:uid="{0FE4A747-2AEF-4717-BCC1-5E54297146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71" authorId="0" shapeId="0" xr:uid="{68A45011-4529-400D-BA53-6AE267E15137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572" authorId="0" shapeId="0" xr:uid="{70437FE0-B2B4-4C44-9328-EFE21F79A2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573" authorId="0" shapeId="0" xr:uid="{DF6D3EEF-F34B-4ADF-B643-BB96DD2092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610" authorId="0" shapeId="0" xr:uid="{D5C70821-5103-4C06-B313-1DD9EBE4F96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12" authorId="0" shapeId="0" xr:uid="{61804A2B-64DA-49B2-9C4A-19A8D5B9C9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614" authorId="0" shapeId="0" xr:uid="{CD289432-5DC1-4CC9-AEE4-6801DF5818A7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615" authorId="0" shapeId="0" xr:uid="{379B0189-8A6C-491B-8A0D-7E1E8153E0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619" authorId="0" shapeId="0" xr:uid="{234FD513-C653-4E18-B06E-FF74853FCD0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19" authorId="0" shapeId="0" xr:uid="{6426226C-52FF-489E-9C9A-2EAC424BE049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620" authorId="0" shapeId="0" xr:uid="{93C06E15-3427-41A1-B1AD-E6F850402E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627" authorId="0" shapeId="0" xr:uid="{B1340590-886C-4800-9B18-C626D78D7FEB}">
      <text>
        <r>
          <rPr>
            <sz val="9"/>
            <color indexed="81"/>
            <rFont val="Tahoma"/>
            <family val="2"/>
          </rPr>
          <t>sip tgl 17/6
9000x9200</t>
        </r>
      </text>
    </comment>
    <comment ref="D659" authorId="0" shapeId="0" xr:uid="{098A8D83-62BC-434F-AA8B-F04A9065F7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661" authorId="0" shapeId="0" xr:uid="{A338D119-E1F5-4D50-98DB-E3BD9D639B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663" authorId="0" shapeId="0" xr:uid="{E506287C-8379-4952-97D0-F118529D0449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664" authorId="0" shapeId="0" xr:uid="{79C1EEA9-F960-446C-8305-25B65C16A8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668" authorId="0" shapeId="0" xr:uid="{4548B307-C005-4E79-B6C4-8D50930923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68" authorId="0" shapeId="0" xr:uid="{F8CC66E9-0DE0-4B96-A064-66F3775B68E6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669" authorId="0" shapeId="0" xr:uid="{387F5CBE-04C3-46DC-9E41-C5E6F98583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670" authorId="0" shapeId="0" xr:uid="{AAC55180-2733-4208-84E6-70EB239CBB8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677" authorId="0" shapeId="0" xr:uid="{10172E30-534D-4738-948D-8C4C3171E737}">
      <text>
        <r>
          <rPr>
            <sz val="9"/>
            <color indexed="81"/>
            <rFont val="Tahoma"/>
            <family val="2"/>
          </rPr>
          <t>sip tgl 17/6
9000x9200</t>
        </r>
      </text>
    </comment>
    <comment ref="D709" authorId="0" shapeId="0" xr:uid="{F5E7D861-8CF0-47EA-8F0E-89A442EA59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11" authorId="0" shapeId="0" xr:uid="{E12171DC-3B88-4866-B3DB-59FE63F052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59.880.000
rek ragi.
K 8094 IS = 95jt
rek cv.</t>
        </r>
      </text>
    </comment>
    <comment ref="D713" authorId="0" shapeId="0" xr:uid="{74340E2A-5098-4E06-B996-25C93671B27F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715" authorId="0" shapeId="0" xr:uid="{F90A6494-9522-4148-8B27-0FAFE5A08B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719" authorId="0" shapeId="0" xr:uid="{009B53BB-1A77-4BDA-A60D-BABD7C77FD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19" authorId="0" shapeId="0" xr:uid="{3D6C6703-0642-4A94-AB3F-F29182247566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720" authorId="0" shapeId="0" xr:uid="{5613C2C5-7E8C-4F22-8DC5-15CD2F363F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721" authorId="0" shapeId="0" xr:uid="{208FA642-E2D2-4E19-AB51-401756F50A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728" authorId="0" shapeId="0" xr:uid="{4E227569-A3C6-49D2-B601-91D1056C0237}">
      <text>
        <r>
          <rPr>
            <sz val="9"/>
            <color indexed="81"/>
            <rFont val="Tahoma"/>
            <family val="2"/>
          </rPr>
          <t>sip tgl 17/6
9000x9200</t>
        </r>
      </text>
    </comment>
    <comment ref="D760" authorId="0" shapeId="0" xr:uid="{CF2D695B-BFF4-4DAA-988C-76035765D8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762" authorId="0" shapeId="0" xr:uid="{61B89278-D146-4E5B-B2D7-6A9005AFE5C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764" authorId="0" shapeId="0" xr:uid="{C8D3634D-F977-4DC0-8308-CB0392DC66A3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767" authorId="0" shapeId="0" xr:uid="{C7BBB09D-1ACD-420D-94F3-9B2D9F9F09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771" authorId="0" shapeId="0" xr:uid="{CE3FCA52-BA08-4ED2-A200-603678E0A4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71" authorId="0" shapeId="0" xr:uid="{1D5799E4-3A72-418C-8DCC-97AC5587ED29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772" authorId="0" shapeId="0" xr:uid="{C646EABF-ECF6-450D-B266-2C69F7E286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773" authorId="0" shapeId="0" xr:uid="{914B0BA8-370F-4B17-AA06-31620DEBAF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10" authorId="0" shapeId="0" xr:uid="{842E7ACD-B79A-402A-9C43-E3A49B49DA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12" authorId="0" shapeId="0" xr:uid="{36A2D388-221A-496B-A63D-C11BB5B368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814" authorId="0" shapeId="0" xr:uid="{8FC583B6-9EDB-455E-BF5B-2E313276E644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816" authorId="0" shapeId="0" xr:uid="{CB38502F-59E6-46A6-8978-68E73C4EEF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817" authorId="0" shapeId="0" xr:uid="{A67E9456-042F-4927-91E3-A44657A94E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821" authorId="0" shapeId="0" xr:uid="{E7BBDA7E-B288-4C74-BCBA-CB0F71AD20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21" authorId="0" shapeId="0" xr:uid="{E1DB5692-4525-4E34-932C-C4C6E371A074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822" authorId="0" shapeId="0" xr:uid="{B2212A7C-A358-4BB4-BAF6-6051B9D02D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823" authorId="0" shapeId="0" xr:uid="{811A1971-1920-4FA4-BBEE-8323EF0F546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60" authorId="0" shapeId="0" xr:uid="{ADD29990-5735-46D4-815D-96773E4F1E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862" authorId="0" shapeId="0" xr:uid="{3341804F-0D40-4EDF-B20E-8AEBC3619D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864" authorId="0" shapeId="0" xr:uid="{DC60A000-7A94-40D0-9A3F-511EA8163C9B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865" authorId="0" shapeId="0" xr:uid="{59103E77-3A86-418E-8E99-175FEAB75CE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867" authorId="0" shapeId="0" xr:uid="{D7126293-F435-4A50-908C-DA4DD0B1DA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871" authorId="0" shapeId="0" xr:uid="{A3583856-19E6-4D21-8B17-1C5778AF19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71" authorId="0" shapeId="0" xr:uid="{15FBBC35-61E8-497B-956A-7F3F86E8503D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872" authorId="0" shapeId="0" xr:uid="{D3302206-F75B-4921-85B5-0F9E65D33F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78" authorId="0" shapeId="0" xr:uid="{E28299E9-D3D4-4C89-A5CA-08EC0A13A6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23/6
9000x9200</t>
        </r>
      </text>
    </comment>
    <comment ref="D910" authorId="0" shapeId="0" xr:uid="{C62D9974-6789-4AC5-AE1E-387354D314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12" authorId="0" shapeId="0" xr:uid="{0BC6BBC7-D55D-48DB-AE29-55446283F7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914" authorId="0" shapeId="0" xr:uid="{DC94AB93-EA0D-420B-83AF-0F13BE34EF63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915" authorId="0" shapeId="0" xr:uid="{253E6C79-778B-4753-AD56-86399811ADA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917" authorId="0" shapeId="0" xr:uid="{D5B6D0C0-8174-4A17-84A3-4D07DF6751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921" authorId="0" shapeId="0" xr:uid="{ABCA19FC-4C21-4C90-BC2E-1CEB611942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21" authorId="0" shapeId="0" xr:uid="{9DC98C78-88C3-4100-AF26-604784038483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922" authorId="0" shapeId="0" xr:uid="{DA6AF235-8C4E-4728-AA56-A1CBD6C023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929" authorId="0" shapeId="0" xr:uid="{9E6C00D2-F79C-4FDE-B029-EC2E8A05A2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sip tgl 24/6
10000x9200</t>
        </r>
      </text>
    </comment>
    <comment ref="D961" authorId="0" shapeId="0" xr:uid="{68410365-D220-4713-A8CF-B034AEFE466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963" authorId="0" shapeId="0" xr:uid="{98CB3E00-6AA4-43C6-95FF-4704799041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965" authorId="0" shapeId="0" xr:uid="{ABC99BF6-5772-4039-A4E0-A36E207A328C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966" authorId="0" shapeId="0" xr:uid="{ACF7C44D-D616-4385-96AB-B252A05137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968" authorId="0" shapeId="0" xr:uid="{16CD44F5-1625-4139-9128-34232BC875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972" authorId="0" shapeId="0" xr:uid="{67FD20F4-D38B-424B-86DB-4D3D49C918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72" authorId="0" shapeId="0" xr:uid="{6E7153FE-8C57-4DDB-B2BE-62969C2CE8E6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973" authorId="0" shapeId="0" xr:uid="{398EC5AE-DA40-476C-A9FE-DAEE34079BA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11" authorId="0" shapeId="0" xr:uid="{A44A77A6-D56D-47CC-82B5-D9F8CE58192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D1013" authorId="0" shapeId="0" xr:uid="{4CC179C5-16B8-4A11-9594-0EB696692BB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1015" authorId="0" shapeId="0" xr:uid="{5743F756-E1C8-43CF-8108-71236BE194F8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1016" authorId="0" shapeId="0" xr:uid="{9162CD96-8F01-47EB-889A-D52991479F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1018" authorId="0" shapeId="0" xr:uid="{8E6E279E-31A9-44D3-B7C4-2EAA5427CA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022" authorId="0" shapeId="0" xr:uid="{603403B3-D0A1-47CA-8ADF-8A62F2E41A3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22" authorId="0" shapeId="0" xr:uid="{4BC490DC-8C49-43F2-9D5C-738DCCE5DB40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023" authorId="0" shapeId="0" xr:uid="{05A7417A-14C2-4C5B-B3BF-36C27A8E4F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1061" authorId="0" shapeId="0" xr:uid="{63718094-BF1A-4208-8A75-F57E1EE8BB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063" authorId="0" shapeId="0" xr:uid="{4B0E6189-D7EB-4405-9E3E-A9051E08043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1063" authorId="0" shapeId="0" xr:uid="{436CABE8-A2B2-49D0-AB4E-80CAEA34CE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1065" authorId="0" shapeId="0" xr:uid="{5CDE4187-C8CB-4CC1-BA7B-53F0EE15BC42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1066" authorId="0" shapeId="0" xr:uid="{49E44351-B810-44C1-94A4-1F6B4F2F6E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1068" authorId="0" shapeId="0" xr:uid="{818B59FF-8FD4-4D22-A8D5-4114A2977B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072" authorId="0" shapeId="0" xr:uid="{1D96F5EE-88A8-43A1-9CCB-13A37404CA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72" authorId="0" shapeId="0" xr:uid="{4CAE060C-573A-4DD7-8D6D-18058F4F6C70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073" authorId="0" shapeId="0" xr:uid="{6CF3C5E2-B8F6-476C-A635-DED8CA5003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1111" authorId="0" shapeId="0" xr:uid="{EB1CCADE-C5D5-46BE-91D9-FD2698EA493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113" authorId="0" shapeId="0" xr:uid="{54D51ABA-46AE-402B-AE71-78AB3BA8DB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1113" authorId="0" shapeId="0" xr:uid="{6C496A5F-31AD-43B2-A130-2D01AB7212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1115" authorId="0" shapeId="0" xr:uid="{142BAF85-7757-4927-8B81-598E21F382B5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1116" authorId="0" shapeId="0" xr:uid="{CFF4F280-49C6-41CA-8172-FC40AB2B4A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1119" authorId="0" shapeId="0" xr:uid="{8E9518B0-BE65-4C15-B700-17D56A398E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123" authorId="0" shapeId="0" xr:uid="{3F2A6F24-5A03-46B8-942A-2B1AF506D7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23" authorId="0" shapeId="0" xr:uid="{30D16EC3-6669-43C2-BF97-8A95FD309853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124" authorId="0" shapeId="0" xr:uid="{BCAC5795-14C4-459A-A0AA-9397555E70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7" authorId="0" shapeId="0" xr:uid="{DDF49F10-373E-4196-87E9-94F6BBE261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29" authorId="0" shapeId="0" xr:uid="{ADC92BB9-466F-4157-A907-B9E4D5616C8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29" authorId="0" shapeId="0" xr:uid="{063591D1-EEBB-479C-A6A6-4F28E20E07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31" authorId="0" shapeId="0" xr:uid="{9820470B-F3E3-48B6-B4DC-67D9B8E08EA7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32" authorId="0" shapeId="0" xr:uid="{6FF2660A-C775-4581-A724-41B5BD6673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35" authorId="0" shapeId="0" xr:uid="{DD7D68A1-BAFD-4C67-8127-A71062B9D8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39" authorId="0" shapeId="0" xr:uid="{58A7B286-787E-45B9-B51C-4E617AF9BE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9" authorId="0" shapeId="0" xr:uid="{278C4D4E-FFD7-46DC-B61E-2D4DA9C9C19D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40" authorId="0" shapeId="0" xr:uid="{AE97DC56-C6FB-4595-A6C8-DE05103AD8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78" authorId="0" shapeId="0" xr:uid="{51123B91-D746-416C-B7EF-2F34417F53F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80" authorId="0" shapeId="0" xr:uid="{A8B6F67E-FB80-4AAC-B70A-914036841C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80" authorId="0" shapeId="0" xr:uid="{86F40046-6E44-4077-9CC6-F92C18485B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82" authorId="0" shapeId="0" xr:uid="{589502B1-1A11-495E-8882-D892DD981DF6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83" authorId="0" shapeId="0" xr:uid="{4F079C18-BC70-4571-9026-EB7983FFFF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86" authorId="0" shapeId="0" xr:uid="{F947AF4A-11C5-479F-B9C7-90938249B6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90" authorId="0" shapeId="0" xr:uid="{5C5BC648-368C-4A7D-8656-D92A54EDB1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0" authorId="0" shapeId="0" xr:uid="{729FCBD9-AC7F-415C-BDDF-2BB3DFEBBF43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91" authorId="0" shapeId="0" xr:uid="{8F0F1A9A-2084-4B7B-A3F4-4202AFACBB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128" authorId="0" shapeId="0" xr:uid="{FCFB5BCF-8927-406E-A63C-2590C85398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30" authorId="0" shapeId="0" xr:uid="{C29F9843-C6FB-4154-AE07-C80D5B78B63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130" authorId="0" shapeId="0" xr:uid="{38AD64F8-6B4C-4960-A5FE-A360C5CE87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132" authorId="0" shapeId="0" xr:uid="{BA3FB211-9A4F-4B8E-B305-C49046D71D6E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133" authorId="0" shapeId="0" xr:uid="{BDB68E65-C89E-4660-A29C-8A7226C590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136" authorId="0" shapeId="0" xr:uid="{3CC23D18-B386-4013-87DF-2A6E27C686B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40" authorId="0" shapeId="0" xr:uid="{0AE6E08A-A205-4C48-8EBD-DD2B2BBB67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40" authorId="0" shapeId="0" xr:uid="{6175B300-0857-4C1C-8159-287BA3ACD7FA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41" authorId="0" shapeId="0" xr:uid="{5B533A78-D2B5-43AC-8505-83EB0DD989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178" authorId="0" shapeId="0" xr:uid="{68EAA3A4-F99E-43BC-91AA-7868BFF667E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180" authorId="0" shapeId="0" xr:uid="{7D74C6E1-8C99-4BF5-BA3D-A461E6C1256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180" authorId="0" shapeId="0" xr:uid="{84EB8D24-17EF-4A8C-8626-004549859C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182" authorId="0" shapeId="0" xr:uid="{32EB7FA0-0FFB-4B73-B2CC-F7AD7AB7B03E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183" authorId="0" shapeId="0" xr:uid="{28F9E0C6-D21F-43EB-904A-441D14E6D2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187" authorId="0" shapeId="0" xr:uid="{DCB3DAB1-9DED-4431-A3CA-B8098EE2C7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tulip 6500x9250</t>
        </r>
      </text>
    </comment>
    <comment ref="C191" authorId="0" shapeId="0" xr:uid="{12846790-2C67-40B8-8553-8A2BFCDFDE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91" authorId="0" shapeId="0" xr:uid="{6885DB93-09D1-4D71-9E21-72BB221829AA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192" authorId="0" shapeId="0" xr:uid="{897775C2-D214-4FE0-831A-7C5BF410FD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228" authorId="0" shapeId="0" xr:uid="{528AFBA3-103C-48FB-A732-D3F2BACDCF9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230" authorId="0" shapeId="0" xr:uid="{8D88F643-363A-4339-AC12-255E6E4C052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230" authorId="0" shapeId="0" xr:uid="{8F981DEC-7764-426E-84F3-7FAD5285ED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
K 8094 IS = 95jt
rek cv.</t>
        </r>
      </text>
    </comment>
    <comment ref="D232" authorId="0" shapeId="0" xr:uid="{C897CC9B-92FB-4DED-8DE9-A8E527758BE9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233" authorId="0" shapeId="0" xr:uid="{E6947D66-8F07-462D-A650-CF7AD0649E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C239" authorId="0" shapeId="0" xr:uid="{3A3B6FD2-83AF-4492-8AAE-817E6BF86F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39" authorId="0" shapeId="0" xr:uid="{DF6E18DA-AFA9-42A3-BEDB-AD6D2DD90297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240" authorId="0" shapeId="0" xr:uid="{00EC026D-01F5-4831-8344-1EEACAFDAC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278" authorId="0" shapeId="0" xr:uid="{61595D2E-18A6-473F-87DF-807DEBFC74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280" authorId="0" shapeId="0" xr:uid="{BFE1FBB5-70BD-448F-8418-18A41337EC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280" authorId="0" shapeId="0" xr:uid="{C0F5162C-F6BD-4790-ADF5-2DE037DA18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 9344 ND = 55.880.000
rek ragi.</t>
        </r>
      </text>
    </comment>
    <comment ref="D282" authorId="0" shapeId="0" xr:uid="{D9224FBF-7E25-4C3D-A9EE-94240757AD63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283" authorId="0" shapeId="0" xr:uid="{F2C6B2F4-40EB-4399-9EAD-6277361248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C289" authorId="0" shapeId="0" xr:uid="{136DCF9F-E324-4BA0-91DE-90FED865AB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89" authorId="0" shapeId="0" xr:uid="{B7DB81F6-D2E7-4302-9892-6636640422F4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290" authorId="0" shapeId="0" xr:uid="{6C783E3A-A898-4E8C-B26E-3A5743D0EC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29" authorId="0" shapeId="0" xr:uid="{87E6DE06-5599-4271-8CC3-F57BCD53CA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331" authorId="0" shapeId="0" xr:uid="{7C76070E-619B-4547-9034-06BC74409F0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331" authorId="0" shapeId="0" xr:uid="{DEC964F7-FBED-41C4-82E1-C88BA55FE6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</t>
        </r>
      </text>
    </comment>
    <comment ref="D333" authorId="0" shapeId="0" xr:uid="{ACA19893-229C-4457-9109-64AC838BCF47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334" authorId="0" shapeId="0" xr:uid="{BE9758A4-C18B-4EDA-83CC-9CEAAE4564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C340" authorId="0" shapeId="0" xr:uid="{33536068-04A9-47FE-B3AB-56440AE2CD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40" authorId="0" shapeId="0" xr:uid="{7E3257D2-8E0E-4C1A-A1C6-5B68F17A5281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341" authorId="0" shapeId="0" xr:uid="{8EFA69A2-A07D-443A-8FA5-63E7BE2EE7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80" authorId="0" shapeId="0" xr:uid="{C450807D-AF93-45BA-8E04-8A2717E343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382" authorId="0" shapeId="0" xr:uid="{B745A504-CC99-4BC4-BBC9-F28B71B25E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382" authorId="0" shapeId="0" xr:uid="{79A8FD4C-640A-43BE-8CF5-A7DEF43ADE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</t>
        </r>
      </text>
    </comment>
    <comment ref="D384" authorId="0" shapeId="0" xr:uid="{7F277618-C273-479B-8558-8B6A3C4BACA6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385" authorId="0" shapeId="0" xr:uid="{2ED5E63D-8558-4983-84F0-9F4B4EF838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C391" authorId="0" shapeId="0" xr:uid="{5D8781DA-34E4-42DF-98F6-96E8EA3D3DF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91" authorId="0" shapeId="0" xr:uid="{374729EC-123A-407E-9BF8-BCFCE80A3FD8}">
      <text>
        <r>
          <rPr>
            <sz val="9"/>
            <color indexed="81"/>
            <rFont val="Tahoma"/>
            <family val="2"/>
          </rPr>
          <t>ragi ditebus tgl 14/5 pakai rek ragi sendiri.
Tapi yg pinjam cv 168.700.000 belum diganti.</t>
        </r>
      </text>
    </comment>
    <comment ref="C392" authorId="0" shapeId="0" xr:uid="{6DDD1C32-B9A0-44E2-9B97-6D665858D5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30" authorId="0" shapeId="0" xr:uid="{F5A2D341-5063-4DF7-8EE8-467C60B773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432" authorId="0" shapeId="0" xr:uid="{919185FF-695A-4413-BDDE-992A95FF92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432" authorId="0" shapeId="0" xr:uid="{18A13000-A55D-478E-94CA-CC8392C752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</t>
        </r>
      </text>
    </comment>
    <comment ref="D434" authorId="0" shapeId="0" xr:uid="{256B351F-ACCE-4EBB-AE7F-96905DC5DCD7}">
      <text>
        <r>
          <rPr>
            <sz val="9"/>
            <color indexed="81"/>
            <rFont val="Tahoma"/>
            <family val="2"/>
          </rPr>
          <t>tf 192.125.000 (bri)
balik nama 24.750.000
tunai 75jt + komisi 5jt
ganti uang bapak 7.875.000</t>
        </r>
      </text>
    </comment>
    <comment ref="D435" authorId="0" shapeId="0" xr:uid="{105F9EB9-C287-450C-BEC3-FF6619A404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C441" authorId="0" shapeId="0" xr:uid="{7DAEFDA4-9F7C-432C-9C4B-061A7738E5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belum datang, masih proses pengambilan di bandung.</t>
        </r>
      </text>
    </comment>
    <comment ref="D441" authorId="0" shapeId="0" xr:uid="{A1EB8679-315C-4BEB-B9EE-38402F73C5E5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442" authorId="0" shapeId="0" xr:uid="{7AABA267-BBD8-48FB-A93D-A71C6D788A4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80" authorId="0" shapeId="0" xr:uid="{B5BD9E00-CFDA-4A7C-B4FE-6DB20321AA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482" authorId="0" shapeId="0" xr:uid="{E5CD8917-639D-436B-BC02-4F7689F75A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482" authorId="0" shapeId="0" xr:uid="{98F38E3A-6BF8-4957-898C-D63D471DDD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</t>
        </r>
      </text>
    </comment>
    <comment ref="D484" authorId="0" shapeId="0" xr:uid="{0B4C53BF-8E7F-48BA-A871-DF1C727719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C490" authorId="0" shapeId="0" xr:uid="{4B947F88-C63C-493F-99C4-617D7F8B628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datang tgl 11/7</t>
        </r>
      </text>
    </comment>
    <comment ref="D490" authorId="0" shapeId="0" xr:uid="{4DD62DF5-8DEC-4500-BD39-A7629A5D3691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491" authorId="0" shapeId="0" xr:uid="{08E2A26F-6303-4632-8B07-89621715C2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530" authorId="0" shapeId="0" xr:uid="{CF3147A5-4F7E-400D-9052-9A09E49EA0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532" authorId="0" shapeId="0" xr:uid="{BBAC118E-C011-4BFE-9370-DCFA9078A7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532" authorId="0" shapeId="0" xr:uid="{326E5D6C-8C06-4C1E-9A12-F3AC0A8E6B7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</t>
        </r>
      </text>
    </comment>
    <comment ref="D534" authorId="0" shapeId="0" xr:uid="{92198A8A-926E-49A1-AFFE-79761D167E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C540" authorId="0" shapeId="0" xr:uid="{E02CC251-88C8-43D2-8F5E-8DCDAE2103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40" authorId="0" shapeId="0" xr:uid="{EF60330C-3B1C-442C-9358-A162F6AA69D9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D579" authorId="0" shapeId="0" xr:uid="{60C57442-0757-40C3-90C8-9B8D15155D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581" authorId="0" shapeId="0" xr:uid="{5532EB52-BAAC-445C-B117-5ED9A8D85D6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581" authorId="0" shapeId="0" xr:uid="{C61AC8A4-CBE9-4C2B-8CC0-BF9A27F22D1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
rek ragi.</t>
        </r>
      </text>
    </comment>
    <comment ref="D582" authorId="0" shapeId="0" xr:uid="{C9E8D57C-2AD0-4E90-87B8-1BC6C23C63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583" authorId="0" shapeId="0" xr:uid="{3BD5C250-2154-4A05-A283-A7F67D3D1B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585" authorId="0" shapeId="0" xr:uid="{F524AE28-4C50-47A2-90D8-20842F908E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589" authorId="0" shapeId="0" xr:uid="{DECE3393-44E3-4ABA-93E0-F251C6ECB8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89" authorId="0" shapeId="0" xr:uid="{B3A377D2-6BC1-4C1F-9A95-61034D3D1915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590" authorId="0" shapeId="0" xr:uid="{B4159FDF-B513-47E7-BF27-99B027637C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629" authorId="0" shapeId="0" xr:uid="{65502A07-4651-44D7-8AA4-E5879183043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631" authorId="0" shapeId="0" xr:uid="{D94E766B-9B8B-4A57-A249-A411EE997B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631" authorId="0" shapeId="0" xr:uid="{B5860C86-20A2-4C30-B9DA-B97B200F424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
rek ragi.</t>
        </r>
      </text>
    </comment>
    <comment ref="D632" authorId="0" shapeId="0" xr:uid="{C6AF5968-02E7-41A1-8F90-3FC824A337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633" authorId="0" shapeId="0" xr:uid="{E6DD3953-B968-43E7-BB4B-803A67C1EE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635" authorId="0" shapeId="0" xr:uid="{68109023-6389-438F-ABA1-2E325F66DA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639" authorId="0" shapeId="0" xr:uid="{EDBCE393-E1DD-4718-BA25-95C425ACD7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39" authorId="0" shapeId="0" xr:uid="{06250A2D-2708-4114-A1B7-AC4106BF23BA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D647" authorId="0" shapeId="0" xr:uid="{84536912-507C-4E06-A535-34D8966A5B3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ambil tgl 15/7
9000x8700</t>
        </r>
      </text>
    </comment>
    <comment ref="D679" authorId="0" shapeId="0" xr:uid="{6EA097BD-1E8E-4DFA-8159-040A204591D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681" authorId="0" shapeId="0" xr:uid="{DCFB125B-75F5-4AA9-82A1-BEA9C44994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681" authorId="0" shapeId="0" xr:uid="{363E93C0-2ED3-4D7F-A1D6-184D92557E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
rek ragi.</t>
        </r>
      </text>
    </comment>
    <comment ref="D682" authorId="0" shapeId="0" xr:uid="{08E02C33-3A88-408A-8D61-3DDDFB1FF45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683" authorId="0" shapeId="0" xr:uid="{A9840298-3E26-417D-82BF-9BF1F3F336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685" authorId="0" shapeId="0" xr:uid="{D192F029-99DB-42CF-B591-3CB9C53C12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689" authorId="0" shapeId="0" xr:uid="{FD5C393C-63E3-40AB-AD5A-549CFB86E7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89" authorId="0" shapeId="0" xr:uid="{705A9976-A2E3-4AE4-99C3-0CB7672914A0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D697" authorId="0" shapeId="0" xr:uid="{5CC77CB2-10EF-43FF-B100-74B711DB87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15/7
9000x8700
tgl 16/7
9000x8650</t>
        </r>
      </text>
    </comment>
    <comment ref="D729" authorId="0" shapeId="0" xr:uid="{B19CC74B-6DE3-44BB-B433-5D35205695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731" authorId="0" shapeId="0" xr:uid="{BAE056FA-298A-47FC-AF62-F4CFFEB20AF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731" authorId="0" shapeId="0" xr:uid="{931B9C88-07C5-4F32-B802-D8CFAF98BE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
rek ragi.</t>
        </r>
      </text>
    </comment>
    <comment ref="D732" authorId="0" shapeId="0" xr:uid="{2868CE64-0DE5-45DB-AE6A-3A64E19B7A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733" authorId="0" shapeId="0" xr:uid="{0820AD29-7474-49BD-A79D-E9402637C7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736" authorId="0" shapeId="0" xr:uid="{6BE0035C-2768-46BD-A57D-C4B96CDCB0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740" authorId="0" shapeId="0" xr:uid="{D8261027-D5B0-4751-BDF1-12A903770C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40" authorId="0" shapeId="0" xr:uid="{DF09D30C-205B-4AF0-9BC7-03AB8356FCBA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741" authorId="0" shapeId="0" xr:uid="{DDD5307B-DFE8-48EB-9194-6D66E19A60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749" authorId="0" shapeId="0" xr:uid="{3ECEC080-D656-4EA1-BD7B-556FA46B91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15/7
9000x8700
tgl 16/7
9000x8650</t>
        </r>
      </text>
    </comment>
    <comment ref="D781" authorId="0" shapeId="0" xr:uid="{24FEE740-E002-4EFB-8E77-828CF63EAF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783" authorId="0" shapeId="0" xr:uid="{A9969057-03DE-4FFE-8CF6-84C6D8F565D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783" authorId="0" shapeId="0" xr:uid="{61D59A2F-497F-4830-A3FE-1F16AD406C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
rek ragi.</t>
        </r>
      </text>
    </comment>
    <comment ref="D784" authorId="0" shapeId="0" xr:uid="{541CDEF7-F23C-4025-BB4C-601EAAB922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785" authorId="0" shapeId="0" xr:uid="{F4F731F1-08FF-4917-AC32-E4D1D92D398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nyicil 5.021.755 uang bayar angs bri unit.</t>
        </r>
      </text>
    </comment>
    <comment ref="D788" authorId="0" shapeId="0" xr:uid="{D7E62B4A-4F8E-4BCF-9344-B5552F5B2F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792" authorId="0" shapeId="0" xr:uid="{9F681DCB-5BCA-4E47-8782-00CE7BE81A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92" authorId="0" shapeId="0" xr:uid="{A18CE945-64D6-4099-8406-553128ED2CBB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793" authorId="0" shapeId="0" xr:uid="{8E395771-26BE-4561-9AD7-818AD3ED20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01" authorId="0" shapeId="0" xr:uid="{54072436-AFF7-4C26-B3D1-BBDCE745CC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15/7
9000x8700
tgl 16/7
9000x8650</t>
        </r>
      </text>
    </comment>
    <comment ref="G821" authorId="0" shapeId="0" xr:uid="{ACACC024-32D7-4AA1-B003-E430033D9DD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535 2.490.500
rek 560 89.733,60 + 7.550.166,40</t>
        </r>
      </text>
    </comment>
    <comment ref="D833" authorId="0" shapeId="0" xr:uid="{F6D385D6-B664-4E81-A922-4BF7C72597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ragi.</t>
        </r>
      </text>
    </comment>
    <comment ref="C835" authorId="0" shapeId="0" xr:uid="{14E76036-84D8-4475-895B-2D88B998AA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835" authorId="0" shapeId="0" xr:uid="{F8AF5D14-8DEC-4224-8A6C-6C3291B0F3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untuk beli truk pak umar tgl 28/6
rek ragi.</t>
        </r>
      </text>
    </comment>
    <comment ref="D836" authorId="0" shapeId="0" xr:uid="{14B96BF4-FA91-4C71-A736-6CACBE0B0C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837" authorId="0" shapeId="0" xr:uid="{99447E4B-6E63-4F85-B62B-9C1953DDD7F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untuk tf bank jatim.</t>
        </r>
      </text>
    </comment>
    <comment ref="D839" authorId="0" shapeId="0" xr:uid="{41DD12F6-57B6-474C-8833-5FDF60B188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843" authorId="0" shapeId="0" xr:uid="{A93A50E1-ECF6-4280-A580-3D62BEAEB00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43" authorId="0" shapeId="0" xr:uid="{763023B7-0605-48B2-98FD-9599948F2731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844" authorId="0" shapeId="0" xr:uid="{7339B2A0-F9FA-4F5F-8CB4-7B2842DAF4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852" authorId="0" shapeId="0" xr:uid="{9BE8398D-533D-4447-8F7E-B642682996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15/7
9000x8700
tgl 16/7
9000x8650</t>
        </r>
      </text>
    </comment>
    <comment ref="C884" authorId="0" shapeId="0" xr:uid="{A257EF33-BA11-4638-82AA-288B68AE60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884" authorId="0" shapeId="0" xr:uid="{C75A1185-21A8-4994-98F3-0B5182B00C9C}">
      <text>
        <r>
          <rPr>
            <sz val="9"/>
            <color indexed="81"/>
            <rFont val="Tahoma"/>
            <family val="2"/>
          </rPr>
          <t xml:space="preserve">pinjam untuk beli truk pak umar tgl 28/6
rek ragi.
Titip 7jt 21/7
</t>
        </r>
      </text>
    </comment>
    <comment ref="D885" authorId="0" shapeId="0" xr:uid="{664B116D-0D7F-4945-91FF-9BD0E5B014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887" authorId="0" shapeId="0" xr:uid="{DACB8569-CB9F-4BB1-8A1B-B6A29C71CE3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891" authorId="0" shapeId="0" xr:uid="{6648418F-3A05-4D83-BA73-A34669457A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91" authorId="0" shapeId="0" xr:uid="{EC30DA55-E59B-4135-B947-B0B2DC9F3FFF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892" authorId="0" shapeId="0" xr:uid="{7F4E9ED3-6239-4F0B-B470-E65C7CF81E4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900" authorId="0" shapeId="0" xr:uid="{A2E174B7-28EB-4D07-A723-B846A2531B1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15/7
9000x8700
tgl 16/7
9000x8650</t>
        </r>
      </text>
    </comment>
    <comment ref="C932" authorId="0" shapeId="0" xr:uid="{37625DB4-DFD9-41CF-AAA6-E24D3BAE30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932" authorId="0" shapeId="0" xr:uid="{DA874183-A581-42DE-BACE-4C2046BE05B7}">
      <text>
        <r>
          <rPr>
            <sz val="9"/>
            <color indexed="81"/>
            <rFont val="Tahoma"/>
            <family val="2"/>
          </rPr>
          <t xml:space="preserve">pinjam untuk beli truk pak umar tgl 28/6
rek ragi.
Titip 7jt 21/7
</t>
        </r>
      </text>
    </comment>
    <comment ref="D933" authorId="0" shapeId="0" xr:uid="{8B4288A9-3E84-476D-A0FB-1A2E4AE256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935" authorId="0" shapeId="0" xr:uid="{F6626C61-17DD-439E-9165-BFAE840843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939" authorId="0" shapeId="0" xr:uid="{C38FF04A-D4D7-4590-8D89-1801F2F5555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39" authorId="0" shapeId="0" xr:uid="{8F095331-3557-4C17-A87D-5A58141B4D0A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940" authorId="0" shapeId="0" xr:uid="{08849599-107F-40E0-BD7C-5C165D82F5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C941" authorId="0" shapeId="0" xr:uid="{99FEFC94-6397-40FB-84F4-8F05996DB5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949" authorId="0" shapeId="0" xr:uid="{CAF205E1-E995-4A7A-AFE7-9135AF36D2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15/7
9000x8700
tgl 16/7
9000x8650</t>
        </r>
      </text>
    </comment>
    <comment ref="C981" authorId="0" shapeId="0" xr:uid="{3A6CB0B9-3D1D-4C13-915D-199E14F09C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pinjam lagi 80jt untuk dp truk, sudah dikembalikan 50jt jadi kurang 30jt.</t>
        </r>
      </text>
    </comment>
    <comment ref="D981" authorId="0" shapeId="0" xr:uid="{CEED9463-4E5D-4252-91B5-EFAC3ADF178C}">
      <text>
        <r>
          <rPr>
            <sz val="9"/>
            <color indexed="81"/>
            <rFont val="Tahoma"/>
            <family val="2"/>
          </rPr>
          <t xml:space="preserve">pinjam untuk beli truk pak umar tgl 28/6
rek ragi.
Titip 7jt 21/7
</t>
        </r>
      </text>
    </comment>
    <comment ref="D982" authorId="0" shapeId="0" xr:uid="{B2778847-05E3-4FD5-855E-5B428107C0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cv.</t>
        </r>
      </text>
    </comment>
    <comment ref="D984" authorId="0" shapeId="0" xr:uid="{8E66263E-13D0-4F64-9985-672EABDBC6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988" authorId="0" shapeId="0" xr:uid="{E730A688-200A-4646-992B-F6D7CE37CEC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88" authorId="0" shapeId="0" xr:uid="{8D8739A0-216A-41B9-BB4E-BE4A3537B1E0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989" authorId="0" shapeId="0" xr:uid="{124CEF2B-87A3-4FC1-AA92-2D02EC26A4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29" authorId="0" shapeId="0" xr:uid="{29AAD2F1-3E4F-4249-A9CD-CB5C8A72A9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033" authorId="0" shapeId="0" xr:uid="{63F09B72-1BCA-42A8-9835-96A7DA56B1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33" authorId="0" shapeId="0" xr:uid="{83A13676-BF7D-411E-8F22-1315F734BB78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1040" authorId="0" shapeId="0" xr:uid="{03A93C7E-71C0-4DF3-A8CC-1F0EC30933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DO abah saiful.</t>
        </r>
      </text>
    </comment>
    <comment ref="D1073" authorId="0" shapeId="0" xr:uid="{F05061E5-FEAF-44BD-B514-780FA068C37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077" authorId="0" shapeId="0" xr:uid="{19E67CB9-EE47-42CB-96EF-1F17F25E67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77" authorId="0" shapeId="0" xr:uid="{473AB52C-16CF-4779-B2C2-7D5387962D8D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1078" authorId="0" shapeId="0" xr:uid="{E5C5F02E-8C90-48C8-8300-F128DB0F62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117" authorId="0" shapeId="0" xr:uid="{4858D920-BC7C-4FFB-831D-15B6725C2F2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121" authorId="0" shapeId="0" xr:uid="{3EC82682-EF8B-47CC-A0AC-4549455AE8B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21" authorId="0" shapeId="0" xr:uid="{8156753B-B3DC-4E51-9989-877988334AC0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1122" authorId="0" shapeId="0" xr:uid="{B6F83DC4-4BFA-4C67-9A82-0CC36984A3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123" authorId="0" shapeId="0" xr:uid="{F5E7AC41-7056-4430-8AFA-74BEEB00E6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162" authorId="0" shapeId="0" xr:uid="{F40EB019-7FA3-4EAD-96B4-0884EA64E9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166" authorId="0" shapeId="0" xr:uid="{C0578907-A1EB-4723-859A-6D48462348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66" authorId="0" shapeId="0" xr:uid="{D30AFF59-993C-4E8C-BCE1-7FF6D6CB0C60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1167" authorId="0" shapeId="0" xr:uid="{39ADCE9D-78C5-4EBC-AC91-4D7A1BB605E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168" authorId="0" shapeId="0" xr:uid="{3FCD5DDA-4D2C-4E79-B2D9-7D12873FA4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208" authorId="0" shapeId="0" xr:uid="{A8E2F546-4FF1-4932-A9AC-91A134BC78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212" authorId="0" shapeId="0" xr:uid="{55572C1D-CA9A-4696-89DC-83ECF5F625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212" authorId="0" shapeId="0" xr:uid="{F84C826A-3984-4916-A235-410030A33088}">
      <text>
        <r>
          <rPr>
            <sz val="9"/>
            <color indexed="81"/>
            <rFont val="Tahoma"/>
            <family val="2"/>
          </rPr>
          <t>ragi ditebus tgl 10/7 pakai rek ragi sendiri.
Tapi yg pinjam cv 168.700.000 belum diganti.</t>
        </r>
      </text>
    </comment>
    <comment ref="C1213" authorId="0" shapeId="0" xr:uid="{9B65CFED-35E4-4206-9FDD-ABF023E929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214" authorId="0" shapeId="0" xr:uid="{3905CCB9-0994-4C7F-8682-7179B37895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253" authorId="0" shapeId="0" xr:uid="{D700496A-3365-47E2-B28C-100E92EE2C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257" authorId="0" shapeId="0" xr:uid="{BCA014C6-000F-44B9-AD75-8C01937471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yg 280dus belum datang. Baru ditebus 30/7</t>
        </r>
      </text>
    </comment>
    <comment ref="D1257" authorId="0" shapeId="0" xr:uid="{C50E9A76-D271-4945-8448-DCDB482CF47D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258" authorId="0" shapeId="0" xr:uid="{5186204E-42E0-4509-A997-1CE5A60A3F1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259" authorId="0" shapeId="0" xr:uid="{45365A96-4C73-42BE-8101-97F13E83AB9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297" authorId="0" shapeId="0" xr:uid="{E357474E-C975-472F-B299-C6CD6FB036C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301" authorId="0" shapeId="0" xr:uid="{D8572105-A6D9-47F9-B1C9-5FB6AE5F2D6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
Ragi yg 280dus datang tgl 31/7</t>
        </r>
      </text>
    </comment>
    <comment ref="D1301" authorId="0" shapeId="0" xr:uid="{655B6553-781A-405F-8E78-CF38EBE70800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302" authorId="0" shapeId="0" xr:uid="{A7EB521D-F2FF-4FBE-B8CB-9D3AC5CF97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303" authorId="0" shapeId="0" xr:uid="{CD83F7BD-943E-40D9-8B31-F6DBF893E2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309" authorId="0" shapeId="0" xr:uid="{EC1CF89C-9DA3-4E8D-89CD-35B9AF10D5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31/7
10000x8450
9000x8425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8" authorId="0" shapeId="0" xr:uid="{A22CB4A4-3CA9-4230-AED2-A74E444DDB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32" authorId="0" shapeId="0" xr:uid="{E64C3F56-0D74-4B55-8167-45F9D06FF39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2" authorId="0" shapeId="0" xr:uid="{FCF9D835-571C-4517-AE54-86BD416444E0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33" authorId="0" shapeId="0" xr:uid="{4EF6A16A-1306-4801-A1EA-2B09E520736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34" authorId="0" shapeId="0" xr:uid="{407C7FB3-3590-4BDC-A528-27CF5AD49D2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40" authorId="0" shapeId="0" xr:uid="{602A38D6-79D5-4B93-97A1-F722B05C3D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1/8
27000x8425</t>
        </r>
      </text>
    </comment>
    <comment ref="D73" authorId="0" shapeId="0" xr:uid="{6843D811-C383-4C3D-A7E0-5324596D37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77" authorId="0" shapeId="0" xr:uid="{EF8623F4-560C-4752-9CB5-370F1E56B17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7" authorId="0" shapeId="0" xr:uid="{47CCEF46-0476-448F-ABAF-341D1EF84786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78" authorId="0" shapeId="0" xr:uid="{7805B0C4-4356-417F-BB2C-6ED6E2F2D58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79" authorId="0" shapeId="0" xr:uid="{708B7DE1-595E-4449-942E-8CE71C15E1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85" authorId="0" shapeId="0" xr:uid="{196C6265-289C-49C9-B3CF-4A4E428859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1/8
27000x8425
tgl 2/8
9000x8425</t>
        </r>
      </text>
    </comment>
    <comment ref="D118" authorId="0" shapeId="0" xr:uid="{82182FEA-22FC-4854-8C0C-7081B00232F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22" authorId="0" shapeId="0" xr:uid="{01F595CD-99A6-4C5A-B363-EC77BC57E2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22" authorId="0" shapeId="0" xr:uid="{89CC3F92-FF27-41F6-AF76-1750C7C49730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23" authorId="0" shapeId="0" xr:uid="{42289F17-3B3D-4A42-B8F6-39966A34C7D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24" authorId="0" shapeId="0" xr:uid="{A8B098B9-BE33-4407-8D8C-E29839BF322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31" authorId="0" shapeId="0" xr:uid="{621D2872-EEA5-4364-823F-547887A5BAE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2/8
9000x8425
tgl 4/8
27000x8425</t>
        </r>
      </text>
    </comment>
    <comment ref="D165" authorId="0" shapeId="0" xr:uid="{8C9E9804-C702-4CF6-AF6C-19EF44C6FE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69" authorId="0" shapeId="0" xr:uid="{44ACFE24-19B3-4DA8-96C0-0915EE5FAC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69" authorId="0" shapeId="0" xr:uid="{BAE044B5-7541-45B6-BC90-AE6C1290D172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70" authorId="0" shapeId="0" xr:uid="{739F85B8-1E38-4396-85D4-E8ACDD6C06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71" authorId="0" shapeId="0" xr:uid="{C9DC6F88-C6D2-42F2-AB0B-E7E4ECEFD90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78" authorId="0" shapeId="0" xr:uid="{FA3AF84A-D866-4B95-B8F5-2BB70174CA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4/8
27000x8425</t>
        </r>
      </text>
    </comment>
    <comment ref="D212" authorId="0" shapeId="0" xr:uid="{F6E75F80-422F-4A04-8FB5-226526A97A9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216" authorId="0" shapeId="0" xr:uid="{F816733D-3449-428A-92D9-6269E624B4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16" authorId="0" shapeId="0" xr:uid="{4AEA96AE-DBF7-4852-9A9F-F248541B71F9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217" authorId="0" shapeId="0" xr:uid="{ED4526AB-8BB3-4F56-92E1-F11B2DE8B06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218" authorId="0" shapeId="0" xr:uid="{43F398F9-B0A6-49F1-878C-C57ECFAB3F9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226" authorId="0" shapeId="0" xr:uid="{6CAF224B-2A50-4673-A4EB-E411509525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6/8
10000x8425</t>
        </r>
      </text>
    </comment>
    <comment ref="D259" authorId="0" shapeId="0" xr:uid="{975F58D4-602F-47CF-801D-18A2B0FCC4B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263" authorId="0" shapeId="0" xr:uid="{42041B7A-05FA-4D35-AAE6-F20C42A898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63" authorId="0" shapeId="0" xr:uid="{AC56F8A0-E0ED-445F-A231-07E573C714D7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264" authorId="0" shapeId="0" xr:uid="{59620AE1-C2FF-4649-B786-A2BB84DFAE3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265" authorId="0" shapeId="0" xr:uid="{003B09AA-183A-4DE4-B340-A0CEB2B461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273" authorId="0" shapeId="0" xr:uid="{6CDCFEDE-78EC-43D3-9577-FB7B64BE892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6/8
10000x8425
tgl 7/8
9000x8425</t>
        </r>
      </text>
    </comment>
    <comment ref="D306" authorId="0" shapeId="0" xr:uid="{117044A6-4013-40F8-AAFF-7799943ED09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310" authorId="0" shapeId="0" xr:uid="{0A5BA476-C3A4-45D8-B859-BE2BA36BDA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10" authorId="0" shapeId="0" xr:uid="{6959517F-6F10-4A7B-B0DE-259A4333F988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311" authorId="0" shapeId="0" xr:uid="{30D82840-FCBA-44D5-A2DD-6467B0426D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312" authorId="0" shapeId="0" xr:uid="{DCB0114A-B4DA-4BEB-99F2-57F8AC8E23A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352" authorId="0" shapeId="0" xr:uid="{5EC12804-F7CB-4EED-B784-BD80E44759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356" authorId="0" shapeId="0" xr:uid="{F8FC29A1-AC62-4F88-9A87-8C7804A1F2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56" authorId="0" shapeId="0" xr:uid="{CD90E6B0-F58A-40CC-8C22-469A85945425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357" authorId="0" shapeId="0" xr:uid="{7D36ED22-DD82-4B6A-840D-2DB45796DA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358" authorId="0" shapeId="0" xr:uid="{6E06F2CC-C9C8-416D-A20F-BE435B1302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366" authorId="0" shapeId="0" xr:uid="{D1FD8D16-E9DD-40E0-82D4-1A7D1039AD9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9/8
9000x8425</t>
        </r>
      </text>
    </comment>
    <comment ref="F386" authorId="0" shapeId="0" xr:uid="{1D116565-6524-4846-91F3-993CEE3C62D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bayar listrik masjid</t>
        </r>
      </text>
    </comment>
    <comment ref="D399" authorId="0" shapeId="0" xr:uid="{63DE7543-F936-4420-82DB-9881A4B71B7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403" authorId="0" shapeId="0" xr:uid="{AA4C500D-06E4-4AD7-8313-77EC7F1FC3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03" authorId="0" shapeId="0" xr:uid="{4F062CA4-BE72-4C36-B5D0-6AE810F9C758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404" authorId="0" shapeId="0" xr:uid="{C1D79804-45E1-4D20-93A5-6B887905D0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405" authorId="0" shapeId="0" xr:uid="{06EEB8C2-3A72-48D6-A4C8-556954A66B8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413" authorId="0" shapeId="0" xr:uid="{B88AFA6D-6DD1-47AD-94ED-4CF6BAD0830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9/8
9000x8425</t>
        </r>
      </text>
    </comment>
    <comment ref="D447" authorId="0" shapeId="0" xr:uid="{B4C3A717-C5A4-4ACB-A320-DE6022A7BA6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451" authorId="0" shapeId="0" xr:uid="{FB997A55-D775-4E66-80A9-2E6F35D35DA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51" authorId="0" shapeId="0" xr:uid="{8511246D-81AD-495A-B4D0-B7677DACD5EE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452" authorId="0" shapeId="0" xr:uid="{2D3136EB-4149-4B8A-8027-F4548573D1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453" authorId="0" shapeId="0" xr:uid="{CA3FDCA5-4CE6-4947-85B5-39EFC425DF0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494" authorId="0" shapeId="0" xr:uid="{C2B2D848-3866-4DA3-A568-74FEA7D0A7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498" authorId="0" shapeId="0" xr:uid="{7979C22E-C9C7-4C8D-A0DB-A3A62207703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98" authorId="0" shapeId="0" xr:uid="{2BE42E78-9B83-4C92-901D-A02CCB4E5382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499" authorId="0" shapeId="0" xr:uid="{86CBAB49-C4F0-446B-8FFF-4300D99F51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500" authorId="0" shapeId="0" xr:uid="{E27494F1-EC40-49C9-A87E-C98363FC37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540" authorId="0" shapeId="0" xr:uid="{1E7BEC59-5E60-4776-9F14-246C2EE0565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544" authorId="0" shapeId="0" xr:uid="{65E805A4-A357-4EDC-9A77-6D3F0754C0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44" authorId="0" shapeId="0" xr:uid="{48E0D9C7-1CA6-47D7-AB88-B314610F428B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545" authorId="0" shapeId="0" xr:uid="{E13ACBDE-30AC-41BA-B9E9-0AE5C3D91F3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546" authorId="0" shapeId="0" xr:uid="{769BC42D-9C65-4742-AF05-91A8CF65AF1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586" authorId="0" shapeId="0" xr:uid="{26CC80B1-29A3-483C-92A5-B6D84DCA7C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590" authorId="0" shapeId="0" xr:uid="{8B958109-767B-47C2-8802-EFF891FBD5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90" authorId="0" shapeId="0" xr:uid="{CA5C5AC7-78DA-4850-B393-30AA2259FD3E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591" authorId="0" shapeId="0" xr:uid="{532208DD-D132-4050-83F5-864C0FCE006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592" authorId="0" shapeId="0" xr:uid="{69F3B186-84B7-4FB5-8D15-BC61C169D8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631" authorId="0" shapeId="0" xr:uid="{6D43302B-4D07-43A6-9B0E-7E1C1DCC17A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635" authorId="0" shapeId="0" xr:uid="{93A9C954-FE8C-45A4-A42C-3DC9D5700C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35" authorId="0" shapeId="0" xr:uid="{95695BAF-A728-4D82-9AA8-93163449B71E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636" authorId="0" shapeId="0" xr:uid="{0D92A3E8-3397-4DC7-A046-02AAFF4433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637" authorId="0" shapeId="0" xr:uid="{1B214DDE-4835-4B65-9FA9-E7909ABD620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676" authorId="0" shapeId="0" xr:uid="{12DAAF22-4A21-4911-95DC-B58685AE5D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680" authorId="0" shapeId="0" xr:uid="{CD1FCEB5-02E4-41D3-9BE5-366516CCDA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680" authorId="0" shapeId="0" xr:uid="{F481E747-4922-4063-ACEC-3A5B065E93BB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681" authorId="0" shapeId="0" xr:uid="{637CDC99-83AF-4114-AD46-886760CCFA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682" authorId="0" shapeId="0" xr:uid="{0595B21C-9291-4857-8546-04465938DC2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721" authorId="0" shapeId="0" xr:uid="{90B74132-0E0B-41B3-8B44-ECB422AA14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725" authorId="0" shapeId="0" xr:uid="{AB943B8C-EF48-441D-BE91-4AD04AC09D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25" authorId="0" shapeId="0" xr:uid="{3FF64D33-31D7-4332-8CB0-41D070EC8990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726" authorId="0" shapeId="0" xr:uid="{F579A876-3F33-4F8A-AD14-23516DACE1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727" authorId="0" shapeId="0" xr:uid="{3FBC17A1-301E-4A9D-B853-E8998D5E541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766" authorId="0" shapeId="0" xr:uid="{CDBBBBB6-0817-470C-AAA5-A500C78A89B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770" authorId="0" shapeId="0" xr:uid="{9BF13AF2-7B9B-4114-BEEE-AF34820AE47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770" authorId="0" shapeId="0" xr:uid="{55243ECA-BC5A-4882-AA21-2F7143249728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771" authorId="0" shapeId="0" xr:uid="{11AB8AEA-38EA-4DDB-9384-DB6DF376148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772" authorId="0" shapeId="0" xr:uid="{5D23C3DA-B7A3-4CDD-AEF2-5723FCD5310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780" authorId="0" shapeId="0" xr:uid="{0C8B8B59-D068-4A73-A422-5B0195EBF7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20/8
9000x8450</t>
        </r>
      </text>
    </comment>
    <comment ref="D812" authorId="0" shapeId="0" xr:uid="{7A77623D-FE94-40F2-B353-0170C23C937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814" authorId="0" shapeId="0" xr:uid="{7130CEF4-292F-4F9C-B686-96DD256C7D6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818" authorId="0" shapeId="0" xr:uid="{57FD9EBA-F06A-40A3-86DB-2CF3AF5508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18" authorId="0" shapeId="0" xr:uid="{EA9150D6-D841-40CE-A32A-2142129AD5B4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819" authorId="0" shapeId="0" xr:uid="{E8C617B3-B9DD-426E-BE5E-921F07AB821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820" authorId="0" shapeId="0" xr:uid="{5DF89AD3-7B5F-46A6-846D-E5D1C872642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828" authorId="0" shapeId="0" xr:uid="{9734E5EA-2205-4956-AD0F-671C6F06DB5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20/8
9000x8450</t>
        </r>
      </text>
    </comment>
    <comment ref="D860" authorId="0" shapeId="0" xr:uid="{018F4544-2CC8-4C1D-BD93-159C876053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862" authorId="0" shapeId="0" xr:uid="{6C85E4BF-9C54-42AF-990D-370DDA72460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866" authorId="0" shapeId="0" xr:uid="{2F779255-9E42-43C1-9E5F-5743133FAB0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66" authorId="0" shapeId="0" xr:uid="{A83FCDC0-4602-44AF-8FFA-4B0E7D9CE9CB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867" authorId="0" shapeId="0" xr:uid="{DCCD830C-07FF-4AD4-8633-E3C9DE885C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868" authorId="0" shapeId="0" xr:uid="{F52F976E-45F8-4052-BF4D-217F6BDE43A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907" authorId="0" shapeId="0" xr:uid="{DEF1A4C5-FE9D-4FDE-A36E-90A9822B285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909" authorId="0" shapeId="0" xr:uid="{3485BE73-34DA-4025-A316-2766C7E5929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913" authorId="0" shapeId="0" xr:uid="{34C7A644-F0FA-414B-9972-C48F5BAF2E9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13" authorId="0" shapeId="0" xr:uid="{D3C6BFDA-E1B0-4A19-98F4-32ED674B1CBA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914" authorId="0" shapeId="0" xr:uid="{2F30B151-E7D3-488A-81F8-A556DD7E08A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915" authorId="0" shapeId="0" xr:uid="{BC1FA952-5E6F-4FB9-A0EF-5CB72908D88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954" authorId="0" shapeId="0" xr:uid="{5727E28D-90D1-4A6A-9D77-60AD54908B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957" authorId="0" shapeId="0" xr:uid="{BCF112EA-C487-4590-AE50-64756CFD11E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961" authorId="0" shapeId="0" xr:uid="{3DB13C6B-4163-4B63-94DD-4964D4615B1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961" authorId="0" shapeId="0" xr:uid="{B6D1CDCE-AB2D-49EE-9E8F-E646C4713F14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962" authorId="0" shapeId="0" xr:uid="{D87D1FED-42A3-469E-B593-7B1FCB2C196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963" authorId="0" shapeId="0" xr:uid="{34BD8B87-23CA-48FF-952F-518BA29AC1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02" authorId="0" shapeId="0" xr:uid="{52635F0C-76AC-4F60-8296-C165B56F281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1004" authorId="0" shapeId="0" xr:uid="{1E100E28-4FC9-480A-9B6C-DFD8658F5EE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008" authorId="0" shapeId="0" xr:uid="{FCB229EB-2957-41E0-A363-57E61AB9592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08" authorId="0" shapeId="0" xr:uid="{29765DF2-5906-4B06-95F9-5112EDD30983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009" authorId="0" shapeId="0" xr:uid="{AB52B455-AEA2-41BD-A8CA-922BBDD021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010" authorId="0" shapeId="0" xr:uid="{B39889D2-6D7F-4885-A664-987FAF611D3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49" authorId="0" shapeId="0" xr:uid="{3084CD58-EBCB-4A7A-AE97-744AEFCF55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1051" authorId="0" shapeId="0" xr:uid="{BBEE280F-96FD-45FB-95FD-FA6EA0884D1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055" authorId="0" shapeId="0" xr:uid="{922F4BD0-A7EE-47D1-A6B7-ACC04703CDC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055" authorId="0" shapeId="0" xr:uid="{A2244C72-11BB-4ED8-ACB2-47E440F8DA59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056" authorId="0" shapeId="0" xr:uid="{F570721E-6414-44B3-9255-E29933F5D6F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057" authorId="0" shapeId="0" xr:uid="{7C5A914A-54DB-4191-9C4B-32AA6889FB5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096" authorId="0" shapeId="0" xr:uid="{DFC4D73F-52A1-4343-8DF4-363ADA78B0B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1098" authorId="0" shapeId="0" xr:uid="{D470B776-C704-4170-845A-388CE6F3729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102" authorId="0" shapeId="0" xr:uid="{E6BB1EE3-84BB-47C7-8FA3-750CADCCC0B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02" authorId="0" shapeId="0" xr:uid="{5F3FD6D9-6618-455A-B89E-C9AFAA765E1C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103" authorId="0" shapeId="0" xr:uid="{8F08740E-97B9-4E7B-AF86-1B5A1BEA861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104" authorId="0" shapeId="0" xr:uid="{1F919D6E-6393-4608-95B1-E321180DC5A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143" authorId="0" shapeId="0" xr:uid="{586E2321-9532-4152-A51B-E628DA0C03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1145" authorId="0" shapeId="0" xr:uid="{8BC4E086-9D85-4BFF-832C-6FA949FF06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149" authorId="0" shapeId="0" xr:uid="{442E2879-B604-4535-B593-751394A96DC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49" authorId="0" shapeId="0" xr:uid="{29E203D2-3FF8-47AD-9950-8AD764E0566B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150" authorId="0" shapeId="0" xr:uid="{4F9FBAAD-3AFF-419A-A525-57BC0201E19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151" authorId="0" shapeId="0" xr:uid="{89FFD1FA-7B15-443B-8E83-DDACF73D41D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190" authorId="0" shapeId="0" xr:uid="{F9760D84-046C-473F-A1A8-63C2C84EF4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1191" authorId="0" shapeId="0" xr:uid="{F0B7CC31-B4CD-4EE2-B03B-26E1ECB4D79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1193" authorId="0" shapeId="0" xr:uid="{1C41C517-F76D-4047-873F-A6458B3BF75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197" authorId="0" shapeId="0" xr:uid="{FF257EC7-EC8D-48F2-BEB6-41C936EC5AC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197" authorId="0" shapeId="0" xr:uid="{7AED5B3F-E4D8-4AC0-8DD1-A865C7977353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198" authorId="0" shapeId="0" xr:uid="{5E85DA45-26AB-47A0-8564-6E1CC278A1E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199" authorId="0" shapeId="0" xr:uid="{19E17C7C-481A-44AC-B68A-EBE2BD55FE8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7" authorId="0" shapeId="0" xr:uid="{0F92BA66-8A1E-4DD8-A206-C5BFBE5ECFF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28" authorId="0" shapeId="0" xr:uid="{5D8F8041-4561-452A-9938-2DFADA3CCD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30" authorId="0" shapeId="0" xr:uid="{53E2B2C6-979E-43AF-97B3-EA704C7CDD5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34" authorId="0" shapeId="0" xr:uid="{6C32415F-B530-4481-943C-F3631F28ECE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4" authorId="0" shapeId="0" xr:uid="{7A23C12A-5C11-4DB8-8B73-EDE0177D6524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35" authorId="0" shapeId="0" xr:uid="{CF1D61C9-9526-4819-BE50-21AD7A9D59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36" authorId="0" shapeId="0" xr:uid="{2DCBDD7C-2853-497E-A6DC-ED5A45951F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75" authorId="0" shapeId="0" xr:uid="{B7B14767-C7A7-4E62-A0E4-F5176074D5E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76" authorId="0" shapeId="0" xr:uid="{3CCB6052-EBF2-45A8-A450-EF250602F0C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78" authorId="0" shapeId="0" xr:uid="{684F7380-290B-435F-842C-E32BC52D40B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82" authorId="0" shapeId="0" xr:uid="{8A1BB8E5-7691-4E48-8890-6E4DE6DE8E4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82" authorId="0" shapeId="0" xr:uid="{C3509BCC-CAFE-464D-871A-89D45A257AC0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83" authorId="0" shapeId="0" xr:uid="{DADA8EF2-13A1-412C-A6B1-5BCC0DBA697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84" authorId="0" shapeId="0" xr:uid="{56747861-5A0E-45E7-ADE3-9105B03D17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23" authorId="0" shapeId="0" xr:uid="{8096D40C-BCAE-48F4-8F48-63F7C20010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124" authorId="0" shapeId="0" xr:uid="{F46CE890-4AFE-495A-98BA-F0667DC58A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126" authorId="0" shapeId="0" xr:uid="{E012A46C-B482-4BDF-A2B0-4F2371D9B3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30" authorId="0" shapeId="0" xr:uid="{3895759C-92FC-4890-BF10-16CCD09E434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30" authorId="0" shapeId="0" xr:uid="{077A6037-2778-47C4-AA9A-F6ACD1B11D5F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31" authorId="0" shapeId="0" xr:uid="{F620646B-1C68-4EAD-8650-F61C2EDDFB4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32" authorId="0" shapeId="0" xr:uid="{9C314D06-37F4-4DFE-BDE3-5C9C0A40D60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171" authorId="0" shapeId="0" xr:uid="{2708ACE5-8A7A-4E01-8D1B-55D070FAF5E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172" authorId="0" shapeId="0" xr:uid="{4720134F-8B94-4B18-82EC-DCFA182034A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174" authorId="0" shapeId="0" xr:uid="{65DAB8CF-A3A6-4107-A381-696656576C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178" authorId="0" shapeId="0" xr:uid="{790DFE36-8B96-48B7-8FA4-A1CD2B6AE18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178" authorId="0" shapeId="0" xr:uid="{2896C2DD-9AE2-4895-91BC-A281C4DE37CE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179" authorId="0" shapeId="0" xr:uid="{CDBAD54A-4F42-4C22-88A7-CCC2F9163A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180" authorId="0" shapeId="0" xr:uid="{E5ACA796-1868-4DC4-B5D6-87C6CE94CC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G207" authorId="0" shapeId="0" xr:uid="{DFDB2A58-0BF7-4C01-B524-48ED7DDB530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beli solar</t>
        </r>
      </text>
    </comment>
    <comment ref="D219" authorId="0" shapeId="0" xr:uid="{92CB246E-B691-4ED5-A413-D208AFED05F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220" authorId="0" shapeId="0" xr:uid="{AA00E376-AAC5-41ED-AFE3-15B7CE85787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223" authorId="0" shapeId="0" xr:uid="{80A5D473-59AD-4C7F-9F54-95A35D76B5C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227" authorId="0" shapeId="0" xr:uid="{5575A510-FD9B-410A-A052-B1D6E25021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27" authorId="0" shapeId="0" xr:uid="{7FBEEF08-61E1-4F72-9F7C-DE3DF76D114D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228" authorId="0" shapeId="0" xr:uid="{D80D2565-DE47-4C83-AD72-5768C62B37E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229" authorId="0" shapeId="0" xr:uid="{D4C770CB-E823-499C-BDE2-7B8850574A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236" authorId="0" shapeId="0" xr:uid="{5A3566D7-15A2-42C4-AA52-B162CC457F0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6/9
9000x8450</t>
        </r>
      </text>
    </comment>
    <comment ref="D268" authorId="0" shapeId="0" xr:uid="{8E1D89AE-F272-44F9-BA37-83DC0A95FEF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269" authorId="0" shapeId="0" xr:uid="{3C7530C9-AF96-4829-8024-D9F88BD7B5A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271" authorId="0" shapeId="0" xr:uid="{F7BB6CC1-86B2-49E1-BBF6-C5A251BFEBC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275" authorId="0" shapeId="0" xr:uid="{E6A28945-AF41-4917-8BF4-F990CA3D921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275" authorId="0" shapeId="0" xr:uid="{C5B8539C-55FC-413D-A4BC-C25FBC5A79A3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276" authorId="0" shapeId="0" xr:uid="{B659F77A-4187-4438-A8D2-F410EBFBC07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C277" authorId="0" shapeId="0" xr:uid="{2E29BA59-222F-422B-97E1-53109A7C2D4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gcu.</t>
        </r>
      </text>
    </comment>
    <comment ref="D284" authorId="0" shapeId="0" xr:uid="{7AEAF41C-16B5-4D79-9A01-41A58CED6EC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6/9
9000x8450
tgl 8/9
9000x8450</t>
        </r>
      </text>
    </comment>
    <comment ref="D316" authorId="0" shapeId="0" xr:uid="{37F83AE6-C64C-4194-8A5B-CF477412A6F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317" authorId="0" shapeId="0" xr:uid="{D58BDBD9-7B45-4A15-B0F5-64FE665785D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319" authorId="0" shapeId="0" xr:uid="{0139C979-C4AD-450C-ACD5-8EEB5D93F57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323" authorId="0" shapeId="0" xr:uid="{0AF8BE57-5E1D-4E5D-8D0C-8ED275BAFF9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23" authorId="0" shapeId="0" xr:uid="{CDA6A99B-E581-4894-86A3-B88737B6FAF1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324" authorId="0" shapeId="0" xr:uid="{A3A9F8AC-18BE-4EC3-8BEA-4E668384855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31" authorId="0" shapeId="0" xr:uid="{588C1975-1D87-426C-B785-05223F438DA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6/9
9000x8450
tgl 8/9
9000x8450</t>
        </r>
      </text>
    </comment>
    <comment ref="D363" authorId="0" shapeId="0" xr:uid="{EFFE5C61-6016-47AC-9D39-4EB25E40065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364" authorId="0" shapeId="0" xr:uid="{D5E8BAFE-2D44-4399-9CA2-8D9C79A61CB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366" authorId="0" shapeId="0" xr:uid="{8FD02890-3A02-4009-9A4D-14C63202B6E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370" authorId="0" shapeId="0" xr:uid="{D8F2CB59-ED15-4CB9-8E11-7D26630DEB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370" authorId="0" shapeId="0" xr:uid="{D0CCED22-8A90-4662-85AD-66933220D067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371" authorId="0" shapeId="0" xr:uid="{AD298272-7A40-48D5-BD06-22F4DE418E6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378" authorId="0" shapeId="0" xr:uid="{F2C46B18-F037-4523-AD4B-82A3246C947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6/9
9000x8450
tgl 8/9
9000x8450</t>
        </r>
      </text>
    </comment>
    <comment ref="D410" authorId="0" shapeId="0" xr:uid="{A41B32B3-B344-496B-BFE3-778E05BE147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411" authorId="0" shapeId="0" xr:uid="{15560586-909C-4DDD-A78B-E1D83719531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413" authorId="0" shapeId="0" xr:uid="{307F5AA0-1657-4009-8694-9F5BB94ECFC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417" authorId="0" shapeId="0" xr:uid="{DE3A4693-92E5-4A7C-ACAB-1DFA63E6064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17" authorId="0" shapeId="0" xr:uid="{3C383156-831F-41AD-A7C5-5E0B86DDD8F5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418" authorId="0" shapeId="0" xr:uid="{E73FC02F-1B46-40BB-91D9-430358BA1AE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25" authorId="0" shapeId="0" xr:uid="{B0AA458D-F7C5-4497-AF96-E5C446ABC8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6/9
9000x8450
tgl 8/9
9000x8450</t>
        </r>
      </text>
    </comment>
    <comment ref="D457" authorId="0" shapeId="0" xr:uid="{69AD249D-477A-466D-A9D5-3552097F24B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458" authorId="0" shapeId="0" xr:uid="{D66A11EE-F7EC-4284-AE05-F51C7FB4394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460" authorId="0" shapeId="0" xr:uid="{84407095-F3F0-4CA4-98AC-98B7CC48CA37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464" authorId="0" shapeId="0" xr:uid="{11C6064D-11DC-4C55-912E-289247E846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464" authorId="0" shapeId="0" xr:uid="{BB3B88DA-A2EC-43B4-946A-442874A507DB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465" authorId="0" shapeId="0" xr:uid="{EBC11764-AD1F-4A60-9278-81A337AF84A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472" authorId="0" shapeId="0" xr:uid="{83D87DEC-159A-4AEC-B66A-956A6BA3C8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6/9
9000x8450
tgl 8/9
9000x8450</t>
        </r>
      </text>
    </comment>
    <comment ref="D503" authorId="0" shapeId="0" xr:uid="{905A9687-C53F-444F-85D2-1508F0EBD7D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 1jt
individu 32jt</t>
        </r>
      </text>
    </comment>
    <comment ref="D504" authorId="0" shapeId="0" xr:uid="{784759BD-493A-423B-9828-AFEA5E35267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rek ragi</t>
        </r>
      </text>
    </comment>
    <comment ref="D507" authorId="0" shapeId="0" xr:uid="{380B25F5-D039-47DC-A757-B72E876FDDD3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13/7 pinjam untuk bayar angs mandiri 35.002.500</t>
        </r>
      </text>
    </comment>
    <comment ref="C511" authorId="0" shapeId="0" xr:uid="{8DC2B976-90F3-4362-A8E7-4D0E70B3732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gudang.</t>
        </r>
      </text>
    </comment>
    <comment ref="D511" authorId="0" shapeId="0" xr:uid="{D84380FC-051B-4515-BF26-3181DD458406}">
      <text>
        <r>
          <rPr>
            <sz val="9"/>
            <color indexed="81"/>
            <rFont val="Tahoma"/>
            <family val="2"/>
          </rPr>
          <t>ragi ditebus tgl 30/7 pakai rek ragi sendiri.
Tapi yg pinjam cv 168.700.000 belum diganti.</t>
        </r>
      </text>
    </comment>
    <comment ref="C512" authorId="0" shapeId="0" xr:uid="{9DDEEFF3-E7FD-4A8A-A1C7-9F1B252A6EA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stock di toko.</t>
        </r>
      </text>
    </comment>
    <comment ref="D519" authorId="0" shapeId="0" xr:uid="{250978E8-2C8E-4A64-96F7-073F0A96314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tgl 6/9
9000x8450
tgl 8/9
9000x8450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5" authorId="0" shapeId="0" xr:uid="{EF6E4863-6C57-4E4A-949E-F7AEFD3DC7EC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abah yudi</t>
        </r>
      </text>
    </comment>
    <comment ref="B16" authorId="0" shapeId="0" xr:uid="{482F2E7B-6C6A-4AFF-8155-17BFEC86B8C1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abah yudi</t>
        </r>
      </text>
    </comment>
    <comment ref="F18" authorId="0" shapeId="0" xr:uid="{F35AE240-BADD-4AB2-9E09-FA117221D539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ditebus tgl 3/1</t>
        </r>
      </text>
    </comment>
    <comment ref="F38" authorId="0" shapeId="0" xr:uid="{DFDEF332-9A7E-49FB-A23C-DB0F15E9264F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sudah ditebus 15/1</t>
        </r>
      </text>
    </comment>
    <comment ref="B55" authorId="0" shapeId="0" xr:uid="{31556DE6-E30E-4014-A6A0-DD92291ADC2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bayar lotus tgl 18/1</t>
        </r>
      </text>
    </comment>
    <comment ref="D107" authorId="0" shapeId="0" xr:uid="{FA41E4C9-1800-43B8-B220-555D9E327A2A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yg 74.700.000 barter TSC.</t>
        </r>
      </text>
    </comment>
    <comment ref="D150" authorId="0" shapeId="0" xr:uid="{B01F252F-8F36-4F3B-BDB7-6A2FB61DA0A3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di pot 150rb karena ongkir mb yeni kemarin vira lebih tf.</t>
        </r>
      </text>
    </comment>
    <comment ref="B164" authorId="0" shapeId="0" xr:uid="{2674BC62-926B-4898-A02D-354E16294504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tf lewat bu yatini.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F22" authorId="0" shapeId="0" xr:uid="{8DF6E5E3-3399-4013-A55E-693FB74B42F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kemungkinan selisih 15jt dgn laporan harian karena bayar lebih timbang panah.</t>
        </r>
      </text>
    </comment>
  </commentList>
</comments>
</file>

<file path=xl/sharedStrings.xml><?xml version="1.0" encoding="utf-8"?>
<sst xmlns="http://schemas.openxmlformats.org/spreadsheetml/2006/main" count="10644" uniqueCount="936">
  <si>
    <t>Rincian deposit</t>
  </si>
  <si>
    <t>Piutang toko</t>
  </si>
  <si>
    <t>bagi hasil bu tutik</t>
  </si>
  <si>
    <t>BRI bisnis</t>
  </si>
  <si>
    <t>Keterangan</t>
  </si>
  <si>
    <t>Nominal</t>
  </si>
  <si>
    <t>Rekening</t>
  </si>
  <si>
    <t>Customer</t>
  </si>
  <si>
    <t>Abah slamet</t>
  </si>
  <si>
    <t>Total</t>
  </si>
  <si>
    <t>Kopti giri</t>
  </si>
  <si>
    <t>laba tgl 31</t>
  </si>
  <si>
    <t>Bu iin</t>
  </si>
  <si>
    <t>CV PUTRA BUMI BERKAH</t>
  </si>
  <si>
    <t>NERACA</t>
  </si>
  <si>
    <t>Aset</t>
  </si>
  <si>
    <t>Saldo</t>
  </si>
  <si>
    <t>IDR</t>
  </si>
  <si>
    <t>Bank</t>
  </si>
  <si>
    <t>Total Bank</t>
  </si>
  <si>
    <t>Piutang</t>
  </si>
  <si>
    <t>Toko putra bumi berkah</t>
  </si>
  <si>
    <t>Hutang</t>
  </si>
  <si>
    <t>PT Agrico International</t>
  </si>
  <si>
    <t>PT JPM-ADM Indonesia</t>
  </si>
  <si>
    <t>Total aset + Piutang - Hutang</t>
  </si>
  <si>
    <t>Selisih =</t>
  </si>
  <si>
    <t>Rincian =</t>
  </si>
  <si>
    <t>Pemasukan</t>
  </si>
  <si>
    <t>Pengeluaran</t>
  </si>
  <si>
    <t>Pemasukan - pengeluaran</t>
  </si>
  <si>
    <t>123-0467834 (BCA)</t>
  </si>
  <si>
    <t>735-5917878 (BCA)</t>
  </si>
  <si>
    <t>735-5537889 (BCA)</t>
  </si>
  <si>
    <t>735-5467899 (BCA)</t>
  </si>
  <si>
    <t>620801016258532 (BRI)</t>
  </si>
  <si>
    <t>058301001067560 (BRI)</t>
  </si>
  <si>
    <t>058301900009562 (BRI)</t>
  </si>
  <si>
    <t>BCA cv putra</t>
  </si>
  <si>
    <t>Tgl masuk</t>
  </si>
  <si>
    <t>Tgl keluar</t>
  </si>
  <si>
    <t>Bu tutik</t>
  </si>
  <si>
    <t>deposit</t>
  </si>
  <si>
    <t>Deposit</t>
  </si>
  <si>
    <t>PT Terus Makmur Mandiri</t>
  </si>
  <si>
    <t>Pak nanok</t>
  </si>
  <si>
    <t>Ragi</t>
  </si>
  <si>
    <t>Customer ragi</t>
  </si>
  <si>
    <t>Pak ozi (blitar)</t>
  </si>
  <si>
    <t>BI-Fast cv pbb</t>
  </si>
  <si>
    <t>bunga rek 7878</t>
  </si>
  <si>
    <t>058301909090560 (BRI)</t>
  </si>
  <si>
    <t>PERHITUNGAN KEUANGAN</t>
  </si>
  <si>
    <t>Saldo bank</t>
  </si>
  <si>
    <t>Aset bergerak</t>
  </si>
  <si>
    <t>Piutang all customer + ragi</t>
  </si>
  <si>
    <t>Stock ragi 110karton</t>
  </si>
  <si>
    <t>Pak nanok + pak ozi</t>
  </si>
  <si>
    <t>Mb retno</t>
  </si>
  <si>
    <t>Rincian pinjaman BRI =</t>
  </si>
  <si>
    <t>Pelunasan agrico tgl 31/5</t>
  </si>
  <si>
    <t>Pelunasan pinjaman bu tutik oktober</t>
  </si>
  <si>
    <t>Deposit saldo</t>
  </si>
  <si>
    <t>Biaya notaris + pencairan BRI</t>
  </si>
  <si>
    <t>Rincian akhir pinjaman BRI =</t>
  </si>
  <si>
    <t>Sisa modal dari BRI</t>
  </si>
  <si>
    <t>Laba jan-agust</t>
  </si>
  <si>
    <t>Juni - sept 14/9</t>
  </si>
  <si>
    <t>Beli aset tanah</t>
  </si>
  <si>
    <t>bunga rek 7834</t>
  </si>
  <si>
    <t>pajak bunga rek 7834</t>
  </si>
  <si>
    <t>pajak bunga rek 7878</t>
  </si>
  <si>
    <t>deposit lotus 9000x7500</t>
  </si>
  <si>
    <t>deposit lotus 9000x7750 + ongkir</t>
  </si>
  <si>
    <t>deposit sip 9000x7800 + ongkir</t>
  </si>
  <si>
    <t>bri 100jt + bca 113.345.000 17/12</t>
  </si>
  <si>
    <t>Ragi 13x602500</t>
  </si>
  <si>
    <t>hiu 9000x8200</t>
  </si>
  <si>
    <t>Ragi 180x602500</t>
  </si>
  <si>
    <t>SGR 9000x8000</t>
  </si>
  <si>
    <t>bagi hasil pak itak</t>
  </si>
  <si>
    <t>ATM</t>
  </si>
  <si>
    <t>Joko wardoyo</t>
  </si>
  <si>
    <t>Mb linda</t>
  </si>
  <si>
    <t>Bu yatini ngawi</t>
  </si>
  <si>
    <t>BCA cv surya</t>
  </si>
  <si>
    <t>laba tgl 2</t>
  </si>
  <si>
    <t>biaya ADM cv pbb &amp; spbb</t>
  </si>
  <si>
    <t>Menir gcu 8500x4300</t>
  </si>
  <si>
    <t>Ragi 165x602500</t>
  </si>
  <si>
    <t>laba ragi</t>
  </si>
  <si>
    <t>biaya kliring cv spbb</t>
  </si>
  <si>
    <t>revisi harga pak ramin tgl 26/12</t>
  </si>
  <si>
    <t>revisi harga pak arif tgl 30/12</t>
  </si>
  <si>
    <t>revisi harga pak arif tgl 20/12</t>
  </si>
  <si>
    <t>revisi harga pak arif tgl 21/12</t>
  </si>
  <si>
    <t>revisi harga nonik kragan tgl 18/12</t>
  </si>
  <si>
    <t>saldo bri bisnis bertambah</t>
  </si>
  <si>
    <t>revisi harga bu prapti</t>
  </si>
  <si>
    <t>RTGS bri bisnis</t>
  </si>
  <si>
    <t>hiu 9000x8500</t>
  </si>
  <si>
    <t>Tulip 16500x8200</t>
  </si>
  <si>
    <t>Ragi 163x602500</t>
  </si>
  <si>
    <t>laba tgl 3 + 4</t>
  </si>
  <si>
    <t>bagi hasil mb retno</t>
  </si>
  <si>
    <t>pot harga FKS</t>
  </si>
  <si>
    <t>ongkir</t>
  </si>
  <si>
    <t>Pak anwar</t>
  </si>
  <si>
    <t>minyak 185000x800 + ongkir</t>
  </si>
  <si>
    <t>Mas nanang bjn</t>
  </si>
  <si>
    <t>BCA individu</t>
  </si>
  <si>
    <t>Cv Maju Terus</t>
  </si>
  <si>
    <t>buka kas</t>
  </si>
  <si>
    <t>hiu 9000x7900</t>
  </si>
  <si>
    <t>Ko hadi pohjejer</t>
  </si>
  <si>
    <t>bola 9000x8000</t>
  </si>
  <si>
    <t>Bola 1000x7850</t>
  </si>
  <si>
    <t>Bola 9000x8000</t>
  </si>
  <si>
    <t>laba tgl 4</t>
  </si>
  <si>
    <t>tulip 9000x8300</t>
  </si>
  <si>
    <t>Ragi 11x602500</t>
  </si>
  <si>
    <t>Ragi 158x602500</t>
  </si>
  <si>
    <t>selisih harga panah</t>
  </si>
  <si>
    <t>saldo bri bertambah</t>
  </si>
  <si>
    <t>laba tgl 6</t>
  </si>
  <si>
    <t>Ragi 146x602500</t>
  </si>
  <si>
    <t>Ragi 6x602500</t>
  </si>
  <si>
    <t>revisi laba toko</t>
  </si>
  <si>
    <t>Uang pak anwar bayar lotus 6/1</t>
  </si>
  <si>
    <t>bagi hasil</t>
  </si>
  <si>
    <t>Pak iwan</t>
  </si>
  <si>
    <t>Ragi 140x602500</t>
  </si>
  <si>
    <t>Beli truk giga 2023 A 8379 CO</t>
  </si>
  <si>
    <t>lotus 9000x8300</t>
  </si>
  <si>
    <t>bayar lebih timbang panah 100x7836</t>
  </si>
  <si>
    <t>laba tgl 7 + 8</t>
  </si>
  <si>
    <t>BI-Fast rek bri bisnis</t>
  </si>
  <si>
    <t>Bu tutik BW 9000x8125</t>
  </si>
  <si>
    <t>mb yeni/sukem bayar lebih timbang tgl 24/12</t>
  </si>
  <si>
    <t>bayar BFI &amp; BRI an bayu adi angs ke 13</t>
  </si>
  <si>
    <t>panah 8500x8550</t>
  </si>
  <si>
    <t>laba tgl 8 + 9</t>
  </si>
  <si>
    <t>Ragi 135x602500</t>
  </si>
  <si>
    <t>revisi harga panah tgl 4</t>
  </si>
  <si>
    <t>kurang 450rb</t>
  </si>
  <si>
    <t>revisi harga panah</t>
  </si>
  <si>
    <t>cashback pak anwar</t>
  </si>
  <si>
    <t>laba tgl 9 + 10</t>
  </si>
  <si>
    <t>laba tgl 10</t>
  </si>
  <si>
    <t>Ragi 133x602500</t>
  </si>
  <si>
    <t>revisi harga mb yeni/sukem tgl 2/1</t>
  </si>
  <si>
    <t>laba tgl 11</t>
  </si>
  <si>
    <t>revisi harga bola pak sukem tgl 6/1</t>
  </si>
  <si>
    <t>pot bu iin 10x8350</t>
  </si>
  <si>
    <t>laba tgl 13</t>
  </si>
  <si>
    <t>revisi harga pak arif tgl 30/12/24</t>
  </si>
  <si>
    <t>pot harga pak arif karena banyak jkk 1275,5x3300</t>
  </si>
  <si>
    <t>PT Aneka Sawit Sejahtera</t>
  </si>
  <si>
    <t>Lebih tf ongkir pak nain</t>
  </si>
  <si>
    <t>cv bayar hutang bapak</t>
  </si>
  <si>
    <t>laba tgl 14</t>
  </si>
  <si>
    <t>BI-Fast bri bisnis</t>
  </si>
  <si>
    <t>panah 8500x8600</t>
  </si>
  <si>
    <t>hiu 9000x8550</t>
  </si>
  <si>
    <t>Ragi 131x602500</t>
  </si>
  <si>
    <t>revisi harga pak kasan tgl 9/1</t>
  </si>
  <si>
    <t>bagi hasil bu sri astutik</t>
  </si>
  <si>
    <t>Abah parnoto 28000x8450</t>
  </si>
  <si>
    <t>Ragi 129x602500</t>
  </si>
  <si>
    <t>Abah parnoto 37000x8450</t>
  </si>
  <si>
    <t>revisi harga pak arif tgl 6/1</t>
  </si>
  <si>
    <t>bayar pph an suryo hadi</t>
  </si>
  <si>
    <t>bayar pph an cv spbb</t>
  </si>
  <si>
    <t>revisi harga pak ramin tgl 9/1</t>
  </si>
  <si>
    <t>Pak ramin</t>
  </si>
  <si>
    <t>tulip 9000x8650</t>
  </si>
  <si>
    <t>beli tiket ke balikpapan untuk 7orang</t>
  </si>
  <si>
    <t>beli tiket ke balikpapan untuk 4orang</t>
  </si>
  <si>
    <t>laba tgl 15 + 16</t>
  </si>
  <si>
    <t>laba tgl 16</t>
  </si>
  <si>
    <t>Ragi 122x602500</t>
  </si>
  <si>
    <t>fee tumpi pak itak</t>
  </si>
  <si>
    <t>fee tumpi ardi gudang</t>
  </si>
  <si>
    <t>Tulip 13500x8300</t>
  </si>
  <si>
    <t>revisi harga abah rohmat tgl 9/1</t>
  </si>
  <si>
    <t>laba tgl 17</t>
  </si>
  <si>
    <t>reschedule tiket ke balikpapan</t>
  </si>
  <si>
    <t>lotus 9000x8950 + ongkir</t>
  </si>
  <si>
    <t>Pak saiku</t>
  </si>
  <si>
    <t>sip 9000x8650</t>
  </si>
  <si>
    <t>PT Seger Agro Nusantara</t>
  </si>
  <si>
    <t>laba tgl 18</t>
  </si>
  <si>
    <t>revisi harga dan pengiriman</t>
  </si>
  <si>
    <t>SGR 9000x8500</t>
  </si>
  <si>
    <t>biaya ADM rek individu 7834 &amp; 7878</t>
  </si>
  <si>
    <t>revisi harga pak arif tgl 8/1</t>
  </si>
  <si>
    <t>revisi harga pak jum tgl 18/1</t>
  </si>
  <si>
    <t>Tomat bu tutik 9000x8425</t>
  </si>
  <si>
    <t>Ragi 113x602500</t>
  </si>
  <si>
    <t>BI-Fast rek individu</t>
  </si>
  <si>
    <t>tf ke mb retno lain2</t>
  </si>
  <si>
    <t>BI-Fast rek cv pbb</t>
  </si>
  <si>
    <t>sip 9000x8500</t>
  </si>
  <si>
    <t>laba tgl 20 + 21</t>
  </si>
  <si>
    <t>laba tgl 21</t>
  </si>
  <si>
    <t>Interest on account</t>
  </si>
  <si>
    <t>Tax</t>
  </si>
  <si>
    <t>pot harga hiu 150x11500</t>
  </si>
  <si>
    <t>saldo bri 532 bertambah</t>
  </si>
  <si>
    <t>saldo bri 560 berkurang</t>
  </si>
  <si>
    <t>pot harga hiu 150x10000</t>
  </si>
  <si>
    <t>pot harga hiu 150x2500</t>
  </si>
  <si>
    <t>pot harga hiu 150x6500</t>
  </si>
  <si>
    <t>bayar booking hotel ke balikpapan</t>
  </si>
  <si>
    <t>ragi</t>
  </si>
  <si>
    <t>Bu kasmi</t>
  </si>
  <si>
    <t>laba tgl 22</t>
  </si>
  <si>
    <t>revisi harga bu yatini</t>
  </si>
  <si>
    <t>pot harga hiu 150x9000</t>
  </si>
  <si>
    <t>pot harga hiu 150x20000</t>
  </si>
  <si>
    <t>revisi harga umik nardi</t>
  </si>
  <si>
    <t>pot harga hiu 150x6000</t>
  </si>
  <si>
    <t>SGR 9000x8600</t>
  </si>
  <si>
    <t>laba tgl 23</t>
  </si>
  <si>
    <t>pot harga hiu 150x32000</t>
  </si>
  <si>
    <t>pot harga bola 150x4000</t>
  </si>
  <si>
    <t>Ragi 73x602500</t>
  </si>
  <si>
    <t>Ragi 10x602500</t>
  </si>
  <si>
    <t>pot harga bola 150x9000</t>
  </si>
  <si>
    <t>pot harga hiu 150x3000</t>
  </si>
  <si>
    <t>BI-Fast bri 560</t>
  </si>
  <si>
    <t>beli cpu</t>
  </si>
  <si>
    <t>Minyak 800x180000</t>
  </si>
  <si>
    <t>pot harga hiu 150x22000</t>
  </si>
  <si>
    <t>revisi harga pak arif tgl 16/1</t>
  </si>
  <si>
    <t>Ragi 69x602500</t>
  </si>
  <si>
    <t>pot harga jkk pak arif</t>
  </si>
  <si>
    <t>pot harga hiu 150x28000 tgl 25/1</t>
  </si>
  <si>
    <t>pot harga bola 150x9000 tgl 25/1</t>
  </si>
  <si>
    <t>dibuat bayar tulip tgl 21/1</t>
  </si>
  <si>
    <t>tulip 9000x8700</t>
  </si>
  <si>
    <t>Pak yanto</t>
  </si>
  <si>
    <t>sip 9000x8350</t>
  </si>
  <si>
    <t>Pak jum</t>
  </si>
  <si>
    <t>laba tgl 24 + 25</t>
  </si>
  <si>
    <t>Tulip 4500x8300</t>
  </si>
  <si>
    <t>Ragi 62x602500</t>
  </si>
  <si>
    <t>angsuran bri rek koran</t>
  </si>
  <si>
    <t>angsuran dana endapan</t>
  </si>
  <si>
    <t>Bu tutik tomat 18000x8425</t>
  </si>
  <si>
    <t>laba tgl 25 + 28</t>
  </si>
  <si>
    <t>pot hiu 150x40000 tgl 28/1</t>
  </si>
  <si>
    <t>pot bola 150x10000 tgl 28/1</t>
  </si>
  <si>
    <t>Hiu 9000x8650</t>
  </si>
  <si>
    <t>laba tgl 28</t>
  </si>
  <si>
    <t>Mb ida</t>
  </si>
  <si>
    <t>mb yeni/sukem bayar lebih timbang tgl 21/1</t>
  </si>
  <si>
    <t>Mb yeni/sukem</t>
  </si>
  <si>
    <t>Pak sukem</t>
  </si>
  <si>
    <t>Ustad muh</t>
  </si>
  <si>
    <t>Ragi 52x602500</t>
  </si>
  <si>
    <t>laba tgl 30</t>
  </si>
  <si>
    <t>bayar ppn cv putra</t>
  </si>
  <si>
    <t>bayar STP suryo hadi tahun 2024</t>
  </si>
  <si>
    <t>bayar STP cv surya tahun 2022</t>
  </si>
  <si>
    <t>bayar STP cv surya tahun 2023</t>
  </si>
  <si>
    <t>Ragi 5x602500</t>
  </si>
  <si>
    <t>Pak deny pinjam</t>
  </si>
  <si>
    <t>tulip 10000x8800</t>
  </si>
  <si>
    <t>bu yatini bayar lebih timbang tgl 6/1</t>
  </si>
  <si>
    <t>bu yatini bayar lebih timbang tgl 9/1</t>
  </si>
  <si>
    <t>bu yatini bayar lebih timbang tgl 15/1</t>
  </si>
  <si>
    <t>bu yatini bayar lebih timbang tgl 18/1</t>
  </si>
  <si>
    <t>bu yatini bayar lebih timbang tgl 25/1</t>
  </si>
  <si>
    <t>revisi harga pak parjo tgl 22/1</t>
  </si>
  <si>
    <t>Ragi 50x602500</t>
  </si>
  <si>
    <t>tomat/BW 9000x8450</t>
  </si>
  <si>
    <t>pot harga bu iin</t>
  </si>
  <si>
    <t>pot SGR 10x8000</t>
  </si>
  <si>
    <t>laba tgl 1</t>
  </si>
  <si>
    <t>Ragi 46x602500</t>
  </si>
  <si>
    <t>pot harga ko hadi</t>
  </si>
  <si>
    <t>bayar BFI &amp; BRI an bayu adi angs ke 14</t>
  </si>
  <si>
    <t>gaji karyawan januari 2025</t>
  </si>
  <si>
    <t>biaya ADM cv pbb &amp; cv spbb</t>
  </si>
  <si>
    <t>pajak bunga individu 7834</t>
  </si>
  <si>
    <t>bunga individu 7834</t>
  </si>
  <si>
    <t>bunga individu 7878</t>
  </si>
  <si>
    <t>pajak bunga individu 7878</t>
  </si>
  <si>
    <t>Bu tutik tomat 9000x8450</t>
  </si>
  <si>
    <t>Pak deny</t>
  </si>
  <si>
    <t>uang ragi belum dipindah</t>
  </si>
  <si>
    <t>laba tgl 3</t>
  </si>
  <si>
    <t>revisi harga pak arif tgl 20/1</t>
  </si>
  <si>
    <t>Ragi 34x602500</t>
  </si>
  <si>
    <t>Ragi 3x602500</t>
  </si>
  <si>
    <t>Ragi 23x602500</t>
  </si>
  <si>
    <t>pot harga SGR tgl 10/1</t>
  </si>
  <si>
    <t>pengeluaran lain2</t>
  </si>
  <si>
    <t>laba tgl 5</t>
  </si>
  <si>
    <t>Bu tutik tomat 9000x8380</t>
  </si>
  <si>
    <t>sip 9000x8550</t>
  </si>
  <si>
    <t>saldo bri 532 berkurang</t>
  </si>
  <si>
    <t>laba tgl 7</t>
  </si>
  <si>
    <t>Ragi 21x602500</t>
  </si>
  <si>
    <t>laba tgl 8</t>
  </si>
  <si>
    <t>deposit 500x8900</t>
  </si>
  <si>
    <t>BI-Fast cv putra</t>
  </si>
  <si>
    <t>biaya pembangunan kantor</t>
  </si>
  <si>
    <t>bayar lebih timbang panah 530x8534</t>
  </si>
  <si>
    <t>Ragi 18x602500</t>
  </si>
  <si>
    <t>revisi harga pak ramin</t>
  </si>
  <si>
    <t>BI-Fast individu</t>
  </si>
  <si>
    <t>Dp terop</t>
  </si>
  <si>
    <t>mb yeni bayar lebih timbang</t>
  </si>
  <si>
    <t>dp panah</t>
  </si>
  <si>
    <t>Pak hatta magetan</t>
  </si>
  <si>
    <t>laba tgl 12</t>
  </si>
  <si>
    <t>bayar lebih timbang panah</t>
  </si>
  <si>
    <t>minyak 181000x800 + ongkir</t>
  </si>
  <si>
    <t>minyak 183000x800</t>
  </si>
  <si>
    <t>Tulip 3500x8600</t>
  </si>
  <si>
    <t>cashback DO sip 150mt</t>
  </si>
  <si>
    <t>Ragi 4x602500</t>
  </si>
  <si>
    <t>pot lebih bayar di hiu 150x2500</t>
  </si>
  <si>
    <t>beli lampu kantor</t>
  </si>
  <si>
    <t>bayar lebih timbang panah 200x8684</t>
  </si>
  <si>
    <t>revisi harga pak arif tgl 31/1</t>
  </si>
  <si>
    <t>laba tgl 15</t>
  </si>
  <si>
    <t>revisi harga pak arif tgl 12/2</t>
  </si>
  <si>
    <t>revisi harga SGR bu iin tgl 15/2</t>
  </si>
  <si>
    <t>pot harga SGR bu iin 10x8750</t>
  </si>
  <si>
    <t>pot harga SGR 10x8800</t>
  </si>
  <si>
    <t>saldo bri individu 532 berkurang</t>
  </si>
  <si>
    <t>lotus 9000x8450</t>
  </si>
  <si>
    <t>revisi harga toko sederhana tgl 31/1</t>
  </si>
  <si>
    <t>laba tgl 19</t>
  </si>
  <si>
    <t>revisi harga mb ida porong tgl 18/2</t>
  </si>
  <si>
    <t>Ragi 215x602500</t>
  </si>
  <si>
    <t>revisi harga pak jum tgl 18/2</t>
  </si>
  <si>
    <t>ongkos + kuli bongkar ragi</t>
  </si>
  <si>
    <t>Uang cash mas hery</t>
  </si>
  <si>
    <t>Ragi 209x602500</t>
  </si>
  <si>
    <t>interest on account</t>
  </si>
  <si>
    <t>tax</t>
  </si>
  <si>
    <t>Mb linda pinjam</t>
  </si>
  <si>
    <t>biaya adm individu 7834 &amp; 7878</t>
  </si>
  <si>
    <t>Uang cash pak anwar</t>
  </si>
  <si>
    <t>laba tgl 24</t>
  </si>
  <si>
    <t>Angkutan pinjam</t>
  </si>
  <si>
    <t>Bapak pinjam</t>
  </si>
  <si>
    <t>BI-Fast individu 7878</t>
  </si>
  <si>
    <t>Ragi 197x602500</t>
  </si>
  <si>
    <t>revisi harga hiu toko tgl 22/2</t>
  </si>
  <si>
    <t>laba tgl 25</t>
  </si>
  <si>
    <t>Hiu 7000x8700</t>
  </si>
  <si>
    <t>angsuran bri bisnis</t>
  </si>
  <si>
    <t>angsuran bri unit</t>
  </si>
  <si>
    <t>saldo bri 560 bertambah</t>
  </si>
  <si>
    <t>laba tgl 26</t>
  </si>
  <si>
    <t>laba tgl 27</t>
  </si>
  <si>
    <t>Fidiya Hurhayati S</t>
  </si>
  <si>
    <t>pak juwari</t>
  </si>
  <si>
    <t>Ragi 106x602500</t>
  </si>
  <si>
    <t>mb yeni bayar lebih timbang tgl 22/2</t>
  </si>
  <si>
    <t>gaji karyawan februari 25</t>
  </si>
  <si>
    <t>bayar BFI &amp; BRI an bayu adi angs ke 15</t>
  </si>
  <si>
    <t>bu iin bayar lebih timbang tgl 27/2 20x8450</t>
  </si>
  <si>
    <t>bunga rek individu 7834</t>
  </si>
  <si>
    <t>bunga rek individu 7878</t>
  </si>
  <si>
    <t>pajak bunga rek individu 7834</t>
  </si>
  <si>
    <t>pajak bunga rek individu 7878</t>
  </si>
  <si>
    <t>revisi harga pak ramin tgl 24/2</t>
  </si>
  <si>
    <t>mb yeni bayar lebih timbang tgl 27/2</t>
  </si>
  <si>
    <t>revisi harga ragi mb ida</t>
  </si>
  <si>
    <t>bu iin bayar lebih timbang tgl 1/3</t>
  </si>
  <si>
    <t>Ragi 88x602500</t>
  </si>
  <si>
    <t>revisi harga mas naji tgl 1/3</t>
  </si>
  <si>
    <t>abah slamet</t>
  </si>
  <si>
    <t>revisi harga pak arif tgl 13/2</t>
  </si>
  <si>
    <t>selendang 9000x8050</t>
  </si>
  <si>
    <t>Ragi 70x602500</t>
  </si>
  <si>
    <t>Uang cash abah kohar</t>
  </si>
  <si>
    <t>Ragi 66x602500</t>
  </si>
  <si>
    <t>Dp truk</t>
  </si>
  <si>
    <t>Ragi 56x602500</t>
  </si>
  <si>
    <t>revisi harga mas nanang</t>
  </si>
  <si>
    <t>Beli truk W 8707 DQ</t>
  </si>
  <si>
    <t>Ragi 44x602500</t>
  </si>
  <si>
    <t>bu yatini bayar lebih timbang panah tgl 3/2</t>
  </si>
  <si>
    <t>bu yatini bayar lebih timbang panah tgl 7/2</t>
  </si>
  <si>
    <t>bu yatini bayar lebih timbang panah tgl 8/2</t>
  </si>
  <si>
    <t>bu yatini bayar lebih timbang panah tgl 26/2</t>
  </si>
  <si>
    <t>Ragi 40x602500</t>
  </si>
  <si>
    <t>bu iin bayar lebih timbang tgl 10/3</t>
  </si>
  <si>
    <t>lebih tf pak arif</t>
  </si>
  <si>
    <t>revisi harga pak arif tgl 14/2</t>
  </si>
  <si>
    <t>revisi harga pak arif tgl 22/2</t>
  </si>
  <si>
    <t>Ragi 26x602500</t>
  </si>
  <si>
    <t>bu kusaimah</t>
  </si>
  <si>
    <t>mb yeni bayar lebih timbang tgl 5/3</t>
  </si>
  <si>
    <t>sip 9000x8300</t>
  </si>
  <si>
    <t>Ragi 24x602500</t>
  </si>
  <si>
    <t>Tukar uang baru</t>
  </si>
  <si>
    <t>bola 8500x8725</t>
  </si>
  <si>
    <t>Abah dori</t>
  </si>
  <si>
    <t>Ragi 298x602500</t>
  </si>
  <si>
    <t>revisi harga pak arif tgl 12/3</t>
  </si>
  <si>
    <t>Ragi 1x602500</t>
  </si>
  <si>
    <t>Ragi 280x602500</t>
  </si>
  <si>
    <t>mb yeni bayar lebih timbang tgl 10/3</t>
  </si>
  <si>
    <t>BI-Fast cv pbb + bri bisnis</t>
  </si>
  <si>
    <t>revisi harga mas eko tgl 10/3</t>
  </si>
  <si>
    <t>Ragi 258x602500</t>
  </si>
  <si>
    <t>pot harga pak zakaria</t>
  </si>
  <si>
    <t>panah 9000x8475</t>
  </si>
  <si>
    <t>THR kopti sepanjang</t>
  </si>
  <si>
    <t>panah 10000x8450</t>
  </si>
  <si>
    <t>Kopti sepanjang</t>
  </si>
  <si>
    <t>sip 9000x8250</t>
  </si>
  <si>
    <t>Tejo mojokerto</t>
  </si>
  <si>
    <t>Ragi 256x602500</t>
  </si>
  <si>
    <t>sip 9000x8450 + ongkir</t>
  </si>
  <si>
    <t>Hiu 9000x8675</t>
  </si>
  <si>
    <t>revisi harga hiu bu yatini</t>
  </si>
  <si>
    <t>hiu 9000x8650</t>
  </si>
  <si>
    <t>Ragi 2x602500</t>
  </si>
  <si>
    <t>Ragi 245x602500</t>
  </si>
  <si>
    <t>BI-Fast bri bisnis + individu</t>
  </si>
  <si>
    <t>biaya adm individu 7834 + 7878</t>
  </si>
  <si>
    <t>Deposit bu tutik barter BW</t>
  </si>
  <si>
    <t>sip 9000x8425 + ongkir</t>
  </si>
  <si>
    <t>Tomat 9000x8150 bu tutik</t>
  </si>
  <si>
    <t>mb yeni bayar lebih timbang tgl 15/3</t>
  </si>
  <si>
    <t>tomat/BW 9000x8200</t>
  </si>
  <si>
    <t>TSC ko tejo 9000x8300</t>
  </si>
  <si>
    <t>revisi harga pak arif tgl 17/3</t>
  </si>
  <si>
    <t>Ragi 243x602500</t>
  </si>
  <si>
    <t>gaji karyawan</t>
  </si>
  <si>
    <t>THR pengurus gudang</t>
  </si>
  <si>
    <t>pembayaran sisa kontrak kerja mb nayla pajak</t>
  </si>
  <si>
    <t>panah 9000x8450</t>
  </si>
  <si>
    <t>bayar spt tahun 2024 an suryo hadi</t>
  </si>
  <si>
    <t>bayar pph an bayu adi</t>
  </si>
  <si>
    <t>biaya adm cv pbb &amp;  spbb</t>
  </si>
  <si>
    <t>DB-Otomatis kliring cv spbb</t>
  </si>
  <si>
    <t>THR pak pendik sopir</t>
  </si>
  <si>
    <t>tambahan THR pak mantri</t>
  </si>
  <si>
    <t>bunga indv 7878</t>
  </si>
  <si>
    <t>pajak bunga indv 7834</t>
  </si>
  <si>
    <t>bunga indv 7834</t>
  </si>
  <si>
    <t>pajak bunga indv 7878</t>
  </si>
  <si>
    <t>Pak juwari</t>
  </si>
  <si>
    <t>BRI individu</t>
  </si>
  <si>
    <t>Bu yatini</t>
  </si>
  <si>
    <t>sip 9000x8600</t>
  </si>
  <si>
    <t>Ragi 233x602500</t>
  </si>
  <si>
    <t>bayar BFI &amp; BRI an bayu adi angs ke 16</t>
  </si>
  <si>
    <t>revisi harga pak nain</t>
  </si>
  <si>
    <t>Ragi 210x602500</t>
  </si>
  <si>
    <t>Uang cash pak nain &amp; abah komar</t>
  </si>
  <si>
    <t>Tomat ko tejo 9000x8650</t>
  </si>
  <si>
    <t>revisi laba pak sukari</t>
  </si>
  <si>
    <t>Ragi 205x602500</t>
  </si>
  <si>
    <t>revisi harga mas eko tgl 15/3</t>
  </si>
  <si>
    <t>bayar lebih timbang</t>
  </si>
  <si>
    <t>Saldo tertahan di BRI bisnis</t>
  </si>
  <si>
    <t>laba tgl 9</t>
  </si>
  <si>
    <t>Dp terop + bapak pinjam</t>
  </si>
  <si>
    <t>BI-Fast rek individu 7878</t>
  </si>
  <si>
    <t>tulip 9000x8850</t>
  </si>
  <si>
    <t>hiu 9000x9100</t>
  </si>
  <si>
    <t>tomat/BW 9000x8850</t>
  </si>
  <si>
    <t>hiu 18000x9100</t>
  </si>
  <si>
    <t>panah 8500x9150</t>
  </si>
  <si>
    <t>bu yatini bayar lebih timbang tgl 10/3</t>
  </si>
  <si>
    <t>bu yatini bayar lebih timbang tgl 18/3</t>
  </si>
  <si>
    <t>bu yatini bayar lebih timbang tgl 26/3</t>
  </si>
  <si>
    <t>tomat/BW 9000x8600</t>
  </si>
  <si>
    <t>beli token listrik kantor boteng</t>
  </si>
  <si>
    <t>hiu 9000x9150</t>
  </si>
  <si>
    <t>DO tomat bu tutik</t>
  </si>
  <si>
    <t>Ragi 203x602500</t>
  </si>
  <si>
    <t>uang BI-Fast kembali ke rek bri bisnis</t>
  </si>
  <si>
    <t>tulip 9000x8850 + ongkir</t>
  </si>
  <si>
    <t>hiu 9000x8425</t>
  </si>
  <si>
    <t>revisi harga mb ida porong</t>
  </si>
  <si>
    <t>laba tgl 11 + 12</t>
  </si>
  <si>
    <t>revisi laba kopti giri</t>
  </si>
  <si>
    <t>Bu kusaimah</t>
  </si>
  <si>
    <t>revisi harga pak arif tgl 18/3</t>
  </si>
  <si>
    <t>revisi harga pak arif tgl 27/3</t>
  </si>
  <si>
    <t>Pak arif</t>
  </si>
  <si>
    <t>hiu 9000x8800</t>
  </si>
  <si>
    <t>Uang cash ragi mas heri + pak nain</t>
  </si>
  <si>
    <t>Pak kasan</t>
  </si>
  <si>
    <t>DO tejo BW 9000x8650</t>
  </si>
  <si>
    <t>DO bu tutik BW 9000x8525</t>
  </si>
  <si>
    <t>Ragi 200x602500</t>
  </si>
  <si>
    <t>Ragi 196x602500</t>
  </si>
  <si>
    <t>mb yeni bayar lebih timbang tgl 4/4</t>
  </si>
  <si>
    <t>bapak bayar hutang dilebihkan</t>
  </si>
  <si>
    <t>Lebihan ongkir mb yeni</t>
  </si>
  <si>
    <t>tomat/bw 9000x8900</t>
  </si>
  <si>
    <t>revisi harga toni karangandong</t>
  </si>
  <si>
    <t>sip 9000x9250</t>
  </si>
  <si>
    <t>tomat/bw 9000x8850</t>
  </si>
  <si>
    <t>DO bu tutik BW</t>
  </si>
  <si>
    <t>Ragi 189x602500</t>
  </si>
  <si>
    <t>hiu 9000x9200</t>
  </si>
  <si>
    <t>Ragi 185x602500</t>
  </si>
  <si>
    <t>hiu 9000x9350</t>
  </si>
  <si>
    <t>Abah ran madiun</t>
  </si>
  <si>
    <t>Pak jamil ngawi</t>
  </si>
  <si>
    <t>hiu 9000x9250</t>
  </si>
  <si>
    <t>bola 10000x9350</t>
  </si>
  <si>
    <t>Pak jum ponorogo</t>
  </si>
  <si>
    <t>Bu eni</t>
  </si>
  <si>
    <t>Pak budi pinjam</t>
  </si>
  <si>
    <t>revisi harga pak arif tgl 8/4</t>
  </si>
  <si>
    <t>revisi harga mb ida tgl 10/4</t>
  </si>
  <si>
    <t>Tumpi 5000x3800</t>
  </si>
  <si>
    <t>revisi harga mb yeni/sukem</t>
  </si>
  <si>
    <t>uang cash pak nain kurang</t>
  </si>
  <si>
    <t>Hiu 10000x9000</t>
  </si>
  <si>
    <t>hiu 10000x9300</t>
  </si>
  <si>
    <t>Ragi 151x602500</t>
  </si>
  <si>
    <t>Ragi 159x602500</t>
  </si>
  <si>
    <t>Ragi 149x602500</t>
  </si>
  <si>
    <t>pak yoyok jombang bayar lebih timbang</t>
  </si>
  <si>
    <t>Deposit di bu tutik</t>
  </si>
  <si>
    <t>revisi harga pak arif tgl 16/4</t>
  </si>
  <si>
    <t>revisi harga pak arif tgl 21/4</t>
  </si>
  <si>
    <t>pelunasan angs bri bisnis</t>
  </si>
  <si>
    <t>Deposit di PT Terus Makmur Mandiri</t>
  </si>
  <si>
    <t>revisi harga pak arif tgl 24/4</t>
  </si>
  <si>
    <t>pot pencarian bri rek koran</t>
  </si>
  <si>
    <t>pencairan bri rek koran</t>
  </si>
  <si>
    <t>angs rek bri koran</t>
  </si>
  <si>
    <t>angs dana endapan 1</t>
  </si>
  <si>
    <t>angs dana endapan 2</t>
  </si>
  <si>
    <t>biaya asuransi pinjaman (BRI life)</t>
  </si>
  <si>
    <t>revisi harga ragi pak kasan</t>
  </si>
  <si>
    <t>BW bu tutik</t>
  </si>
  <si>
    <t>Uang cash mas heri</t>
  </si>
  <si>
    <t>lebih timbang panah</t>
  </si>
  <si>
    <t>laba tgl 29</t>
  </si>
  <si>
    <t>Ragi 134x602500</t>
  </si>
  <si>
    <t>DO bw bu tutik</t>
  </si>
  <si>
    <t>fee csr</t>
  </si>
  <si>
    <t>Deposit PT Terus Makmur Mandiri</t>
  </si>
  <si>
    <t>revisi harga mas eko tgl 19/4</t>
  </si>
  <si>
    <t>SA debit</t>
  </si>
  <si>
    <t>revisi harga pak ramin tgl 23 &amp; 24/4</t>
  </si>
  <si>
    <t>Stock BW di gudang</t>
  </si>
  <si>
    <t>hiu 9000x9300</t>
  </si>
  <si>
    <t>Ragi 127x602500</t>
  </si>
  <si>
    <t>kurang bayar pasal 29 cv surya</t>
  </si>
  <si>
    <t>kurang bayar pasal 29 cv putra</t>
  </si>
  <si>
    <t>ganti uang pribadi bapak untuk bayar angs bri 532</t>
  </si>
  <si>
    <t>gaji karyawan april 2025</t>
  </si>
  <si>
    <t>ganti uang bapak</t>
  </si>
  <si>
    <t>Pak sukari</t>
  </si>
  <si>
    <t>saldo 532 berkurang</t>
  </si>
  <si>
    <t>bowoh</t>
  </si>
  <si>
    <t>biaya adm cv spbb &amp; pbb</t>
  </si>
  <si>
    <t>bayar BFI &amp; BRI an bayu adi angs ke 17</t>
  </si>
  <si>
    <t>pak yoyok bayar lebih timbang tgl 30/4</t>
  </si>
  <si>
    <t>Ragi 121x602500</t>
  </si>
  <si>
    <t>biaya kliring</t>
  </si>
  <si>
    <t>laba tgl 2 + 3</t>
  </si>
  <si>
    <t>qris terpotong</t>
  </si>
  <si>
    <t>tunai</t>
  </si>
  <si>
    <t>bola 9000x9500</t>
  </si>
  <si>
    <t>panah 8500x9300</t>
  </si>
  <si>
    <t>Ragi 36x602500</t>
  </si>
  <si>
    <t>Beli truk DK 8772 QE</t>
  </si>
  <si>
    <t>mb yeni bayar lebih timbang tgl 21/4</t>
  </si>
  <si>
    <t>laba tgl 5 + 6</t>
  </si>
  <si>
    <t>pak yoyok bayar lebih timbang tgl 5/5</t>
  </si>
  <si>
    <t>tulip 9000x9100 + ongkir</t>
  </si>
  <si>
    <t>revisi harga abah slamet</t>
  </si>
  <si>
    <t>sip 9000x9150 + ongkir</t>
  </si>
  <si>
    <t>Ragi 32x602500</t>
  </si>
  <si>
    <t>Deposit menir 10000x4600</t>
  </si>
  <si>
    <t>revisi harga pak arif tgl 30/4</t>
  </si>
  <si>
    <t>panah 9000x9225</t>
  </si>
  <si>
    <t>bu iin bayar lebih timbang</t>
  </si>
  <si>
    <t>sip 9000x9150</t>
  </si>
  <si>
    <t>Ragi 17x602500</t>
  </si>
  <si>
    <t>Abah maskur</t>
  </si>
  <si>
    <t>uang cash bu herman minus</t>
  </si>
  <si>
    <t>hiu 9000x9225</t>
  </si>
  <si>
    <t>Ragi 7x602500</t>
  </si>
  <si>
    <t>pak yoyok bayar lebih timbang tgl 9/5</t>
  </si>
  <si>
    <t>mb yeni bayar lebih timbang tgl 5/5</t>
  </si>
  <si>
    <t>bu iin bayar lebih timbang tgl 10/5</t>
  </si>
  <si>
    <t>bayar pph cv pbb</t>
  </si>
  <si>
    <t>bayar pph cv spbb</t>
  </si>
  <si>
    <t>laba tgl 13 + 14</t>
  </si>
  <si>
    <t>revisi harga pak arif tgl 5/5</t>
  </si>
  <si>
    <t>revisi harga pak arif tgl 6/5</t>
  </si>
  <si>
    <t>PT Kabulinco Jaya</t>
  </si>
  <si>
    <t>Mb ti nganjuk</t>
  </si>
  <si>
    <t>Deposit di angkutan</t>
  </si>
  <si>
    <t>lotus 5000x9200</t>
  </si>
  <si>
    <t>Pak bukhori</t>
  </si>
  <si>
    <t>revisi harga mas eko tgl 28/4</t>
  </si>
  <si>
    <t>Ragi 283x602500</t>
  </si>
  <si>
    <t>lotus 8500x9150</t>
  </si>
  <si>
    <t>laba tgl 14 + 15</t>
  </si>
  <si>
    <t>BI-Fast rek 7834</t>
  </si>
  <si>
    <t>pak yoyok bayar lebih timbang panah tgl 14/5</t>
  </si>
  <si>
    <t>Uang cash pak yoyok</t>
  </si>
  <si>
    <t>lotus 9000x9150 + ongkir</t>
  </si>
  <si>
    <t>revisi harga tonase lotus bu tutik tgl 8/5</t>
  </si>
  <si>
    <t>laba tgl 16 + 17</t>
  </si>
  <si>
    <t>Ragi 279x602500</t>
  </si>
  <si>
    <t>mb yeni bayar lebih timbang tgl 9/5</t>
  </si>
  <si>
    <t>lotus 9000x9200</t>
  </si>
  <si>
    <t>Deposit hiu 9000x9300</t>
  </si>
  <si>
    <t>Ragi 274x602500</t>
  </si>
  <si>
    <t>Ragi 264x602500</t>
  </si>
  <si>
    <t>pencairan BRI unit</t>
  </si>
  <si>
    <t>biaya2 pencairan</t>
  </si>
  <si>
    <t>blokir saldo 1x angsuran</t>
  </si>
  <si>
    <t>pak yoyok bayar lebih timbang tgl 17/5</t>
  </si>
  <si>
    <t>Dp truk S 9344 ND</t>
  </si>
  <si>
    <t>revisi harga pak arif tgl 7/5</t>
  </si>
  <si>
    <t>revisi harga pak arif tgl 13/5</t>
  </si>
  <si>
    <t>monthly fee rek 560</t>
  </si>
  <si>
    <t>angs bri 560</t>
  </si>
  <si>
    <t>angs bri 560 (ganti uang rek bri pribadi bapak)</t>
  </si>
  <si>
    <t>laba tgl 19 + 20</t>
  </si>
  <si>
    <t>revisi harga mas eko tgl 6/5</t>
  </si>
  <si>
    <t>revisi harga abah saiful tgl 8/5</t>
  </si>
  <si>
    <t>revisi harga pak arif tgl 15/5</t>
  </si>
  <si>
    <t>revisi harga pak arif tgl 16/5</t>
  </si>
  <si>
    <t>Deposit prama 10000x9200</t>
  </si>
  <si>
    <t>mb yeni bayar lebih timbang tgl 10/5</t>
  </si>
  <si>
    <t>Ragi 260x602500</t>
  </si>
  <si>
    <t>pak yoyok bayar lebih timbang tgl 20/5</t>
  </si>
  <si>
    <t>Uang cash mas heri &amp; pak yoyok</t>
  </si>
  <si>
    <t>Dp mobil fortuner</t>
  </si>
  <si>
    <t>Deposit tumpi 5000x3800</t>
  </si>
  <si>
    <t>pak yoyok bayar lebih timbang tgl 22/5</t>
  </si>
  <si>
    <t>Ragi 251x602500</t>
  </si>
  <si>
    <t>interest on account bri 560</t>
  </si>
  <si>
    <t>tax bri 560</t>
  </si>
  <si>
    <t>revisi harga panah toko tgl 22/5</t>
  </si>
  <si>
    <t>trx qris + edc terpotong</t>
  </si>
  <si>
    <t>revisi harga menir pak arif tgl 16/5</t>
  </si>
  <si>
    <t>revisi harga tumpi pak arif tgl 20/5</t>
  </si>
  <si>
    <t>pak yoyok bayar lebih timbang tgl 23/5</t>
  </si>
  <si>
    <t>Deposit di TMM</t>
  </si>
  <si>
    <t>angs bri rek koran 560</t>
  </si>
  <si>
    <t>laba tgl 26 + 27</t>
  </si>
  <si>
    <t>pak yoyok bayar lebih timbang tgl 26/5</t>
  </si>
  <si>
    <t>Beli truk S 9344 ND + K 8094 IS</t>
  </si>
  <si>
    <t>revisi harga prama pak yanto</t>
  </si>
  <si>
    <t>lotus 9000x9250 + ongkir</t>
  </si>
  <si>
    <t>Mas anwar porong</t>
  </si>
  <si>
    <t xml:space="preserve">hiu </t>
  </si>
  <si>
    <t>Ragi 246x602500</t>
  </si>
  <si>
    <t>pak yoyok bayar lebih timbang tgl 28/5</t>
  </si>
  <si>
    <t>mb yeni bayar lebih timbang tgl 22/5</t>
  </si>
  <si>
    <t>revisi harga pak arif tgl 22/5</t>
  </si>
  <si>
    <t>revisi harga pak arif tgl 23/5</t>
  </si>
  <si>
    <t>revisi harga pak arif tgl 24/5</t>
  </si>
  <si>
    <t>laba tgl 30 + 31</t>
  </si>
  <si>
    <t>biaya adm tf ke bank lain bri bisnis</t>
  </si>
  <si>
    <t>gaji karyawan mei 2025</t>
  </si>
  <si>
    <t>adm kliring cv surya</t>
  </si>
  <si>
    <t>Ragi 229x602500</t>
  </si>
  <si>
    <t>biaya adm cv spbb + cv pbb</t>
  </si>
  <si>
    <t>bunga rek indv 7878</t>
  </si>
  <si>
    <t>bunga rek indv 7834</t>
  </si>
  <si>
    <t>pajak bunga rek indv 7878</t>
  </si>
  <si>
    <t>pajak bunga rek indv 7834</t>
  </si>
  <si>
    <t>angs bri unit ke 1 an bayu adi</t>
  </si>
  <si>
    <t>angs BFI ke 18 an bayu adi</t>
  </si>
  <si>
    <t>barter hiu</t>
  </si>
  <si>
    <t>selendang 9000x9100</t>
  </si>
  <si>
    <t>Ragi 223x602500</t>
  </si>
  <si>
    <t>pak yoyok bayar lebih timbang panah tgl 2/6</t>
  </si>
  <si>
    <t>revisi harga jempol sip abah slamet tgl 30/5</t>
  </si>
  <si>
    <t>selendang 9000x9050 + ongkir</t>
  </si>
  <si>
    <t>hiu 9000x9250 + ongkir</t>
  </si>
  <si>
    <t>jempol sip 9000x9225 + ongkir</t>
  </si>
  <si>
    <t>pak yoyok bayar lebih timbang panah tgl 3/6</t>
  </si>
  <si>
    <t>Ragi 213x602500</t>
  </si>
  <si>
    <t>Beli L300 L 8921 AAD</t>
  </si>
  <si>
    <t>revisi harga pak arif tgl 26/5</t>
  </si>
  <si>
    <t>laba tgl 4 + 5</t>
  </si>
  <si>
    <t>Deposit di hiu 4500x100</t>
  </si>
  <si>
    <t>revisi harga ragi pak juwari tgl 2/6</t>
  </si>
  <si>
    <t>BI-Fast rek bri 560</t>
  </si>
  <si>
    <t>Bayar notaris</t>
  </si>
  <si>
    <t>Deposit di Kabulinco 200x9000</t>
  </si>
  <si>
    <t>revisi harga pak arif tgl 28/5</t>
  </si>
  <si>
    <t>revisi harga pak arif tgl 30/5</t>
  </si>
  <si>
    <t>mb yeni bayar lebih timbang tgl 28/5</t>
  </si>
  <si>
    <t>pak yoyok bayar lebih timbang tgl 9/6</t>
  </si>
  <si>
    <t>Pembayaran tanah</t>
  </si>
  <si>
    <t xml:space="preserve">laba ragi </t>
  </si>
  <si>
    <t>pak yoyok bayar lebih timbang tgl 10/6</t>
  </si>
  <si>
    <t>bu yatini bayar lebih timbang</t>
  </si>
  <si>
    <t>Ragi 199x602500</t>
  </si>
  <si>
    <t>bayar kontrak mb nayla periode jan-jun 2025</t>
  </si>
  <si>
    <t>mb yeni bayar lebih timbang tgl 2/6</t>
  </si>
  <si>
    <t>pak yoyok bayar lebih timbang tgl 11/6</t>
  </si>
  <si>
    <t>Ragi 169x602500</t>
  </si>
  <si>
    <t>Bw bu tutik 3000x9225</t>
  </si>
  <si>
    <t>revisi harga pak arif tgl 5/6</t>
  </si>
  <si>
    <t>revisi harga pak arif tgl 7/6</t>
  </si>
  <si>
    <t>Toko putra bumi berkah blitar</t>
  </si>
  <si>
    <t>pak yoyok bayar lebih timbang tgl 13/6</t>
  </si>
  <si>
    <t>pak yoyok bayar lebih timbang tgl 14/6</t>
  </si>
  <si>
    <t>bu iin bayar lebih timbang tgl 14/6</t>
  </si>
  <si>
    <t>lotus 5000x9150</t>
  </si>
  <si>
    <t>revisi tonase bu iin tgl 14/6</t>
  </si>
  <si>
    <t>Ragi 154x602500</t>
  </si>
  <si>
    <t>Ellsandy rahardian</t>
  </si>
  <si>
    <t>Ragi 150x602500</t>
  </si>
  <si>
    <t>pak yoyok bayar lebih timbang panah tgl 17/6</t>
  </si>
  <si>
    <t>revisi harga sip bu yatini tgl 10 &amp; 16/6</t>
  </si>
  <si>
    <t>pak yoyok bayar lebih timbang panah tgl 18/6</t>
  </si>
  <si>
    <t>Deposit bola 1000x9300</t>
  </si>
  <si>
    <t>Pak yoyok</t>
  </si>
  <si>
    <t>laba tgl 20</t>
  </si>
  <si>
    <t>bu iin bayar lebih timbang tgl 18/6</t>
  </si>
  <si>
    <t>angs bri unit</t>
  </si>
  <si>
    <t>Bapak pinjam dari rek bri 560</t>
  </si>
  <si>
    <t>Mb yeni bayar lebih timbang tgl 11/6</t>
  </si>
  <si>
    <t>trx edc</t>
  </si>
  <si>
    <t>trx qris</t>
  </si>
  <si>
    <t>interest on account bri bisnis</t>
  </si>
  <si>
    <t>tax bri bisnis</t>
  </si>
  <si>
    <t>monthly fee ATM + admin fee</t>
  </si>
  <si>
    <t>Ragi 128x602500</t>
  </si>
  <si>
    <t>Ragi 8x602500</t>
  </si>
  <si>
    <t>Deposit di hiu 50x1000</t>
  </si>
  <si>
    <t>pak yoyok bayar lebih timbang tgl 23/6</t>
  </si>
  <si>
    <t>revisi harga pak arif tgl 10/6</t>
  </si>
  <si>
    <t>Angkutan pinjam bri 560</t>
  </si>
  <si>
    <t>beli pulsa axis</t>
  </si>
  <si>
    <t>Ragi 74x602500</t>
  </si>
  <si>
    <t>pak yoyok bayar lebih timbang tgl 24/6</t>
  </si>
  <si>
    <t>mb yeni bayar lebih timbang tgl 17/6</t>
  </si>
  <si>
    <t>Mas eko</t>
  </si>
  <si>
    <t>selendang 9000x8950 + ongkir</t>
  </si>
  <si>
    <t>bayar asuransi brilife</t>
  </si>
  <si>
    <t>pak yoyok bayar lebih timbang tgl 26/6</t>
  </si>
  <si>
    <t>mb yeni bayar lebih timbang tgl 18/6</t>
  </si>
  <si>
    <t>jempol sip 9000x8850</t>
  </si>
  <si>
    <t>revisi harga abah qomar/ran tgl 26/6</t>
  </si>
  <si>
    <t>Angkutan pinjam rek ragi</t>
  </si>
  <si>
    <t>Ragi 59x602500</t>
  </si>
  <si>
    <t>biaya adm kliring cv spbb</t>
  </si>
  <si>
    <t>biaya adm cv pbb &amp; spbb</t>
  </si>
  <si>
    <t>angs bri unit ke 2 an bayu adi</t>
  </si>
  <si>
    <t>angs BFI ke 19 an bayu adi</t>
  </si>
  <si>
    <t>angs BFI ke 1 an suryo hadi</t>
  </si>
  <si>
    <t>angs TAF ke 1 an suryo hadi</t>
  </si>
  <si>
    <t>biaya adm tf ke bank lain cv pbb</t>
  </si>
  <si>
    <t>dp truk</t>
  </si>
  <si>
    <t>Nuril huda</t>
  </si>
  <si>
    <t>revisi harga hiu mb yeni tgl 30/6</t>
  </si>
  <si>
    <t>sintanola 9000x9000</t>
  </si>
  <si>
    <t>Ragi 54x602500</t>
  </si>
  <si>
    <t>gaji mb nayla bulan juli 2025</t>
  </si>
  <si>
    <t>jempol sip 9000x9000</t>
  </si>
  <si>
    <t>jempol sip 9000x8750</t>
  </si>
  <si>
    <t>Toko putra blitar</t>
  </si>
  <si>
    <t>panah 9000x8950</t>
  </si>
  <si>
    <t>revisi harga pak arif tgl 11/6</t>
  </si>
  <si>
    <t>bu iin bayar lebih timbang tgl 1 &amp; 3/7</t>
  </si>
  <si>
    <t>Deposit sip 9000x8750</t>
  </si>
  <si>
    <t>mb yeni bayar lebih timbang tgl 25/6</t>
  </si>
  <si>
    <t>bu iin bayar lebih timbang tgl 5/7</t>
  </si>
  <si>
    <t>pak yoyok bayar lebih timbang tgl 5/7</t>
  </si>
  <si>
    <t>sip 9000x8800 + ongkir</t>
  </si>
  <si>
    <t>Beli truk S 9344 ND</t>
  </si>
  <si>
    <t>Ragi 37x602500</t>
  </si>
  <si>
    <t>Ragi 31x602500</t>
  </si>
  <si>
    <t>DO BW bu tutik 9000x9225</t>
  </si>
  <si>
    <t>Beli truk S 9509 NG</t>
  </si>
  <si>
    <t>revisi harga pak arif tgl 17/6</t>
  </si>
  <si>
    <t>revisi harga pak arif tgl 24/6</t>
  </si>
  <si>
    <t>revisi harga abah maskur tgl 3/7</t>
  </si>
  <si>
    <t>pak yoyok bayar lebih timbang tgl 8/7</t>
  </si>
  <si>
    <t>Ragi 284x602500</t>
  </si>
  <si>
    <t>panah 9000x8875 + ongkir</t>
  </si>
  <si>
    <t>panah 9000x8900</t>
  </si>
  <si>
    <t>revisi harga pak arif tgl 2/7</t>
  </si>
  <si>
    <t>revisi harga pak arif tgl 7/7</t>
  </si>
  <si>
    <t>pak yoyok bayar lebih timbang tgl 10/7</t>
  </si>
  <si>
    <t>Ragi 270x602500</t>
  </si>
  <si>
    <t>pak yoyok bayar lebih timbang tgl 12/7</t>
  </si>
  <si>
    <t>mb yeni bayar lebih timbang tgl 3/7</t>
  </si>
  <si>
    <t>revisi harga mas eko tgl 5/7</t>
  </si>
  <si>
    <t>Ragi 193x602500</t>
  </si>
  <si>
    <t>cashback BW bu tutik (525x9225)</t>
  </si>
  <si>
    <t>bu iin bayar lebih timbang tgl 14/7</t>
  </si>
  <si>
    <t>panah 18000x8800</t>
  </si>
  <si>
    <t>pak yoyok bayar lebih timbang tgl 16/7</t>
  </si>
  <si>
    <t>Deposit menir FKS 12000x600</t>
  </si>
  <si>
    <t>Ragi 183x602500</t>
  </si>
  <si>
    <t>mb yeni bayar lebih timbang tgl 5/7</t>
  </si>
  <si>
    <t>Deposit sip pak nanang 9000x8575</t>
  </si>
  <si>
    <t>Ragi 168x602500</t>
  </si>
  <si>
    <t>Bapak pinjam rek ragi</t>
  </si>
  <si>
    <t>revisi harga pak arif tgl 9/7</t>
  </si>
  <si>
    <t>revisi harga pak arif tgl 10/7</t>
  </si>
  <si>
    <t>Ragi 153x602500</t>
  </si>
  <si>
    <t>pak yoyok bayar lebih timbang tgl 21/7</t>
  </si>
  <si>
    <t>Ragi 124x602500</t>
  </si>
  <si>
    <t>menir 8000x4300</t>
  </si>
  <si>
    <t>Bu nina</t>
  </si>
  <si>
    <t>Ragi 117x602500</t>
  </si>
  <si>
    <t>dp penambahan program di sistem</t>
  </si>
  <si>
    <t>Prama 9000x8550</t>
  </si>
  <si>
    <t>sisa pencairan trihamas</t>
  </si>
  <si>
    <t>fee yayan bimo saktiawan</t>
  </si>
  <si>
    <t>fee menir pak itak</t>
  </si>
  <si>
    <t>fee menir ardi gudang</t>
  </si>
  <si>
    <t>mb yeni bayar lebih timbang tgl 16/7</t>
  </si>
  <si>
    <t>angs rek koran bri bisnis</t>
  </si>
  <si>
    <t>revisi harga pak arif tgl 16/7</t>
  </si>
  <si>
    <t>Ragi 38x602500</t>
  </si>
  <si>
    <t>selendang 9000x8525</t>
  </si>
  <si>
    <t>sip 9000x8575</t>
  </si>
  <si>
    <t>revisi tonase + laba mas eko tgl 23/7</t>
  </si>
  <si>
    <t>lotus 5000x8650</t>
  </si>
  <si>
    <t>service rutin innova</t>
  </si>
  <si>
    <t>beli token gudang</t>
  </si>
  <si>
    <t>Deposit hiu 9000x8750</t>
  </si>
  <si>
    <t>Ragi 306x602500</t>
  </si>
  <si>
    <t>Mb nur</t>
  </si>
  <si>
    <t>Deposit tumpi 1180x3800</t>
  </si>
  <si>
    <t>revisi laba pak arif tgl 25/7</t>
  </si>
  <si>
    <t>Ragi 296x602500</t>
  </si>
  <si>
    <t>revisi harga pak jum tgl 30/7</t>
  </si>
  <si>
    <t>gaji karyawan bulan juli 2025</t>
  </si>
  <si>
    <t>BI-fast cv putra</t>
  </si>
  <si>
    <t>gaji karyawan bulan juni 2025</t>
  </si>
  <si>
    <t>biaya adm cv pbb &amp; cv spbb</t>
  </si>
  <si>
    <t>pak sukem bayar lebih timbang tgl 23/7</t>
  </si>
  <si>
    <t>angs bri unit ke 3 an bayu adi</t>
  </si>
  <si>
    <t>angs BFI ke 20 an bayu adi</t>
  </si>
  <si>
    <t>angs BFI ke 2 an suryo hadi</t>
  </si>
  <si>
    <t>angs trihamas ke 1 an suryo hadi</t>
  </si>
  <si>
    <t>angs TAF ke 2 an suryo hadi</t>
  </si>
  <si>
    <t>biaya adm tf ke bank lain</t>
  </si>
  <si>
    <t>Ragi 294x602500</t>
  </si>
  <si>
    <t>bu iin bayar lebih timbang tgl 4/8</t>
  </si>
  <si>
    <t>Ragi 0x602500</t>
  </si>
  <si>
    <t>revisi harga panah bu tutik tgl 30/7</t>
  </si>
  <si>
    <t>sip 9000x8400</t>
  </si>
  <si>
    <t>revisi harga pak arif tgl 18/7</t>
  </si>
  <si>
    <t>revisi harga pak arif tgl 24/7</t>
  </si>
  <si>
    <t>angs BFI ke 1 an suryo hadi (A 8379 CO)</t>
  </si>
  <si>
    <t>Ragi 262x602500</t>
  </si>
  <si>
    <t>revisi harga pak arif tgl 25/7</t>
  </si>
  <si>
    <t>mb yeni bayar lebih timbang tgl 28/7</t>
  </si>
  <si>
    <t>selendang 9000x8550</t>
  </si>
  <si>
    <t>pak yoyok bayar lebih timbang tgl 11/8</t>
  </si>
  <si>
    <t>Deposit sip DO andra 1000x8300</t>
  </si>
  <si>
    <t>sip 9000x8450</t>
  </si>
  <si>
    <t>pot pak zakaria</t>
  </si>
  <si>
    <t>biaya adm pencairan BRI</t>
  </si>
  <si>
    <t>biaya materai BRI</t>
  </si>
  <si>
    <t>Ragi 255x602500</t>
  </si>
  <si>
    <t>panah 9000x8600</t>
  </si>
  <si>
    <t>Ragi 237x602500</t>
  </si>
  <si>
    <t>prama 10000x8400</t>
  </si>
  <si>
    <t>Bu prapti</t>
  </si>
  <si>
    <t>bagi hail bu tutik</t>
  </si>
  <si>
    <t>lotus 5000x8700</t>
  </si>
  <si>
    <t>ragi 2dus</t>
  </si>
  <si>
    <t>revisi harga pak arif tgl 30/7</t>
  </si>
  <si>
    <t>revisi harga pak arif tgl 31/7</t>
  </si>
  <si>
    <t>Bayar kontrak blitar</t>
  </si>
  <si>
    <t>Ragi 224x602500</t>
  </si>
  <si>
    <t>interest on account bisnis</t>
  </si>
  <si>
    <t>interest on account 560</t>
  </si>
  <si>
    <t>monthly fee ATM &amp; admin fee 560</t>
  </si>
  <si>
    <t>biaya SMS bri 560</t>
  </si>
  <si>
    <t>angsuran bank jatim ke 1</t>
  </si>
  <si>
    <t>panah 10000x8650</t>
  </si>
  <si>
    <t>Pak sugianto ngawi</t>
  </si>
  <si>
    <t>revisi harga mas eko tgl 11/8</t>
  </si>
  <si>
    <t>angs bri bisnis</t>
  </si>
  <si>
    <t>saldo bri bisnis terpotong</t>
  </si>
  <si>
    <t>Ragi 222x602500</t>
  </si>
  <si>
    <t>Deposit menir 10000x3800</t>
  </si>
  <si>
    <t>revisi harga DO selendang</t>
  </si>
  <si>
    <t>mb yeni bayar lebih timbang tgl 12/8</t>
  </si>
  <si>
    <t>Ragi 216x602500</t>
  </si>
  <si>
    <t>angs rek koran 562</t>
  </si>
  <si>
    <t>revisi harga tejo tgl 28/8</t>
  </si>
  <si>
    <t>Dp truk pak hasan</t>
  </si>
  <si>
    <t>revisi harga selendang bu kasmi tgl 29/8</t>
  </si>
  <si>
    <t>Ragi 9x602500</t>
  </si>
  <si>
    <t>Ragi 198x602500</t>
  </si>
  <si>
    <t>gaji karyawan bulan agustus 2025</t>
  </si>
  <si>
    <t>biaya adm rek cv spbb &amp; pbb</t>
  </si>
  <si>
    <t>BI-Fast rek indv 7878</t>
  </si>
  <si>
    <t>angs BRI bisnis ?</t>
  </si>
  <si>
    <t>revisi harga pak arif tgl 13/8</t>
  </si>
  <si>
    <t>angs BFI ke 21 an bayu adi</t>
  </si>
  <si>
    <t>angs trihamas ke 2 an suryo hadi</t>
  </si>
  <si>
    <t>angs BFI ke 3 an suryo hadi (L300)</t>
  </si>
  <si>
    <t>angs BFI ke 2 an suryo hadi (A 8379 CO)</t>
  </si>
  <si>
    <t>angs TAF ke 3 an suryo hadi</t>
  </si>
  <si>
    <t>revisi harga pak ramin tgl 19 &amp; 22/8</t>
  </si>
  <si>
    <t>angs BRI ke 4 an bayu adi</t>
  </si>
  <si>
    <t>dp menir</t>
  </si>
  <si>
    <t>Mas naji demak</t>
  </si>
  <si>
    <t>Ragi 188x602500</t>
  </si>
  <si>
    <t>Ragi 184x602500</t>
  </si>
  <si>
    <t>sip 9000x8400 + ongkir</t>
  </si>
  <si>
    <t>Ragi 10dus</t>
  </si>
  <si>
    <t>revisi harga lotus tgl 19/8</t>
  </si>
  <si>
    <t>Ragi 174x602500</t>
  </si>
  <si>
    <t>biaya operasional bapak</t>
  </si>
  <si>
    <t>mb yeni bayar lebih timbang tgl 28/8</t>
  </si>
  <si>
    <t>pak yoyok bayar lebih timbang tgl 6/9</t>
  </si>
  <si>
    <t>Ragi 162x602500</t>
  </si>
  <si>
    <t>beli token rumah</t>
  </si>
  <si>
    <t>selendang 7000x8425</t>
  </si>
  <si>
    <t>revisi harga mas naji tgl 3/9 2rit</t>
  </si>
  <si>
    <t>Ragi 87x602500</t>
  </si>
  <si>
    <t>Beli truk pak hasan W 8358 NZ</t>
  </si>
  <si>
    <t>Ragi 82x602500</t>
  </si>
  <si>
    <t>Deposit hiu 2500x8600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</si>
</sst>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  <numFmt numFmtId="165" formatCode="[$-409]d\-mmm\-yy;@"/>
  </numFmts>
  <fonts count="13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charset val="1"/>
      <scheme val="minor"/>
    </font>
    <font>
      <b/>
      <sz val="11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charset val="1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44" fontId="0" fillId="0" borderId="0" xfId="1" applyFont="1"/>
    <xf numFmtId="0" fontId="0" fillId="0" borderId="0" xfId="0" applyAlignment="1">
      <alignment horizontal="left"/>
    </xf>
    <xf numFmtId="0" fontId="0" fillId="0" borderId="1" xfId="0" applyBorder="1"/>
    <xf numFmtId="0" fontId="2" fillId="2" borderId="0" xfId="0" applyFont="1" applyFill="1"/>
    <xf numFmtId="0" fontId="3" fillId="0" borderId="0" xfId="0" applyFont="1"/>
    <xf numFmtId="164" fontId="0" fillId="0" borderId="0" xfId="1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/>
    <xf numFmtId="164" fontId="2" fillId="3" borderId="1" xfId="1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164" fontId="2" fillId="4" borderId="1" xfId="1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3" xfId="0" applyBorder="1"/>
    <xf numFmtId="0" fontId="0" fillId="0" borderId="4" xfId="0" applyBorder="1"/>
    <xf numFmtId="44" fontId="0" fillId="0" borderId="5" xfId="1" applyFont="1" applyBorder="1"/>
    <xf numFmtId="0" fontId="0" fillId="0" borderId="6" xfId="0" applyBorder="1"/>
    <xf numFmtId="44" fontId="0" fillId="0" borderId="8" xfId="1" applyFont="1" applyBorder="1" applyAlignment="1">
      <alignment horizontal="right"/>
    </xf>
    <xf numFmtId="44" fontId="0" fillId="0" borderId="8" xfId="1" applyFont="1" applyBorder="1"/>
    <xf numFmtId="44" fontId="0" fillId="0" borderId="7" xfId="1" applyFont="1" applyBorder="1"/>
    <xf numFmtId="0" fontId="0" fillId="0" borderId="9" xfId="0" applyBorder="1"/>
    <xf numFmtId="0" fontId="0" fillId="0" borderId="2" xfId="0" applyBorder="1"/>
    <xf numFmtId="0" fontId="6" fillId="0" borderId="6" xfId="0" applyFont="1" applyBorder="1"/>
    <xf numFmtId="0" fontId="6" fillId="0" borderId="0" xfId="0" applyFont="1"/>
    <xf numFmtId="44" fontId="2" fillId="5" borderId="8" xfId="1" applyFont="1" applyFill="1" applyBorder="1"/>
    <xf numFmtId="0" fontId="2" fillId="0" borderId="0" xfId="0" applyFont="1"/>
    <xf numFmtId="0" fontId="4" fillId="5" borderId="0" xfId="0" applyFont="1" applyFill="1"/>
    <xf numFmtId="0" fontId="2" fillId="5" borderId="0" xfId="0" applyFont="1" applyFill="1"/>
    <xf numFmtId="44" fontId="2" fillId="5" borderId="0" xfId="1" applyFont="1" applyFill="1"/>
    <xf numFmtId="44" fontId="2" fillId="6" borderId="0" xfId="1" applyFont="1" applyFill="1"/>
    <xf numFmtId="14" fontId="0" fillId="0" borderId="1" xfId="0" applyNumberFormat="1" applyBorder="1" applyAlignment="1">
      <alignment horizontal="center"/>
    </xf>
    <xf numFmtId="44" fontId="7" fillId="0" borderId="7" xfId="1" applyFont="1" applyBorder="1" applyAlignment="1">
      <alignment horizontal="right"/>
    </xf>
    <xf numFmtId="0" fontId="2" fillId="4" borderId="0" xfId="0" applyFont="1" applyFill="1"/>
    <xf numFmtId="44" fontId="2" fillId="7" borderId="0" xfId="1" applyFont="1" applyFill="1"/>
    <xf numFmtId="0" fontId="2" fillId="6" borderId="0" xfId="0" applyFont="1" applyFill="1"/>
    <xf numFmtId="44" fontId="2" fillId="8" borderId="0" xfId="1" applyFont="1" applyFill="1"/>
    <xf numFmtId="44" fontId="3" fillId="0" borderId="0" xfId="1" applyFont="1" applyFill="1"/>
    <xf numFmtId="44" fontId="0" fillId="0" borderId="0" xfId="0" applyNumberFormat="1"/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13.xml"/><Relationship Id="rId42" Type="http://schemas.microsoft.com/office/2017/10/relationships/person" Target="persons/person28.xml"/><Relationship Id="rId47" Type="http://schemas.microsoft.com/office/2017/10/relationships/person" Target="persons/person32.xml"/><Relationship Id="rId63" Type="http://schemas.microsoft.com/office/2017/10/relationships/person" Target="persons/person50.xml"/><Relationship Id="rId68" Type="http://schemas.microsoft.com/office/2017/10/relationships/person" Target="persons/person55.xml"/><Relationship Id="rId2" Type="http://schemas.openxmlformats.org/officeDocument/2006/relationships/worksheet" Target="worksheets/sheet2.xml"/><Relationship Id="rId29" Type="http://schemas.microsoft.com/office/2017/10/relationships/person" Target="persons/person15.xml"/><Relationship Id="rId11" Type="http://schemas.openxmlformats.org/officeDocument/2006/relationships/worksheet" Target="worksheets/sheet11.xml"/><Relationship Id="rId32" Type="http://schemas.microsoft.com/office/2017/10/relationships/person" Target="persons/person3.xml"/><Relationship Id="rId37" Type="http://schemas.microsoft.com/office/2017/10/relationships/person" Target="persons/person22.xml"/><Relationship Id="rId53" Type="http://schemas.microsoft.com/office/2017/10/relationships/person" Target="persons/person39.xml"/><Relationship Id="rId58" Type="http://schemas.microsoft.com/office/2017/10/relationships/person" Target="persons/person43.xml"/><Relationship Id="rId74" Type="http://schemas.microsoft.com/office/2017/10/relationships/person" Target="persons/person1.xml"/><Relationship Id="rId79" Type="http://schemas.microsoft.com/office/2017/10/relationships/person" Target="persons/person5.xml"/><Relationship Id="rId40" Type="http://schemas.microsoft.com/office/2017/10/relationships/person" Target="persons/person27.xml"/><Relationship Id="rId24" Type="http://schemas.microsoft.com/office/2017/10/relationships/person" Target="persons/person10.xml"/><Relationship Id="rId45" Type="http://schemas.microsoft.com/office/2017/10/relationships/person" Target="persons/person31.xml"/><Relationship Id="rId66" Type="http://schemas.microsoft.com/office/2017/10/relationships/person" Target="persons/person52.xml"/><Relationship Id="rId5" Type="http://schemas.openxmlformats.org/officeDocument/2006/relationships/worksheet" Target="worksheets/sheet5.xml"/><Relationship Id="rId61" Type="http://schemas.microsoft.com/office/2017/10/relationships/person" Target="persons/person47.xml"/><Relationship Id="rId82" Type="http://schemas.microsoft.com/office/2017/10/relationships/person" Target="persons/person6.xml"/><Relationship Id="rId14" Type="http://schemas.openxmlformats.org/officeDocument/2006/relationships/sharedStrings" Target="sharedStrings.xml"/><Relationship Id="rId27" Type="http://schemas.microsoft.com/office/2017/10/relationships/person" Target="persons/person8.xml"/><Relationship Id="rId69" Type="http://schemas.microsoft.com/office/2017/10/relationships/person" Target="persons/person2.xml"/><Relationship Id="rId35" Type="http://schemas.microsoft.com/office/2017/10/relationships/person" Target="persons/person25.xml"/><Relationship Id="rId30" Type="http://schemas.microsoft.com/office/2017/10/relationships/person" Target="persons/person18.xml"/><Relationship Id="rId43" Type="http://schemas.microsoft.com/office/2017/10/relationships/person" Target="persons/person29.xml"/><Relationship Id="rId48" Type="http://schemas.microsoft.com/office/2017/10/relationships/person" Target="persons/person34.xml"/><Relationship Id="rId56" Type="http://schemas.microsoft.com/office/2017/10/relationships/person" Target="persons/person42.xml"/><Relationship Id="rId64" Type="http://schemas.microsoft.com/office/2017/10/relationships/person" Target="persons/person51.xml"/><Relationship Id="rId77" Type="http://schemas.microsoft.com/office/2017/10/relationships/person" Target="persons/person46.xml"/><Relationship Id="rId8" Type="http://schemas.openxmlformats.org/officeDocument/2006/relationships/worksheet" Target="worksheets/sheet8.xml"/><Relationship Id="rId80" Type="http://schemas.microsoft.com/office/2017/10/relationships/person" Target="persons/person12.xml"/><Relationship Id="rId72" Type="http://schemas.microsoft.com/office/2017/10/relationships/person" Target="persons/person56.xml"/><Relationship Id="rId51" Type="http://schemas.microsoft.com/office/2017/10/relationships/person" Target="persons/person37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59" Type="http://schemas.microsoft.com/office/2017/10/relationships/person" Target="persons/person48.xml"/><Relationship Id="rId46" Type="http://schemas.microsoft.com/office/2017/10/relationships/person" Target="persons/person33.xml"/><Relationship Id="rId25" Type="http://schemas.microsoft.com/office/2017/10/relationships/person" Target="persons/person11.xml"/><Relationship Id="rId33" Type="http://schemas.microsoft.com/office/2017/10/relationships/person" Target="persons/person16.xml"/><Relationship Id="rId38" Type="http://schemas.microsoft.com/office/2017/10/relationships/person" Target="persons/person23.xml"/><Relationship Id="rId67" Type="http://schemas.microsoft.com/office/2017/10/relationships/person" Target="persons/person54.xml"/><Relationship Id="rId75" Type="http://schemas.microsoft.com/office/2017/10/relationships/person" Target="persons/person7.xml"/><Relationship Id="rId70" Type="http://schemas.microsoft.com/office/2017/10/relationships/person" Target="persons/person0.xml"/><Relationship Id="rId54" Type="http://schemas.microsoft.com/office/2017/10/relationships/person" Target="persons/person41.xml"/><Relationship Id="rId41" Type="http://schemas.microsoft.com/office/2017/10/relationships/person" Target="persons/person26.xml"/><Relationship Id="rId62" Type="http://schemas.microsoft.com/office/2017/10/relationships/person" Target="persons/person4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calcChain" Target="calcChain.xml"/><Relationship Id="rId57" Type="http://schemas.microsoft.com/office/2017/10/relationships/person" Target="persons/person44.xml"/><Relationship Id="rId23" Type="http://schemas.microsoft.com/office/2017/10/relationships/person" Target="persons/person9.xml"/><Relationship Id="rId28" Type="http://schemas.microsoft.com/office/2017/10/relationships/person" Target="persons/person14.xml"/><Relationship Id="rId36" Type="http://schemas.microsoft.com/office/2017/10/relationships/person" Target="persons/person21.xml"/><Relationship Id="rId49" Type="http://schemas.microsoft.com/office/2017/10/relationships/person" Target="persons/person35.xml"/><Relationship Id="rId10" Type="http://schemas.openxmlformats.org/officeDocument/2006/relationships/worksheet" Target="worksheets/sheet10.xml"/><Relationship Id="rId81" Type="http://schemas.microsoft.com/office/2017/10/relationships/person" Target="persons/person20.xml"/><Relationship Id="rId78" Type="http://schemas.microsoft.com/office/2017/10/relationships/person" Target="persons/person4.xml"/><Relationship Id="rId73" Type="http://schemas.microsoft.com/office/2017/10/relationships/person" Target="persons/person57.xml"/><Relationship Id="rId65" Type="http://schemas.microsoft.com/office/2017/10/relationships/person" Target="persons/person53.xml"/><Relationship Id="rId31" Type="http://schemas.microsoft.com/office/2017/10/relationships/person" Target="persons/person17.xml"/><Relationship Id="rId44" Type="http://schemas.microsoft.com/office/2017/10/relationships/person" Target="persons/person30.xml"/><Relationship Id="rId52" Type="http://schemas.microsoft.com/office/2017/10/relationships/person" Target="persons/person38.xml"/><Relationship Id="rId60" Type="http://schemas.microsoft.com/office/2017/10/relationships/person" Target="persons/person4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styles" Target="styles.xml"/><Relationship Id="rId39" Type="http://schemas.microsoft.com/office/2017/10/relationships/person" Target="persons/person24.xml"/><Relationship Id="rId76" Type="http://schemas.microsoft.com/office/2017/10/relationships/person" Target="persons/person.xml"/><Relationship Id="rId34" Type="http://schemas.microsoft.com/office/2017/10/relationships/person" Target="persons/person19.xml"/><Relationship Id="rId50" Type="http://schemas.microsoft.com/office/2017/10/relationships/person" Target="persons/person36.xml"/><Relationship Id="rId55" Type="http://schemas.microsoft.com/office/2017/10/relationships/person" Target="persons/person40.xml"/><Relationship Id="rId7" Type="http://schemas.openxmlformats.org/officeDocument/2006/relationships/worksheet" Target="worksheets/sheet7.xml"/><Relationship Id="rId71" Type="http://schemas.microsoft.com/office/2017/10/relationships/person" Target="persons/person58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persons/person21.xml><?xml version="1.0" encoding="utf-8"?>
<personList xmlns="http://schemas.microsoft.com/office/spreadsheetml/2018/threadedcomments" xmlns:x="http://schemas.openxmlformats.org/spreadsheetml/2006/main"/>
</file>

<file path=xl/persons/person22.xml><?xml version="1.0" encoding="utf-8"?>
<personList xmlns="http://schemas.microsoft.com/office/spreadsheetml/2018/threadedcomments" xmlns:x="http://schemas.openxmlformats.org/spreadsheetml/2006/main"/>
</file>

<file path=xl/persons/person23.xml><?xml version="1.0" encoding="utf-8"?>
<personList xmlns="http://schemas.microsoft.com/office/spreadsheetml/2018/threadedcomments" xmlns:x="http://schemas.openxmlformats.org/spreadsheetml/2006/main"/>
</file>

<file path=xl/persons/person24.xml><?xml version="1.0" encoding="utf-8"?>
<personList xmlns="http://schemas.microsoft.com/office/spreadsheetml/2018/threadedcomments" xmlns:x="http://schemas.openxmlformats.org/spreadsheetml/2006/main"/>
</file>

<file path=xl/persons/person25.xml><?xml version="1.0" encoding="utf-8"?>
<personList xmlns="http://schemas.microsoft.com/office/spreadsheetml/2018/threadedcomments" xmlns:x="http://schemas.openxmlformats.org/spreadsheetml/2006/main"/>
</file>

<file path=xl/persons/person26.xml><?xml version="1.0" encoding="utf-8"?>
<personList xmlns="http://schemas.microsoft.com/office/spreadsheetml/2018/threadedcomments" xmlns:x="http://schemas.openxmlformats.org/spreadsheetml/2006/main"/>
</file>

<file path=xl/persons/person27.xml><?xml version="1.0" encoding="utf-8"?>
<personList xmlns="http://schemas.microsoft.com/office/spreadsheetml/2018/threadedcomments" xmlns:x="http://schemas.openxmlformats.org/spreadsheetml/2006/main"/>
</file>

<file path=xl/persons/person28.xml><?xml version="1.0" encoding="utf-8"?>
<personList xmlns="http://schemas.microsoft.com/office/spreadsheetml/2018/threadedcomments" xmlns:x="http://schemas.openxmlformats.org/spreadsheetml/2006/main"/>
</file>

<file path=xl/persons/person29.xml><?xml version="1.0" encoding="utf-8"?>
<personList xmlns="http://schemas.microsoft.com/office/spreadsheetml/2018/threadedcomments" xmlns:x="http://schemas.openxmlformats.org/spreadsheetml/2006/main"/>
</file>

<file path=xl/persons/person30.xml><?xml version="1.0" encoding="utf-8"?>
<personList xmlns="http://schemas.microsoft.com/office/spreadsheetml/2018/threadedcomments" xmlns:x="http://schemas.openxmlformats.org/spreadsheetml/2006/main"/>
</file>

<file path=xl/persons/person31.xml><?xml version="1.0" encoding="utf-8"?>
<personList xmlns="http://schemas.microsoft.com/office/spreadsheetml/2018/threadedcomments" xmlns:x="http://schemas.openxmlformats.org/spreadsheetml/2006/main"/>
</file>

<file path=xl/persons/person32.xml><?xml version="1.0" encoding="utf-8"?>
<personList xmlns="http://schemas.microsoft.com/office/spreadsheetml/2018/threadedcomments" xmlns:x="http://schemas.openxmlformats.org/spreadsheetml/2006/main"/>
</file>

<file path=xl/persons/person33.xml><?xml version="1.0" encoding="utf-8"?>
<personList xmlns="http://schemas.microsoft.com/office/spreadsheetml/2018/threadedcomments" xmlns:x="http://schemas.openxmlformats.org/spreadsheetml/2006/main"/>
</file>

<file path=xl/persons/person34.xml><?xml version="1.0" encoding="utf-8"?>
<personList xmlns="http://schemas.microsoft.com/office/spreadsheetml/2018/threadedcomments" xmlns:x="http://schemas.openxmlformats.org/spreadsheetml/2006/main"/>
</file>

<file path=xl/persons/person35.xml><?xml version="1.0" encoding="utf-8"?>
<personList xmlns="http://schemas.microsoft.com/office/spreadsheetml/2018/threadedcomments" xmlns:x="http://schemas.openxmlformats.org/spreadsheetml/2006/main"/>
</file>

<file path=xl/persons/person36.xml><?xml version="1.0" encoding="utf-8"?>
<personList xmlns="http://schemas.microsoft.com/office/spreadsheetml/2018/threadedcomments" xmlns:x="http://schemas.openxmlformats.org/spreadsheetml/2006/main"/>
</file>

<file path=xl/persons/person37.xml><?xml version="1.0" encoding="utf-8"?>
<personList xmlns="http://schemas.microsoft.com/office/spreadsheetml/2018/threadedcomments" xmlns:x="http://schemas.openxmlformats.org/spreadsheetml/2006/main"/>
</file>

<file path=xl/persons/person38.xml><?xml version="1.0" encoding="utf-8"?>
<personList xmlns="http://schemas.microsoft.com/office/spreadsheetml/2018/threadedcomments" xmlns:x="http://schemas.openxmlformats.org/spreadsheetml/2006/main"/>
</file>

<file path=xl/persons/person39.xml><?xml version="1.0" encoding="utf-8"?>
<personList xmlns="http://schemas.microsoft.com/office/spreadsheetml/2018/threadedcomments" xmlns:x="http://schemas.openxmlformats.org/spreadsheetml/2006/main"/>
</file>

<file path=xl/persons/person40.xml><?xml version="1.0" encoding="utf-8"?>
<personList xmlns="http://schemas.microsoft.com/office/spreadsheetml/2018/threadedcomments" xmlns:x="http://schemas.openxmlformats.org/spreadsheetml/2006/main"/>
</file>

<file path=xl/persons/person41.xml><?xml version="1.0" encoding="utf-8"?>
<personList xmlns="http://schemas.microsoft.com/office/spreadsheetml/2018/threadedcomments" xmlns:x="http://schemas.openxmlformats.org/spreadsheetml/2006/main"/>
</file>

<file path=xl/persons/person42.xml><?xml version="1.0" encoding="utf-8"?>
<personList xmlns="http://schemas.microsoft.com/office/spreadsheetml/2018/threadedcomments" xmlns:x="http://schemas.openxmlformats.org/spreadsheetml/2006/main"/>
</file>

<file path=xl/persons/person43.xml><?xml version="1.0" encoding="utf-8"?>
<personList xmlns="http://schemas.microsoft.com/office/spreadsheetml/2018/threadedcomments" xmlns:x="http://schemas.openxmlformats.org/spreadsheetml/2006/main"/>
</file>

<file path=xl/persons/person44.xml><?xml version="1.0" encoding="utf-8"?>
<personList xmlns="http://schemas.microsoft.com/office/spreadsheetml/2018/threadedcomments" xmlns:x="http://schemas.openxmlformats.org/spreadsheetml/2006/main"/>
</file>

<file path=xl/persons/person45.xml><?xml version="1.0" encoding="utf-8"?>
<personList xmlns="http://schemas.microsoft.com/office/spreadsheetml/2018/threadedcomments" xmlns:x="http://schemas.openxmlformats.org/spreadsheetml/2006/main"/>
</file>

<file path=xl/persons/person46.xml><?xml version="1.0" encoding="utf-8"?>
<personList xmlns="http://schemas.microsoft.com/office/spreadsheetml/2018/threadedcomments" xmlns:x="http://schemas.openxmlformats.org/spreadsheetml/2006/main"/>
</file>

<file path=xl/persons/person47.xml><?xml version="1.0" encoding="utf-8"?>
<personList xmlns="http://schemas.microsoft.com/office/spreadsheetml/2018/threadedcomments" xmlns:x="http://schemas.openxmlformats.org/spreadsheetml/2006/main"/>
</file>

<file path=xl/persons/person48.xml><?xml version="1.0" encoding="utf-8"?>
<personList xmlns="http://schemas.microsoft.com/office/spreadsheetml/2018/threadedcomments" xmlns:x="http://schemas.openxmlformats.org/spreadsheetml/2006/main"/>
</file>

<file path=xl/persons/person49.xml><?xml version="1.0" encoding="utf-8"?>
<personList xmlns="http://schemas.microsoft.com/office/spreadsheetml/2018/threadedcomments" xmlns:x="http://schemas.openxmlformats.org/spreadsheetml/2006/main"/>
</file>

<file path=xl/persons/person50.xml><?xml version="1.0" encoding="utf-8"?>
<personList xmlns="http://schemas.microsoft.com/office/spreadsheetml/2018/threadedcomments" xmlns:x="http://schemas.openxmlformats.org/spreadsheetml/2006/main"/>
</file>

<file path=xl/persons/person51.xml><?xml version="1.0" encoding="utf-8"?>
<personList xmlns="http://schemas.microsoft.com/office/spreadsheetml/2018/threadedcomments" xmlns:x="http://schemas.openxmlformats.org/spreadsheetml/2006/main"/>
</file>

<file path=xl/persons/person52.xml><?xml version="1.0" encoding="utf-8"?>
<personList xmlns="http://schemas.microsoft.com/office/spreadsheetml/2018/threadedcomments" xmlns:x="http://schemas.openxmlformats.org/spreadsheetml/2006/main"/>
</file>

<file path=xl/persons/person53.xml><?xml version="1.0" encoding="utf-8"?>
<personList xmlns="http://schemas.microsoft.com/office/spreadsheetml/2018/threadedcomments" xmlns:x="http://schemas.openxmlformats.org/spreadsheetml/2006/main"/>
</file>

<file path=xl/persons/person54.xml><?xml version="1.0" encoding="utf-8"?>
<personList xmlns="http://schemas.microsoft.com/office/spreadsheetml/2018/threadedcomments" xmlns:x="http://schemas.openxmlformats.org/spreadsheetml/2006/main"/>
</file>

<file path=xl/persons/person55.xml><?xml version="1.0" encoding="utf-8"?>
<personList xmlns="http://schemas.microsoft.com/office/spreadsheetml/2018/threadedcomments" xmlns:x="http://schemas.openxmlformats.org/spreadsheetml/2006/main"/>
</file>

<file path=xl/persons/person56.xml><?xml version="1.0" encoding="utf-8"?>
<personList xmlns="http://schemas.microsoft.com/office/spreadsheetml/2018/threadedcomments" xmlns:x="http://schemas.openxmlformats.org/spreadsheetml/2006/main"/>
</file>

<file path=xl/persons/person57.xml><?xml version="1.0" encoding="utf-8"?>
<personList xmlns="http://schemas.microsoft.com/office/spreadsheetml/2018/threadedcomments" xmlns:x="http://schemas.openxmlformats.org/spreadsheetml/2006/main"/>
</file>

<file path=xl/persons/person58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C8D3E-492A-4B41-8A6D-747551B3C474}">
  <dimension ref="A1:G1191"/>
  <sheetViews>
    <sheetView topLeftCell="A1145" zoomScale="80" zoomScaleNormal="80" workbookViewId="0">
      <selection activeCell="D590" sqref="D590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4.42578125" bestFit="1" customWidth="1"/>
    <col min="4" max="4" width="24.7109375" customWidth="1"/>
    <col min="5" max="5" width="5" customWidth="1"/>
    <col min="6" max="6" width="49.5703125" customWidth="1"/>
    <col min="7" max="7" width="20.85546875" customWidth="1"/>
    <col min="9" max="9" width="18.85546875" bestFit="1" customWidth="1"/>
  </cols>
  <sheetData>
    <row r="1" spans="1:7" x14ac:dyDescent="0.25">
      <c r="A1" s="40" t="s">
        <v>13</v>
      </c>
      <c r="B1" s="40"/>
      <c r="C1" s="40"/>
      <c r="D1" s="40"/>
      <c r="G1" s="1"/>
    </row>
    <row r="2" spans="1:7" x14ac:dyDescent="0.25">
      <c r="A2" s="41" t="s">
        <v>14</v>
      </c>
      <c r="B2" s="41"/>
      <c r="C2" s="41"/>
      <c r="D2" s="41"/>
      <c r="G2" s="1"/>
    </row>
    <row r="3" spans="1:7" x14ac:dyDescent="0.25">
      <c r="A3" s="42">
        <v>45657</v>
      </c>
      <c r="B3" s="42"/>
      <c r="C3" s="42"/>
      <c r="D3" s="42"/>
      <c r="G3" s="1"/>
    </row>
    <row r="4" spans="1:7" x14ac:dyDescent="0.25">
      <c r="A4" s="13"/>
      <c r="B4" s="13"/>
      <c r="C4" s="13"/>
      <c r="D4" s="13"/>
      <c r="G4" s="1"/>
    </row>
    <row r="5" spans="1:7" x14ac:dyDescent="0.25">
      <c r="A5" s="14"/>
      <c r="B5" s="15"/>
      <c r="C5" s="15"/>
      <c r="D5" s="16"/>
      <c r="F5" s="5" t="s">
        <v>26</v>
      </c>
      <c r="G5" s="1">
        <v>11449609.15</v>
      </c>
    </row>
    <row r="6" spans="1:7" x14ac:dyDescent="0.25">
      <c r="A6" s="17"/>
      <c r="D6" s="32" t="s">
        <v>16</v>
      </c>
      <c r="G6" s="1"/>
    </row>
    <row r="7" spans="1:7" x14ac:dyDescent="0.25">
      <c r="A7" s="23" t="s">
        <v>15</v>
      </c>
      <c r="D7" s="18" t="s">
        <v>17</v>
      </c>
      <c r="F7" s="26" t="s">
        <v>27</v>
      </c>
      <c r="G7" s="1"/>
    </row>
    <row r="8" spans="1:7" x14ac:dyDescent="0.25">
      <c r="A8" s="17"/>
      <c r="B8" s="24" t="s">
        <v>18</v>
      </c>
      <c r="D8" s="19"/>
      <c r="F8" s="27" t="s">
        <v>28</v>
      </c>
      <c r="G8" s="1"/>
    </row>
    <row r="9" spans="1:7" x14ac:dyDescent="0.25">
      <c r="A9" s="17"/>
      <c r="C9" s="2" t="s">
        <v>31</v>
      </c>
      <c r="D9" s="19">
        <v>168053536.59</v>
      </c>
      <c r="F9" t="s">
        <v>11</v>
      </c>
      <c r="G9" s="1">
        <v>15900000</v>
      </c>
    </row>
    <row r="10" spans="1:7" x14ac:dyDescent="0.25">
      <c r="A10" s="17"/>
      <c r="C10" s="2" t="s">
        <v>32</v>
      </c>
      <c r="D10" s="19">
        <v>40420363.740000002</v>
      </c>
      <c r="F10" t="s">
        <v>69</v>
      </c>
      <c r="G10" s="1">
        <v>2028.32</v>
      </c>
    </row>
    <row r="11" spans="1:7" x14ac:dyDescent="0.25">
      <c r="A11" s="17"/>
      <c r="C11" s="2" t="s">
        <v>33</v>
      </c>
      <c r="D11" s="19">
        <v>-273467068.60000002</v>
      </c>
      <c r="F11" t="s">
        <v>50</v>
      </c>
      <c r="G11" s="1">
        <v>608.11</v>
      </c>
    </row>
    <row r="12" spans="1:7" x14ac:dyDescent="0.25">
      <c r="A12" s="17"/>
      <c r="C12" s="2" t="s">
        <v>34</v>
      </c>
      <c r="D12" s="19">
        <v>2639027</v>
      </c>
      <c r="F12" t="s">
        <v>93</v>
      </c>
      <c r="G12" s="1">
        <v>2800000</v>
      </c>
    </row>
    <row r="13" spans="1:7" x14ac:dyDescent="0.25">
      <c r="A13" s="17"/>
      <c r="C13" s="2" t="s">
        <v>35</v>
      </c>
      <c r="D13" s="19">
        <v>10023500</v>
      </c>
      <c r="G13" s="30">
        <f>SUM(G9:G12)</f>
        <v>18702636.43</v>
      </c>
    </row>
    <row r="14" spans="1:7" x14ac:dyDescent="0.25">
      <c r="A14" s="17"/>
      <c r="C14" s="2" t="s">
        <v>36</v>
      </c>
      <c r="D14" s="19">
        <v>116542532.59999999</v>
      </c>
      <c r="F14" s="28" t="s">
        <v>29</v>
      </c>
      <c r="G14" s="1"/>
    </row>
    <row r="15" spans="1:7" x14ac:dyDescent="0.25">
      <c r="A15" s="17"/>
      <c r="C15" s="2" t="s">
        <v>37</v>
      </c>
      <c r="D15" s="19">
        <v>321076645</v>
      </c>
      <c r="F15" t="s">
        <v>49</v>
      </c>
      <c r="G15" s="1">
        <v>2500</v>
      </c>
    </row>
    <row r="16" spans="1:7" x14ac:dyDescent="0.25">
      <c r="A16" s="17"/>
      <c r="C16" s="2" t="s">
        <v>51</v>
      </c>
      <c r="D16" s="20">
        <v>130317</v>
      </c>
      <c r="F16" t="s">
        <v>80</v>
      </c>
      <c r="G16" s="1">
        <v>5000000</v>
      </c>
    </row>
    <row r="17" spans="1:7" x14ac:dyDescent="0.25">
      <c r="A17" s="17"/>
      <c r="B17" s="24" t="s">
        <v>19</v>
      </c>
      <c r="D17" s="19">
        <f>SUM(D9:D16)</f>
        <v>385418853.32999998</v>
      </c>
      <c r="F17" t="s">
        <v>2</v>
      </c>
      <c r="G17" s="1">
        <v>2250000</v>
      </c>
    </row>
    <row r="18" spans="1:7" x14ac:dyDescent="0.25">
      <c r="A18" s="17"/>
      <c r="D18" s="19"/>
      <c r="F18" t="s">
        <v>70</v>
      </c>
      <c r="G18" s="1">
        <v>405.66</v>
      </c>
    </row>
    <row r="19" spans="1:7" x14ac:dyDescent="0.25">
      <c r="A19" s="17"/>
      <c r="B19" s="24" t="s">
        <v>20</v>
      </c>
      <c r="D19" s="19"/>
      <c r="F19" t="s">
        <v>71</v>
      </c>
      <c r="G19" s="1">
        <v>121.62</v>
      </c>
    </row>
    <row r="20" spans="1:7" x14ac:dyDescent="0.25">
      <c r="A20" s="17"/>
      <c r="C20" t="s">
        <v>7</v>
      </c>
      <c r="D20" s="19">
        <v>2362409940</v>
      </c>
      <c r="G20" s="30">
        <f>SUM(G15:G19)</f>
        <v>7253027.2800000003</v>
      </c>
    </row>
    <row r="21" spans="1:7" x14ac:dyDescent="0.25">
      <c r="A21" s="17"/>
      <c r="C21" t="s">
        <v>47</v>
      </c>
      <c r="D21" s="19">
        <v>51770000</v>
      </c>
      <c r="G21" s="1"/>
    </row>
    <row r="22" spans="1:7" x14ac:dyDescent="0.25">
      <c r="A22" s="17"/>
      <c r="C22" t="s">
        <v>21</v>
      </c>
      <c r="D22" s="19">
        <v>778056500</v>
      </c>
      <c r="F22" s="28" t="s">
        <v>30</v>
      </c>
      <c r="G22" s="29">
        <f>G13-G20</f>
        <v>11449609.149999999</v>
      </c>
    </row>
    <row r="23" spans="1:7" x14ac:dyDescent="0.25">
      <c r="A23" s="17"/>
      <c r="C23" t="s">
        <v>45</v>
      </c>
      <c r="D23" s="19">
        <v>25000000</v>
      </c>
    </row>
    <row r="24" spans="1:7" x14ac:dyDescent="0.25">
      <c r="A24" s="17"/>
      <c r="C24" t="s">
        <v>48</v>
      </c>
      <c r="D24" s="19">
        <v>30000000</v>
      </c>
    </row>
    <row r="25" spans="1:7" x14ac:dyDescent="0.25">
      <c r="A25" s="17"/>
      <c r="C25" t="s">
        <v>68</v>
      </c>
      <c r="D25" s="19">
        <v>141000000</v>
      </c>
    </row>
    <row r="26" spans="1:7" x14ac:dyDescent="0.25">
      <c r="A26" s="17"/>
      <c r="C26" t="s">
        <v>68</v>
      </c>
      <c r="D26" s="20">
        <v>145000000</v>
      </c>
    </row>
    <row r="27" spans="1:7" x14ac:dyDescent="0.25">
      <c r="A27" s="17"/>
      <c r="D27" s="19">
        <f>SUM(D20:D26)</f>
        <v>3533236440</v>
      </c>
    </row>
    <row r="28" spans="1:7" x14ac:dyDescent="0.25">
      <c r="A28" s="17"/>
      <c r="D28" s="19"/>
    </row>
    <row r="29" spans="1:7" x14ac:dyDescent="0.25">
      <c r="A29" s="17"/>
      <c r="B29" s="24" t="s">
        <v>46</v>
      </c>
      <c r="D29" s="19"/>
      <c r="G29" s="1"/>
    </row>
    <row r="30" spans="1:7" x14ac:dyDescent="0.25">
      <c r="A30" s="17"/>
      <c r="C30" t="s">
        <v>78</v>
      </c>
      <c r="D30" s="19">
        <v>108450000</v>
      </c>
    </row>
    <row r="31" spans="1:7" x14ac:dyDescent="0.25">
      <c r="A31" s="17"/>
      <c r="C31" t="s">
        <v>76</v>
      </c>
      <c r="D31" s="20">
        <v>7832500</v>
      </c>
    </row>
    <row r="32" spans="1:7" x14ac:dyDescent="0.25">
      <c r="A32" s="17"/>
      <c r="D32" s="19">
        <f>SUM(D30:D31)</f>
        <v>116282500</v>
      </c>
    </row>
    <row r="33" spans="1:7" x14ac:dyDescent="0.25">
      <c r="A33" s="17"/>
      <c r="D33" s="19"/>
    </row>
    <row r="34" spans="1:7" x14ac:dyDescent="0.25">
      <c r="A34" s="17"/>
      <c r="B34" s="24" t="s">
        <v>43</v>
      </c>
      <c r="D34" s="19"/>
    </row>
    <row r="35" spans="1:7" x14ac:dyDescent="0.25">
      <c r="A35" s="17"/>
      <c r="C35" t="s">
        <v>79</v>
      </c>
      <c r="D35" s="20">
        <v>72000000</v>
      </c>
    </row>
    <row r="36" spans="1:7" x14ac:dyDescent="0.25">
      <c r="A36" s="17"/>
      <c r="D36" s="19">
        <f>D35</f>
        <v>72000000</v>
      </c>
    </row>
    <row r="37" spans="1:7" x14ac:dyDescent="0.25">
      <c r="A37" s="17"/>
      <c r="D37" s="19"/>
    </row>
    <row r="38" spans="1:7" x14ac:dyDescent="0.25">
      <c r="A38" s="23" t="s">
        <v>22</v>
      </c>
      <c r="D38" s="19"/>
    </row>
    <row r="39" spans="1:7" x14ac:dyDescent="0.25">
      <c r="A39" s="17"/>
      <c r="C39" t="s">
        <v>23</v>
      </c>
      <c r="D39" s="19">
        <v>1409300000</v>
      </c>
    </row>
    <row r="40" spans="1:7" x14ac:dyDescent="0.25">
      <c r="A40" s="17"/>
      <c r="C40" t="s">
        <v>24</v>
      </c>
      <c r="D40" s="19">
        <v>1735392980</v>
      </c>
    </row>
    <row r="41" spans="1:7" x14ac:dyDescent="0.25">
      <c r="A41" s="17"/>
      <c r="C41" t="s">
        <v>44</v>
      </c>
      <c r="D41" s="20">
        <v>131200000</v>
      </c>
    </row>
    <row r="42" spans="1:7" x14ac:dyDescent="0.25">
      <c r="A42" s="17"/>
      <c r="D42" s="19">
        <f>SUM(D39:D41)</f>
        <v>3275892980</v>
      </c>
      <c r="G42" s="1"/>
    </row>
    <row r="43" spans="1:7" x14ac:dyDescent="0.25">
      <c r="A43" s="17"/>
      <c r="D43" s="19"/>
      <c r="G43" s="1"/>
    </row>
    <row r="44" spans="1:7" x14ac:dyDescent="0.25">
      <c r="A44" s="43" t="s">
        <v>25</v>
      </c>
      <c r="B44" s="44"/>
      <c r="C44" s="44"/>
      <c r="D44" s="25">
        <f>D17+D27+D32+D36-D42</f>
        <v>831044813.32999992</v>
      </c>
      <c r="G44" s="1"/>
    </row>
    <row r="45" spans="1:7" x14ac:dyDescent="0.25">
      <c r="A45" s="21"/>
      <c r="B45" s="22"/>
      <c r="C45" s="22"/>
      <c r="D45" s="20"/>
      <c r="G45" s="1"/>
    </row>
    <row r="47" spans="1:7" x14ac:dyDescent="0.25">
      <c r="A47" s="40" t="s">
        <v>13</v>
      </c>
      <c r="B47" s="40"/>
      <c r="C47" s="40"/>
      <c r="D47" s="40"/>
      <c r="G47" s="1"/>
    </row>
    <row r="48" spans="1:7" x14ac:dyDescent="0.25">
      <c r="A48" s="41" t="s">
        <v>14</v>
      </c>
      <c r="B48" s="41"/>
      <c r="C48" s="41"/>
      <c r="D48" s="41"/>
      <c r="G48" s="1"/>
    </row>
    <row r="49" spans="1:7" x14ac:dyDescent="0.25">
      <c r="A49" s="42">
        <v>45659</v>
      </c>
      <c r="B49" s="42"/>
      <c r="C49" s="42"/>
      <c r="D49" s="42"/>
      <c r="G49" s="1"/>
    </row>
    <row r="50" spans="1:7" x14ac:dyDescent="0.25">
      <c r="A50" s="13"/>
      <c r="B50" s="13"/>
      <c r="C50" s="13"/>
      <c r="D50" s="13"/>
      <c r="G50" s="1"/>
    </row>
    <row r="51" spans="1:7" x14ac:dyDescent="0.25">
      <c r="A51" s="14"/>
      <c r="B51" s="15"/>
      <c r="C51" s="15"/>
      <c r="D51" s="16"/>
      <c r="F51" s="5" t="s">
        <v>26</v>
      </c>
      <c r="G51" s="1">
        <f>D91-D44</f>
        <v>22489392</v>
      </c>
    </row>
    <row r="52" spans="1:7" x14ac:dyDescent="0.25">
      <c r="A52" s="17"/>
      <c r="D52" s="32" t="s">
        <v>16</v>
      </c>
      <c r="G52" s="1"/>
    </row>
    <row r="53" spans="1:7" x14ac:dyDescent="0.25">
      <c r="A53" s="23" t="s">
        <v>15</v>
      </c>
      <c r="D53" s="18" t="s">
        <v>17</v>
      </c>
      <c r="F53" s="26" t="s">
        <v>27</v>
      </c>
      <c r="G53" s="1"/>
    </row>
    <row r="54" spans="1:7" x14ac:dyDescent="0.25">
      <c r="A54" s="17"/>
      <c r="B54" s="24" t="s">
        <v>18</v>
      </c>
      <c r="D54" s="19"/>
      <c r="F54" s="27" t="s">
        <v>28</v>
      </c>
      <c r="G54" s="1"/>
    </row>
    <row r="55" spans="1:7" x14ac:dyDescent="0.25">
      <c r="A55" s="17"/>
      <c r="C55" s="2" t="s">
        <v>31</v>
      </c>
      <c r="D55" s="19">
        <v>148203536.59</v>
      </c>
      <c r="F55" t="s">
        <v>86</v>
      </c>
      <c r="G55" s="1">
        <v>24800000</v>
      </c>
    </row>
    <row r="56" spans="1:7" x14ac:dyDescent="0.25">
      <c r="A56" s="17"/>
      <c r="C56" s="2" t="s">
        <v>32</v>
      </c>
      <c r="D56" s="19">
        <v>97170363.739999995</v>
      </c>
      <c r="F56" t="s">
        <v>90</v>
      </c>
      <c r="G56" s="1">
        <v>337500</v>
      </c>
    </row>
    <row r="57" spans="1:7" x14ac:dyDescent="0.25">
      <c r="A57" s="17"/>
      <c r="C57" s="2" t="s">
        <v>33</v>
      </c>
      <c r="D57" s="19">
        <v>-14998368.6</v>
      </c>
      <c r="F57" t="s">
        <v>95</v>
      </c>
      <c r="G57" s="1">
        <v>12900</v>
      </c>
    </row>
    <row r="58" spans="1:7" x14ac:dyDescent="0.25">
      <c r="A58" s="17"/>
      <c r="C58" s="2" t="s">
        <v>34</v>
      </c>
      <c r="D58" s="19">
        <v>-69144973</v>
      </c>
      <c r="F58" t="s">
        <v>97</v>
      </c>
      <c r="G58" s="1">
        <v>1992</v>
      </c>
    </row>
    <row r="59" spans="1:7" x14ac:dyDescent="0.25">
      <c r="A59" s="17"/>
      <c r="C59" s="2" t="s">
        <v>35</v>
      </c>
      <c r="D59" s="19">
        <v>10023500</v>
      </c>
      <c r="G59" s="30">
        <f>SUM(G55:G58)</f>
        <v>25152392</v>
      </c>
    </row>
    <row r="60" spans="1:7" x14ac:dyDescent="0.25">
      <c r="A60" s="17"/>
      <c r="C60" s="2" t="s">
        <v>36</v>
      </c>
      <c r="D60" s="19">
        <v>116542532.59999999</v>
      </c>
      <c r="F60" s="28" t="s">
        <v>29</v>
      </c>
      <c r="G60" s="1"/>
    </row>
    <row r="61" spans="1:7" x14ac:dyDescent="0.25">
      <c r="A61" s="17"/>
      <c r="C61" s="2" t="s">
        <v>37</v>
      </c>
      <c r="D61" s="19">
        <v>659633637</v>
      </c>
      <c r="F61" t="s">
        <v>87</v>
      </c>
      <c r="G61" s="1">
        <v>60000</v>
      </c>
    </row>
    <row r="62" spans="1:7" x14ac:dyDescent="0.25">
      <c r="A62" s="17"/>
      <c r="C62" s="2" t="s">
        <v>51</v>
      </c>
      <c r="D62" s="20">
        <v>130317</v>
      </c>
      <c r="F62" t="s">
        <v>91</v>
      </c>
      <c r="G62" s="1">
        <v>4000</v>
      </c>
    </row>
    <row r="63" spans="1:7" x14ac:dyDescent="0.25">
      <c r="A63" s="17"/>
      <c r="B63" s="24" t="s">
        <v>19</v>
      </c>
      <c r="D63" s="19">
        <f>SUM(D55:D62)</f>
        <v>947560545.32999992</v>
      </c>
      <c r="F63" t="s">
        <v>92</v>
      </c>
      <c r="G63" s="1">
        <v>1600000</v>
      </c>
    </row>
    <row r="64" spans="1:7" x14ac:dyDescent="0.25">
      <c r="A64" s="17"/>
      <c r="D64" s="19"/>
      <c r="F64" t="s">
        <v>94</v>
      </c>
      <c r="G64" s="1">
        <v>99000</v>
      </c>
    </row>
    <row r="65" spans="1:7" x14ac:dyDescent="0.25">
      <c r="A65" s="17"/>
      <c r="B65" s="24" t="s">
        <v>20</v>
      </c>
      <c r="D65" s="19"/>
      <c r="F65" t="s">
        <v>96</v>
      </c>
      <c r="G65" s="1">
        <v>900000</v>
      </c>
    </row>
    <row r="66" spans="1:7" x14ac:dyDescent="0.25">
      <c r="A66" s="17"/>
      <c r="C66" t="s">
        <v>7</v>
      </c>
      <c r="D66" s="19">
        <v>1838670140</v>
      </c>
      <c r="G66" s="30">
        <f>SUM(G61:G65)</f>
        <v>2663000</v>
      </c>
    </row>
    <row r="67" spans="1:7" x14ac:dyDescent="0.25">
      <c r="A67" s="17"/>
      <c r="C67" t="s">
        <v>47</v>
      </c>
      <c r="D67" s="19">
        <v>4395000</v>
      </c>
      <c r="G67" s="1"/>
    </row>
    <row r="68" spans="1:7" x14ac:dyDescent="0.25">
      <c r="A68" s="17"/>
      <c r="C68" t="s">
        <v>21</v>
      </c>
      <c r="D68" s="19">
        <v>776006500</v>
      </c>
      <c r="F68" s="28" t="s">
        <v>30</v>
      </c>
      <c r="G68" s="29">
        <f>G59-G66</f>
        <v>22489392</v>
      </c>
    </row>
    <row r="69" spans="1:7" x14ac:dyDescent="0.25">
      <c r="A69" s="17"/>
      <c r="C69" t="s">
        <v>45</v>
      </c>
      <c r="D69" s="19">
        <v>25000000</v>
      </c>
    </row>
    <row r="70" spans="1:7" x14ac:dyDescent="0.25">
      <c r="A70" s="17"/>
      <c r="C70" t="s">
        <v>48</v>
      </c>
      <c r="D70" s="19">
        <v>30000000</v>
      </c>
    </row>
    <row r="71" spans="1:7" x14ac:dyDescent="0.25">
      <c r="A71" s="17"/>
      <c r="C71" t="s">
        <v>68</v>
      </c>
      <c r="D71" s="19">
        <v>141000000</v>
      </c>
    </row>
    <row r="72" spans="1:7" x14ac:dyDescent="0.25">
      <c r="A72" s="17"/>
      <c r="C72" t="s">
        <v>68</v>
      </c>
      <c r="D72" s="20">
        <v>145000000</v>
      </c>
    </row>
    <row r="73" spans="1:7" x14ac:dyDescent="0.25">
      <c r="A73" s="17"/>
      <c r="D73" s="19">
        <f>SUM(D66:D72)</f>
        <v>2960071640</v>
      </c>
    </row>
    <row r="74" spans="1:7" x14ac:dyDescent="0.25">
      <c r="A74" s="17"/>
      <c r="D74" s="19"/>
    </row>
    <row r="75" spans="1:7" x14ac:dyDescent="0.25">
      <c r="A75" s="17"/>
      <c r="B75" s="24" t="s">
        <v>46</v>
      </c>
      <c r="D75" s="19"/>
      <c r="G75" s="1"/>
    </row>
    <row r="76" spans="1:7" x14ac:dyDescent="0.25">
      <c r="A76" s="17"/>
      <c r="C76" t="s">
        <v>89</v>
      </c>
      <c r="D76" s="19">
        <v>99412500</v>
      </c>
    </row>
    <row r="77" spans="1:7" x14ac:dyDescent="0.25">
      <c r="A77" s="17"/>
      <c r="C77" t="s">
        <v>76</v>
      </c>
      <c r="D77" s="20">
        <v>7832500</v>
      </c>
    </row>
    <row r="78" spans="1:7" x14ac:dyDescent="0.25">
      <c r="A78" s="17"/>
      <c r="D78" s="19">
        <f>SUM(D76:D77)</f>
        <v>107245000</v>
      </c>
    </row>
    <row r="79" spans="1:7" x14ac:dyDescent="0.25">
      <c r="A79" s="17"/>
      <c r="D79" s="19"/>
    </row>
    <row r="80" spans="1:7" x14ac:dyDescent="0.25">
      <c r="A80" s="17"/>
      <c r="B80" s="24" t="s">
        <v>43</v>
      </c>
      <c r="D80" s="19"/>
    </row>
    <row r="81" spans="1:7" x14ac:dyDescent="0.25">
      <c r="A81" s="17"/>
      <c r="C81" t="s">
        <v>79</v>
      </c>
      <c r="D81" s="19">
        <v>72000000</v>
      </c>
    </row>
    <row r="82" spans="1:7" x14ac:dyDescent="0.25">
      <c r="A82" s="17"/>
      <c r="C82" t="s">
        <v>88</v>
      </c>
      <c r="D82" s="20">
        <v>36550000</v>
      </c>
    </row>
    <row r="83" spans="1:7" x14ac:dyDescent="0.25">
      <c r="A83" s="17"/>
      <c r="D83" s="19">
        <f>SUM(D81:D82)</f>
        <v>108550000</v>
      </c>
    </row>
    <row r="84" spans="1:7" x14ac:dyDescent="0.25">
      <c r="A84" s="17"/>
      <c r="D84" s="19"/>
    </row>
    <row r="85" spans="1:7" x14ac:dyDescent="0.25">
      <c r="A85" s="23" t="s">
        <v>22</v>
      </c>
      <c r="D85" s="19"/>
    </row>
    <row r="86" spans="1:7" x14ac:dyDescent="0.25">
      <c r="A86" s="17"/>
      <c r="C86" t="s">
        <v>23</v>
      </c>
      <c r="D86" s="19">
        <v>1333600000</v>
      </c>
    </row>
    <row r="87" spans="1:7" x14ac:dyDescent="0.25">
      <c r="A87" s="17"/>
      <c r="C87" t="s">
        <v>24</v>
      </c>
      <c r="D87" s="19">
        <v>1735392980</v>
      </c>
    </row>
    <row r="88" spans="1:7" x14ac:dyDescent="0.25">
      <c r="A88" s="17"/>
      <c r="C88" t="s">
        <v>44</v>
      </c>
      <c r="D88" s="20">
        <v>200900000</v>
      </c>
    </row>
    <row r="89" spans="1:7" x14ac:dyDescent="0.25">
      <c r="A89" s="17"/>
      <c r="D89" s="19">
        <f>SUM(D86:D88)</f>
        <v>3269892980</v>
      </c>
      <c r="G89" s="1"/>
    </row>
    <row r="90" spans="1:7" x14ac:dyDescent="0.25">
      <c r="A90" s="17"/>
      <c r="D90" s="19"/>
      <c r="G90" s="1"/>
    </row>
    <row r="91" spans="1:7" x14ac:dyDescent="0.25">
      <c r="A91" s="43" t="s">
        <v>25</v>
      </c>
      <c r="B91" s="44"/>
      <c r="C91" s="44"/>
      <c r="D91" s="25">
        <f>D63+D73+D78+D83-D89</f>
        <v>853534205.32999992</v>
      </c>
      <c r="G91" s="1"/>
    </row>
    <row r="92" spans="1:7" x14ac:dyDescent="0.25">
      <c r="A92" s="21"/>
      <c r="B92" s="22"/>
      <c r="C92" s="22"/>
      <c r="D92" s="20"/>
      <c r="G92" s="1"/>
    </row>
    <row r="94" spans="1:7" x14ac:dyDescent="0.25">
      <c r="A94" s="40" t="s">
        <v>13</v>
      </c>
      <c r="B94" s="40"/>
      <c r="C94" s="40"/>
      <c r="D94" s="40"/>
      <c r="G94" s="1"/>
    </row>
    <row r="95" spans="1:7" x14ac:dyDescent="0.25">
      <c r="A95" s="41" t="s">
        <v>14</v>
      </c>
      <c r="B95" s="41"/>
      <c r="C95" s="41"/>
      <c r="D95" s="41"/>
      <c r="G95" s="1"/>
    </row>
    <row r="96" spans="1:7" x14ac:dyDescent="0.25">
      <c r="A96" s="42">
        <v>45660</v>
      </c>
      <c r="B96" s="42"/>
      <c r="C96" s="42"/>
      <c r="D96" s="42"/>
      <c r="G96" s="1"/>
    </row>
    <row r="97" spans="1:7" x14ac:dyDescent="0.25">
      <c r="A97" s="13"/>
      <c r="B97" s="13"/>
      <c r="C97" s="13"/>
      <c r="D97" s="13"/>
      <c r="G97" s="1"/>
    </row>
    <row r="98" spans="1:7" x14ac:dyDescent="0.25">
      <c r="A98" s="14"/>
      <c r="B98" s="15"/>
      <c r="C98" s="15"/>
      <c r="D98" s="16"/>
      <c r="F98" s="5" t="s">
        <v>26</v>
      </c>
      <c r="G98" s="1">
        <f>D140-D91</f>
        <v>5898000</v>
      </c>
    </row>
    <row r="99" spans="1:7" x14ac:dyDescent="0.25">
      <c r="A99" s="17"/>
      <c r="D99" s="32" t="s">
        <v>16</v>
      </c>
      <c r="G99" s="1"/>
    </row>
    <row r="100" spans="1:7" x14ac:dyDescent="0.25">
      <c r="A100" s="23" t="s">
        <v>15</v>
      </c>
      <c r="D100" s="18" t="s">
        <v>17</v>
      </c>
      <c r="F100" s="26" t="s">
        <v>27</v>
      </c>
      <c r="G100" s="1"/>
    </row>
    <row r="101" spans="1:7" x14ac:dyDescent="0.25">
      <c r="A101" s="17"/>
      <c r="B101" s="24" t="s">
        <v>18</v>
      </c>
      <c r="D101" s="19"/>
      <c r="F101" s="27" t="s">
        <v>28</v>
      </c>
      <c r="G101" s="1"/>
    </row>
    <row r="102" spans="1:7" x14ac:dyDescent="0.25">
      <c r="A102" s="17"/>
      <c r="C102" s="2" t="s">
        <v>31</v>
      </c>
      <c r="D102" s="19">
        <v>166803536.59</v>
      </c>
      <c r="F102" t="s">
        <v>103</v>
      </c>
      <c r="G102" s="1">
        <v>18613000</v>
      </c>
    </row>
    <row r="103" spans="1:7" x14ac:dyDescent="0.25">
      <c r="A103" s="17"/>
      <c r="C103" s="2" t="s">
        <v>32</v>
      </c>
      <c r="D103" s="19">
        <v>101615363.73999999</v>
      </c>
      <c r="F103" t="s">
        <v>90</v>
      </c>
      <c r="G103" s="1">
        <v>115000</v>
      </c>
    </row>
    <row r="104" spans="1:7" x14ac:dyDescent="0.25">
      <c r="A104" s="17"/>
      <c r="C104" s="2" t="s">
        <v>33</v>
      </c>
      <c r="D104" s="19">
        <v>211821881.40000001</v>
      </c>
      <c r="F104" t="s">
        <v>105</v>
      </c>
      <c r="G104" s="1">
        <v>300000</v>
      </c>
    </row>
    <row r="105" spans="1:7" x14ac:dyDescent="0.25">
      <c r="A105" s="17"/>
      <c r="C105" s="2" t="s">
        <v>34</v>
      </c>
      <c r="D105" s="19">
        <v>116655027</v>
      </c>
      <c r="G105" s="30">
        <f>SUM(G102:G104)</f>
        <v>19028000</v>
      </c>
    </row>
    <row r="106" spans="1:7" x14ac:dyDescent="0.25">
      <c r="A106" s="17"/>
      <c r="C106" s="2" t="s">
        <v>35</v>
      </c>
      <c r="D106" s="19">
        <v>10023500</v>
      </c>
      <c r="F106" s="28" t="s">
        <v>29</v>
      </c>
      <c r="G106" s="1"/>
    </row>
    <row r="107" spans="1:7" x14ac:dyDescent="0.25">
      <c r="A107" s="17"/>
      <c r="C107" s="2" t="s">
        <v>36</v>
      </c>
      <c r="D107" s="19">
        <v>116542532.59999999</v>
      </c>
      <c r="F107" t="s">
        <v>98</v>
      </c>
      <c r="G107" s="1">
        <v>5850000</v>
      </c>
    </row>
    <row r="108" spans="1:7" x14ac:dyDescent="0.25">
      <c r="A108" s="17"/>
      <c r="C108" s="2" t="s">
        <v>37</v>
      </c>
      <c r="D108" s="19">
        <v>-1677363</v>
      </c>
      <c r="F108" t="s">
        <v>99</v>
      </c>
      <c r="G108" s="1">
        <v>30000</v>
      </c>
    </row>
    <row r="109" spans="1:7" x14ac:dyDescent="0.25">
      <c r="A109" s="17"/>
      <c r="C109" s="2" t="s">
        <v>51</v>
      </c>
      <c r="D109" s="20">
        <v>130317</v>
      </c>
      <c r="F109" t="s">
        <v>104</v>
      </c>
      <c r="G109" s="1">
        <v>2250000</v>
      </c>
    </row>
    <row r="110" spans="1:7" x14ac:dyDescent="0.25">
      <c r="A110" s="17"/>
      <c r="B110" s="24" t="s">
        <v>19</v>
      </c>
      <c r="D110" s="19">
        <f>SUM(D102:D109)</f>
        <v>721914795.33000004</v>
      </c>
      <c r="F110" t="s">
        <v>112</v>
      </c>
      <c r="G110" s="1">
        <v>5000000</v>
      </c>
    </row>
    <row r="111" spans="1:7" x14ac:dyDescent="0.25">
      <c r="A111" s="17"/>
      <c r="D111" s="19"/>
      <c r="G111" s="30">
        <f>SUM(G107:G110)</f>
        <v>13130000</v>
      </c>
    </row>
    <row r="112" spans="1:7" x14ac:dyDescent="0.25">
      <c r="A112" s="17"/>
      <c r="B112" s="24" t="s">
        <v>20</v>
      </c>
      <c r="D112" s="19"/>
      <c r="G112" s="1"/>
    </row>
    <row r="113" spans="1:7" x14ac:dyDescent="0.25">
      <c r="A113" s="17"/>
      <c r="C113" t="s">
        <v>7</v>
      </c>
      <c r="D113" s="19">
        <v>1731745140</v>
      </c>
      <c r="F113" s="28" t="s">
        <v>30</v>
      </c>
      <c r="G113" s="29">
        <f>G105-G111</f>
        <v>5898000</v>
      </c>
    </row>
    <row r="114" spans="1:7" x14ac:dyDescent="0.25">
      <c r="A114" s="17"/>
      <c r="C114" t="s">
        <v>47</v>
      </c>
      <c r="D114" s="19">
        <v>1270000</v>
      </c>
    </row>
    <row r="115" spans="1:7" x14ac:dyDescent="0.25">
      <c r="A115" s="17"/>
      <c r="C115" t="s">
        <v>21</v>
      </c>
      <c r="D115" s="19">
        <v>627062500</v>
      </c>
    </row>
    <row r="116" spans="1:7" x14ac:dyDescent="0.25">
      <c r="A116" s="17"/>
      <c r="C116" t="s">
        <v>45</v>
      </c>
      <c r="D116" s="19">
        <v>25000000</v>
      </c>
    </row>
    <row r="117" spans="1:7" x14ac:dyDescent="0.25">
      <c r="A117" s="17"/>
      <c r="C117" t="s">
        <v>48</v>
      </c>
      <c r="D117" s="19">
        <v>30000000</v>
      </c>
    </row>
    <row r="118" spans="1:7" x14ac:dyDescent="0.25">
      <c r="A118" s="17"/>
      <c r="C118" t="s">
        <v>68</v>
      </c>
      <c r="D118" s="19">
        <v>141000000</v>
      </c>
    </row>
    <row r="119" spans="1:7" x14ac:dyDescent="0.25">
      <c r="A119" s="17"/>
      <c r="C119" t="s">
        <v>68</v>
      </c>
      <c r="D119" s="20">
        <v>145000000</v>
      </c>
    </row>
    <row r="120" spans="1:7" x14ac:dyDescent="0.25">
      <c r="A120" s="17"/>
      <c r="D120" s="19">
        <f>SUM(D113:D119)</f>
        <v>2701077640</v>
      </c>
    </row>
    <row r="121" spans="1:7" x14ac:dyDescent="0.25">
      <c r="A121" s="17"/>
      <c r="D121" s="19"/>
    </row>
    <row r="122" spans="1:7" x14ac:dyDescent="0.25">
      <c r="A122" s="17"/>
      <c r="B122" s="24" t="s">
        <v>46</v>
      </c>
      <c r="D122" s="19"/>
      <c r="G122" s="1"/>
    </row>
    <row r="123" spans="1:7" x14ac:dyDescent="0.25">
      <c r="A123" s="17"/>
      <c r="C123" t="s">
        <v>102</v>
      </c>
      <c r="D123" s="19">
        <v>98207500</v>
      </c>
    </row>
    <row r="124" spans="1:7" x14ac:dyDescent="0.25">
      <c r="A124" s="17"/>
      <c r="C124" t="s">
        <v>76</v>
      </c>
      <c r="D124" s="20">
        <v>7832500</v>
      </c>
    </row>
    <row r="125" spans="1:7" x14ac:dyDescent="0.25">
      <c r="A125" s="17"/>
      <c r="D125" s="19">
        <f>SUM(D123:D124)</f>
        <v>106040000</v>
      </c>
    </row>
    <row r="126" spans="1:7" x14ac:dyDescent="0.25">
      <c r="A126" s="17"/>
      <c r="D126" s="19"/>
    </row>
    <row r="127" spans="1:7" x14ac:dyDescent="0.25">
      <c r="A127" s="17"/>
      <c r="B127" s="24" t="s">
        <v>43</v>
      </c>
      <c r="D127" s="19"/>
    </row>
    <row r="128" spans="1:7" x14ac:dyDescent="0.25">
      <c r="A128" s="17"/>
      <c r="C128" t="s">
        <v>79</v>
      </c>
      <c r="D128" s="19">
        <v>72000000</v>
      </c>
    </row>
    <row r="129" spans="1:7" x14ac:dyDescent="0.25">
      <c r="A129" s="17"/>
      <c r="C129" t="s">
        <v>101</v>
      </c>
      <c r="D129" s="19">
        <v>135300000</v>
      </c>
    </row>
    <row r="130" spans="1:7" x14ac:dyDescent="0.25">
      <c r="A130" s="17"/>
      <c r="C130" t="s">
        <v>116</v>
      </c>
      <c r="D130" s="19">
        <v>7850000</v>
      </c>
    </row>
    <row r="131" spans="1:7" x14ac:dyDescent="0.25">
      <c r="A131" s="17"/>
      <c r="C131" t="s">
        <v>117</v>
      </c>
      <c r="D131" s="20">
        <v>72000000</v>
      </c>
    </row>
    <row r="132" spans="1:7" x14ac:dyDescent="0.25">
      <c r="A132" s="17"/>
      <c r="D132" s="19">
        <f>SUM(D128:D131)</f>
        <v>287150000</v>
      </c>
    </row>
    <row r="133" spans="1:7" x14ac:dyDescent="0.25">
      <c r="A133" s="17"/>
      <c r="D133" s="19"/>
    </row>
    <row r="134" spans="1:7" x14ac:dyDescent="0.25">
      <c r="A134" s="23" t="s">
        <v>22</v>
      </c>
      <c r="D134" s="19"/>
    </row>
    <row r="135" spans="1:7" x14ac:dyDescent="0.25">
      <c r="A135" s="17"/>
      <c r="C135" t="s">
        <v>23</v>
      </c>
      <c r="D135" s="19">
        <v>1485300000</v>
      </c>
    </row>
    <row r="136" spans="1:7" x14ac:dyDescent="0.25">
      <c r="A136" s="17"/>
      <c r="C136" t="s">
        <v>24</v>
      </c>
      <c r="D136" s="19">
        <v>1398550230</v>
      </c>
    </row>
    <row r="137" spans="1:7" x14ac:dyDescent="0.25">
      <c r="A137" s="17"/>
      <c r="C137" t="s">
        <v>111</v>
      </c>
      <c r="D137" s="20">
        <v>72900000</v>
      </c>
    </row>
    <row r="138" spans="1:7" x14ac:dyDescent="0.25">
      <c r="A138" s="17"/>
      <c r="D138" s="19">
        <f>SUM(D135:D137)</f>
        <v>2956750230</v>
      </c>
      <c r="G138" s="1"/>
    </row>
    <row r="139" spans="1:7" x14ac:dyDescent="0.25">
      <c r="A139" s="17"/>
      <c r="D139" s="19"/>
      <c r="G139" s="1"/>
    </row>
    <row r="140" spans="1:7" x14ac:dyDescent="0.25">
      <c r="A140" s="43" t="s">
        <v>25</v>
      </c>
      <c r="B140" s="44"/>
      <c r="C140" s="44"/>
      <c r="D140" s="25">
        <f>D110+D120+D125+D132-D138</f>
        <v>859432205.32999992</v>
      </c>
      <c r="G140" s="1"/>
    </row>
    <row r="141" spans="1:7" x14ac:dyDescent="0.25">
      <c r="A141" s="21"/>
      <c r="B141" s="22"/>
      <c r="C141" s="22"/>
      <c r="D141" s="20"/>
      <c r="G141" s="1"/>
    </row>
    <row r="143" spans="1:7" x14ac:dyDescent="0.25">
      <c r="A143" s="40" t="s">
        <v>13</v>
      </c>
      <c r="B143" s="40"/>
      <c r="C143" s="40"/>
      <c r="D143" s="40"/>
      <c r="G143" s="1"/>
    </row>
    <row r="144" spans="1:7" x14ac:dyDescent="0.25">
      <c r="A144" s="41" t="s">
        <v>14</v>
      </c>
      <c r="B144" s="41"/>
      <c r="C144" s="41"/>
      <c r="D144" s="41"/>
      <c r="G144" s="1"/>
    </row>
    <row r="145" spans="1:7" x14ac:dyDescent="0.25">
      <c r="A145" s="42">
        <v>45661</v>
      </c>
      <c r="B145" s="42"/>
      <c r="C145" s="42"/>
      <c r="D145" s="42"/>
      <c r="G145" s="1"/>
    </row>
    <row r="146" spans="1:7" x14ac:dyDescent="0.25">
      <c r="A146" s="13"/>
      <c r="B146" s="13"/>
      <c r="C146" s="13"/>
      <c r="D146" s="13"/>
      <c r="G146" s="1"/>
    </row>
    <row r="147" spans="1:7" x14ac:dyDescent="0.25">
      <c r="A147" s="14"/>
      <c r="B147" s="15"/>
      <c r="C147" s="15"/>
      <c r="D147" s="16"/>
      <c r="F147" s="5" t="s">
        <v>26</v>
      </c>
      <c r="G147" s="1">
        <f>D189-D140</f>
        <v>13013016</v>
      </c>
    </row>
    <row r="148" spans="1:7" x14ac:dyDescent="0.25">
      <c r="A148" s="17"/>
      <c r="D148" s="32" t="s">
        <v>16</v>
      </c>
      <c r="G148" s="1"/>
    </row>
    <row r="149" spans="1:7" x14ac:dyDescent="0.25">
      <c r="A149" s="23" t="s">
        <v>15</v>
      </c>
      <c r="D149" s="18" t="s">
        <v>17</v>
      </c>
      <c r="F149" s="26" t="s">
        <v>27</v>
      </c>
      <c r="G149" s="1"/>
    </row>
    <row r="150" spans="1:7" x14ac:dyDescent="0.25">
      <c r="A150" s="17"/>
      <c r="B150" s="24" t="s">
        <v>18</v>
      </c>
      <c r="D150" s="19"/>
      <c r="F150" s="27" t="s">
        <v>28</v>
      </c>
      <c r="G150" s="1"/>
    </row>
    <row r="151" spans="1:7" x14ac:dyDescent="0.25">
      <c r="A151" s="17"/>
      <c r="C151" s="2" t="s">
        <v>31</v>
      </c>
      <c r="D151" s="19">
        <v>316003536.58999997</v>
      </c>
      <c r="F151" t="s">
        <v>118</v>
      </c>
      <c r="G151" s="1">
        <v>17968000</v>
      </c>
    </row>
    <row r="152" spans="1:7" x14ac:dyDescent="0.25">
      <c r="A152" s="17"/>
      <c r="C152" s="2" t="s">
        <v>32</v>
      </c>
      <c r="D152" s="19">
        <v>101615363.73999999</v>
      </c>
      <c r="F152" t="s">
        <v>90</v>
      </c>
      <c r="G152" s="1">
        <v>302500</v>
      </c>
    </row>
    <row r="153" spans="1:7" x14ac:dyDescent="0.25">
      <c r="A153" s="17"/>
      <c r="C153" s="2" t="s">
        <v>33</v>
      </c>
      <c r="D153" s="19">
        <v>276417881.39999998</v>
      </c>
      <c r="F153" t="s">
        <v>123</v>
      </c>
      <c r="G153" s="1">
        <v>16</v>
      </c>
    </row>
    <row r="154" spans="1:7" x14ac:dyDescent="0.25">
      <c r="A154" s="17"/>
      <c r="C154" s="2" t="s">
        <v>34</v>
      </c>
      <c r="D154" s="19">
        <v>6655027</v>
      </c>
      <c r="G154" s="30">
        <f>SUM(G151:G153)</f>
        <v>18270516</v>
      </c>
    </row>
    <row r="155" spans="1:7" x14ac:dyDescent="0.25">
      <c r="A155" s="17"/>
      <c r="C155" s="2" t="s">
        <v>35</v>
      </c>
      <c r="D155" s="19">
        <v>10023500</v>
      </c>
      <c r="F155" s="28" t="s">
        <v>29</v>
      </c>
      <c r="G155" s="1"/>
    </row>
    <row r="156" spans="1:7" x14ac:dyDescent="0.25">
      <c r="A156" s="17"/>
      <c r="C156" s="2" t="s">
        <v>36</v>
      </c>
      <c r="D156" s="19">
        <v>116542532.59999999</v>
      </c>
      <c r="F156" t="s">
        <v>122</v>
      </c>
      <c r="G156" s="1">
        <v>257500</v>
      </c>
    </row>
    <row r="157" spans="1:7" x14ac:dyDescent="0.25">
      <c r="A157" s="17"/>
      <c r="C157" s="2" t="s">
        <v>37</v>
      </c>
      <c r="D157" s="19">
        <v>45922653</v>
      </c>
      <c r="F157" t="s">
        <v>112</v>
      </c>
      <c r="G157" s="1">
        <v>5000000</v>
      </c>
    </row>
    <row r="158" spans="1:7" x14ac:dyDescent="0.25">
      <c r="A158" s="17"/>
      <c r="C158" s="2" t="s">
        <v>51</v>
      </c>
      <c r="D158" s="20">
        <v>130317</v>
      </c>
      <c r="G158" s="30">
        <f>SUM(G156:G157)</f>
        <v>5257500</v>
      </c>
    </row>
    <row r="159" spans="1:7" x14ac:dyDescent="0.25">
      <c r="A159" s="17"/>
      <c r="B159" s="24" t="s">
        <v>19</v>
      </c>
      <c r="D159" s="19">
        <f>SUM(D151:D158)</f>
        <v>873310811.33000004</v>
      </c>
      <c r="G159" s="1"/>
    </row>
    <row r="160" spans="1:7" x14ac:dyDescent="0.25">
      <c r="A160" s="17"/>
      <c r="D160" s="19"/>
      <c r="F160" s="28" t="s">
        <v>30</v>
      </c>
      <c r="G160" s="29">
        <f>G154-G158</f>
        <v>13013016</v>
      </c>
    </row>
    <row r="161" spans="1:7" x14ac:dyDescent="0.25">
      <c r="A161" s="17"/>
      <c r="B161" s="24" t="s">
        <v>20</v>
      </c>
      <c r="D161" s="19"/>
    </row>
    <row r="162" spans="1:7" x14ac:dyDescent="0.25">
      <c r="A162" s="17"/>
      <c r="C162" t="s">
        <v>7</v>
      </c>
      <c r="D162" s="19">
        <v>1972649140</v>
      </c>
    </row>
    <row r="163" spans="1:7" x14ac:dyDescent="0.25">
      <c r="A163" s="17"/>
      <c r="C163" t="s">
        <v>47</v>
      </c>
      <c r="D163" s="19">
        <v>5790000</v>
      </c>
    </row>
    <row r="164" spans="1:7" x14ac:dyDescent="0.25">
      <c r="A164" s="17"/>
      <c r="C164" t="s">
        <v>21</v>
      </c>
      <c r="D164" s="19">
        <v>646662500</v>
      </c>
    </row>
    <row r="165" spans="1:7" x14ac:dyDescent="0.25">
      <c r="A165" s="17"/>
      <c r="C165" t="s">
        <v>45</v>
      </c>
      <c r="D165" s="19">
        <v>25000000</v>
      </c>
    </row>
    <row r="166" spans="1:7" x14ac:dyDescent="0.25">
      <c r="A166" s="17"/>
      <c r="C166" t="s">
        <v>48</v>
      </c>
      <c r="D166" s="19">
        <v>30000000</v>
      </c>
    </row>
    <row r="167" spans="1:7" x14ac:dyDescent="0.25">
      <c r="A167" s="17"/>
      <c r="C167" t="s">
        <v>68</v>
      </c>
      <c r="D167" s="19">
        <v>141000000</v>
      </c>
    </row>
    <row r="168" spans="1:7" x14ac:dyDescent="0.25">
      <c r="A168" s="17"/>
      <c r="C168" t="s">
        <v>68</v>
      </c>
      <c r="D168" s="20">
        <v>145000000</v>
      </c>
    </row>
    <row r="169" spans="1:7" x14ac:dyDescent="0.25">
      <c r="A169" s="17"/>
      <c r="D169" s="19">
        <f>SUM(D162:D168)</f>
        <v>2966101640</v>
      </c>
    </row>
    <row r="170" spans="1:7" x14ac:dyDescent="0.25">
      <c r="A170" s="17"/>
      <c r="D170" s="19"/>
    </row>
    <row r="171" spans="1:7" x14ac:dyDescent="0.25">
      <c r="A171" s="17"/>
      <c r="B171" s="24" t="s">
        <v>46</v>
      </c>
      <c r="D171" s="19"/>
      <c r="G171" s="1"/>
    </row>
    <row r="172" spans="1:7" x14ac:dyDescent="0.25">
      <c r="A172" s="17"/>
      <c r="C172" t="s">
        <v>121</v>
      </c>
      <c r="D172" s="19">
        <v>95195000</v>
      </c>
    </row>
    <row r="173" spans="1:7" x14ac:dyDescent="0.25">
      <c r="A173" s="17"/>
      <c r="C173" t="s">
        <v>120</v>
      </c>
      <c r="D173" s="20">
        <v>6627500</v>
      </c>
    </row>
    <row r="174" spans="1:7" x14ac:dyDescent="0.25">
      <c r="A174" s="17"/>
      <c r="D174" s="19">
        <f>SUM(D172:D173)</f>
        <v>101822500</v>
      </c>
    </row>
    <row r="175" spans="1:7" x14ac:dyDescent="0.25">
      <c r="A175" s="17"/>
      <c r="D175" s="19"/>
    </row>
    <row r="176" spans="1:7" x14ac:dyDescent="0.25">
      <c r="A176" s="17"/>
      <c r="B176" s="24" t="s">
        <v>43</v>
      </c>
      <c r="D176" s="19"/>
    </row>
    <row r="177" spans="1:7" x14ac:dyDescent="0.25">
      <c r="A177" s="17"/>
      <c r="C177" t="s">
        <v>79</v>
      </c>
      <c r="D177" s="19">
        <v>72000000</v>
      </c>
    </row>
    <row r="178" spans="1:7" x14ac:dyDescent="0.25">
      <c r="A178" s="17"/>
      <c r="C178" t="s">
        <v>101</v>
      </c>
      <c r="D178" s="19">
        <v>135300000</v>
      </c>
    </row>
    <row r="179" spans="1:7" x14ac:dyDescent="0.25">
      <c r="A179" s="17"/>
      <c r="C179" t="s">
        <v>116</v>
      </c>
      <c r="D179" s="19">
        <v>7850000</v>
      </c>
    </row>
    <row r="180" spans="1:7" x14ac:dyDescent="0.25">
      <c r="A180" s="17"/>
      <c r="C180" t="s">
        <v>117</v>
      </c>
      <c r="D180" s="20">
        <v>72000000</v>
      </c>
    </row>
    <row r="181" spans="1:7" x14ac:dyDescent="0.25">
      <c r="A181" s="17"/>
      <c r="D181" s="19">
        <f>SUM(D177:D180)</f>
        <v>287150000</v>
      </c>
    </row>
    <row r="182" spans="1:7" x14ac:dyDescent="0.25">
      <c r="A182" s="17"/>
      <c r="D182" s="19"/>
    </row>
    <row r="183" spans="1:7" x14ac:dyDescent="0.25">
      <c r="A183" s="23" t="s">
        <v>22</v>
      </c>
      <c r="D183" s="19"/>
    </row>
    <row r="184" spans="1:7" x14ac:dyDescent="0.25">
      <c r="A184" s="17"/>
      <c r="C184" t="s">
        <v>23</v>
      </c>
      <c r="D184" s="19">
        <v>1656450000</v>
      </c>
    </row>
    <row r="185" spans="1:7" x14ac:dyDescent="0.25">
      <c r="A185" s="17"/>
      <c r="C185" t="s">
        <v>24</v>
      </c>
      <c r="D185" s="19">
        <v>1699489730</v>
      </c>
    </row>
    <row r="186" spans="1:7" x14ac:dyDescent="0.25">
      <c r="A186" s="17"/>
      <c r="C186" t="s">
        <v>44</v>
      </c>
      <c r="D186" s="20">
        <v>0</v>
      </c>
    </row>
    <row r="187" spans="1:7" x14ac:dyDescent="0.25">
      <c r="A187" s="17"/>
      <c r="D187" s="19">
        <f>SUM(D184:D186)</f>
        <v>3355939730</v>
      </c>
      <c r="G187" s="1"/>
    </row>
    <row r="188" spans="1:7" x14ac:dyDescent="0.25">
      <c r="A188" s="17"/>
      <c r="D188" s="19"/>
      <c r="G188" s="1"/>
    </row>
    <row r="189" spans="1:7" x14ac:dyDescent="0.25">
      <c r="A189" s="43" t="s">
        <v>25</v>
      </c>
      <c r="B189" s="44"/>
      <c r="C189" s="44"/>
      <c r="D189" s="25">
        <f>D159+D169+D174+D181-D187</f>
        <v>872445221.32999992</v>
      </c>
      <c r="G189" s="1"/>
    </row>
    <row r="190" spans="1:7" x14ac:dyDescent="0.25">
      <c r="A190" s="21"/>
      <c r="B190" s="22"/>
      <c r="C190" s="22"/>
      <c r="D190" s="20"/>
      <c r="G190" s="1"/>
    </row>
    <row r="192" spans="1:7" x14ac:dyDescent="0.25">
      <c r="A192" s="40" t="s">
        <v>13</v>
      </c>
      <c r="B192" s="40"/>
      <c r="C192" s="40"/>
      <c r="D192" s="40"/>
      <c r="G192" s="1"/>
    </row>
    <row r="193" spans="1:7" x14ac:dyDescent="0.25">
      <c r="A193" s="41" t="s">
        <v>14</v>
      </c>
      <c r="B193" s="41"/>
      <c r="C193" s="41"/>
      <c r="D193" s="41"/>
      <c r="G193" s="1"/>
    </row>
    <row r="194" spans="1:7" x14ac:dyDescent="0.25">
      <c r="A194" s="42">
        <v>45663</v>
      </c>
      <c r="B194" s="42"/>
      <c r="C194" s="42"/>
      <c r="D194" s="42"/>
      <c r="G194" s="1"/>
    </row>
    <row r="195" spans="1:7" x14ac:dyDescent="0.25">
      <c r="A195" s="13"/>
      <c r="B195" s="13"/>
      <c r="C195" s="13"/>
      <c r="D195" s="13"/>
      <c r="G195" s="1"/>
    </row>
    <row r="196" spans="1:7" x14ac:dyDescent="0.25">
      <c r="A196" s="14"/>
      <c r="B196" s="15"/>
      <c r="C196" s="15"/>
      <c r="D196" s="16"/>
      <c r="F196" s="5" t="s">
        <v>26</v>
      </c>
      <c r="G196" s="1">
        <f>D237-D189</f>
        <v>28762500</v>
      </c>
    </row>
    <row r="197" spans="1:7" x14ac:dyDescent="0.25">
      <c r="A197" s="17"/>
      <c r="D197" s="32" t="s">
        <v>16</v>
      </c>
      <c r="G197" s="1"/>
    </row>
    <row r="198" spans="1:7" x14ac:dyDescent="0.25">
      <c r="A198" s="23" t="s">
        <v>15</v>
      </c>
      <c r="D198" s="18" t="s">
        <v>17</v>
      </c>
      <c r="F198" s="26" t="s">
        <v>27</v>
      </c>
      <c r="G198" s="1"/>
    </row>
    <row r="199" spans="1:7" x14ac:dyDescent="0.25">
      <c r="A199" s="17"/>
      <c r="B199" s="24" t="s">
        <v>18</v>
      </c>
      <c r="D199" s="19"/>
      <c r="F199" s="27" t="s">
        <v>28</v>
      </c>
      <c r="G199" s="1"/>
    </row>
    <row r="200" spans="1:7" x14ac:dyDescent="0.25">
      <c r="A200" s="17"/>
      <c r="C200" s="2" t="s">
        <v>31</v>
      </c>
      <c r="D200" s="19">
        <v>83903536.590000004</v>
      </c>
      <c r="F200" t="s">
        <v>124</v>
      </c>
      <c r="G200" s="1">
        <v>28205000</v>
      </c>
    </row>
    <row r="201" spans="1:7" x14ac:dyDescent="0.25">
      <c r="A201" s="17"/>
      <c r="C201" s="2" t="s">
        <v>32</v>
      </c>
      <c r="D201" s="19">
        <v>109140363.73999999</v>
      </c>
      <c r="F201" t="s">
        <v>90</v>
      </c>
      <c r="G201" s="1">
        <v>407500</v>
      </c>
    </row>
    <row r="202" spans="1:7" x14ac:dyDescent="0.25">
      <c r="A202" s="17"/>
      <c r="C202" s="2" t="s">
        <v>33</v>
      </c>
      <c r="D202" s="19">
        <v>735914511.39999998</v>
      </c>
      <c r="F202" t="s">
        <v>127</v>
      </c>
      <c r="G202" s="1">
        <v>150000</v>
      </c>
    </row>
    <row r="203" spans="1:7" x14ac:dyDescent="0.25">
      <c r="A203" s="17"/>
      <c r="C203" s="2" t="s">
        <v>34</v>
      </c>
      <c r="D203" s="19">
        <v>28355027</v>
      </c>
      <c r="G203" s="30">
        <f>SUM(G200:G202)</f>
        <v>28762500</v>
      </c>
    </row>
    <row r="204" spans="1:7" x14ac:dyDescent="0.25">
      <c r="A204" s="17"/>
      <c r="C204" s="2" t="s">
        <v>35</v>
      </c>
      <c r="D204" s="19">
        <v>10023500</v>
      </c>
      <c r="F204" s="28" t="s">
        <v>29</v>
      </c>
      <c r="G204" s="1"/>
    </row>
    <row r="205" spans="1:7" x14ac:dyDescent="0.25">
      <c r="A205" s="17"/>
      <c r="C205" s="2" t="s">
        <v>36</v>
      </c>
      <c r="D205" s="19">
        <v>116542532.59999999</v>
      </c>
      <c r="G205" s="1">
        <v>0</v>
      </c>
    </row>
    <row r="206" spans="1:7" x14ac:dyDescent="0.25">
      <c r="A206" s="17"/>
      <c r="C206" s="2" t="s">
        <v>37</v>
      </c>
      <c r="D206" s="19">
        <v>321347653</v>
      </c>
      <c r="G206" s="30">
        <f>SUM(G205:G205)</f>
        <v>0</v>
      </c>
    </row>
    <row r="207" spans="1:7" x14ac:dyDescent="0.25">
      <c r="A207" s="17"/>
      <c r="C207" s="2" t="s">
        <v>51</v>
      </c>
      <c r="D207" s="20">
        <v>130317</v>
      </c>
      <c r="G207" s="1"/>
    </row>
    <row r="208" spans="1:7" x14ac:dyDescent="0.25">
      <c r="A208" s="17"/>
      <c r="B208" s="24" t="s">
        <v>19</v>
      </c>
      <c r="D208" s="19">
        <f>SUM(D200:D207)</f>
        <v>1405357441.3299999</v>
      </c>
      <c r="F208" s="28" t="s">
        <v>30</v>
      </c>
      <c r="G208" s="29">
        <f>G203-G206</f>
        <v>28762500</v>
      </c>
    </row>
    <row r="209" spans="1:7" x14ac:dyDescent="0.25">
      <c r="A209" s="17"/>
      <c r="D209" s="19"/>
    </row>
    <row r="210" spans="1:7" x14ac:dyDescent="0.25">
      <c r="A210" s="17"/>
      <c r="B210" s="24" t="s">
        <v>20</v>
      </c>
      <c r="D210" s="19"/>
    </row>
    <row r="211" spans="1:7" x14ac:dyDescent="0.25">
      <c r="A211" s="17"/>
      <c r="C211" t="s">
        <v>7</v>
      </c>
      <c r="D211" s="19">
        <v>1566549140</v>
      </c>
    </row>
    <row r="212" spans="1:7" x14ac:dyDescent="0.25">
      <c r="A212" s="17"/>
      <c r="C212" t="s">
        <v>47</v>
      </c>
      <c r="D212" s="19">
        <v>8915000</v>
      </c>
    </row>
    <row r="213" spans="1:7" x14ac:dyDescent="0.25">
      <c r="A213" s="17"/>
      <c r="C213" t="s">
        <v>21</v>
      </c>
      <c r="D213" s="19">
        <v>753712500</v>
      </c>
    </row>
    <row r="214" spans="1:7" x14ac:dyDescent="0.25">
      <c r="A214" s="17"/>
      <c r="C214" t="s">
        <v>45</v>
      </c>
      <c r="D214" s="19">
        <v>25000000</v>
      </c>
    </row>
    <row r="215" spans="1:7" x14ac:dyDescent="0.25">
      <c r="A215" s="17"/>
      <c r="C215" t="s">
        <v>48</v>
      </c>
      <c r="D215" s="19">
        <v>30000000</v>
      </c>
    </row>
    <row r="216" spans="1:7" x14ac:dyDescent="0.25">
      <c r="A216" s="17"/>
      <c r="C216" t="s">
        <v>68</v>
      </c>
      <c r="D216" s="19">
        <v>141000000</v>
      </c>
    </row>
    <row r="217" spans="1:7" x14ac:dyDescent="0.25">
      <c r="A217" s="17"/>
      <c r="C217" t="s">
        <v>68</v>
      </c>
      <c r="D217" s="20">
        <v>145000000</v>
      </c>
    </row>
    <row r="218" spans="1:7" x14ac:dyDescent="0.25">
      <c r="A218" s="17"/>
      <c r="D218" s="19">
        <f>SUM(D211:D217)</f>
        <v>2670176640</v>
      </c>
    </row>
    <row r="219" spans="1:7" x14ac:dyDescent="0.25">
      <c r="A219" s="17"/>
      <c r="D219" s="19"/>
    </row>
    <row r="220" spans="1:7" x14ac:dyDescent="0.25">
      <c r="A220" s="17"/>
      <c r="B220" s="24" t="s">
        <v>46</v>
      </c>
      <c r="D220" s="19"/>
      <c r="G220" s="1"/>
    </row>
    <row r="221" spans="1:7" x14ac:dyDescent="0.25">
      <c r="A221" s="17"/>
      <c r="C221" t="s">
        <v>125</v>
      </c>
      <c r="D221" s="19">
        <v>87965000</v>
      </c>
    </row>
    <row r="222" spans="1:7" x14ac:dyDescent="0.25">
      <c r="A222" s="17"/>
      <c r="C222" t="s">
        <v>126</v>
      </c>
      <c r="D222" s="20">
        <v>3615000</v>
      </c>
    </row>
    <row r="223" spans="1:7" x14ac:dyDescent="0.25">
      <c r="A223" s="17"/>
      <c r="D223" s="19">
        <f>SUM(D221:D222)</f>
        <v>91580000</v>
      </c>
    </row>
    <row r="224" spans="1:7" x14ac:dyDescent="0.25">
      <c r="A224" s="17"/>
      <c r="D224" s="19"/>
    </row>
    <row r="225" spans="1:7" x14ac:dyDescent="0.25">
      <c r="A225" s="17"/>
      <c r="B225" s="24" t="s">
        <v>43</v>
      </c>
      <c r="D225" s="19"/>
    </row>
    <row r="226" spans="1:7" x14ac:dyDescent="0.25">
      <c r="A226" s="17"/>
      <c r="C226" t="s">
        <v>79</v>
      </c>
      <c r="D226" s="19">
        <v>72000000</v>
      </c>
    </row>
    <row r="227" spans="1:7" x14ac:dyDescent="0.25">
      <c r="A227" s="17"/>
      <c r="C227" t="s">
        <v>101</v>
      </c>
      <c r="D227" s="19">
        <v>135300000</v>
      </c>
    </row>
    <row r="228" spans="1:7" x14ac:dyDescent="0.25">
      <c r="A228" s="17"/>
      <c r="C228" t="s">
        <v>128</v>
      </c>
      <c r="D228" s="20">
        <v>20000000</v>
      </c>
    </row>
    <row r="229" spans="1:7" x14ac:dyDescent="0.25">
      <c r="A229" s="17"/>
      <c r="D229" s="19">
        <f>SUM(D226:D228)</f>
        <v>227300000</v>
      </c>
    </row>
    <row r="230" spans="1:7" x14ac:dyDescent="0.25">
      <c r="A230" s="17"/>
      <c r="D230" s="19"/>
    </row>
    <row r="231" spans="1:7" x14ac:dyDescent="0.25">
      <c r="A231" s="23" t="s">
        <v>22</v>
      </c>
      <c r="D231" s="19"/>
    </row>
    <row r="232" spans="1:7" x14ac:dyDescent="0.25">
      <c r="A232" s="17"/>
      <c r="C232" t="s">
        <v>23</v>
      </c>
      <c r="D232" s="19">
        <v>1554550000</v>
      </c>
    </row>
    <row r="233" spans="1:7" x14ac:dyDescent="0.25">
      <c r="A233" s="17"/>
      <c r="C233" t="s">
        <v>24</v>
      </c>
      <c r="D233" s="19">
        <v>1711706360</v>
      </c>
    </row>
    <row r="234" spans="1:7" x14ac:dyDescent="0.25">
      <c r="A234" s="17"/>
      <c r="C234" t="s">
        <v>111</v>
      </c>
      <c r="D234" s="20">
        <v>226950000</v>
      </c>
    </row>
    <row r="235" spans="1:7" x14ac:dyDescent="0.25">
      <c r="A235" s="17"/>
      <c r="D235" s="19">
        <f>SUM(D232:D234)</f>
        <v>3493206360</v>
      </c>
      <c r="G235" s="1"/>
    </row>
    <row r="236" spans="1:7" x14ac:dyDescent="0.25">
      <c r="A236" s="17"/>
      <c r="D236" s="19"/>
      <c r="G236" s="1"/>
    </row>
    <row r="237" spans="1:7" x14ac:dyDescent="0.25">
      <c r="A237" s="43" t="s">
        <v>25</v>
      </c>
      <c r="B237" s="44"/>
      <c r="C237" s="44"/>
      <c r="D237" s="25">
        <f>D208+D218+D223+D229-D235</f>
        <v>901207721.32999992</v>
      </c>
      <c r="G237" s="1"/>
    </row>
    <row r="238" spans="1:7" x14ac:dyDescent="0.25">
      <c r="A238" s="21"/>
      <c r="B238" s="22"/>
      <c r="C238" s="22"/>
      <c r="D238" s="20"/>
      <c r="G238" s="1"/>
    </row>
    <row r="240" spans="1:7" x14ac:dyDescent="0.25">
      <c r="A240" s="40" t="s">
        <v>13</v>
      </c>
      <c r="B240" s="40"/>
      <c r="C240" s="40"/>
      <c r="D240" s="40"/>
      <c r="G240" s="1"/>
    </row>
    <row r="241" spans="1:7" x14ac:dyDescent="0.25">
      <c r="A241" s="41" t="s">
        <v>14</v>
      </c>
      <c r="B241" s="41"/>
      <c r="C241" s="41"/>
      <c r="D241" s="41"/>
      <c r="G241" s="1"/>
    </row>
    <row r="242" spans="1:7" x14ac:dyDescent="0.25">
      <c r="A242" s="42">
        <v>45664</v>
      </c>
      <c r="B242" s="42"/>
      <c r="C242" s="42"/>
      <c r="D242" s="42"/>
      <c r="G242" s="1"/>
    </row>
    <row r="243" spans="1:7" x14ac:dyDescent="0.25">
      <c r="A243" s="13"/>
      <c r="B243" s="13"/>
      <c r="C243" s="13"/>
      <c r="D243" s="13"/>
      <c r="G243" s="1"/>
    </row>
    <row r="244" spans="1:7" x14ac:dyDescent="0.25">
      <c r="A244" s="14"/>
      <c r="B244" s="15"/>
      <c r="C244" s="15"/>
      <c r="D244" s="16"/>
      <c r="F244" s="5" t="s">
        <v>26</v>
      </c>
      <c r="G244" s="1">
        <f>D285-D237</f>
        <v>11234000</v>
      </c>
    </row>
    <row r="245" spans="1:7" x14ac:dyDescent="0.25">
      <c r="A245" s="17"/>
      <c r="D245" s="32" t="s">
        <v>16</v>
      </c>
      <c r="G245" s="1"/>
    </row>
    <row r="246" spans="1:7" x14ac:dyDescent="0.25">
      <c r="A246" s="23" t="s">
        <v>15</v>
      </c>
      <c r="D246" s="18" t="s">
        <v>17</v>
      </c>
      <c r="F246" s="26" t="s">
        <v>27</v>
      </c>
      <c r="G246" s="1"/>
    </row>
    <row r="247" spans="1:7" x14ac:dyDescent="0.25">
      <c r="A247" s="17"/>
      <c r="B247" s="24" t="s">
        <v>18</v>
      </c>
      <c r="D247" s="19"/>
      <c r="F247" s="27" t="s">
        <v>28</v>
      </c>
      <c r="G247" s="1"/>
    </row>
    <row r="248" spans="1:7" x14ac:dyDescent="0.25">
      <c r="A248" s="17"/>
      <c r="C248" s="2" t="s">
        <v>31</v>
      </c>
      <c r="D248" s="19">
        <v>77128536.590000004</v>
      </c>
      <c r="F248" t="s">
        <v>135</v>
      </c>
      <c r="G248" s="1">
        <v>13094000</v>
      </c>
    </row>
    <row r="249" spans="1:7" x14ac:dyDescent="0.25">
      <c r="A249" s="17"/>
      <c r="C249" s="2" t="s">
        <v>32</v>
      </c>
      <c r="D249" s="19">
        <v>118615363.73999999</v>
      </c>
      <c r="F249" t="s">
        <v>90</v>
      </c>
      <c r="G249" s="1">
        <v>390000</v>
      </c>
    </row>
    <row r="250" spans="1:7" x14ac:dyDescent="0.25">
      <c r="A250" s="17"/>
      <c r="C250" s="2" t="s">
        <v>33</v>
      </c>
      <c r="D250" s="19">
        <v>-810488.6</v>
      </c>
      <c r="G250" s="30">
        <f>SUM(G248:G249)</f>
        <v>13484000</v>
      </c>
    </row>
    <row r="251" spans="1:7" x14ac:dyDescent="0.25">
      <c r="A251" s="17"/>
      <c r="C251" s="2" t="s">
        <v>34</v>
      </c>
      <c r="D251" s="19">
        <v>4155027</v>
      </c>
      <c r="F251" s="28" t="s">
        <v>29</v>
      </c>
      <c r="G251" s="1"/>
    </row>
    <row r="252" spans="1:7" x14ac:dyDescent="0.25">
      <c r="A252" s="17"/>
      <c r="C252" s="2" t="s">
        <v>35</v>
      </c>
      <c r="D252" s="19">
        <v>10023500</v>
      </c>
      <c r="F252" t="s">
        <v>2</v>
      </c>
      <c r="G252" s="1">
        <v>2250000</v>
      </c>
    </row>
    <row r="253" spans="1:7" x14ac:dyDescent="0.25">
      <c r="A253" s="17"/>
      <c r="C253" s="2" t="s">
        <v>36</v>
      </c>
      <c r="D253" s="19">
        <v>116542532.59999999</v>
      </c>
      <c r="G253" s="30">
        <f>SUM(G252:G252)</f>
        <v>2250000</v>
      </c>
    </row>
    <row r="254" spans="1:7" x14ac:dyDescent="0.25">
      <c r="A254" s="17"/>
      <c r="C254" s="2" t="s">
        <v>37</v>
      </c>
      <c r="D254" s="19">
        <v>411622653</v>
      </c>
      <c r="G254" s="1"/>
    </row>
    <row r="255" spans="1:7" x14ac:dyDescent="0.25">
      <c r="A255" s="17"/>
      <c r="C255" s="2" t="s">
        <v>51</v>
      </c>
      <c r="D255" s="20">
        <v>130317</v>
      </c>
      <c r="F255" s="28" t="s">
        <v>30</v>
      </c>
      <c r="G255" s="29">
        <f>G250-G253</f>
        <v>11234000</v>
      </c>
    </row>
    <row r="256" spans="1:7" x14ac:dyDescent="0.25">
      <c r="A256" s="17"/>
      <c r="B256" s="24" t="s">
        <v>19</v>
      </c>
      <c r="D256" s="19">
        <f>SUM(D248:D255)</f>
        <v>737407441.32999992</v>
      </c>
    </row>
    <row r="257" spans="1:7" x14ac:dyDescent="0.25">
      <c r="A257" s="17"/>
      <c r="D257" s="19"/>
    </row>
    <row r="258" spans="1:7" x14ac:dyDescent="0.25">
      <c r="A258" s="17"/>
      <c r="B258" s="24" t="s">
        <v>20</v>
      </c>
      <c r="D258" s="19"/>
    </row>
    <row r="259" spans="1:7" x14ac:dyDescent="0.25">
      <c r="A259" s="17"/>
      <c r="C259" t="s">
        <v>7</v>
      </c>
      <c r="D259" s="19">
        <v>1826724140</v>
      </c>
    </row>
    <row r="260" spans="1:7" x14ac:dyDescent="0.25">
      <c r="A260" s="17"/>
      <c r="C260" t="s">
        <v>47</v>
      </c>
      <c r="D260" s="19">
        <v>7060000</v>
      </c>
    </row>
    <row r="261" spans="1:7" x14ac:dyDescent="0.25">
      <c r="A261" s="17"/>
      <c r="C261" t="s">
        <v>21</v>
      </c>
      <c r="D261" s="19">
        <v>932612500</v>
      </c>
    </row>
    <row r="262" spans="1:7" x14ac:dyDescent="0.25">
      <c r="A262" s="17"/>
      <c r="C262" t="s">
        <v>45</v>
      </c>
      <c r="D262" s="19">
        <v>25000000</v>
      </c>
    </row>
    <row r="263" spans="1:7" x14ac:dyDescent="0.25">
      <c r="A263" s="17"/>
      <c r="C263" t="s">
        <v>48</v>
      </c>
      <c r="D263" s="19">
        <v>30000000</v>
      </c>
    </row>
    <row r="264" spans="1:7" x14ac:dyDescent="0.25">
      <c r="A264" s="17"/>
      <c r="C264" t="s">
        <v>68</v>
      </c>
      <c r="D264" s="19">
        <v>141000000</v>
      </c>
    </row>
    <row r="265" spans="1:7" x14ac:dyDescent="0.25">
      <c r="A265" s="17"/>
      <c r="C265" t="s">
        <v>68</v>
      </c>
      <c r="D265" s="19">
        <v>145000000</v>
      </c>
    </row>
    <row r="266" spans="1:7" x14ac:dyDescent="0.25">
      <c r="A266" s="17"/>
      <c r="C266" t="s">
        <v>132</v>
      </c>
      <c r="D266" s="20">
        <v>340000000</v>
      </c>
    </row>
    <row r="267" spans="1:7" x14ac:dyDescent="0.25">
      <c r="A267" s="17"/>
      <c r="D267" s="19">
        <f>SUM(D259:D266)</f>
        <v>3447396640</v>
      </c>
    </row>
    <row r="268" spans="1:7" x14ac:dyDescent="0.25">
      <c r="A268" s="17"/>
      <c r="D268" s="19"/>
    </row>
    <row r="269" spans="1:7" x14ac:dyDescent="0.25">
      <c r="A269" s="17"/>
      <c r="B269" s="24" t="s">
        <v>46</v>
      </c>
      <c r="D269" s="19"/>
      <c r="G269" s="1"/>
    </row>
    <row r="270" spans="1:7" x14ac:dyDescent="0.25">
      <c r="A270" s="17"/>
      <c r="C270" t="s">
        <v>131</v>
      </c>
      <c r="D270" s="19">
        <v>84350000</v>
      </c>
    </row>
    <row r="271" spans="1:7" x14ac:dyDescent="0.25">
      <c r="A271" s="17"/>
      <c r="D271" s="20">
        <v>0</v>
      </c>
    </row>
    <row r="272" spans="1:7" x14ac:dyDescent="0.25">
      <c r="A272" s="17"/>
      <c r="D272" s="19">
        <f>SUM(D270:D271)</f>
        <v>84350000</v>
      </c>
    </row>
    <row r="273" spans="1:7" x14ac:dyDescent="0.25">
      <c r="A273" s="17"/>
      <c r="D273" s="19"/>
    </row>
    <row r="274" spans="1:7" x14ac:dyDescent="0.25">
      <c r="A274" s="17"/>
      <c r="B274" s="24" t="s">
        <v>43</v>
      </c>
      <c r="D274" s="19"/>
    </row>
    <row r="275" spans="1:7" x14ac:dyDescent="0.25">
      <c r="A275" s="17"/>
      <c r="C275" t="s">
        <v>79</v>
      </c>
      <c r="D275" s="19">
        <v>72000000</v>
      </c>
    </row>
    <row r="276" spans="1:7" x14ac:dyDescent="0.25">
      <c r="A276" s="17"/>
      <c r="C276" t="s">
        <v>128</v>
      </c>
      <c r="D276" s="20">
        <v>20000000</v>
      </c>
    </row>
    <row r="277" spans="1:7" x14ac:dyDescent="0.25">
      <c r="A277" s="17"/>
      <c r="D277" s="19">
        <f>SUM(D275:D276)</f>
        <v>92000000</v>
      </c>
    </row>
    <row r="278" spans="1:7" x14ac:dyDescent="0.25">
      <c r="A278" s="17"/>
      <c r="D278" s="19"/>
    </row>
    <row r="279" spans="1:7" x14ac:dyDescent="0.25">
      <c r="A279" s="23" t="s">
        <v>22</v>
      </c>
      <c r="D279" s="19"/>
    </row>
    <row r="280" spans="1:7" x14ac:dyDescent="0.25">
      <c r="A280" s="17"/>
      <c r="C280" t="s">
        <v>23</v>
      </c>
      <c r="D280" s="19">
        <v>1652350000</v>
      </c>
    </row>
    <row r="281" spans="1:7" x14ac:dyDescent="0.25">
      <c r="A281" s="17"/>
      <c r="C281" t="s">
        <v>24</v>
      </c>
      <c r="D281" s="19">
        <v>1788062360</v>
      </c>
    </row>
    <row r="282" spans="1:7" x14ac:dyDescent="0.25">
      <c r="A282" s="17"/>
      <c r="C282" t="s">
        <v>44</v>
      </c>
      <c r="D282" s="20">
        <v>8300000</v>
      </c>
    </row>
    <row r="283" spans="1:7" x14ac:dyDescent="0.25">
      <c r="A283" s="17"/>
      <c r="D283" s="19">
        <f>SUM(D280:D282)</f>
        <v>3448712360</v>
      </c>
      <c r="G283" s="1"/>
    </row>
    <row r="284" spans="1:7" x14ac:dyDescent="0.25">
      <c r="A284" s="17"/>
      <c r="D284" s="19"/>
      <c r="G284" s="1"/>
    </row>
    <row r="285" spans="1:7" x14ac:dyDescent="0.25">
      <c r="A285" s="43" t="s">
        <v>25</v>
      </c>
      <c r="B285" s="44"/>
      <c r="C285" s="44"/>
      <c r="D285" s="25">
        <f>D256+D267+D272+D277-D283</f>
        <v>912441721.32999992</v>
      </c>
      <c r="G285" s="1"/>
    </row>
    <row r="286" spans="1:7" x14ac:dyDescent="0.25">
      <c r="A286" s="21"/>
      <c r="B286" s="22"/>
      <c r="C286" s="22"/>
      <c r="D286" s="20"/>
      <c r="G286" s="1"/>
    </row>
    <row r="288" spans="1:7" x14ac:dyDescent="0.25">
      <c r="A288" s="40" t="s">
        <v>13</v>
      </c>
      <c r="B288" s="40"/>
      <c r="C288" s="40"/>
      <c r="D288" s="40"/>
      <c r="G288" s="1"/>
    </row>
    <row r="289" spans="1:7" x14ac:dyDescent="0.25">
      <c r="A289" s="41" t="s">
        <v>14</v>
      </c>
      <c r="B289" s="41"/>
      <c r="C289" s="41"/>
      <c r="D289" s="41"/>
      <c r="G289" s="1"/>
    </row>
    <row r="290" spans="1:7" x14ac:dyDescent="0.25">
      <c r="A290" s="42">
        <v>45665</v>
      </c>
      <c r="B290" s="42"/>
      <c r="C290" s="42"/>
      <c r="D290" s="42"/>
      <c r="G290" s="1"/>
    </row>
    <row r="291" spans="1:7" x14ac:dyDescent="0.25">
      <c r="A291" s="13"/>
      <c r="B291" s="13"/>
      <c r="C291" s="13"/>
      <c r="D291" s="13"/>
      <c r="G291" s="1"/>
    </row>
    <row r="292" spans="1:7" x14ac:dyDescent="0.25">
      <c r="A292" s="14"/>
      <c r="B292" s="15"/>
      <c r="C292" s="15"/>
      <c r="D292" s="16"/>
      <c r="F292" s="5" t="s">
        <v>26</v>
      </c>
      <c r="G292" s="1">
        <f>D335-D285</f>
        <v>4990900</v>
      </c>
    </row>
    <row r="293" spans="1:7" x14ac:dyDescent="0.25">
      <c r="A293" s="17"/>
      <c r="D293" s="32" t="s">
        <v>16</v>
      </c>
      <c r="G293" s="1"/>
    </row>
    <row r="294" spans="1:7" x14ac:dyDescent="0.25">
      <c r="A294" s="23" t="s">
        <v>15</v>
      </c>
      <c r="D294" s="18" t="s">
        <v>17</v>
      </c>
      <c r="F294" s="26" t="s">
        <v>27</v>
      </c>
      <c r="G294" s="1"/>
    </row>
    <row r="295" spans="1:7" x14ac:dyDescent="0.25">
      <c r="A295" s="17"/>
      <c r="B295" s="24" t="s">
        <v>18</v>
      </c>
      <c r="D295" s="19"/>
      <c r="F295" s="27" t="s">
        <v>28</v>
      </c>
      <c r="G295" s="1"/>
    </row>
    <row r="296" spans="1:7" x14ac:dyDescent="0.25">
      <c r="A296" s="17"/>
      <c r="C296" s="2" t="s">
        <v>31</v>
      </c>
      <c r="D296" s="19">
        <v>77228536.590000004</v>
      </c>
      <c r="F296" t="s">
        <v>141</v>
      </c>
      <c r="G296" s="1">
        <v>19088000</v>
      </c>
    </row>
    <row r="297" spans="1:7" x14ac:dyDescent="0.25">
      <c r="A297" s="17"/>
      <c r="C297" s="2" t="s">
        <v>32</v>
      </c>
      <c r="D297" s="19">
        <v>118615363.73999999</v>
      </c>
      <c r="F297" t="s">
        <v>138</v>
      </c>
      <c r="G297" s="1">
        <v>170000</v>
      </c>
    </row>
    <row r="298" spans="1:7" x14ac:dyDescent="0.25">
      <c r="A298" s="17"/>
      <c r="C298" s="2" t="s">
        <v>33</v>
      </c>
      <c r="D298" s="19">
        <v>21486011.399999999</v>
      </c>
      <c r="G298" s="30">
        <f>SUM(G296:G297)</f>
        <v>19258000</v>
      </c>
    </row>
    <row r="299" spans="1:7" x14ac:dyDescent="0.25">
      <c r="A299" s="17"/>
      <c r="C299" s="2" t="s">
        <v>34</v>
      </c>
      <c r="D299" s="19">
        <v>21655027</v>
      </c>
      <c r="F299" s="28" t="s">
        <v>29</v>
      </c>
      <c r="G299" s="1"/>
    </row>
    <row r="300" spans="1:7" x14ac:dyDescent="0.25">
      <c r="A300" s="17"/>
      <c r="C300" s="2" t="s">
        <v>35</v>
      </c>
      <c r="D300" s="19">
        <v>10023500</v>
      </c>
      <c r="F300" t="s">
        <v>134</v>
      </c>
      <c r="G300" s="1">
        <v>783600</v>
      </c>
    </row>
    <row r="301" spans="1:7" x14ac:dyDescent="0.25">
      <c r="A301" s="17"/>
      <c r="C301" s="2" t="s">
        <v>36</v>
      </c>
      <c r="D301" s="19">
        <v>116542532.59999999</v>
      </c>
      <c r="F301" t="s">
        <v>136</v>
      </c>
      <c r="G301" s="1">
        <v>5000</v>
      </c>
    </row>
    <row r="302" spans="1:7" x14ac:dyDescent="0.25">
      <c r="A302" s="17"/>
      <c r="C302" s="2" t="s">
        <v>37</v>
      </c>
      <c r="D302" s="19">
        <v>3787653</v>
      </c>
      <c r="F302" t="s">
        <v>139</v>
      </c>
      <c r="G302" s="1">
        <v>13478500</v>
      </c>
    </row>
    <row r="303" spans="1:7" x14ac:dyDescent="0.25">
      <c r="A303" s="17"/>
      <c r="C303" s="2" t="s">
        <v>51</v>
      </c>
      <c r="D303" s="20">
        <v>130317</v>
      </c>
      <c r="G303" s="30">
        <f>SUM(G300:G302)</f>
        <v>14267100</v>
      </c>
    </row>
    <row r="304" spans="1:7" x14ac:dyDescent="0.25">
      <c r="A304" s="17"/>
      <c r="B304" s="24" t="s">
        <v>19</v>
      </c>
      <c r="D304" s="19">
        <f>SUM(D296:D303)</f>
        <v>369468941.32999998</v>
      </c>
      <c r="G304" s="1"/>
    </row>
    <row r="305" spans="1:7" x14ac:dyDescent="0.25">
      <c r="A305" s="17"/>
      <c r="D305" s="19"/>
      <c r="F305" s="28" t="s">
        <v>30</v>
      </c>
      <c r="G305" s="29">
        <f>G298-G303</f>
        <v>4990900</v>
      </c>
    </row>
    <row r="306" spans="1:7" x14ac:dyDescent="0.25">
      <c r="A306" s="17"/>
      <c r="B306" s="24" t="s">
        <v>20</v>
      </c>
      <c r="D306" s="19"/>
    </row>
    <row r="307" spans="1:7" x14ac:dyDescent="0.25">
      <c r="A307" s="17"/>
      <c r="C307" t="s">
        <v>7</v>
      </c>
      <c r="D307" s="19">
        <v>1999524140</v>
      </c>
    </row>
    <row r="308" spans="1:7" x14ac:dyDescent="0.25">
      <c r="A308" s="17"/>
      <c r="C308" t="s">
        <v>47</v>
      </c>
      <c r="D308" s="19">
        <v>7060000</v>
      </c>
    </row>
    <row r="309" spans="1:7" x14ac:dyDescent="0.25">
      <c r="A309" s="17"/>
      <c r="C309" t="s">
        <v>21</v>
      </c>
      <c r="D309" s="19">
        <v>957212500</v>
      </c>
    </row>
    <row r="310" spans="1:7" x14ac:dyDescent="0.25">
      <c r="A310" s="17"/>
      <c r="C310" t="s">
        <v>45</v>
      </c>
      <c r="D310" s="19">
        <v>25000000</v>
      </c>
    </row>
    <row r="311" spans="1:7" x14ac:dyDescent="0.25">
      <c r="A311" s="17"/>
      <c r="C311" t="s">
        <v>48</v>
      </c>
      <c r="D311" s="19">
        <v>30000000</v>
      </c>
    </row>
    <row r="312" spans="1:7" x14ac:dyDescent="0.25">
      <c r="A312" s="17"/>
      <c r="C312" t="s">
        <v>68</v>
      </c>
      <c r="D312" s="19">
        <v>141000000</v>
      </c>
    </row>
    <row r="313" spans="1:7" x14ac:dyDescent="0.25">
      <c r="A313" s="17"/>
      <c r="C313" t="s">
        <v>68</v>
      </c>
      <c r="D313" s="19">
        <v>145000000</v>
      </c>
    </row>
    <row r="314" spans="1:7" x14ac:dyDescent="0.25">
      <c r="A314" s="17"/>
      <c r="C314" t="s">
        <v>132</v>
      </c>
      <c r="D314" s="20">
        <v>340000000</v>
      </c>
    </row>
    <row r="315" spans="1:7" x14ac:dyDescent="0.25">
      <c r="A315" s="17"/>
      <c r="D315" s="19">
        <f>SUM(D307:D314)</f>
        <v>3644796640</v>
      </c>
    </row>
    <row r="316" spans="1:7" x14ac:dyDescent="0.25">
      <c r="A316" s="17"/>
      <c r="D316" s="19"/>
    </row>
    <row r="317" spans="1:7" x14ac:dyDescent="0.25">
      <c r="A317" s="17"/>
      <c r="B317" s="24" t="s">
        <v>46</v>
      </c>
      <c r="D317" s="19"/>
      <c r="G317" s="1"/>
    </row>
    <row r="318" spans="1:7" x14ac:dyDescent="0.25">
      <c r="A318" s="17"/>
      <c r="C318" t="s">
        <v>131</v>
      </c>
      <c r="D318" s="19">
        <v>84350000</v>
      </c>
    </row>
    <row r="319" spans="1:7" x14ac:dyDescent="0.25">
      <c r="A319" s="17"/>
      <c r="D319" s="20">
        <v>0</v>
      </c>
    </row>
    <row r="320" spans="1:7" x14ac:dyDescent="0.25">
      <c r="A320" s="17"/>
      <c r="D320" s="19">
        <f>SUM(D318:D319)</f>
        <v>84350000</v>
      </c>
    </row>
    <row r="321" spans="1:7" x14ac:dyDescent="0.25">
      <c r="A321" s="17"/>
      <c r="D321" s="19"/>
    </row>
    <row r="322" spans="1:7" x14ac:dyDescent="0.25">
      <c r="A322" s="17"/>
      <c r="B322" s="24" t="s">
        <v>43</v>
      </c>
      <c r="D322" s="19"/>
    </row>
    <row r="323" spans="1:7" x14ac:dyDescent="0.25">
      <c r="A323" s="17"/>
      <c r="C323" t="s">
        <v>79</v>
      </c>
      <c r="D323" s="19">
        <v>72000000</v>
      </c>
    </row>
    <row r="324" spans="1:7" x14ac:dyDescent="0.25">
      <c r="A324" s="17"/>
      <c r="C324" t="s">
        <v>128</v>
      </c>
      <c r="D324" s="20">
        <v>20000000</v>
      </c>
    </row>
    <row r="325" spans="1:7" x14ac:dyDescent="0.25">
      <c r="A325" s="17"/>
      <c r="D325" s="19">
        <f>SUM(D323:D324)</f>
        <v>92000000</v>
      </c>
    </row>
    <row r="326" spans="1:7" x14ac:dyDescent="0.25">
      <c r="A326" s="17"/>
      <c r="D326" s="19"/>
    </row>
    <row r="327" spans="1:7" x14ac:dyDescent="0.25">
      <c r="A327" s="23" t="s">
        <v>22</v>
      </c>
      <c r="D327" s="19"/>
    </row>
    <row r="328" spans="1:7" x14ac:dyDescent="0.25">
      <c r="A328" s="17"/>
      <c r="C328" t="s">
        <v>23</v>
      </c>
      <c r="D328" s="19">
        <v>1567750000</v>
      </c>
    </row>
    <row r="329" spans="1:7" x14ac:dyDescent="0.25">
      <c r="A329" s="17"/>
      <c r="C329" t="s">
        <v>24</v>
      </c>
      <c r="D329" s="19">
        <v>1549757960</v>
      </c>
    </row>
    <row r="330" spans="1:7" x14ac:dyDescent="0.25">
      <c r="A330" s="17"/>
      <c r="C330" t="s">
        <v>44</v>
      </c>
      <c r="D330" s="19">
        <v>8300000</v>
      </c>
    </row>
    <row r="331" spans="1:7" x14ac:dyDescent="0.25">
      <c r="A331" s="17"/>
      <c r="C331" t="s">
        <v>111</v>
      </c>
      <c r="D331" s="19">
        <v>74250000</v>
      </c>
    </row>
    <row r="332" spans="1:7" x14ac:dyDescent="0.25">
      <c r="A332" s="17"/>
      <c r="C332" t="s">
        <v>137</v>
      </c>
      <c r="D332" s="20">
        <v>73125000</v>
      </c>
    </row>
    <row r="333" spans="1:7" x14ac:dyDescent="0.25">
      <c r="A333" s="17"/>
      <c r="D333" s="19">
        <f>SUM(D328:D332)</f>
        <v>3273182960</v>
      </c>
      <c r="G333" s="1"/>
    </row>
    <row r="334" spans="1:7" x14ac:dyDescent="0.25">
      <c r="A334" s="17"/>
      <c r="D334" s="19"/>
      <c r="G334" s="1"/>
    </row>
    <row r="335" spans="1:7" x14ac:dyDescent="0.25">
      <c r="A335" s="43" t="s">
        <v>25</v>
      </c>
      <c r="B335" s="44"/>
      <c r="C335" s="44"/>
      <c r="D335" s="25">
        <f>D304+D315+D320+D325-D333</f>
        <v>917432621.32999992</v>
      </c>
      <c r="G335" s="1"/>
    </row>
    <row r="336" spans="1:7" x14ac:dyDescent="0.25">
      <c r="A336" s="21"/>
      <c r="B336" s="22"/>
      <c r="C336" s="22"/>
      <c r="D336" s="20"/>
      <c r="G336" s="1"/>
    </row>
    <row r="338" spans="1:7" x14ac:dyDescent="0.25">
      <c r="A338" s="40" t="s">
        <v>13</v>
      </c>
      <c r="B338" s="40"/>
      <c r="C338" s="40"/>
      <c r="D338" s="40"/>
      <c r="G338" s="1"/>
    </row>
    <row r="339" spans="1:7" x14ac:dyDescent="0.25">
      <c r="A339" s="41" t="s">
        <v>14</v>
      </c>
      <c r="B339" s="41"/>
      <c r="C339" s="41"/>
      <c r="D339" s="41"/>
      <c r="G339" s="1"/>
    </row>
    <row r="340" spans="1:7" x14ac:dyDescent="0.25">
      <c r="A340" s="42">
        <v>45666</v>
      </c>
      <c r="B340" s="42"/>
      <c r="C340" s="42"/>
      <c r="D340" s="42"/>
      <c r="G340" s="1"/>
    </row>
    <row r="341" spans="1:7" x14ac:dyDescent="0.25">
      <c r="A341" s="13"/>
      <c r="B341" s="13"/>
      <c r="C341" s="13"/>
      <c r="D341" s="13"/>
      <c r="G341" s="1"/>
    </row>
    <row r="342" spans="1:7" x14ac:dyDescent="0.25">
      <c r="A342" s="14"/>
      <c r="B342" s="15"/>
      <c r="C342" s="15"/>
      <c r="D342" s="16"/>
      <c r="F342" s="5" t="s">
        <v>26</v>
      </c>
      <c r="G342" s="1">
        <f>D383-D335</f>
        <v>31898000</v>
      </c>
    </row>
    <row r="343" spans="1:7" x14ac:dyDescent="0.25">
      <c r="A343" s="17"/>
      <c r="D343" s="32" t="s">
        <v>16</v>
      </c>
      <c r="G343" s="1"/>
    </row>
    <row r="344" spans="1:7" x14ac:dyDescent="0.25">
      <c r="A344" s="23" t="s">
        <v>15</v>
      </c>
      <c r="D344" s="18" t="s">
        <v>17</v>
      </c>
      <c r="F344" s="26" t="s">
        <v>27</v>
      </c>
      <c r="G344" s="1"/>
    </row>
    <row r="345" spans="1:7" x14ac:dyDescent="0.25">
      <c r="A345" s="17"/>
      <c r="B345" s="24" t="s">
        <v>18</v>
      </c>
      <c r="D345" s="19"/>
      <c r="F345" s="27" t="s">
        <v>28</v>
      </c>
      <c r="G345" s="1"/>
    </row>
    <row r="346" spans="1:7" x14ac:dyDescent="0.25">
      <c r="A346" s="17"/>
      <c r="C346" s="2" t="s">
        <v>31</v>
      </c>
      <c r="D346" s="19">
        <v>170228536.59</v>
      </c>
      <c r="F346" t="s">
        <v>147</v>
      </c>
      <c r="G346" s="1">
        <v>31543000</v>
      </c>
    </row>
    <row r="347" spans="1:7" x14ac:dyDescent="0.25">
      <c r="A347" s="17"/>
      <c r="C347" s="2" t="s">
        <v>32</v>
      </c>
      <c r="D347" s="19">
        <v>121115363.73999999</v>
      </c>
      <c r="F347" t="s">
        <v>90</v>
      </c>
      <c r="G347" s="1">
        <v>147500</v>
      </c>
    </row>
    <row r="348" spans="1:7" x14ac:dyDescent="0.25">
      <c r="A348" s="17"/>
      <c r="C348" s="2" t="s">
        <v>33</v>
      </c>
      <c r="D348" s="19">
        <v>-80238988.599999994</v>
      </c>
      <c r="F348" t="s">
        <v>145</v>
      </c>
      <c r="G348" s="1">
        <v>312500</v>
      </c>
    </row>
    <row r="349" spans="1:7" x14ac:dyDescent="0.25">
      <c r="A349" s="17"/>
      <c r="C349" s="2" t="s">
        <v>34</v>
      </c>
      <c r="D349" s="19">
        <v>142755027</v>
      </c>
      <c r="G349" s="30">
        <f>SUM(G346:G348)</f>
        <v>32003000</v>
      </c>
    </row>
    <row r="350" spans="1:7" x14ac:dyDescent="0.25">
      <c r="A350" s="17"/>
      <c r="C350" s="2" t="s">
        <v>35</v>
      </c>
      <c r="D350" s="19">
        <v>10023500</v>
      </c>
      <c r="F350" s="28" t="s">
        <v>29</v>
      </c>
      <c r="G350" s="1"/>
    </row>
    <row r="351" spans="1:7" x14ac:dyDescent="0.25">
      <c r="A351" s="17"/>
      <c r="C351" s="2" t="s">
        <v>36</v>
      </c>
      <c r="D351" s="19">
        <v>116542532.59999999</v>
      </c>
      <c r="F351" t="s">
        <v>143</v>
      </c>
      <c r="G351" s="1">
        <v>5000</v>
      </c>
    </row>
    <row r="352" spans="1:7" x14ac:dyDescent="0.25">
      <c r="A352" s="17"/>
      <c r="C352" s="2" t="s">
        <v>37</v>
      </c>
      <c r="D352" s="19">
        <v>331737653</v>
      </c>
      <c r="F352" t="s">
        <v>146</v>
      </c>
      <c r="G352" s="1">
        <v>100000</v>
      </c>
    </row>
    <row r="353" spans="1:7" x14ac:dyDescent="0.25">
      <c r="A353" s="17"/>
      <c r="C353" s="2" t="s">
        <v>51</v>
      </c>
      <c r="D353" s="20">
        <v>130317</v>
      </c>
      <c r="G353" s="30">
        <f>SUM(G351:G352)</f>
        <v>105000</v>
      </c>
    </row>
    <row r="354" spans="1:7" x14ac:dyDescent="0.25">
      <c r="A354" s="17"/>
      <c r="B354" s="24" t="s">
        <v>19</v>
      </c>
      <c r="D354" s="19">
        <f>SUM(D346:D353)</f>
        <v>812293941.33000004</v>
      </c>
      <c r="G354" s="1"/>
    </row>
    <row r="355" spans="1:7" x14ac:dyDescent="0.25">
      <c r="A355" s="17"/>
      <c r="D355" s="19"/>
      <c r="F355" s="28" t="s">
        <v>30</v>
      </c>
      <c r="G355" s="29">
        <f>G349-G353</f>
        <v>31898000</v>
      </c>
    </row>
    <row r="356" spans="1:7" x14ac:dyDescent="0.25">
      <c r="A356" s="17"/>
      <c r="B356" s="24" t="s">
        <v>20</v>
      </c>
      <c r="D356" s="19"/>
    </row>
    <row r="357" spans="1:7" x14ac:dyDescent="0.25">
      <c r="A357" s="17"/>
      <c r="C357" t="s">
        <v>7</v>
      </c>
      <c r="D357" s="19">
        <v>2134324140</v>
      </c>
    </row>
    <row r="358" spans="1:7" x14ac:dyDescent="0.25">
      <c r="A358" s="17"/>
      <c r="C358" t="s">
        <v>47</v>
      </c>
      <c r="D358" s="19">
        <v>7720000</v>
      </c>
    </row>
    <row r="359" spans="1:7" x14ac:dyDescent="0.25">
      <c r="A359" s="17"/>
      <c r="C359" t="s">
        <v>21</v>
      </c>
      <c r="D359" s="19">
        <v>785737500</v>
      </c>
    </row>
    <row r="360" spans="1:7" x14ac:dyDescent="0.25">
      <c r="A360" s="17"/>
      <c r="C360" t="s">
        <v>45</v>
      </c>
      <c r="D360" s="19">
        <v>25000000</v>
      </c>
    </row>
    <row r="361" spans="1:7" x14ac:dyDescent="0.25">
      <c r="A361" s="17"/>
      <c r="C361" t="s">
        <v>48</v>
      </c>
      <c r="D361" s="19">
        <v>30000000</v>
      </c>
    </row>
    <row r="362" spans="1:7" x14ac:dyDescent="0.25">
      <c r="A362" s="17"/>
      <c r="C362" t="s">
        <v>68</v>
      </c>
      <c r="D362" s="19">
        <v>141000000</v>
      </c>
    </row>
    <row r="363" spans="1:7" x14ac:dyDescent="0.25">
      <c r="A363" s="17"/>
      <c r="C363" t="s">
        <v>68</v>
      </c>
      <c r="D363" s="19">
        <v>145000000</v>
      </c>
    </row>
    <row r="364" spans="1:7" x14ac:dyDescent="0.25">
      <c r="A364" s="17"/>
      <c r="C364" t="s">
        <v>132</v>
      </c>
      <c r="D364" s="20">
        <v>340000000</v>
      </c>
    </row>
    <row r="365" spans="1:7" x14ac:dyDescent="0.25">
      <c r="A365" s="17"/>
      <c r="D365" s="19">
        <f>SUM(D357:D364)</f>
        <v>3608781640</v>
      </c>
    </row>
    <row r="366" spans="1:7" x14ac:dyDescent="0.25">
      <c r="A366" s="17"/>
      <c r="D366" s="19"/>
    </row>
    <row r="367" spans="1:7" x14ac:dyDescent="0.25">
      <c r="A367" s="17"/>
      <c r="B367" s="24" t="s">
        <v>46</v>
      </c>
      <c r="D367" s="19"/>
      <c r="G367" s="1"/>
    </row>
    <row r="368" spans="1:7" x14ac:dyDescent="0.25">
      <c r="A368" s="17"/>
      <c r="C368" t="s">
        <v>142</v>
      </c>
      <c r="D368" s="19">
        <v>81337500</v>
      </c>
    </row>
    <row r="369" spans="1:7" x14ac:dyDescent="0.25">
      <c r="A369" s="17"/>
      <c r="D369" s="20">
        <v>0</v>
      </c>
    </row>
    <row r="370" spans="1:7" x14ac:dyDescent="0.25">
      <c r="A370" s="17"/>
      <c r="D370" s="19">
        <f>SUM(D368:D369)</f>
        <v>81337500</v>
      </c>
    </row>
    <row r="371" spans="1:7" x14ac:dyDescent="0.25">
      <c r="A371" s="17"/>
      <c r="D371" s="19"/>
    </row>
    <row r="372" spans="1:7" x14ac:dyDescent="0.25">
      <c r="A372" s="17"/>
      <c r="B372" s="24" t="s">
        <v>43</v>
      </c>
      <c r="D372" s="19"/>
    </row>
    <row r="373" spans="1:7" x14ac:dyDescent="0.25">
      <c r="A373" s="17"/>
      <c r="C373" t="s">
        <v>79</v>
      </c>
      <c r="D373" s="20">
        <v>72000000</v>
      </c>
    </row>
    <row r="374" spans="1:7" x14ac:dyDescent="0.25">
      <c r="A374" s="17"/>
      <c r="D374" s="19">
        <f>SUM(D373:D373)</f>
        <v>72000000</v>
      </c>
    </row>
    <row r="375" spans="1:7" x14ac:dyDescent="0.25">
      <c r="A375" s="17"/>
      <c r="D375" s="19"/>
    </row>
    <row r="376" spans="1:7" x14ac:dyDescent="0.25">
      <c r="A376" s="23" t="s">
        <v>22</v>
      </c>
      <c r="D376" s="19"/>
    </row>
    <row r="377" spans="1:7" x14ac:dyDescent="0.25">
      <c r="A377" s="17"/>
      <c r="C377" t="s">
        <v>23</v>
      </c>
      <c r="D377" s="19">
        <v>1616650000</v>
      </c>
    </row>
    <row r="378" spans="1:7" x14ac:dyDescent="0.25">
      <c r="A378" s="17"/>
      <c r="C378" t="s">
        <v>24</v>
      </c>
      <c r="D378" s="19">
        <v>1851632460</v>
      </c>
    </row>
    <row r="379" spans="1:7" x14ac:dyDescent="0.25">
      <c r="A379" s="17"/>
      <c r="C379" t="s">
        <v>44</v>
      </c>
      <c r="D379" s="19">
        <v>8300000</v>
      </c>
    </row>
    <row r="380" spans="1:7" x14ac:dyDescent="0.25">
      <c r="A380" s="17"/>
      <c r="C380" t="s">
        <v>111</v>
      </c>
      <c r="D380" s="20">
        <v>148500000</v>
      </c>
    </row>
    <row r="381" spans="1:7" x14ac:dyDescent="0.25">
      <c r="A381" s="17"/>
      <c r="D381" s="19">
        <f>SUM(D377:D380)</f>
        <v>3625082460</v>
      </c>
      <c r="G381" s="1"/>
    </row>
    <row r="382" spans="1:7" x14ac:dyDescent="0.25">
      <c r="A382" s="17"/>
      <c r="D382" s="19"/>
      <c r="G382" s="1"/>
    </row>
    <row r="383" spans="1:7" x14ac:dyDescent="0.25">
      <c r="A383" s="43" t="s">
        <v>25</v>
      </c>
      <c r="B383" s="44"/>
      <c r="C383" s="44"/>
      <c r="D383" s="25">
        <f>D354+D365+D370+D374-D381</f>
        <v>949330621.32999992</v>
      </c>
      <c r="G383" s="1"/>
    </row>
    <row r="384" spans="1:7" x14ac:dyDescent="0.25">
      <c r="A384" s="21"/>
      <c r="B384" s="22"/>
      <c r="C384" s="22"/>
      <c r="D384" s="20"/>
      <c r="G384" s="1"/>
    </row>
    <row r="386" spans="1:7" x14ac:dyDescent="0.25">
      <c r="A386" s="40" t="s">
        <v>13</v>
      </c>
      <c r="B386" s="40"/>
      <c r="C386" s="40"/>
      <c r="D386" s="40"/>
      <c r="G386" s="1"/>
    </row>
    <row r="387" spans="1:7" x14ac:dyDescent="0.25">
      <c r="A387" s="41" t="s">
        <v>14</v>
      </c>
      <c r="B387" s="41"/>
      <c r="C387" s="41"/>
      <c r="D387" s="41"/>
      <c r="G387" s="1"/>
    </row>
    <row r="388" spans="1:7" x14ac:dyDescent="0.25">
      <c r="A388" s="42">
        <v>45667</v>
      </c>
      <c r="B388" s="42"/>
      <c r="C388" s="42"/>
      <c r="D388" s="42"/>
      <c r="G388" s="1"/>
    </row>
    <row r="389" spans="1:7" x14ac:dyDescent="0.25">
      <c r="A389" s="13"/>
      <c r="B389" s="13"/>
      <c r="C389" s="13"/>
      <c r="D389" s="13"/>
      <c r="G389" s="1"/>
    </row>
    <row r="390" spans="1:7" x14ac:dyDescent="0.25">
      <c r="A390" s="14"/>
      <c r="B390" s="15"/>
      <c r="C390" s="15"/>
      <c r="D390" s="16"/>
      <c r="F390" s="5" t="s">
        <v>26</v>
      </c>
      <c r="G390" s="1">
        <f>D427-D383</f>
        <v>4489000</v>
      </c>
    </row>
    <row r="391" spans="1:7" x14ac:dyDescent="0.25">
      <c r="A391" s="17"/>
      <c r="D391" s="32" t="s">
        <v>16</v>
      </c>
      <c r="G391" s="1"/>
    </row>
    <row r="392" spans="1:7" x14ac:dyDescent="0.25">
      <c r="A392" s="23" t="s">
        <v>15</v>
      </c>
      <c r="D392" s="18" t="s">
        <v>17</v>
      </c>
      <c r="F392" s="26" t="s">
        <v>27</v>
      </c>
      <c r="G392" s="1"/>
    </row>
    <row r="393" spans="1:7" x14ac:dyDescent="0.25">
      <c r="A393" s="17"/>
      <c r="B393" s="24" t="s">
        <v>18</v>
      </c>
      <c r="D393" s="19"/>
      <c r="F393" s="27" t="s">
        <v>28</v>
      </c>
      <c r="G393" s="1"/>
    </row>
    <row r="394" spans="1:7" x14ac:dyDescent="0.25">
      <c r="A394" s="17"/>
      <c r="C394" s="2" t="s">
        <v>31</v>
      </c>
      <c r="D394" s="19">
        <v>318378536.58999997</v>
      </c>
      <c r="F394" t="s">
        <v>148</v>
      </c>
      <c r="G394" s="1">
        <v>16574000</v>
      </c>
    </row>
    <row r="395" spans="1:7" x14ac:dyDescent="0.25">
      <c r="A395" s="17"/>
      <c r="C395" s="2" t="s">
        <v>32</v>
      </c>
      <c r="D395" s="19">
        <v>121775363.73999999</v>
      </c>
      <c r="F395" t="s">
        <v>90</v>
      </c>
      <c r="G395" s="1">
        <v>65000</v>
      </c>
    </row>
    <row r="396" spans="1:7" x14ac:dyDescent="0.25">
      <c r="A396" s="17"/>
      <c r="C396" s="2" t="s">
        <v>33</v>
      </c>
      <c r="D396" s="19">
        <v>86868051.400000006</v>
      </c>
      <c r="F396" t="s">
        <v>150</v>
      </c>
      <c r="G396" s="1">
        <v>100000</v>
      </c>
    </row>
    <row r="397" spans="1:7" x14ac:dyDescent="0.25">
      <c r="A397" s="17"/>
      <c r="C397" s="2" t="s">
        <v>34</v>
      </c>
      <c r="D397" s="19">
        <v>8205027</v>
      </c>
      <c r="G397" s="30">
        <f>SUM(G394:G396)</f>
        <v>16739000</v>
      </c>
    </row>
    <row r="398" spans="1:7" x14ac:dyDescent="0.25">
      <c r="A398" s="17"/>
      <c r="C398" s="2" t="s">
        <v>35</v>
      </c>
      <c r="D398" s="19">
        <v>10023500</v>
      </c>
      <c r="F398" s="28" t="s">
        <v>29</v>
      </c>
      <c r="G398" s="1"/>
    </row>
    <row r="399" spans="1:7" x14ac:dyDescent="0.25">
      <c r="A399" s="17"/>
      <c r="C399" s="2" t="s">
        <v>36</v>
      </c>
      <c r="D399" s="19">
        <v>116542532.59999999</v>
      </c>
      <c r="F399" t="s">
        <v>104</v>
      </c>
      <c r="G399" s="1">
        <v>2250000</v>
      </c>
    </row>
    <row r="400" spans="1:7" x14ac:dyDescent="0.25">
      <c r="A400" s="17"/>
      <c r="C400" s="2" t="s">
        <v>37</v>
      </c>
      <c r="D400" s="19">
        <v>329487653</v>
      </c>
      <c r="F400" t="s">
        <v>112</v>
      </c>
      <c r="G400" s="1">
        <v>10000000</v>
      </c>
    </row>
    <row r="401" spans="1:7" x14ac:dyDescent="0.25">
      <c r="A401" s="17"/>
      <c r="C401" s="2" t="s">
        <v>51</v>
      </c>
      <c r="D401" s="20">
        <v>130317</v>
      </c>
      <c r="G401" s="30">
        <f>SUM(G399:G400)</f>
        <v>12250000</v>
      </c>
    </row>
    <row r="402" spans="1:7" x14ac:dyDescent="0.25">
      <c r="A402" s="17"/>
      <c r="B402" s="24" t="s">
        <v>19</v>
      </c>
      <c r="D402" s="19">
        <f>SUM(D394:D401)</f>
        <v>991410981.33000004</v>
      </c>
      <c r="G402" s="1"/>
    </row>
    <row r="403" spans="1:7" x14ac:dyDescent="0.25">
      <c r="A403" s="17"/>
      <c r="D403" s="19"/>
      <c r="F403" s="28" t="s">
        <v>30</v>
      </c>
      <c r="G403" s="29">
        <f>G397-G401</f>
        <v>4489000</v>
      </c>
    </row>
    <row r="404" spans="1:7" x14ac:dyDescent="0.25">
      <c r="A404" s="17"/>
      <c r="B404" s="24" t="s">
        <v>20</v>
      </c>
      <c r="D404" s="19"/>
    </row>
    <row r="405" spans="1:7" x14ac:dyDescent="0.25">
      <c r="A405" s="17"/>
      <c r="C405" t="s">
        <v>7</v>
      </c>
      <c r="D405" s="19">
        <v>1979054140</v>
      </c>
    </row>
    <row r="406" spans="1:7" x14ac:dyDescent="0.25">
      <c r="A406" s="17"/>
      <c r="C406" t="s">
        <v>47</v>
      </c>
      <c r="D406" s="19">
        <v>8330000</v>
      </c>
    </row>
    <row r="407" spans="1:7" x14ac:dyDescent="0.25">
      <c r="A407" s="17"/>
      <c r="C407" t="s">
        <v>21</v>
      </c>
      <c r="D407" s="19">
        <v>775737500</v>
      </c>
    </row>
    <row r="408" spans="1:7" x14ac:dyDescent="0.25">
      <c r="A408" s="17"/>
      <c r="C408" t="s">
        <v>45</v>
      </c>
      <c r="D408" s="19">
        <v>25000000</v>
      </c>
    </row>
    <row r="409" spans="1:7" x14ac:dyDescent="0.25">
      <c r="A409" s="17"/>
      <c r="C409" t="s">
        <v>48</v>
      </c>
      <c r="D409" s="19">
        <v>30000000</v>
      </c>
    </row>
    <row r="410" spans="1:7" x14ac:dyDescent="0.25">
      <c r="A410" s="17"/>
      <c r="C410" t="s">
        <v>68</v>
      </c>
      <c r="D410" s="19">
        <v>141000000</v>
      </c>
    </row>
    <row r="411" spans="1:7" x14ac:dyDescent="0.25">
      <c r="A411" s="17"/>
      <c r="C411" t="s">
        <v>68</v>
      </c>
      <c r="D411" s="19">
        <v>145000000</v>
      </c>
    </row>
    <row r="412" spans="1:7" x14ac:dyDescent="0.25">
      <c r="A412" s="17"/>
      <c r="C412" t="s">
        <v>132</v>
      </c>
      <c r="D412" s="20">
        <v>340000000</v>
      </c>
    </row>
    <row r="413" spans="1:7" x14ac:dyDescent="0.25">
      <c r="A413" s="17"/>
      <c r="D413" s="19">
        <f>SUM(D405:D412)</f>
        <v>3444121640</v>
      </c>
    </row>
    <row r="414" spans="1:7" x14ac:dyDescent="0.25">
      <c r="A414" s="17"/>
      <c r="D414" s="19"/>
    </row>
    <row r="415" spans="1:7" x14ac:dyDescent="0.25">
      <c r="A415" s="17"/>
      <c r="B415" s="24" t="s">
        <v>46</v>
      </c>
      <c r="D415" s="19"/>
      <c r="G415" s="1"/>
    </row>
    <row r="416" spans="1:7" x14ac:dyDescent="0.25">
      <c r="A416" s="17"/>
      <c r="C416" t="s">
        <v>149</v>
      </c>
      <c r="D416" s="19">
        <v>80132500</v>
      </c>
    </row>
    <row r="417" spans="1:7" x14ac:dyDescent="0.25">
      <c r="A417" s="17"/>
      <c r="D417" s="20">
        <v>0</v>
      </c>
    </row>
    <row r="418" spans="1:7" x14ac:dyDescent="0.25">
      <c r="A418" s="17"/>
      <c r="D418" s="19">
        <f>SUM(D416:D417)</f>
        <v>80132500</v>
      </c>
    </row>
    <row r="419" spans="1:7" x14ac:dyDescent="0.25">
      <c r="A419" s="17"/>
      <c r="D419" s="19"/>
    </row>
    <row r="420" spans="1:7" x14ac:dyDescent="0.25">
      <c r="A420" s="23" t="s">
        <v>22</v>
      </c>
      <c r="D420" s="19"/>
    </row>
    <row r="421" spans="1:7" x14ac:dyDescent="0.25">
      <c r="A421" s="17"/>
      <c r="C421" t="s">
        <v>23</v>
      </c>
      <c r="D421" s="19">
        <v>1698150000</v>
      </c>
    </row>
    <row r="422" spans="1:7" x14ac:dyDescent="0.25">
      <c r="A422" s="17"/>
      <c r="C422" t="s">
        <v>24</v>
      </c>
      <c r="D422" s="19">
        <v>1632195500</v>
      </c>
    </row>
    <row r="423" spans="1:7" x14ac:dyDescent="0.25">
      <c r="A423" s="17"/>
      <c r="C423" t="s">
        <v>44</v>
      </c>
      <c r="D423" s="19">
        <v>83000000</v>
      </c>
    </row>
    <row r="424" spans="1:7" x14ac:dyDescent="0.25">
      <c r="A424" s="17"/>
      <c r="C424" t="s">
        <v>111</v>
      </c>
      <c r="D424" s="20">
        <v>148500000</v>
      </c>
    </row>
    <row r="425" spans="1:7" x14ac:dyDescent="0.25">
      <c r="A425" s="17"/>
      <c r="D425" s="19">
        <f>SUM(D421:D424)</f>
        <v>3561845500</v>
      </c>
      <c r="G425" s="1"/>
    </row>
    <row r="426" spans="1:7" x14ac:dyDescent="0.25">
      <c r="A426" s="17"/>
      <c r="D426" s="19"/>
      <c r="G426" s="1"/>
    </row>
    <row r="427" spans="1:7" x14ac:dyDescent="0.25">
      <c r="A427" s="43" t="s">
        <v>25</v>
      </c>
      <c r="B427" s="44"/>
      <c r="C427" s="44"/>
      <c r="D427" s="25">
        <f>D402+D413+D418-D425</f>
        <v>953819621.32999992</v>
      </c>
      <c r="G427" s="1"/>
    </row>
    <row r="428" spans="1:7" x14ac:dyDescent="0.25">
      <c r="A428" s="21"/>
      <c r="B428" s="22"/>
      <c r="C428" s="22"/>
      <c r="D428" s="20"/>
      <c r="G428" s="1"/>
    </row>
    <row r="430" spans="1:7" x14ac:dyDescent="0.25">
      <c r="A430" s="40" t="s">
        <v>13</v>
      </c>
      <c r="B430" s="40"/>
      <c r="C430" s="40"/>
      <c r="D430" s="40"/>
      <c r="G430" s="1"/>
    </row>
    <row r="431" spans="1:7" x14ac:dyDescent="0.25">
      <c r="A431" s="41" t="s">
        <v>14</v>
      </c>
      <c r="B431" s="41"/>
      <c r="C431" s="41"/>
      <c r="D431" s="41"/>
      <c r="G431" s="1"/>
    </row>
    <row r="432" spans="1:7" x14ac:dyDescent="0.25">
      <c r="A432" s="42">
        <v>45668</v>
      </c>
      <c r="B432" s="42"/>
      <c r="C432" s="42"/>
      <c r="D432" s="42"/>
      <c r="G432" s="1"/>
    </row>
    <row r="433" spans="1:7" x14ac:dyDescent="0.25">
      <c r="A433" s="13"/>
      <c r="B433" s="13"/>
      <c r="C433" s="13"/>
      <c r="D433" s="13"/>
      <c r="G433" s="1"/>
    </row>
    <row r="434" spans="1:7" x14ac:dyDescent="0.25">
      <c r="A434" s="14"/>
      <c r="B434" s="15"/>
      <c r="C434" s="15"/>
      <c r="D434" s="16"/>
      <c r="F434" s="5" t="s">
        <v>26</v>
      </c>
      <c r="G434" s="1">
        <f>D471-D427</f>
        <v>2160500</v>
      </c>
    </row>
    <row r="435" spans="1:7" x14ac:dyDescent="0.25">
      <c r="A435" s="17"/>
      <c r="D435" s="32" t="s">
        <v>16</v>
      </c>
      <c r="G435" s="1"/>
    </row>
    <row r="436" spans="1:7" x14ac:dyDescent="0.25">
      <c r="A436" s="23" t="s">
        <v>15</v>
      </c>
      <c r="D436" s="18" t="s">
        <v>17</v>
      </c>
      <c r="F436" s="26" t="s">
        <v>27</v>
      </c>
      <c r="G436" s="1"/>
    </row>
    <row r="437" spans="1:7" x14ac:dyDescent="0.25">
      <c r="A437" s="17"/>
      <c r="B437" s="24" t="s">
        <v>18</v>
      </c>
      <c r="D437" s="19"/>
      <c r="F437" s="27" t="s">
        <v>28</v>
      </c>
      <c r="G437" s="1"/>
    </row>
    <row r="438" spans="1:7" x14ac:dyDescent="0.25">
      <c r="A438" s="17"/>
      <c r="C438" s="2" t="s">
        <v>31</v>
      </c>
      <c r="D438" s="19">
        <v>-29021463.41</v>
      </c>
      <c r="F438" t="s">
        <v>151</v>
      </c>
      <c r="G438" s="1">
        <v>3244000</v>
      </c>
    </row>
    <row r="439" spans="1:7" x14ac:dyDescent="0.25">
      <c r="A439" s="17"/>
      <c r="C439" s="2" t="s">
        <v>32</v>
      </c>
      <c r="D439" s="19">
        <v>121775363.73999999</v>
      </c>
      <c r="F439" t="s">
        <v>152</v>
      </c>
      <c r="G439" s="1">
        <v>4000000</v>
      </c>
    </row>
    <row r="440" spans="1:7" x14ac:dyDescent="0.25">
      <c r="A440" s="17"/>
      <c r="C440" s="2" t="s">
        <v>33</v>
      </c>
      <c r="D440" s="19">
        <v>202984551.40000001</v>
      </c>
      <c r="G440" s="30">
        <f>SUM(G438:G439)</f>
        <v>7244000</v>
      </c>
    </row>
    <row r="441" spans="1:7" x14ac:dyDescent="0.25">
      <c r="A441" s="17"/>
      <c r="C441" s="2" t="s">
        <v>34</v>
      </c>
      <c r="D441" s="19">
        <v>164205027</v>
      </c>
      <c r="F441" s="28" t="s">
        <v>29</v>
      </c>
      <c r="G441" s="1"/>
    </row>
    <row r="442" spans="1:7" x14ac:dyDescent="0.25">
      <c r="A442" s="17"/>
      <c r="C442" s="2" t="s">
        <v>35</v>
      </c>
      <c r="D442" s="19">
        <v>10023500</v>
      </c>
      <c r="F442" t="s">
        <v>153</v>
      </c>
      <c r="G442" s="1">
        <v>83500</v>
      </c>
    </row>
    <row r="443" spans="1:7" x14ac:dyDescent="0.25">
      <c r="A443" s="17"/>
      <c r="C443" s="2" t="s">
        <v>36</v>
      </c>
      <c r="D443" s="19">
        <v>116542532.59999999</v>
      </c>
      <c r="F443" t="s">
        <v>112</v>
      </c>
      <c r="G443" s="1">
        <v>5000000</v>
      </c>
    </row>
    <row r="444" spans="1:7" x14ac:dyDescent="0.25">
      <c r="A444" s="17"/>
      <c r="C444" s="2" t="s">
        <v>37</v>
      </c>
      <c r="D444" s="19">
        <v>349537653</v>
      </c>
      <c r="G444" s="30">
        <f>SUM(G442:G443)</f>
        <v>5083500</v>
      </c>
    </row>
    <row r="445" spans="1:7" x14ac:dyDescent="0.25">
      <c r="A445" s="17"/>
      <c r="C445" s="2" t="s">
        <v>51</v>
      </c>
      <c r="D445" s="20">
        <v>130317</v>
      </c>
      <c r="G445" s="1"/>
    </row>
    <row r="446" spans="1:7" x14ac:dyDescent="0.25">
      <c r="A446" s="17"/>
      <c r="B446" s="24" t="s">
        <v>19</v>
      </c>
      <c r="D446" s="19">
        <f>SUM(D438:D445)</f>
        <v>936177481.33000004</v>
      </c>
      <c r="F446" s="28" t="s">
        <v>30</v>
      </c>
      <c r="G446" s="29">
        <f>G440-G444</f>
        <v>2160500</v>
      </c>
    </row>
    <row r="447" spans="1:7" x14ac:dyDescent="0.25">
      <c r="A447" s="17"/>
      <c r="D447" s="19"/>
    </row>
    <row r="448" spans="1:7" x14ac:dyDescent="0.25">
      <c r="A448" s="17"/>
      <c r="B448" s="24" t="s">
        <v>20</v>
      </c>
      <c r="D448" s="19"/>
    </row>
    <row r="449" spans="1:7" x14ac:dyDescent="0.25">
      <c r="A449" s="17"/>
      <c r="C449" t="s">
        <v>7</v>
      </c>
      <c r="D449" s="19">
        <v>1803754140</v>
      </c>
    </row>
    <row r="450" spans="1:7" x14ac:dyDescent="0.25">
      <c r="A450" s="17"/>
      <c r="C450" t="s">
        <v>47</v>
      </c>
      <c r="D450" s="19">
        <v>8330000</v>
      </c>
    </row>
    <row r="451" spans="1:7" x14ac:dyDescent="0.25">
      <c r="A451" s="17"/>
      <c r="C451" t="s">
        <v>21</v>
      </c>
      <c r="D451" s="19">
        <v>670737500</v>
      </c>
    </row>
    <row r="452" spans="1:7" x14ac:dyDescent="0.25">
      <c r="A452" s="17"/>
      <c r="C452" t="s">
        <v>45</v>
      </c>
      <c r="D452" s="19">
        <v>25000000</v>
      </c>
    </row>
    <row r="453" spans="1:7" x14ac:dyDescent="0.25">
      <c r="A453" s="17"/>
      <c r="C453" t="s">
        <v>48</v>
      </c>
      <c r="D453" s="19">
        <v>30000000</v>
      </c>
    </row>
    <row r="454" spans="1:7" x14ac:dyDescent="0.25">
      <c r="A454" s="17"/>
      <c r="C454" t="s">
        <v>68</v>
      </c>
      <c r="D454" s="19">
        <v>141000000</v>
      </c>
    </row>
    <row r="455" spans="1:7" x14ac:dyDescent="0.25">
      <c r="A455" s="17"/>
      <c r="C455" t="s">
        <v>68</v>
      </c>
      <c r="D455" s="19">
        <v>145000000</v>
      </c>
    </row>
    <row r="456" spans="1:7" x14ac:dyDescent="0.25">
      <c r="A456" s="17"/>
      <c r="C456" t="s">
        <v>132</v>
      </c>
      <c r="D456" s="19">
        <v>340000000</v>
      </c>
    </row>
    <row r="457" spans="1:7" x14ac:dyDescent="0.25">
      <c r="A457" s="17"/>
      <c r="C457" t="s">
        <v>158</v>
      </c>
      <c r="D457" s="20">
        <v>100000</v>
      </c>
    </row>
    <row r="458" spans="1:7" x14ac:dyDescent="0.25">
      <c r="A458" s="17"/>
      <c r="D458" s="19">
        <f>SUM(D449:D457)</f>
        <v>3163921640</v>
      </c>
    </row>
    <row r="459" spans="1:7" x14ac:dyDescent="0.25">
      <c r="A459" s="17"/>
      <c r="D459" s="19"/>
    </row>
    <row r="460" spans="1:7" x14ac:dyDescent="0.25">
      <c r="A460" s="17"/>
      <c r="B460" s="24" t="s">
        <v>46</v>
      </c>
      <c r="D460" s="19"/>
      <c r="G460" s="1"/>
    </row>
    <row r="461" spans="1:7" x14ac:dyDescent="0.25">
      <c r="A461" s="17"/>
      <c r="C461" t="s">
        <v>149</v>
      </c>
      <c r="D461" s="19">
        <v>80132500</v>
      </c>
    </row>
    <row r="462" spans="1:7" x14ac:dyDescent="0.25">
      <c r="A462" s="17"/>
      <c r="D462" s="20">
        <v>0</v>
      </c>
    </row>
    <row r="463" spans="1:7" x14ac:dyDescent="0.25">
      <c r="A463" s="17"/>
      <c r="D463" s="19">
        <f>SUM(D461:D462)</f>
        <v>80132500</v>
      </c>
    </row>
    <row r="464" spans="1:7" x14ac:dyDescent="0.25">
      <c r="A464" s="17"/>
      <c r="D464" s="19"/>
    </row>
    <row r="465" spans="1:7" x14ac:dyDescent="0.25">
      <c r="A465" s="23" t="s">
        <v>22</v>
      </c>
      <c r="D465" s="19"/>
    </row>
    <row r="466" spans="1:7" x14ac:dyDescent="0.25">
      <c r="A466" s="17"/>
      <c r="C466" t="s">
        <v>23</v>
      </c>
      <c r="D466" s="19">
        <v>1432250000</v>
      </c>
    </row>
    <row r="467" spans="1:7" x14ac:dyDescent="0.25">
      <c r="A467" s="17"/>
      <c r="C467" t="s">
        <v>24</v>
      </c>
      <c r="D467" s="19">
        <v>1709001500</v>
      </c>
    </row>
    <row r="468" spans="1:7" x14ac:dyDescent="0.25">
      <c r="A468" s="17"/>
      <c r="C468" t="s">
        <v>44</v>
      </c>
      <c r="D468" s="20">
        <v>83000000</v>
      </c>
    </row>
    <row r="469" spans="1:7" x14ac:dyDescent="0.25">
      <c r="A469" s="17"/>
      <c r="D469" s="19">
        <f>SUM(D466:D468)</f>
        <v>3224251500</v>
      </c>
      <c r="G469" s="1"/>
    </row>
    <row r="470" spans="1:7" x14ac:dyDescent="0.25">
      <c r="A470" s="17"/>
      <c r="D470" s="19"/>
      <c r="G470" s="1"/>
    </row>
    <row r="471" spans="1:7" x14ac:dyDescent="0.25">
      <c r="A471" s="43" t="s">
        <v>25</v>
      </c>
      <c r="B471" s="44"/>
      <c r="C471" s="44"/>
      <c r="D471" s="25">
        <f>D446+D458+D463-D469</f>
        <v>955980121.32999992</v>
      </c>
      <c r="G471" s="1"/>
    </row>
    <row r="472" spans="1:7" x14ac:dyDescent="0.25">
      <c r="A472" s="21"/>
      <c r="B472" s="22"/>
      <c r="C472" s="22"/>
      <c r="D472" s="20"/>
      <c r="G472" s="1"/>
    </row>
    <row r="474" spans="1:7" x14ac:dyDescent="0.25">
      <c r="A474" s="40" t="s">
        <v>13</v>
      </c>
      <c r="B474" s="40"/>
      <c r="C474" s="40"/>
      <c r="D474" s="40"/>
      <c r="G474" s="1"/>
    </row>
    <row r="475" spans="1:7" x14ac:dyDescent="0.25">
      <c r="A475" s="41" t="s">
        <v>14</v>
      </c>
      <c r="B475" s="41"/>
      <c r="C475" s="41"/>
      <c r="D475" s="41"/>
      <c r="G475" s="1"/>
    </row>
    <row r="476" spans="1:7" x14ac:dyDescent="0.25">
      <c r="A476" s="42">
        <v>45670</v>
      </c>
      <c r="B476" s="42"/>
      <c r="C476" s="42"/>
      <c r="D476" s="42"/>
      <c r="G476" s="1"/>
    </row>
    <row r="477" spans="1:7" x14ac:dyDescent="0.25">
      <c r="A477" s="13"/>
      <c r="B477" s="13"/>
      <c r="C477" s="13"/>
      <c r="D477" s="13"/>
      <c r="G477" s="1"/>
    </row>
    <row r="478" spans="1:7" x14ac:dyDescent="0.25">
      <c r="A478" s="14"/>
      <c r="B478" s="15"/>
      <c r="C478" s="15"/>
      <c r="D478" s="16"/>
      <c r="F478" s="5" t="s">
        <v>26</v>
      </c>
      <c r="G478" s="1">
        <f>D516-D471</f>
        <v>6996100</v>
      </c>
    </row>
    <row r="479" spans="1:7" x14ac:dyDescent="0.25">
      <c r="A479" s="17"/>
      <c r="D479" s="32" t="s">
        <v>16</v>
      </c>
      <c r="G479" s="1"/>
    </row>
    <row r="480" spans="1:7" x14ac:dyDescent="0.25">
      <c r="A480" s="23" t="s">
        <v>15</v>
      </c>
      <c r="D480" s="18" t="s">
        <v>17</v>
      </c>
      <c r="F480" s="26" t="s">
        <v>27</v>
      </c>
      <c r="G480" s="1"/>
    </row>
    <row r="481" spans="1:7" x14ac:dyDescent="0.25">
      <c r="A481" s="17"/>
      <c r="B481" s="24" t="s">
        <v>18</v>
      </c>
      <c r="D481" s="19"/>
      <c r="F481" s="27" t="s">
        <v>28</v>
      </c>
      <c r="G481" s="1"/>
    </row>
    <row r="482" spans="1:7" x14ac:dyDescent="0.25">
      <c r="A482" s="17"/>
      <c r="C482" s="2" t="s">
        <v>31</v>
      </c>
      <c r="D482" s="19">
        <v>171199586.59</v>
      </c>
      <c r="F482" t="s">
        <v>154</v>
      </c>
      <c r="G482" s="1">
        <v>27021000</v>
      </c>
    </row>
    <row r="483" spans="1:7" x14ac:dyDescent="0.25">
      <c r="A483" s="17"/>
      <c r="C483" s="2" t="s">
        <v>32</v>
      </c>
      <c r="D483" s="19">
        <v>125025363.73999999</v>
      </c>
      <c r="G483" s="30">
        <f>SUM(G482:G482)</f>
        <v>27021000</v>
      </c>
    </row>
    <row r="484" spans="1:7" x14ac:dyDescent="0.25">
      <c r="A484" s="17"/>
      <c r="C484" s="2" t="s">
        <v>33</v>
      </c>
      <c r="D484" s="19">
        <v>46109051.399999999</v>
      </c>
      <c r="F484" s="28" t="s">
        <v>29</v>
      </c>
      <c r="G484" s="1"/>
    </row>
    <row r="485" spans="1:7" x14ac:dyDescent="0.25">
      <c r="A485" s="17"/>
      <c r="C485" s="2" t="s">
        <v>34</v>
      </c>
      <c r="D485" s="19">
        <v>5505027</v>
      </c>
      <c r="F485" t="s">
        <v>155</v>
      </c>
      <c r="G485" s="1">
        <v>6315750</v>
      </c>
    </row>
    <row r="486" spans="1:7" x14ac:dyDescent="0.25">
      <c r="A486" s="17"/>
      <c r="C486" s="2" t="s">
        <v>35</v>
      </c>
      <c r="D486" s="19">
        <v>10023500</v>
      </c>
      <c r="F486" t="s">
        <v>156</v>
      </c>
      <c r="G486" s="1">
        <v>4209150</v>
      </c>
    </row>
    <row r="487" spans="1:7" x14ac:dyDescent="0.25">
      <c r="A487" s="17"/>
      <c r="C487" s="2" t="s">
        <v>36</v>
      </c>
      <c r="D487" s="19">
        <v>116542532.59999999</v>
      </c>
      <c r="F487" t="s">
        <v>159</v>
      </c>
      <c r="G487" s="1">
        <v>9500000</v>
      </c>
    </row>
    <row r="488" spans="1:7" x14ac:dyDescent="0.25">
      <c r="A488" s="17"/>
      <c r="C488" s="2" t="s">
        <v>37</v>
      </c>
      <c r="D488" s="19">
        <v>466087653</v>
      </c>
      <c r="G488" s="30">
        <f>SUM(G485:G487)</f>
        <v>20024900</v>
      </c>
    </row>
    <row r="489" spans="1:7" x14ac:dyDescent="0.25">
      <c r="A489" s="17"/>
      <c r="C489" s="2" t="s">
        <v>51</v>
      </c>
      <c r="D489" s="20">
        <v>130317</v>
      </c>
      <c r="G489" s="1"/>
    </row>
    <row r="490" spans="1:7" x14ac:dyDescent="0.25">
      <c r="A490" s="17"/>
      <c r="B490" s="24" t="s">
        <v>19</v>
      </c>
      <c r="D490" s="19">
        <f>SUM(D482:D489)</f>
        <v>940623031.32999992</v>
      </c>
      <c r="F490" s="28" t="s">
        <v>30</v>
      </c>
      <c r="G490" s="29">
        <f>G483-G488</f>
        <v>6996100</v>
      </c>
    </row>
    <row r="491" spans="1:7" x14ac:dyDescent="0.25">
      <c r="A491" s="17"/>
      <c r="D491" s="19"/>
    </row>
    <row r="492" spans="1:7" x14ac:dyDescent="0.25">
      <c r="A492" s="17"/>
      <c r="B492" s="24" t="s">
        <v>20</v>
      </c>
      <c r="D492" s="19"/>
    </row>
    <row r="493" spans="1:7" x14ac:dyDescent="0.25">
      <c r="A493" s="17"/>
      <c r="C493" t="s">
        <v>7</v>
      </c>
      <c r="D493" s="19">
        <v>1980608190</v>
      </c>
    </row>
    <row r="494" spans="1:7" x14ac:dyDescent="0.25">
      <c r="A494" s="17"/>
      <c r="C494" t="s">
        <v>47</v>
      </c>
      <c r="D494" s="19">
        <v>5080000</v>
      </c>
    </row>
    <row r="495" spans="1:7" x14ac:dyDescent="0.25">
      <c r="A495" s="17"/>
      <c r="C495" t="s">
        <v>21</v>
      </c>
      <c r="D495" s="19">
        <v>735937500</v>
      </c>
    </row>
    <row r="496" spans="1:7" x14ac:dyDescent="0.25">
      <c r="A496" s="17"/>
      <c r="C496" t="s">
        <v>45</v>
      </c>
      <c r="D496" s="19">
        <v>25000000</v>
      </c>
    </row>
    <row r="497" spans="1:7" x14ac:dyDescent="0.25">
      <c r="A497" s="17"/>
      <c r="C497" t="s">
        <v>48</v>
      </c>
      <c r="D497" s="19">
        <v>30000000</v>
      </c>
    </row>
    <row r="498" spans="1:7" x14ac:dyDescent="0.25">
      <c r="A498" s="17"/>
      <c r="C498" t="s">
        <v>68</v>
      </c>
      <c r="D498" s="19">
        <v>141000000</v>
      </c>
    </row>
    <row r="499" spans="1:7" x14ac:dyDescent="0.25">
      <c r="A499" s="17"/>
      <c r="C499" t="s">
        <v>68</v>
      </c>
      <c r="D499" s="19">
        <v>145000000</v>
      </c>
    </row>
    <row r="500" spans="1:7" x14ac:dyDescent="0.25">
      <c r="A500" s="17"/>
      <c r="C500" t="s">
        <v>132</v>
      </c>
      <c r="D500" s="19">
        <v>340000000</v>
      </c>
    </row>
    <row r="501" spans="1:7" x14ac:dyDescent="0.25">
      <c r="A501" s="17"/>
      <c r="C501" t="s">
        <v>158</v>
      </c>
      <c r="D501" s="20">
        <v>100000</v>
      </c>
    </row>
    <row r="502" spans="1:7" x14ac:dyDescent="0.25">
      <c r="A502" s="17"/>
      <c r="D502" s="19">
        <f>SUM(D493:D501)</f>
        <v>3402725690</v>
      </c>
    </row>
    <row r="503" spans="1:7" x14ac:dyDescent="0.25">
      <c r="A503" s="17"/>
      <c r="D503" s="19"/>
    </row>
    <row r="504" spans="1:7" x14ac:dyDescent="0.25">
      <c r="A504" s="17"/>
      <c r="B504" s="24" t="s">
        <v>46</v>
      </c>
      <c r="D504" s="19"/>
      <c r="G504" s="1"/>
    </row>
    <row r="505" spans="1:7" x14ac:dyDescent="0.25">
      <c r="A505" s="17"/>
      <c r="C505" t="s">
        <v>149</v>
      </c>
      <c r="D505" s="19">
        <v>80132500</v>
      </c>
    </row>
    <row r="506" spans="1:7" x14ac:dyDescent="0.25">
      <c r="A506" s="17"/>
      <c r="D506" s="20">
        <v>0</v>
      </c>
    </row>
    <row r="507" spans="1:7" x14ac:dyDescent="0.25">
      <c r="A507" s="17"/>
      <c r="D507" s="19">
        <f>SUM(D505:D506)</f>
        <v>80132500</v>
      </c>
    </row>
    <row r="508" spans="1:7" x14ac:dyDescent="0.25">
      <c r="A508" s="17"/>
      <c r="D508" s="19"/>
    </row>
    <row r="509" spans="1:7" x14ac:dyDescent="0.25">
      <c r="A509" s="23" t="s">
        <v>22</v>
      </c>
      <c r="D509" s="19"/>
    </row>
    <row r="510" spans="1:7" x14ac:dyDescent="0.25">
      <c r="A510" s="17"/>
      <c r="C510" t="s">
        <v>23</v>
      </c>
      <c r="D510" s="19">
        <v>1506500000</v>
      </c>
    </row>
    <row r="511" spans="1:7" x14ac:dyDescent="0.25">
      <c r="A511" s="17"/>
      <c r="C511" t="s">
        <v>24</v>
      </c>
      <c r="D511" s="19">
        <v>1494905000</v>
      </c>
    </row>
    <row r="512" spans="1:7" x14ac:dyDescent="0.25">
      <c r="A512" s="17"/>
      <c r="C512" t="s">
        <v>111</v>
      </c>
      <c r="D512" s="19">
        <v>313500000</v>
      </c>
    </row>
    <row r="513" spans="1:7" x14ac:dyDescent="0.25">
      <c r="A513" s="17"/>
      <c r="C513" t="s">
        <v>157</v>
      </c>
      <c r="D513" s="20">
        <v>145600000</v>
      </c>
    </row>
    <row r="514" spans="1:7" x14ac:dyDescent="0.25">
      <c r="A514" s="17"/>
      <c r="D514" s="19">
        <f>SUM(D510:D513)</f>
        <v>3460505000</v>
      </c>
      <c r="G514" s="1"/>
    </row>
    <row r="515" spans="1:7" x14ac:dyDescent="0.25">
      <c r="A515" s="17"/>
      <c r="D515" s="19"/>
      <c r="G515" s="1"/>
    </row>
    <row r="516" spans="1:7" x14ac:dyDescent="0.25">
      <c r="A516" s="43" t="s">
        <v>25</v>
      </c>
      <c r="B516" s="44"/>
      <c r="C516" s="44"/>
      <c r="D516" s="25">
        <f>D490+D502+D507-D514</f>
        <v>962976221.32999992</v>
      </c>
      <c r="G516" s="1"/>
    </row>
    <row r="517" spans="1:7" x14ac:dyDescent="0.25">
      <c r="A517" s="21"/>
      <c r="B517" s="22"/>
      <c r="C517" s="22"/>
      <c r="D517" s="20"/>
      <c r="G517" s="1"/>
    </row>
    <row r="519" spans="1:7" x14ac:dyDescent="0.25">
      <c r="A519" s="40" t="s">
        <v>13</v>
      </c>
      <c r="B519" s="40"/>
      <c r="C519" s="40"/>
      <c r="D519" s="40"/>
      <c r="G519" s="1"/>
    </row>
    <row r="520" spans="1:7" x14ac:dyDescent="0.25">
      <c r="A520" s="41" t="s">
        <v>14</v>
      </c>
      <c r="B520" s="41"/>
      <c r="C520" s="41"/>
      <c r="D520" s="41"/>
      <c r="G520" s="1"/>
    </row>
    <row r="521" spans="1:7" x14ac:dyDescent="0.25">
      <c r="A521" s="42">
        <v>45671</v>
      </c>
      <c r="B521" s="42"/>
      <c r="C521" s="42"/>
      <c r="D521" s="42"/>
      <c r="G521" s="1"/>
    </row>
    <row r="522" spans="1:7" x14ac:dyDescent="0.25">
      <c r="A522" s="13"/>
      <c r="B522" s="13"/>
      <c r="C522" s="13"/>
      <c r="D522" s="13"/>
      <c r="G522" s="1"/>
    </row>
    <row r="523" spans="1:7" x14ac:dyDescent="0.25">
      <c r="A523" s="14"/>
      <c r="B523" s="15"/>
      <c r="C523" s="15"/>
      <c r="D523" s="16"/>
      <c r="F523" s="5" t="s">
        <v>26</v>
      </c>
      <c r="G523" s="1">
        <f>D561-D516</f>
        <v>20404000</v>
      </c>
    </row>
    <row r="524" spans="1:7" x14ac:dyDescent="0.25">
      <c r="A524" s="17"/>
      <c r="D524" s="32" t="s">
        <v>16</v>
      </c>
      <c r="G524" s="1"/>
    </row>
    <row r="525" spans="1:7" x14ac:dyDescent="0.25">
      <c r="A525" s="23" t="s">
        <v>15</v>
      </c>
      <c r="D525" s="18" t="s">
        <v>17</v>
      </c>
      <c r="F525" s="26" t="s">
        <v>27</v>
      </c>
      <c r="G525" s="1"/>
    </row>
    <row r="526" spans="1:7" x14ac:dyDescent="0.25">
      <c r="A526" s="17"/>
      <c r="B526" s="24" t="s">
        <v>18</v>
      </c>
      <c r="D526" s="19"/>
      <c r="F526" s="27" t="s">
        <v>28</v>
      </c>
      <c r="G526" s="1"/>
    </row>
    <row r="527" spans="1:7" x14ac:dyDescent="0.25">
      <c r="A527" s="17"/>
      <c r="C527" s="2" t="s">
        <v>31</v>
      </c>
      <c r="D527" s="19">
        <v>195149586.59</v>
      </c>
      <c r="F527" t="s">
        <v>160</v>
      </c>
      <c r="G527" s="1">
        <v>22144000</v>
      </c>
    </row>
    <row r="528" spans="1:7" x14ac:dyDescent="0.25">
      <c r="A528" s="17"/>
      <c r="C528" s="2" t="s">
        <v>32</v>
      </c>
      <c r="D528" s="19">
        <v>125025363.73999999</v>
      </c>
      <c r="F528" t="s">
        <v>90</v>
      </c>
      <c r="G528" s="1">
        <v>65000</v>
      </c>
    </row>
    <row r="529" spans="1:7" x14ac:dyDescent="0.25">
      <c r="A529" s="17"/>
      <c r="C529" s="2" t="s">
        <v>33</v>
      </c>
      <c r="D529" s="19">
        <v>-49840948.600000001</v>
      </c>
      <c r="F529" t="s">
        <v>165</v>
      </c>
      <c r="G529" s="1">
        <v>450000</v>
      </c>
    </row>
    <row r="530" spans="1:7" x14ac:dyDescent="0.25">
      <c r="A530" s="17"/>
      <c r="C530" s="2" t="s">
        <v>34</v>
      </c>
      <c r="D530" s="19">
        <v>44055027</v>
      </c>
      <c r="G530" s="30">
        <f>SUM(G527:G529)</f>
        <v>22659000</v>
      </c>
    </row>
    <row r="531" spans="1:7" x14ac:dyDescent="0.25">
      <c r="A531" s="17"/>
      <c r="C531" s="2" t="s">
        <v>35</v>
      </c>
      <c r="D531" s="19">
        <v>10023500</v>
      </c>
      <c r="F531" s="28" t="s">
        <v>29</v>
      </c>
      <c r="G531" s="1"/>
    </row>
    <row r="532" spans="1:7" x14ac:dyDescent="0.25">
      <c r="A532" s="17"/>
      <c r="C532" s="2" t="s">
        <v>36</v>
      </c>
      <c r="D532" s="19">
        <v>202042532.59999999</v>
      </c>
      <c r="F532" t="s">
        <v>161</v>
      </c>
      <c r="G532" s="1">
        <v>5000</v>
      </c>
    </row>
    <row r="533" spans="1:7" x14ac:dyDescent="0.25">
      <c r="A533" s="17"/>
      <c r="C533" s="2" t="s">
        <v>37</v>
      </c>
      <c r="D533" s="19">
        <v>128282653</v>
      </c>
      <c r="F533" t="s">
        <v>166</v>
      </c>
      <c r="G533" s="1">
        <v>2250000</v>
      </c>
    </row>
    <row r="534" spans="1:7" x14ac:dyDescent="0.25">
      <c r="A534" s="17"/>
      <c r="C534" s="2" t="s">
        <v>51</v>
      </c>
      <c r="D534" s="20">
        <v>130317</v>
      </c>
      <c r="G534" s="30">
        <f>SUM(G532:G533)</f>
        <v>2255000</v>
      </c>
    </row>
    <row r="535" spans="1:7" x14ac:dyDescent="0.25">
      <c r="A535" s="17"/>
      <c r="B535" s="24" t="s">
        <v>19</v>
      </c>
      <c r="D535" s="19">
        <f>SUM(D527:D534)</f>
        <v>654868031.32999992</v>
      </c>
      <c r="G535" s="1"/>
    </row>
    <row r="536" spans="1:7" x14ac:dyDescent="0.25">
      <c r="A536" s="17"/>
      <c r="D536" s="19"/>
      <c r="F536" s="28" t="s">
        <v>30</v>
      </c>
      <c r="G536" s="29">
        <f>G530-G534</f>
        <v>20404000</v>
      </c>
    </row>
    <row r="537" spans="1:7" x14ac:dyDescent="0.25">
      <c r="A537" s="17"/>
      <c r="B537" s="24" t="s">
        <v>20</v>
      </c>
      <c r="D537" s="19"/>
    </row>
    <row r="538" spans="1:7" x14ac:dyDescent="0.25">
      <c r="A538" s="17"/>
      <c r="C538" t="s">
        <v>7</v>
      </c>
      <c r="D538" s="19">
        <v>2390458190</v>
      </c>
    </row>
    <row r="539" spans="1:7" x14ac:dyDescent="0.25">
      <c r="A539" s="17"/>
      <c r="C539" t="s">
        <v>47</v>
      </c>
      <c r="D539" s="19">
        <v>6350000</v>
      </c>
    </row>
    <row r="540" spans="1:7" x14ac:dyDescent="0.25">
      <c r="A540" s="17"/>
      <c r="C540" t="s">
        <v>21</v>
      </c>
      <c r="D540" s="19">
        <v>717937500</v>
      </c>
    </row>
    <row r="541" spans="1:7" x14ac:dyDescent="0.25">
      <c r="A541" s="17"/>
      <c r="C541" t="s">
        <v>45</v>
      </c>
      <c r="D541" s="19">
        <v>25000000</v>
      </c>
    </row>
    <row r="542" spans="1:7" x14ac:dyDescent="0.25">
      <c r="A542" s="17"/>
      <c r="C542" t="s">
        <v>48</v>
      </c>
      <c r="D542" s="19">
        <v>30000000</v>
      </c>
    </row>
    <row r="543" spans="1:7" x14ac:dyDescent="0.25">
      <c r="A543" s="17"/>
      <c r="C543" t="s">
        <v>68</v>
      </c>
      <c r="D543" s="19">
        <v>141000000</v>
      </c>
    </row>
    <row r="544" spans="1:7" x14ac:dyDescent="0.25">
      <c r="A544" s="17"/>
      <c r="C544" t="s">
        <v>68</v>
      </c>
      <c r="D544" s="19">
        <v>145000000</v>
      </c>
    </row>
    <row r="545" spans="1:7" x14ac:dyDescent="0.25">
      <c r="A545" s="17"/>
      <c r="C545" t="s">
        <v>132</v>
      </c>
      <c r="D545" s="19">
        <v>340000000</v>
      </c>
    </row>
    <row r="546" spans="1:7" x14ac:dyDescent="0.25">
      <c r="A546" s="17"/>
      <c r="C546" t="s">
        <v>158</v>
      </c>
      <c r="D546" s="20">
        <v>100000</v>
      </c>
    </row>
    <row r="547" spans="1:7" x14ac:dyDescent="0.25">
      <c r="A547" s="17"/>
      <c r="D547" s="19">
        <f>SUM(D538:D546)</f>
        <v>3795845690</v>
      </c>
    </row>
    <row r="548" spans="1:7" x14ac:dyDescent="0.25">
      <c r="A548" s="17"/>
      <c r="D548" s="19"/>
    </row>
    <row r="549" spans="1:7" x14ac:dyDescent="0.25">
      <c r="A549" s="17"/>
      <c r="B549" s="24" t="s">
        <v>46</v>
      </c>
      <c r="D549" s="19"/>
      <c r="G549" s="1"/>
    </row>
    <row r="550" spans="1:7" x14ac:dyDescent="0.25">
      <c r="A550" s="17"/>
      <c r="C550" t="s">
        <v>164</v>
      </c>
      <c r="D550" s="19">
        <v>78927500</v>
      </c>
    </row>
    <row r="551" spans="1:7" x14ac:dyDescent="0.25">
      <c r="A551" s="17"/>
      <c r="D551" s="20">
        <v>0</v>
      </c>
    </row>
    <row r="552" spans="1:7" x14ac:dyDescent="0.25">
      <c r="A552" s="17"/>
      <c r="D552" s="19">
        <f>SUM(D550:D551)</f>
        <v>78927500</v>
      </c>
    </row>
    <row r="553" spans="1:7" x14ac:dyDescent="0.25">
      <c r="A553" s="17"/>
      <c r="D553" s="19"/>
    </row>
    <row r="554" spans="1:7" x14ac:dyDescent="0.25">
      <c r="A554" s="23" t="s">
        <v>22</v>
      </c>
      <c r="D554" s="19"/>
    </row>
    <row r="555" spans="1:7" x14ac:dyDescent="0.25">
      <c r="A555" s="17"/>
      <c r="C555" t="s">
        <v>23</v>
      </c>
      <c r="D555" s="19">
        <v>1663250000</v>
      </c>
    </row>
    <row r="556" spans="1:7" x14ac:dyDescent="0.25">
      <c r="A556" s="17"/>
      <c r="C556" t="s">
        <v>24</v>
      </c>
      <c r="D556" s="19">
        <v>1571711000</v>
      </c>
    </row>
    <row r="557" spans="1:7" x14ac:dyDescent="0.25">
      <c r="A557" s="17"/>
      <c r="C557" t="s">
        <v>44</v>
      </c>
      <c r="D557" s="19">
        <v>74700000</v>
      </c>
    </row>
    <row r="558" spans="1:7" x14ac:dyDescent="0.25">
      <c r="A558" s="17"/>
      <c r="C558" t="s">
        <v>167</v>
      </c>
      <c r="D558" s="20">
        <v>236600000</v>
      </c>
    </row>
    <row r="559" spans="1:7" x14ac:dyDescent="0.25">
      <c r="A559" s="17"/>
      <c r="D559" s="19">
        <f>SUM(D555:D558)</f>
        <v>3546261000</v>
      </c>
      <c r="G559" s="1"/>
    </row>
    <row r="560" spans="1:7" x14ac:dyDescent="0.25">
      <c r="A560" s="17"/>
      <c r="D560" s="19"/>
      <c r="G560" s="1"/>
    </row>
    <row r="561" spans="1:7" x14ac:dyDescent="0.25">
      <c r="A561" s="43" t="s">
        <v>25</v>
      </c>
      <c r="B561" s="44"/>
      <c r="C561" s="44"/>
      <c r="D561" s="25">
        <f>D535+D547+D552-D559</f>
        <v>983380221.32999992</v>
      </c>
      <c r="G561" s="1"/>
    </row>
    <row r="562" spans="1:7" x14ac:dyDescent="0.25">
      <c r="A562" s="21"/>
      <c r="B562" s="22"/>
      <c r="C562" s="22"/>
      <c r="D562" s="20"/>
      <c r="G562" s="1"/>
    </row>
    <row r="564" spans="1:7" x14ac:dyDescent="0.25">
      <c r="A564" s="40" t="s">
        <v>13</v>
      </c>
      <c r="B564" s="40"/>
      <c r="C564" s="40"/>
      <c r="D564" s="40"/>
      <c r="G564" s="1"/>
    </row>
    <row r="565" spans="1:7" x14ac:dyDescent="0.25">
      <c r="A565" s="41" t="s">
        <v>14</v>
      </c>
      <c r="B565" s="41"/>
      <c r="C565" s="41"/>
      <c r="D565" s="41"/>
      <c r="G565" s="1"/>
    </row>
    <row r="566" spans="1:7" x14ac:dyDescent="0.25">
      <c r="A566" s="42">
        <v>45672</v>
      </c>
      <c r="B566" s="42"/>
      <c r="C566" s="42"/>
      <c r="D566" s="42"/>
      <c r="G566" s="1"/>
    </row>
    <row r="567" spans="1:7" x14ac:dyDescent="0.25">
      <c r="A567" s="13"/>
      <c r="B567" s="13"/>
      <c r="C567" s="13"/>
      <c r="D567" s="13"/>
      <c r="G567" s="1"/>
    </row>
    <row r="568" spans="1:7" x14ac:dyDescent="0.25">
      <c r="A568" s="14"/>
      <c r="B568" s="15"/>
      <c r="C568" s="15"/>
      <c r="D568" s="16"/>
      <c r="F568" s="5" t="s">
        <v>26</v>
      </c>
      <c r="G568" s="1">
        <f>D607-D561</f>
        <v>-110290</v>
      </c>
    </row>
    <row r="569" spans="1:7" x14ac:dyDescent="0.25">
      <c r="A569" s="17"/>
      <c r="D569" s="32" t="s">
        <v>16</v>
      </c>
      <c r="G569" s="1"/>
    </row>
    <row r="570" spans="1:7" x14ac:dyDescent="0.25">
      <c r="A570" s="23" t="s">
        <v>15</v>
      </c>
      <c r="D570" s="18" t="s">
        <v>17</v>
      </c>
      <c r="F570" s="26" t="s">
        <v>27</v>
      </c>
      <c r="G570" s="1"/>
    </row>
    <row r="571" spans="1:7" x14ac:dyDescent="0.25">
      <c r="A571" s="17"/>
      <c r="B571" s="24" t="s">
        <v>18</v>
      </c>
      <c r="D571" s="19"/>
      <c r="F571" s="27" t="s">
        <v>28</v>
      </c>
      <c r="G571" s="1"/>
    </row>
    <row r="572" spans="1:7" x14ac:dyDescent="0.25">
      <c r="A572" s="17"/>
      <c r="C572" s="2" t="s">
        <v>31</v>
      </c>
      <c r="D572" s="19">
        <v>104886186.59</v>
      </c>
      <c r="F572" t="s">
        <v>178</v>
      </c>
      <c r="G572" s="1">
        <v>31059000</v>
      </c>
    </row>
    <row r="573" spans="1:7" x14ac:dyDescent="0.25">
      <c r="A573" s="17"/>
      <c r="C573" s="2" t="s">
        <v>32</v>
      </c>
      <c r="D573" s="19">
        <v>126345363.73999999</v>
      </c>
      <c r="F573" t="s">
        <v>90</v>
      </c>
      <c r="G573" s="1">
        <v>115000</v>
      </c>
    </row>
    <row r="574" spans="1:7" x14ac:dyDescent="0.25">
      <c r="A574" s="17"/>
      <c r="C574" s="2" t="s">
        <v>33</v>
      </c>
      <c r="D574" s="19">
        <v>343041251.39999998</v>
      </c>
      <c r="G574" s="30">
        <f>SUM(G572:G573)</f>
        <v>31174000</v>
      </c>
    </row>
    <row r="575" spans="1:7" x14ac:dyDescent="0.25">
      <c r="A575" s="17"/>
      <c r="C575" s="2" t="s">
        <v>34</v>
      </c>
      <c r="D575" s="19">
        <v>1177337</v>
      </c>
      <c r="F575" s="28" t="s">
        <v>29</v>
      </c>
      <c r="G575" s="1"/>
    </row>
    <row r="576" spans="1:7" x14ac:dyDescent="0.25">
      <c r="A576" s="17"/>
      <c r="C576" s="2" t="s">
        <v>35</v>
      </c>
      <c r="D576" s="19">
        <v>10023500</v>
      </c>
      <c r="F576" t="s">
        <v>112</v>
      </c>
      <c r="G576" s="1">
        <v>5000000</v>
      </c>
    </row>
    <row r="577" spans="1:7" x14ac:dyDescent="0.25">
      <c r="A577" s="17"/>
      <c r="C577" s="2" t="s">
        <v>36</v>
      </c>
      <c r="D577" s="19">
        <v>202042532.59999999</v>
      </c>
      <c r="F577" t="s">
        <v>170</v>
      </c>
      <c r="G577" s="1">
        <v>103200</v>
      </c>
    </row>
    <row r="578" spans="1:7" x14ac:dyDescent="0.25">
      <c r="A578" s="17"/>
      <c r="C578" s="2" t="s">
        <v>37</v>
      </c>
      <c r="D578" s="19">
        <v>409127653</v>
      </c>
      <c r="F578" t="s">
        <v>171</v>
      </c>
      <c r="G578" s="1">
        <v>1335000</v>
      </c>
    </row>
    <row r="579" spans="1:7" x14ac:dyDescent="0.25">
      <c r="A579" s="17"/>
      <c r="C579" s="2" t="s">
        <v>51</v>
      </c>
      <c r="D579" s="20">
        <v>130317</v>
      </c>
      <c r="F579" t="s">
        <v>172</v>
      </c>
      <c r="G579" s="1">
        <v>1277690</v>
      </c>
    </row>
    <row r="580" spans="1:7" x14ac:dyDescent="0.25">
      <c r="A580" s="17"/>
      <c r="B580" s="24" t="s">
        <v>19</v>
      </c>
      <c r="D580" s="19">
        <f>SUM(D572:D579)</f>
        <v>1196774141.3299999</v>
      </c>
      <c r="F580" t="s">
        <v>173</v>
      </c>
      <c r="G580" s="1">
        <v>1440000</v>
      </c>
    </row>
    <row r="581" spans="1:7" x14ac:dyDescent="0.25">
      <c r="A581" s="17"/>
      <c r="D581" s="19"/>
      <c r="F581" t="s">
        <v>176</v>
      </c>
      <c r="G581" s="1">
        <v>14086400</v>
      </c>
    </row>
    <row r="582" spans="1:7" x14ac:dyDescent="0.25">
      <c r="A582" s="17"/>
      <c r="B582" s="24" t="s">
        <v>20</v>
      </c>
      <c r="D582" s="19"/>
      <c r="F582" t="s">
        <v>177</v>
      </c>
      <c r="G582" s="1">
        <v>8042000</v>
      </c>
    </row>
    <row r="583" spans="1:7" x14ac:dyDescent="0.25">
      <c r="A583" s="17"/>
      <c r="C583" t="s">
        <v>7</v>
      </c>
      <c r="D583" s="19">
        <v>2394042790</v>
      </c>
      <c r="G583" s="30">
        <f>SUM(G576:G582)</f>
        <v>31284290</v>
      </c>
    </row>
    <row r="584" spans="1:7" x14ac:dyDescent="0.25">
      <c r="A584" s="17"/>
      <c r="C584" t="s">
        <v>47</v>
      </c>
      <c r="D584" s="19">
        <v>6350000</v>
      </c>
      <c r="G584" s="1"/>
    </row>
    <row r="585" spans="1:7" x14ac:dyDescent="0.25">
      <c r="A585" s="17"/>
      <c r="C585" t="s">
        <v>21</v>
      </c>
      <c r="D585" s="19">
        <v>713842500</v>
      </c>
      <c r="F585" s="28" t="s">
        <v>30</v>
      </c>
      <c r="G585" s="29">
        <f>G574-G583</f>
        <v>-110290</v>
      </c>
    </row>
    <row r="586" spans="1:7" x14ac:dyDescent="0.25">
      <c r="A586" s="17"/>
      <c r="C586" t="s">
        <v>45</v>
      </c>
      <c r="D586" s="19">
        <v>25000000</v>
      </c>
    </row>
    <row r="587" spans="1:7" x14ac:dyDescent="0.25">
      <c r="A587" s="17"/>
      <c r="C587" t="s">
        <v>48</v>
      </c>
      <c r="D587" s="19">
        <v>30000000</v>
      </c>
    </row>
    <row r="588" spans="1:7" x14ac:dyDescent="0.25">
      <c r="A588" s="17"/>
      <c r="C588" t="s">
        <v>68</v>
      </c>
      <c r="D588" s="19">
        <v>141000000</v>
      </c>
    </row>
    <row r="589" spans="1:7" x14ac:dyDescent="0.25">
      <c r="A589" s="17"/>
      <c r="C589" t="s">
        <v>68</v>
      </c>
      <c r="D589" s="19">
        <v>145000000</v>
      </c>
    </row>
    <row r="590" spans="1:7" x14ac:dyDescent="0.25">
      <c r="A590" s="17"/>
      <c r="C590" t="s">
        <v>132</v>
      </c>
      <c r="D590" s="19">
        <v>340000000</v>
      </c>
    </row>
    <row r="591" spans="1:7" x14ac:dyDescent="0.25">
      <c r="A591" s="17"/>
      <c r="C591" t="s">
        <v>158</v>
      </c>
      <c r="D591" s="20">
        <v>100000</v>
      </c>
    </row>
    <row r="592" spans="1:7" x14ac:dyDescent="0.25">
      <c r="A592" s="17"/>
      <c r="D592" s="19">
        <f>SUM(D583:D591)</f>
        <v>3795335290</v>
      </c>
    </row>
    <row r="593" spans="1:7" x14ac:dyDescent="0.25">
      <c r="A593" s="17"/>
      <c r="D593" s="19"/>
    </row>
    <row r="594" spans="1:7" x14ac:dyDescent="0.25">
      <c r="A594" s="17"/>
      <c r="B594" s="24" t="s">
        <v>46</v>
      </c>
      <c r="D594" s="19"/>
      <c r="G594" s="1"/>
    </row>
    <row r="595" spans="1:7" x14ac:dyDescent="0.25">
      <c r="A595" s="17"/>
      <c r="C595" t="s">
        <v>168</v>
      </c>
      <c r="D595" s="19">
        <v>77722500</v>
      </c>
    </row>
    <row r="596" spans="1:7" x14ac:dyDescent="0.25">
      <c r="A596" s="17"/>
      <c r="D596" s="20">
        <v>0</v>
      </c>
    </row>
    <row r="597" spans="1:7" x14ac:dyDescent="0.25">
      <c r="A597" s="17"/>
      <c r="D597" s="19">
        <f>SUM(D595:D596)</f>
        <v>77722500</v>
      </c>
    </row>
    <row r="598" spans="1:7" x14ac:dyDescent="0.25">
      <c r="A598" s="17"/>
      <c r="D598" s="19"/>
    </row>
    <row r="599" spans="1:7" x14ac:dyDescent="0.25">
      <c r="A599" s="23" t="s">
        <v>22</v>
      </c>
      <c r="D599" s="19"/>
    </row>
    <row r="600" spans="1:7" x14ac:dyDescent="0.25">
      <c r="A600" s="17"/>
      <c r="C600" t="s">
        <v>23</v>
      </c>
      <c r="D600" s="19">
        <v>1589300000</v>
      </c>
    </row>
    <row r="601" spans="1:7" x14ac:dyDescent="0.25">
      <c r="A601" s="17"/>
      <c r="C601" t="s">
        <v>24</v>
      </c>
      <c r="D601" s="19">
        <v>1797862000</v>
      </c>
    </row>
    <row r="602" spans="1:7" x14ac:dyDescent="0.25">
      <c r="A602" s="17"/>
      <c r="C602" t="s">
        <v>44</v>
      </c>
      <c r="D602" s="19">
        <v>221750000</v>
      </c>
    </row>
    <row r="603" spans="1:7" x14ac:dyDescent="0.25">
      <c r="A603" s="17"/>
      <c r="C603" t="s">
        <v>169</v>
      </c>
      <c r="D603" s="19">
        <v>312650000</v>
      </c>
    </row>
    <row r="604" spans="1:7" x14ac:dyDescent="0.25">
      <c r="A604" s="17"/>
      <c r="C604" t="s">
        <v>111</v>
      </c>
      <c r="D604" s="20">
        <v>165000000</v>
      </c>
    </row>
    <row r="605" spans="1:7" x14ac:dyDescent="0.25">
      <c r="A605" s="17"/>
      <c r="D605" s="19">
        <f>SUM(D600:D604)</f>
        <v>4086562000</v>
      </c>
      <c r="G605" s="1"/>
    </row>
    <row r="606" spans="1:7" x14ac:dyDescent="0.25">
      <c r="A606" s="17"/>
      <c r="D606" s="19"/>
      <c r="G606" s="1"/>
    </row>
    <row r="607" spans="1:7" x14ac:dyDescent="0.25">
      <c r="A607" s="43" t="s">
        <v>25</v>
      </c>
      <c r="B607" s="44"/>
      <c r="C607" s="44"/>
      <c r="D607" s="25">
        <f>D580+D592+D597-D605</f>
        <v>983269931.32999992</v>
      </c>
      <c r="G607" s="1"/>
    </row>
    <row r="608" spans="1:7" x14ac:dyDescent="0.25">
      <c r="A608" s="21"/>
      <c r="B608" s="22"/>
      <c r="C608" s="22"/>
      <c r="D608" s="20"/>
      <c r="G608" s="1"/>
    </row>
    <row r="610" spans="1:7" x14ac:dyDescent="0.25">
      <c r="A610" s="40" t="s">
        <v>13</v>
      </c>
      <c r="B610" s="40"/>
      <c r="C610" s="40"/>
      <c r="D610" s="40"/>
      <c r="G610" s="1"/>
    </row>
    <row r="611" spans="1:7" x14ac:dyDescent="0.25">
      <c r="A611" s="41" t="s">
        <v>14</v>
      </c>
      <c r="B611" s="41"/>
      <c r="C611" s="41"/>
      <c r="D611" s="41"/>
      <c r="G611" s="1"/>
    </row>
    <row r="612" spans="1:7" x14ac:dyDescent="0.25">
      <c r="A612" s="42">
        <v>45673</v>
      </c>
      <c r="B612" s="42"/>
      <c r="C612" s="42"/>
      <c r="D612" s="42"/>
      <c r="G612" s="1"/>
    </row>
    <row r="613" spans="1:7" x14ac:dyDescent="0.25">
      <c r="A613" s="13"/>
      <c r="B613" s="13"/>
      <c r="C613" s="13"/>
      <c r="D613" s="13"/>
      <c r="G613" s="1"/>
    </row>
    <row r="614" spans="1:7" x14ac:dyDescent="0.25">
      <c r="A614" s="14"/>
      <c r="B614" s="15"/>
      <c r="C614" s="15"/>
      <c r="D614" s="16"/>
      <c r="F614" s="5" t="s">
        <v>26</v>
      </c>
      <c r="G614" s="1">
        <f>D656-D607</f>
        <v>18931500</v>
      </c>
    </row>
    <row r="615" spans="1:7" x14ac:dyDescent="0.25">
      <c r="A615" s="17"/>
      <c r="D615" s="32" t="s">
        <v>16</v>
      </c>
      <c r="G615" s="1"/>
    </row>
    <row r="616" spans="1:7" x14ac:dyDescent="0.25">
      <c r="A616" s="23" t="s">
        <v>15</v>
      </c>
      <c r="D616" s="18" t="s">
        <v>17</v>
      </c>
      <c r="F616" s="26" t="s">
        <v>27</v>
      </c>
      <c r="G616" s="1"/>
    </row>
    <row r="617" spans="1:7" x14ac:dyDescent="0.25">
      <c r="A617" s="17"/>
      <c r="B617" s="24" t="s">
        <v>18</v>
      </c>
      <c r="D617" s="19"/>
      <c r="F617" s="27" t="s">
        <v>28</v>
      </c>
      <c r="G617" s="1"/>
    </row>
    <row r="618" spans="1:7" x14ac:dyDescent="0.25">
      <c r="A618" s="17"/>
      <c r="C618" s="2" t="s">
        <v>31</v>
      </c>
      <c r="D618" s="19">
        <v>182536186.59</v>
      </c>
      <c r="F618" t="s">
        <v>179</v>
      </c>
      <c r="G618" s="1">
        <v>23194000</v>
      </c>
    </row>
    <row r="619" spans="1:7" x14ac:dyDescent="0.25">
      <c r="A619" s="17"/>
      <c r="C619" s="2" t="s">
        <v>32</v>
      </c>
      <c r="D619" s="19">
        <v>126345363.73999999</v>
      </c>
      <c r="F619" t="s">
        <v>90</v>
      </c>
      <c r="G619" s="1">
        <v>402500</v>
      </c>
    </row>
    <row r="620" spans="1:7" x14ac:dyDescent="0.25">
      <c r="A620" s="17"/>
      <c r="C620" s="2" t="s">
        <v>33</v>
      </c>
      <c r="D620" s="19">
        <v>-22957848.600000001</v>
      </c>
      <c r="G620" s="30">
        <f>SUM(G618:G619)</f>
        <v>23596500</v>
      </c>
    </row>
    <row r="621" spans="1:7" x14ac:dyDescent="0.25">
      <c r="A621" s="17"/>
      <c r="C621" s="2" t="s">
        <v>34</v>
      </c>
      <c r="D621" s="19">
        <v>272327337</v>
      </c>
      <c r="F621" s="28" t="s">
        <v>29</v>
      </c>
      <c r="G621" s="1"/>
    </row>
    <row r="622" spans="1:7" x14ac:dyDescent="0.25">
      <c r="A622" s="17"/>
      <c r="C622" s="2" t="s">
        <v>35</v>
      </c>
      <c r="D622" s="19">
        <v>10023500</v>
      </c>
      <c r="F622" t="s">
        <v>161</v>
      </c>
      <c r="G622" s="1">
        <v>5000</v>
      </c>
    </row>
    <row r="623" spans="1:7" x14ac:dyDescent="0.25">
      <c r="A623" s="17"/>
      <c r="C623" s="2" t="s">
        <v>36</v>
      </c>
      <c r="D623" s="19">
        <v>202042532.59999999</v>
      </c>
      <c r="F623" t="s">
        <v>104</v>
      </c>
      <c r="G623" s="1">
        <v>2250000</v>
      </c>
    </row>
    <row r="624" spans="1:7" x14ac:dyDescent="0.25">
      <c r="A624" s="17"/>
      <c r="C624" s="2" t="s">
        <v>37</v>
      </c>
      <c r="D624" s="19">
        <v>-3692347</v>
      </c>
      <c r="F624" t="s">
        <v>181</v>
      </c>
      <c r="G624" s="1">
        <v>1460000</v>
      </c>
    </row>
    <row r="625" spans="1:7" x14ac:dyDescent="0.25">
      <c r="A625" s="17"/>
      <c r="C625" s="2" t="s">
        <v>51</v>
      </c>
      <c r="D625" s="20">
        <v>130317</v>
      </c>
      <c r="F625" t="s">
        <v>182</v>
      </c>
      <c r="G625" s="1">
        <v>500000</v>
      </c>
    </row>
    <row r="626" spans="1:7" x14ac:dyDescent="0.25">
      <c r="A626" s="17"/>
      <c r="B626" s="24" t="s">
        <v>19</v>
      </c>
      <c r="D626" s="19">
        <f>SUM(D618:D625)</f>
        <v>766755041.33000004</v>
      </c>
      <c r="F626" t="s">
        <v>184</v>
      </c>
      <c r="G626" s="1">
        <v>450000</v>
      </c>
    </row>
    <row r="627" spans="1:7" x14ac:dyDescent="0.25">
      <c r="A627" s="17"/>
      <c r="D627" s="19"/>
      <c r="G627" s="30">
        <f>SUM(G621:G626)</f>
        <v>4665000</v>
      </c>
    </row>
    <row r="628" spans="1:7" x14ac:dyDescent="0.25">
      <c r="A628" s="17"/>
      <c r="B628" s="24" t="s">
        <v>20</v>
      </c>
      <c r="D628" s="19"/>
      <c r="G628" s="1"/>
    </row>
    <row r="629" spans="1:7" x14ac:dyDescent="0.25">
      <c r="A629" s="17"/>
      <c r="C629" t="s">
        <v>7</v>
      </c>
      <c r="D629" s="19">
        <v>2474292790</v>
      </c>
      <c r="F629" s="28" t="s">
        <v>30</v>
      </c>
      <c r="G629" s="29">
        <f>G620-G627</f>
        <v>18931500</v>
      </c>
    </row>
    <row r="630" spans="1:7" x14ac:dyDescent="0.25">
      <c r="A630" s="17"/>
      <c r="C630" t="s">
        <v>47</v>
      </c>
      <c r="D630" s="19">
        <v>10970000</v>
      </c>
    </row>
    <row r="631" spans="1:7" x14ac:dyDescent="0.25">
      <c r="A631" s="17"/>
      <c r="C631" t="s">
        <v>21</v>
      </c>
      <c r="D631" s="19">
        <v>713842500</v>
      </c>
    </row>
    <row r="632" spans="1:7" x14ac:dyDescent="0.25">
      <c r="A632" s="17"/>
      <c r="C632" t="s">
        <v>45</v>
      </c>
      <c r="D632" s="19">
        <v>25000000</v>
      </c>
    </row>
    <row r="633" spans="1:7" x14ac:dyDescent="0.25">
      <c r="A633" s="17"/>
      <c r="C633" t="s">
        <v>48</v>
      </c>
      <c r="D633" s="19">
        <v>30000000</v>
      </c>
    </row>
    <row r="634" spans="1:7" x14ac:dyDescent="0.25">
      <c r="A634" s="17"/>
      <c r="C634" t="s">
        <v>68</v>
      </c>
      <c r="D634" s="19">
        <v>141000000</v>
      </c>
    </row>
    <row r="635" spans="1:7" x14ac:dyDescent="0.25">
      <c r="A635" s="17"/>
      <c r="C635" t="s">
        <v>68</v>
      </c>
      <c r="D635" s="19">
        <v>145000000</v>
      </c>
    </row>
    <row r="636" spans="1:7" x14ac:dyDescent="0.25">
      <c r="A636" s="17"/>
      <c r="C636" t="s">
        <v>132</v>
      </c>
      <c r="D636" s="19">
        <v>238300000</v>
      </c>
    </row>
    <row r="637" spans="1:7" x14ac:dyDescent="0.25">
      <c r="A637" s="17"/>
      <c r="C637" t="s">
        <v>158</v>
      </c>
      <c r="D637" s="20">
        <v>100000</v>
      </c>
    </row>
    <row r="638" spans="1:7" x14ac:dyDescent="0.25">
      <c r="A638" s="17"/>
      <c r="D638" s="19">
        <f>SUM(D629:D637)</f>
        <v>3778505290</v>
      </c>
    </row>
    <row r="639" spans="1:7" x14ac:dyDescent="0.25">
      <c r="A639" s="17"/>
      <c r="D639" s="19"/>
    </row>
    <row r="640" spans="1:7" x14ac:dyDescent="0.25">
      <c r="A640" s="17"/>
      <c r="B640" s="24" t="s">
        <v>46</v>
      </c>
      <c r="D640" s="19"/>
      <c r="G640" s="1"/>
    </row>
    <row r="641" spans="1:7" x14ac:dyDescent="0.25">
      <c r="A641" s="17"/>
      <c r="C641" t="s">
        <v>180</v>
      </c>
      <c r="D641" s="19">
        <v>73505000</v>
      </c>
    </row>
    <row r="642" spans="1:7" x14ac:dyDescent="0.25">
      <c r="A642" s="17"/>
      <c r="D642" s="20">
        <v>0</v>
      </c>
    </row>
    <row r="643" spans="1:7" x14ac:dyDescent="0.25">
      <c r="A643" s="17"/>
      <c r="D643" s="19">
        <f>SUM(D641:D642)</f>
        <v>73505000</v>
      </c>
    </row>
    <row r="644" spans="1:7" x14ac:dyDescent="0.25">
      <c r="A644" s="17"/>
      <c r="D644" s="19"/>
    </row>
    <row r="645" spans="1:7" x14ac:dyDescent="0.25">
      <c r="A645" s="17"/>
      <c r="B645" s="24" t="s">
        <v>43</v>
      </c>
      <c r="D645" s="19"/>
    </row>
    <row r="646" spans="1:7" x14ac:dyDescent="0.25">
      <c r="A646" s="17"/>
      <c r="B646" s="24"/>
      <c r="C646" t="s">
        <v>183</v>
      </c>
      <c r="D646" s="20">
        <v>112050000</v>
      </c>
    </row>
    <row r="647" spans="1:7" x14ac:dyDescent="0.25">
      <c r="A647" s="17"/>
      <c r="D647" s="19">
        <f>D646</f>
        <v>112050000</v>
      </c>
    </row>
    <row r="648" spans="1:7" x14ac:dyDescent="0.25">
      <c r="A648" s="17"/>
      <c r="D648" s="19"/>
    </row>
    <row r="649" spans="1:7" x14ac:dyDescent="0.25">
      <c r="A649" s="23" t="s">
        <v>22</v>
      </c>
      <c r="D649" s="19"/>
    </row>
    <row r="650" spans="1:7" x14ac:dyDescent="0.25">
      <c r="A650" s="17"/>
      <c r="C650" t="s">
        <v>23</v>
      </c>
      <c r="D650" s="19">
        <v>1671800000</v>
      </c>
    </row>
    <row r="651" spans="1:7" x14ac:dyDescent="0.25">
      <c r="A651" s="17"/>
      <c r="C651" t="s">
        <v>24</v>
      </c>
      <c r="D651" s="19">
        <v>1741063900</v>
      </c>
    </row>
    <row r="652" spans="1:7" x14ac:dyDescent="0.25">
      <c r="A652" s="17"/>
      <c r="C652" t="s">
        <v>44</v>
      </c>
      <c r="D652" s="19">
        <v>76500000</v>
      </c>
    </row>
    <row r="653" spans="1:7" x14ac:dyDescent="0.25">
      <c r="A653" s="17"/>
      <c r="C653" t="s">
        <v>111</v>
      </c>
      <c r="D653" s="20">
        <v>239250000</v>
      </c>
    </row>
    <row r="654" spans="1:7" x14ac:dyDescent="0.25">
      <c r="A654" s="17"/>
      <c r="D654" s="19">
        <f>SUM(D650:D653)</f>
        <v>3728613900</v>
      </c>
      <c r="G654" s="1"/>
    </row>
    <row r="655" spans="1:7" x14ac:dyDescent="0.25">
      <c r="A655" s="17"/>
      <c r="D655" s="19"/>
      <c r="G655" s="1"/>
    </row>
    <row r="656" spans="1:7" x14ac:dyDescent="0.25">
      <c r="A656" s="43" t="s">
        <v>25</v>
      </c>
      <c r="B656" s="44"/>
      <c r="C656" s="44"/>
      <c r="D656" s="25">
        <f>D626+D638+D643+D647-D654</f>
        <v>1002201431.3299999</v>
      </c>
      <c r="G656" s="1"/>
    </row>
    <row r="657" spans="1:7" x14ac:dyDescent="0.25">
      <c r="A657" s="21"/>
      <c r="B657" s="22"/>
      <c r="C657" s="22"/>
      <c r="D657" s="20"/>
      <c r="G657" s="1"/>
    </row>
    <row r="659" spans="1:7" x14ac:dyDescent="0.25">
      <c r="A659" s="40" t="s">
        <v>13</v>
      </c>
      <c r="B659" s="40"/>
      <c r="C659" s="40"/>
      <c r="D659" s="40"/>
      <c r="G659" s="1"/>
    </row>
    <row r="660" spans="1:7" x14ac:dyDescent="0.25">
      <c r="A660" s="41" t="s">
        <v>14</v>
      </c>
      <c r="B660" s="41"/>
      <c r="C660" s="41"/>
      <c r="D660" s="41"/>
      <c r="G660" s="1"/>
    </row>
    <row r="661" spans="1:7" x14ac:dyDescent="0.25">
      <c r="A661" s="42">
        <v>45674</v>
      </c>
      <c r="B661" s="42"/>
      <c r="C661" s="42"/>
      <c r="D661" s="42"/>
      <c r="G661" s="1"/>
    </row>
    <row r="662" spans="1:7" x14ac:dyDescent="0.25">
      <c r="A662" s="13"/>
      <c r="B662" s="13"/>
      <c r="C662" s="13"/>
      <c r="D662" s="13"/>
      <c r="G662" s="1"/>
    </row>
    <row r="663" spans="1:7" x14ac:dyDescent="0.25">
      <c r="A663" s="14"/>
      <c r="B663" s="15"/>
      <c r="C663" s="15"/>
      <c r="D663" s="16"/>
      <c r="F663" s="5" t="s">
        <v>26</v>
      </c>
      <c r="G663" s="1">
        <f>D705-D656</f>
        <v>20861320</v>
      </c>
    </row>
    <row r="664" spans="1:7" x14ac:dyDescent="0.25">
      <c r="A664" s="17"/>
      <c r="D664" s="32" t="s">
        <v>16</v>
      </c>
      <c r="G664" s="1"/>
    </row>
    <row r="665" spans="1:7" x14ac:dyDescent="0.25">
      <c r="A665" s="23" t="s">
        <v>15</v>
      </c>
      <c r="D665" s="18" t="s">
        <v>17</v>
      </c>
      <c r="F665" s="26" t="s">
        <v>27</v>
      </c>
      <c r="G665" s="1"/>
    </row>
    <row r="666" spans="1:7" x14ac:dyDescent="0.25">
      <c r="A666" s="17"/>
      <c r="B666" s="24" t="s">
        <v>18</v>
      </c>
      <c r="D666" s="19"/>
      <c r="F666" s="27" t="s">
        <v>28</v>
      </c>
      <c r="G666" s="1"/>
    </row>
    <row r="667" spans="1:7" x14ac:dyDescent="0.25">
      <c r="A667" s="17"/>
      <c r="C667" s="2" t="s">
        <v>31</v>
      </c>
      <c r="D667" s="19">
        <v>181393506.59</v>
      </c>
      <c r="F667" t="s">
        <v>185</v>
      </c>
      <c r="G667" s="1">
        <v>22004000</v>
      </c>
    </row>
    <row r="668" spans="1:7" x14ac:dyDescent="0.25">
      <c r="A668" s="17"/>
      <c r="C668" s="2" t="s">
        <v>32</v>
      </c>
      <c r="D668" s="19">
        <v>130965363.73999999</v>
      </c>
      <c r="G668" s="30">
        <f>SUM(G667:G667)</f>
        <v>22004000</v>
      </c>
    </row>
    <row r="669" spans="1:7" x14ac:dyDescent="0.25">
      <c r="A669" s="17"/>
      <c r="C669" s="2" t="s">
        <v>33</v>
      </c>
      <c r="D669" s="19">
        <v>-124190248.59999999</v>
      </c>
      <c r="F669" s="28" t="s">
        <v>29</v>
      </c>
      <c r="G669" s="1"/>
    </row>
    <row r="670" spans="1:7" x14ac:dyDescent="0.25">
      <c r="A670" s="17"/>
      <c r="C670" s="2" t="s">
        <v>34</v>
      </c>
      <c r="D670" s="19">
        <v>42027337</v>
      </c>
      <c r="F670" t="s">
        <v>186</v>
      </c>
      <c r="G670" s="1">
        <v>1142680</v>
      </c>
    </row>
    <row r="671" spans="1:7" x14ac:dyDescent="0.25">
      <c r="A671" s="17"/>
      <c r="C671" s="2" t="s">
        <v>35</v>
      </c>
      <c r="D671" s="19">
        <v>10023500</v>
      </c>
      <c r="G671" s="30">
        <f>SUM(G669:G670)</f>
        <v>1142680</v>
      </c>
    </row>
    <row r="672" spans="1:7" x14ac:dyDescent="0.25">
      <c r="A672" s="17"/>
      <c r="C672" s="2" t="s">
        <v>36</v>
      </c>
      <c r="D672" s="19">
        <v>202042532.59999999</v>
      </c>
      <c r="G672" s="1"/>
    </row>
    <row r="673" spans="1:7" x14ac:dyDescent="0.25">
      <c r="A673" s="17"/>
      <c r="C673" s="2" t="s">
        <v>37</v>
      </c>
      <c r="D673" s="19">
        <v>-3692347</v>
      </c>
      <c r="F673" s="28" t="s">
        <v>30</v>
      </c>
      <c r="G673" s="29">
        <f>G668-G671</f>
        <v>20861320</v>
      </c>
    </row>
    <row r="674" spans="1:7" x14ac:dyDescent="0.25">
      <c r="A674" s="17"/>
      <c r="C674" s="2" t="s">
        <v>51</v>
      </c>
      <c r="D674" s="20">
        <v>130317</v>
      </c>
    </row>
    <row r="675" spans="1:7" x14ac:dyDescent="0.25">
      <c r="A675" s="17"/>
      <c r="B675" s="24" t="s">
        <v>19</v>
      </c>
      <c r="D675" s="19">
        <f>SUM(D667:D674)</f>
        <v>438699961.32999998</v>
      </c>
    </row>
    <row r="676" spans="1:7" x14ac:dyDescent="0.25">
      <c r="A676" s="17"/>
      <c r="D676" s="19"/>
    </row>
    <row r="677" spans="1:7" x14ac:dyDescent="0.25">
      <c r="A677" s="17"/>
      <c r="B677" s="24" t="s">
        <v>20</v>
      </c>
      <c r="D677" s="19"/>
    </row>
    <row r="678" spans="1:7" x14ac:dyDescent="0.25">
      <c r="A678" s="17"/>
      <c r="C678" t="s">
        <v>7</v>
      </c>
      <c r="D678" s="19">
        <v>2694092790</v>
      </c>
    </row>
    <row r="679" spans="1:7" x14ac:dyDescent="0.25">
      <c r="A679" s="17"/>
      <c r="C679" t="s">
        <v>47</v>
      </c>
      <c r="D679" s="19">
        <v>6350000</v>
      </c>
    </row>
    <row r="680" spans="1:7" x14ac:dyDescent="0.25">
      <c r="A680" s="17"/>
      <c r="C680" t="s">
        <v>21</v>
      </c>
      <c r="D680" s="19">
        <v>788542500</v>
      </c>
    </row>
    <row r="681" spans="1:7" x14ac:dyDescent="0.25">
      <c r="A681" s="17"/>
      <c r="C681" t="s">
        <v>45</v>
      </c>
      <c r="D681" s="19">
        <v>25000000</v>
      </c>
    </row>
    <row r="682" spans="1:7" x14ac:dyDescent="0.25">
      <c r="A682" s="17"/>
      <c r="C682" t="s">
        <v>48</v>
      </c>
      <c r="D682" s="19">
        <v>30000000</v>
      </c>
    </row>
    <row r="683" spans="1:7" x14ac:dyDescent="0.25">
      <c r="A683" s="17"/>
      <c r="C683" t="s">
        <v>68</v>
      </c>
      <c r="D683" s="19">
        <v>141000000</v>
      </c>
    </row>
    <row r="684" spans="1:7" x14ac:dyDescent="0.25">
      <c r="A684" s="17"/>
      <c r="C684" t="s">
        <v>68</v>
      </c>
      <c r="D684" s="19">
        <v>145000000</v>
      </c>
    </row>
    <row r="685" spans="1:7" x14ac:dyDescent="0.25">
      <c r="A685" s="17"/>
      <c r="C685" t="s">
        <v>132</v>
      </c>
      <c r="D685" s="20">
        <v>238300000</v>
      </c>
    </row>
    <row r="686" spans="1:7" x14ac:dyDescent="0.25">
      <c r="A686" s="17"/>
      <c r="D686" s="19">
        <f>SUM(D678:D685)</f>
        <v>4068285290</v>
      </c>
    </row>
    <row r="687" spans="1:7" x14ac:dyDescent="0.25">
      <c r="A687" s="17"/>
      <c r="D687" s="19"/>
    </row>
    <row r="688" spans="1:7" x14ac:dyDescent="0.25">
      <c r="A688" s="17"/>
      <c r="B688" s="24" t="s">
        <v>46</v>
      </c>
      <c r="D688" s="19"/>
      <c r="G688" s="1"/>
    </row>
    <row r="689" spans="1:7" x14ac:dyDescent="0.25">
      <c r="A689" s="17"/>
      <c r="C689" t="s">
        <v>180</v>
      </c>
      <c r="D689" s="19">
        <v>73505000</v>
      </c>
    </row>
    <row r="690" spans="1:7" x14ac:dyDescent="0.25">
      <c r="A690" s="17"/>
      <c r="D690" s="20">
        <v>0</v>
      </c>
    </row>
    <row r="691" spans="1:7" x14ac:dyDescent="0.25">
      <c r="A691" s="17"/>
      <c r="D691" s="19">
        <f>SUM(D689:D690)</f>
        <v>73505000</v>
      </c>
    </row>
    <row r="692" spans="1:7" x14ac:dyDescent="0.25">
      <c r="A692" s="17"/>
      <c r="D692" s="19"/>
    </row>
    <row r="693" spans="1:7" x14ac:dyDescent="0.25">
      <c r="A693" s="17"/>
      <c r="B693" s="24" t="s">
        <v>43</v>
      </c>
      <c r="D693" s="19"/>
    </row>
    <row r="694" spans="1:7" x14ac:dyDescent="0.25">
      <c r="A694" s="17"/>
      <c r="B694" s="24"/>
      <c r="C694" t="s">
        <v>183</v>
      </c>
      <c r="D694" s="20">
        <v>112050000</v>
      </c>
    </row>
    <row r="695" spans="1:7" x14ac:dyDescent="0.25">
      <c r="A695" s="17"/>
      <c r="D695" s="19">
        <f>D694</f>
        <v>112050000</v>
      </c>
    </row>
    <row r="696" spans="1:7" x14ac:dyDescent="0.25">
      <c r="A696" s="17"/>
      <c r="D696" s="19"/>
    </row>
    <row r="697" spans="1:7" x14ac:dyDescent="0.25">
      <c r="A697" s="23" t="s">
        <v>22</v>
      </c>
      <c r="D697" s="19"/>
    </row>
    <row r="698" spans="1:7" x14ac:dyDescent="0.25">
      <c r="A698" s="17"/>
      <c r="C698" t="s">
        <v>23</v>
      </c>
      <c r="D698" s="19">
        <v>1902800000</v>
      </c>
    </row>
    <row r="699" spans="1:7" x14ac:dyDescent="0.25">
      <c r="A699" s="17"/>
      <c r="C699" t="s">
        <v>24</v>
      </c>
      <c r="D699" s="19">
        <v>1469677500</v>
      </c>
    </row>
    <row r="700" spans="1:7" x14ac:dyDescent="0.25">
      <c r="A700" s="17"/>
      <c r="C700" t="s">
        <v>44</v>
      </c>
      <c r="D700" s="19">
        <v>76500000</v>
      </c>
    </row>
    <row r="701" spans="1:7" x14ac:dyDescent="0.25">
      <c r="A701" s="17"/>
      <c r="C701" t="s">
        <v>111</v>
      </c>
      <c r="D701" s="19">
        <v>148500000</v>
      </c>
    </row>
    <row r="702" spans="1:7" x14ac:dyDescent="0.25">
      <c r="A702" s="17"/>
      <c r="C702" t="s">
        <v>190</v>
      </c>
      <c r="D702" s="20">
        <v>72000000</v>
      </c>
    </row>
    <row r="703" spans="1:7" x14ac:dyDescent="0.25">
      <c r="A703" s="17"/>
      <c r="D703" s="19">
        <f>SUM(D698:D702)</f>
        <v>3669477500</v>
      </c>
      <c r="G703" s="1"/>
    </row>
    <row r="704" spans="1:7" x14ac:dyDescent="0.25">
      <c r="A704" s="17"/>
      <c r="D704" s="19"/>
      <c r="G704" s="1"/>
    </row>
    <row r="705" spans="1:7" x14ac:dyDescent="0.25">
      <c r="A705" s="43" t="s">
        <v>25</v>
      </c>
      <c r="B705" s="44"/>
      <c r="C705" s="44"/>
      <c r="D705" s="25">
        <f>D675+D686+D691+D695-D703</f>
        <v>1023062751.3299999</v>
      </c>
      <c r="G705" s="1"/>
    </row>
    <row r="706" spans="1:7" x14ac:dyDescent="0.25">
      <c r="A706" s="21"/>
      <c r="B706" s="22"/>
      <c r="C706" s="22"/>
      <c r="D706" s="20"/>
      <c r="G706" s="1"/>
    </row>
    <row r="708" spans="1:7" x14ac:dyDescent="0.25">
      <c r="A708" s="40" t="s">
        <v>13</v>
      </c>
      <c r="B708" s="40"/>
      <c r="C708" s="40"/>
      <c r="D708" s="40"/>
      <c r="G708" s="1"/>
    </row>
    <row r="709" spans="1:7" x14ac:dyDescent="0.25">
      <c r="A709" s="41" t="s">
        <v>14</v>
      </c>
      <c r="B709" s="41"/>
      <c r="C709" s="41"/>
      <c r="D709" s="41"/>
      <c r="G709" s="1"/>
    </row>
    <row r="710" spans="1:7" x14ac:dyDescent="0.25">
      <c r="A710" s="42">
        <v>45675</v>
      </c>
      <c r="B710" s="42"/>
      <c r="C710" s="42"/>
      <c r="D710" s="42"/>
      <c r="G710" s="1"/>
    </row>
    <row r="711" spans="1:7" x14ac:dyDescent="0.25">
      <c r="A711" s="13"/>
      <c r="B711" s="13"/>
      <c r="C711" s="13"/>
      <c r="D711" s="13"/>
      <c r="G711" s="1"/>
    </row>
    <row r="712" spans="1:7" x14ac:dyDescent="0.25">
      <c r="A712" s="14"/>
      <c r="B712" s="15"/>
      <c r="C712" s="15"/>
      <c r="D712" s="16"/>
      <c r="F712" s="5" t="s">
        <v>26</v>
      </c>
      <c r="G712" s="1">
        <f>D754-D705</f>
        <v>-1991000</v>
      </c>
    </row>
    <row r="713" spans="1:7" x14ac:dyDescent="0.25">
      <c r="A713" s="17"/>
      <c r="D713" s="32" t="s">
        <v>16</v>
      </c>
      <c r="G713" s="1"/>
    </row>
    <row r="714" spans="1:7" x14ac:dyDescent="0.25">
      <c r="A714" s="23" t="s">
        <v>15</v>
      </c>
      <c r="D714" s="18" t="s">
        <v>17</v>
      </c>
      <c r="F714" s="26" t="s">
        <v>27</v>
      </c>
      <c r="G714" s="1"/>
    </row>
    <row r="715" spans="1:7" x14ac:dyDescent="0.25">
      <c r="A715" s="17"/>
      <c r="B715" s="24" t="s">
        <v>18</v>
      </c>
      <c r="D715" s="19"/>
      <c r="F715" s="27" t="s">
        <v>28</v>
      </c>
      <c r="G715" s="1"/>
    </row>
    <row r="716" spans="1:7" x14ac:dyDescent="0.25">
      <c r="A716" s="17"/>
      <c r="C716" s="2" t="s">
        <v>31</v>
      </c>
      <c r="D716" s="19">
        <v>339323506.58999997</v>
      </c>
      <c r="F716" t="s">
        <v>191</v>
      </c>
      <c r="G716" s="1">
        <v>3549000</v>
      </c>
    </row>
    <row r="717" spans="1:7" x14ac:dyDescent="0.25">
      <c r="A717" s="17"/>
      <c r="C717" s="2" t="s">
        <v>32</v>
      </c>
      <c r="D717" s="19">
        <v>130945363.73999999</v>
      </c>
      <c r="F717" t="s">
        <v>192</v>
      </c>
      <c r="G717" s="1">
        <v>500000</v>
      </c>
    </row>
    <row r="718" spans="1:7" x14ac:dyDescent="0.25">
      <c r="A718" s="17"/>
      <c r="C718" s="2" t="s">
        <v>33</v>
      </c>
      <c r="D718" s="19">
        <v>110559751.40000001</v>
      </c>
      <c r="G718" s="30">
        <f>SUM(G716:G717)</f>
        <v>4049000</v>
      </c>
    </row>
    <row r="719" spans="1:7" x14ac:dyDescent="0.25">
      <c r="A719" s="17"/>
      <c r="C719" s="2" t="s">
        <v>34</v>
      </c>
      <c r="D719" s="19">
        <v>86027337</v>
      </c>
      <c r="F719" s="28" t="s">
        <v>29</v>
      </c>
      <c r="G719" s="1"/>
    </row>
    <row r="720" spans="1:7" x14ac:dyDescent="0.25">
      <c r="A720" s="17"/>
      <c r="C720" s="2" t="s">
        <v>35</v>
      </c>
      <c r="D720" s="19">
        <v>10023500</v>
      </c>
      <c r="F720" t="s">
        <v>194</v>
      </c>
      <c r="G720" s="1">
        <v>40000</v>
      </c>
    </row>
    <row r="721" spans="1:7" x14ac:dyDescent="0.25">
      <c r="A721" s="17"/>
      <c r="C721" s="2" t="s">
        <v>36</v>
      </c>
      <c r="D721" s="19">
        <v>202042532.59999999</v>
      </c>
      <c r="F721" t="s">
        <v>112</v>
      </c>
      <c r="G721" s="1">
        <v>6000000</v>
      </c>
    </row>
    <row r="722" spans="1:7" x14ac:dyDescent="0.25">
      <c r="A722" s="17"/>
      <c r="C722" s="2" t="s">
        <v>37</v>
      </c>
      <c r="D722" s="19">
        <v>77407653</v>
      </c>
      <c r="G722" s="30">
        <f>SUM(G719:G721)</f>
        <v>6040000</v>
      </c>
    </row>
    <row r="723" spans="1:7" x14ac:dyDescent="0.25">
      <c r="A723" s="17"/>
      <c r="C723" s="2" t="s">
        <v>51</v>
      </c>
      <c r="D723" s="20">
        <v>130317</v>
      </c>
      <c r="G723" s="1"/>
    </row>
    <row r="724" spans="1:7" x14ac:dyDescent="0.25">
      <c r="A724" s="17"/>
      <c r="B724" s="24" t="s">
        <v>19</v>
      </c>
      <c r="D724" s="19">
        <f>SUM(D716:D723)</f>
        <v>956459961.33000004</v>
      </c>
      <c r="F724" s="28" t="s">
        <v>30</v>
      </c>
      <c r="G724" s="29">
        <f>G718-G722</f>
        <v>-1991000</v>
      </c>
    </row>
    <row r="725" spans="1:7" x14ac:dyDescent="0.25">
      <c r="A725" s="17"/>
      <c r="D725" s="19"/>
    </row>
    <row r="726" spans="1:7" x14ac:dyDescent="0.25">
      <c r="A726" s="17"/>
      <c r="B726" s="24" t="s">
        <v>20</v>
      </c>
      <c r="D726" s="19"/>
    </row>
    <row r="727" spans="1:7" x14ac:dyDescent="0.25">
      <c r="A727" s="17"/>
      <c r="C727" t="s">
        <v>7</v>
      </c>
      <c r="D727" s="19">
        <v>2403792790</v>
      </c>
    </row>
    <row r="728" spans="1:7" x14ac:dyDescent="0.25">
      <c r="A728" s="17"/>
      <c r="C728" t="s">
        <v>47</v>
      </c>
      <c r="D728" s="19">
        <v>6350000</v>
      </c>
    </row>
    <row r="729" spans="1:7" x14ac:dyDescent="0.25">
      <c r="A729" s="17"/>
      <c r="C729" t="s">
        <v>21</v>
      </c>
      <c r="D729" s="19">
        <v>859492500</v>
      </c>
    </row>
    <row r="730" spans="1:7" x14ac:dyDescent="0.25">
      <c r="A730" s="17"/>
      <c r="C730" t="s">
        <v>45</v>
      </c>
      <c r="D730" s="19">
        <v>25000000</v>
      </c>
    </row>
    <row r="731" spans="1:7" x14ac:dyDescent="0.25">
      <c r="A731" s="17"/>
      <c r="C731" t="s">
        <v>48</v>
      </c>
      <c r="D731" s="19">
        <v>30000000</v>
      </c>
    </row>
    <row r="732" spans="1:7" x14ac:dyDescent="0.25">
      <c r="A732" s="17"/>
      <c r="C732" t="s">
        <v>68</v>
      </c>
      <c r="D732" s="19">
        <v>141000000</v>
      </c>
    </row>
    <row r="733" spans="1:7" x14ac:dyDescent="0.25">
      <c r="A733" s="17"/>
      <c r="C733" t="s">
        <v>68</v>
      </c>
      <c r="D733" s="19">
        <v>145000000</v>
      </c>
    </row>
    <row r="734" spans="1:7" x14ac:dyDescent="0.25">
      <c r="A734" s="17"/>
      <c r="C734" t="s">
        <v>132</v>
      </c>
      <c r="D734" s="20">
        <v>238300000</v>
      </c>
    </row>
    <row r="735" spans="1:7" x14ac:dyDescent="0.25">
      <c r="A735" s="17"/>
      <c r="D735" s="19">
        <f>SUM(D727:D734)</f>
        <v>3848935290</v>
      </c>
    </row>
    <row r="736" spans="1:7" x14ac:dyDescent="0.25">
      <c r="A736" s="17"/>
      <c r="D736" s="19"/>
    </row>
    <row r="737" spans="1:7" x14ac:dyDescent="0.25">
      <c r="A737" s="17"/>
      <c r="B737" s="24" t="s">
        <v>46</v>
      </c>
      <c r="D737" s="19"/>
      <c r="G737" s="1"/>
    </row>
    <row r="738" spans="1:7" x14ac:dyDescent="0.25">
      <c r="A738" s="17"/>
      <c r="C738" t="s">
        <v>180</v>
      </c>
      <c r="D738" s="19">
        <v>73505000</v>
      </c>
    </row>
    <row r="739" spans="1:7" x14ac:dyDescent="0.25">
      <c r="A739" s="17"/>
      <c r="D739" s="20">
        <v>0</v>
      </c>
    </row>
    <row r="740" spans="1:7" x14ac:dyDescent="0.25">
      <c r="A740" s="17"/>
      <c r="D740" s="19">
        <f>SUM(D738:D739)</f>
        <v>73505000</v>
      </c>
    </row>
    <row r="741" spans="1:7" x14ac:dyDescent="0.25">
      <c r="A741" s="17"/>
      <c r="D741" s="19"/>
    </row>
    <row r="742" spans="1:7" x14ac:dyDescent="0.25">
      <c r="A742" s="17"/>
      <c r="B742" s="24" t="s">
        <v>43</v>
      </c>
      <c r="D742" s="19"/>
    </row>
    <row r="743" spans="1:7" x14ac:dyDescent="0.25">
      <c r="A743" s="17"/>
      <c r="B743" s="24"/>
      <c r="C743" t="s">
        <v>183</v>
      </c>
      <c r="D743" s="20">
        <v>112050000</v>
      </c>
    </row>
    <row r="744" spans="1:7" x14ac:dyDescent="0.25">
      <c r="A744" s="17"/>
      <c r="D744" s="19">
        <f>D743</f>
        <v>112050000</v>
      </c>
    </row>
    <row r="745" spans="1:7" x14ac:dyDescent="0.25">
      <c r="A745" s="17"/>
      <c r="D745" s="19"/>
    </row>
    <row r="746" spans="1:7" x14ac:dyDescent="0.25">
      <c r="A746" s="23" t="s">
        <v>22</v>
      </c>
      <c r="D746" s="19"/>
    </row>
    <row r="747" spans="1:7" x14ac:dyDescent="0.25">
      <c r="A747" s="17"/>
      <c r="C747" t="s">
        <v>23</v>
      </c>
      <c r="D747" s="19">
        <v>1977050000</v>
      </c>
    </row>
    <row r="748" spans="1:7" x14ac:dyDescent="0.25">
      <c r="A748" s="17"/>
      <c r="C748" t="s">
        <v>24</v>
      </c>
      <c r="D748" s="19">
        <v>1695828500</v>
      </c>
    </row>
    <row r="749" spans="1:7" x14ac:dyDescent="0.25">
      <c r="A749" s="17"/>
      <c r="C749" t="s">
        <v>44</v>
      </c>
      <c r="D749" s="19">
        <v>76500000</v>
      </c>
    </row>
    <row r="750" spans="1:7" x14ac:dyDescent="0.25">
      <c r="A750" s="17"/>
      <c r="C750" t="s">
        <v>111</v>
      </c>
      <c r="D750" s="19">
        <v>148500000</v>
      </c>
    </row>
    <row r="751" spans="1:7" x14ac:dyDescent="0.25">
      <c r="A751" s="17"/>
      <c r="C751" t="s">
        <v>190</v>
      </c>
      <c r="D751" s="20">
        <v>72000000</v>
      </c>
    </row>
    <row r="752" spans="1:7" x14ac:dyDescent="0.25">
      <c r="A752" s="17"/>
      <c r="D752" s="19">
        <f>SUM(D747:D751)</f>
        <v>3969878500</v>
      </c>
      <c r="G752" s="1"/>
    </row>
    <row r="753" spans="1:7" x14ac:dyDescent="0.25">
      <c r="A753" s="17"/>
      <c r="D753" s="19"/>
      <c r="G753" s="1"/>
    </row>
    <row r="754" spans="1:7" x14ac:dyDescent="0.25">
      <c r="A754" s="43" t="s">
        <v>25</v>
      </c>
      <c r="B754" s="44"/>
      <c r="C754" s="44"/>
      <c r="D754" s="25">
        <f>D724+D735+D740+D744-D752</f>
        <v>1021071751.3299999</v>
      </c>
      <c r="G754" s="1"/>
    </row>
    <row r="755" spans="1:7" x14ac:dyDescent="0.25">
      <c r="A755" s="21"/>
      <c r="B755" s="22"/>
      <c r="C755" s="22"/>
      <c r="D755" s="20"/>
      <c r="G755" s="1"/>
    </row>
    <row r="757" spans="1:7" x14ac:dyDescent="0.25">
      <c r="A757" s="40" t="s">
        <v>13</v>
      </c>
      <c r="B757" s="40"/>
      <c r="C757" s="40"/>
      <c r="D757" s="40"/>
      <c r="G757" s="1"/>
    </row>
    <row r="758" spans="1:7" x14ac:dyDescent="0.25">
      <c r="A758" s="41" t="s">
        <v>14</v>
      </c>
      <c r="B758" s="41"/>
      <c r="C758" s="41"/>
      <c r="D758" s="41"/>
      <c r="G758" s="1"/>
    </row>
    <row r="759" spans="1:7" x14ac:dyDescent="0.25">
      <c r="A759" s="42">
        <v>45677</v>
      </c>
      <c r="B759" s="42"/>
      <c r="C759" s="42"/>
      <c r="D759" s="42"/>
      <c r="G759" s="1"/>
    </row>
    <row r="760" spans="1:7" x14ac:dyDescent="0.25">
      <c r="A760" s="13"/>
      <c r="B760" s="13"/>
      <c r="C760" s="13"/>
      <c r="D760" s="13"/>
      <c r="G760" s="1"/>
    </row>
    <row r="761" spans="1:7" x14ac:dyDescent="0.25">
      <c r="A761" s="14"/>
      <c r="B761" s="15"/>
      <c r="C761" s="15"/>
      <c r="D761" s="16"/>
      <c r="F761" s="5" t="s">
        <v>26</v>
      </c>
      <c r="G761" s="1">
        <f>D804-D754</f>
        <v>36316547</v>
      </c>
    </row>
    <row r="762" spans="1:7" x14ac:dyDescent="0.25">
      <c r="A762" s="17"/>
      <c r="D762" s="32" t="s">
        <v>16</v>
      </c>
      <c r="G762" s="1"/>
    </row>
    <row r="763" spans="1:7" x14ac:dyDescent="0.25">
      <c r="A763" s="23" t="s">
        <v>15</v>
      </c>
      <c r="D763" s="18" t="s">
        <v>17</v>
      </c>
      <c r="F763" s="26" t="s">
        <v>27</v>
      </c>
      <c r="G763" s="1"/>
    </row>
    <row r="764" spans="1:7" x14ac:dyDescent="0.25">
      <c r="A764" s="17"/>
      <c r="B764" s="24" t="s">
        <v>18</v>
      </c>
      <c r="D764" s="19"/>
      <c r="F764" s="27" t="s">
        <v>28</v>
      </c>
      <c r="G764" s="1"/>
    </row>
    <row r="765" spans="1:7" x14ac:dyDescent="0.25">
      <c r="A765" s="17"/>
      <c r="C765" s="2" t="s">
        <v>31</v>
      </c>
      <c r="D765" s="19">
        <v>85921006.590000004</v>
      </c>
      <c r="F765" t="s">
        <v>203</v>
      </c>
      <c r="G765" s="1">
        <v>39595000</v>
      </c>
    </row>
    <row r="766" spans="1:7" x14ac:dyDescent="0.25">
      <c r="A766" s="17"/>
      <c r="C766" s="2" t="s">
        <v>32</v>
      </c>
      <c r="D766" s="19">
        <v>134755363.74000001</v>
      </c>
      <c r="F766" t="s">
        <v>90</v>
      </c>
      <c r="G766" s="1">
        <v>292500</v>
      </c>
    </row>
    <row r="767" spans="1:7" x14ac:dyDescent="0.25">
      <c r="A767" s="17"/>
      <c r="C767" s="2" t="s">
        <v>33</v>
      </c>
      <c r="D767" s="19">
        <v>518568364.39999998</v>
      </c>
      <c r="F767" t="s">
        <v>196</v>
      </c>
      <c r="G767" s="1">
        <v>450000</v>
      </c>
    </row>
    <row r="768" spans="1:7" x14ac:dyDescent="0.25">
      <c r="A768" s="17"/>
      <c r="C768" s="2" t="s">
        <v>34</v>
      </c>
      <c r="D768" s="19">
        <v>4107337</v>
      </c>
      <c r="G768" s="30">
        <f>SUM(G765:G767)</f>
        <v>40337500</v>
      </c>
    </row>
    <row r="769" spans="1:7" x14ac:dyDescent="0.25">
      <c r="A769" s="17"/>
      <c r="C769" s="2" t="s">
        <v>35</v>
      </c>
      <c r="D769" s="19">
        <v>10023500</v>
      </c>
      <c r="F769" s="28" t="s">
        <v>29</v>
      </c>
      <c r="G769" s="1"/>
    </row>
    <row r="770" spans="1:7" x14ac:dyDescent="0.25">
      <c r="A770" s="17"/>
      <c r="C770" s="2" t="s">
        <v>36</v>
      </c>
      <c r="D770" s="19">
        <v>202042532.59999999</v>
      </c>
      <c r="F770" t="s">
        <v>195</v>
      </c>
      <c r="G770" s="1">
        <v>15953</v>
      </c>
    </row>
    <row r="771" spans="1:7" x14ac:dyDescent="0.25">
      <c r="A771" s="17"/>
      <c r="C771" s="2" t="s">
        <v>37</v>
      </c>
      <c r="D771" s="19">
        <v>419630653</v>
      </c>
      <c r="F771" t="s">
        <v>199</v>
      </c>
      <c r="G771" s="1">
        <v>2500</v>
      </c>
    </row>
    <row r="772" spans="1:7" x14ac:dyDescent="0.25">
      <c r="A772" s="17"/>
      <c r="C772" s="2" t="s">
        <v>51</v>
      </c>
      <c r="D772" s="20">
        <v>130317</v>
      </c>
      <c r="F772" t="s">
        <v>200</v>
      </c>
      <c r="G772" s="1">
        <v>4000000</v>
      </c>
    </row>
    <row r="773" spans="1:7" x14ac:dyDescent="0.25">
      <c r="A773" s="17"/>
      <c r="B773" s="24" t="s">
        <v>19</v>
      </c>
      <c r="D773" s="19">
        <f>SUM(D765:D772)</f>
        <v>1375179074.3299999</v>
      </c>
      <c r="F773" t="s">
        <v>201</v>
      </c>
      <c r="G773" s="1">
        <v>2500</v>
      </c>
    </row>
    <row r="774" spans="1:7" x14ac:dyDescent="0.25">
      <c r="A774" s="17"/>
      <c r="D774" s="19"/>
      <c r="G774" s="30">
        <f>SUM(G770:G773)</f>
        <v>4020953</v>
      </c>
    </row>
    <row r="775" spans="1:7" x14ac:dyDescent="0.25">
      <c r="A775" s="17"/>
      <c r="B775" s="24" t="s">
        <v>20</v>
      </c>
      <c r="D775" s="19"/>
      <c r="G775" s="1"/>
    </row>
    <row r="776" spans="1:7" x14ac:dyDescent="0.25">
      <c r="A776" s="17"/>
      <c r="C776" t="s">
        <v>7</v>
      </c>
      <c r="D776" s="19">
        <v>2073615724</v>
      </c>
      <c r="F776" s="28" t="s">
        <v>30</v>
      </c>
      <c r="G776" s="29">
        <f>G768-G774</f>
        <v>36316547</v>
      </c>
    </row>
    <row r="777" spans="1:7" x14ac:dyDescent="0.25">
      <c r="A777" s="17"/>
      <c r="C777" t="s">
        <v>47</v>
      </c>
      <c r="D777" s="19">
        <v>8255000</v>
      </c>
    </row>
    <row r="778" spans="1:7" x14ac:dyDescent="0.25">
      <c r="A778" s="17"/>
      <c r="C778" t="s">
        <v>21</v>
      </c>
      <c r="D778" s="19">
        <v>685899500</v>
      </c>
    </row>
    <row r="779" spans="1:7" x14ac:dyDescent="0.25">
      <c r="A779" s="17"/>
      <c r="C779" t="s">
        <v>45</v>
      </c>
      <c r="D779" s="19">
        <v>25000000</v>
      </c>
    </row>
    <row r="780" spans="1:7" x14ac:dyDescent="0.25">
      <c r="A780" s="17"/>
      <c r="C780" t="s">
        <v>48</v>
      </c>
      <c r="D780" s="19">
        <v>30000000</v>
      </c>
    </row>
    <row r="781" spans="1:7" x14ac:dyDescent="0.25">
      <c r="A781" s="17"/>
      <c r="C781" t="s">
        <v>68</v>
      </c>
      <c r="D781" s="19">
        <v>141000000</v>
      </c>
    </row>
    <row r="782" spans="1:7" x14ac:dyDescent="0.25">
      <c r="A782" s="17"/>
      <c r="C782" t="s">
        <v>68</v>
      </c>
      <c r="D782" s="19">
        <v>145000000</v>
      </c>
    </row>
    <row r="783" spans="1:7" x14ac:dyDescent="0.25">
      <c r="A783" s="17"/>
      <c r="C783" t="s">
        <v>132</v>
      </c>
      <c r="D783" s="20">
        <v>238300000</v>
      </c>
    </row>
    <row r="784" spans="1:7" x14ac:dyDescent="0.25">
      <c r="A784" s="17"/>
      <c r="D784" s="19">
        <f>SUM(D776:D783)</f>
        <v>3347070224</v>
      </c>
    </row>
    <row r="785" spans="1:7" x14ac:dyDescent="0.25">
      <c r="A785" s="17"/>
      <c r="D785" s="19"/>
    </row>
    <row r="786" spans="1:7" x14ac:dyDescent="0.25">
      <c r="A786" s="17"/>
      <c r="B786" s="24" t="s">
        <v>46</v>
      </c>
      <c r="D786" s="19"/>
      <c r="G786" s="1"/>
    </row>
    <row r="787" spans="1:7" x14ac:dyDescent="0.25">
      <c r="A787" s="17"/>
      <c r="C787" t="s">
        <v>198</v>
      </c>
      <c r="D787" s="19">
        <v>68082500</v>
      </c>
    </row>
    <row r="788" spans="1:7" x14ac:dyDescent="0.25">
      <c r="A788" s="17"/>
      <c r="D788" s="20">
        <v>0</v>
      </c>
    </row>
    <row r="789" spans="1:7" x14ac:dyDescent="0.25">
      <c r="A789" s="17"/>
      <c r="D789" s="19">
        <f>SUM(D787:D788)</f>
        <v>68082500</v>
      </c>
    </row>
    <row r="790" spans="1:7" x14ac:dyDescent="0.25">
      <c r="A790" s="17"/>
      <c r="D790" s="19"/>
    </row>
    <row r="791" spans="1:7" x14ac:dyDescent="0.25">
      <c r="A791" s="17"/>
      <c r="B791" s="24" t="s">
        <v>43</v>
      </c>
      <c r="D791" s="19"/>
    </row>
    <row r="792" spans="1:7" x14ac:dyDescent="0.25">
      <c r="A792" s="17"/>
      <c r="B792" s="24"/>
      <c r="C792" t="s">
        <v>183</v>
      </c>
      <c r="D792" s="20">
        <v>112050000</v>
      </c>
    </row>
    <row r="793" spans="1:7" x14ac:dyDescent="0.25">
      <c r="A793" s="17"/>
      <c r="D793" s="19">
        <f>D792</f>
        <v>112050000</v>
      </c>
    </row>
    <row r="794" spans="1:7" x14ac:dyDescent="0.25">
      <c r="A794" s="17"/>
      <c r="D794" s="19"/>
    </row>
    <row r="795" spans="1:7" x14ac:dyDescent="0.25">
      <c r="A795" s="23" t="s">
        <v>22</v>
      </c>
      <c r="D795" s="19"/>
    </row>
    <row r="796" spans="1:7" x14ac:dyDescent="0.25">
      <c r="A796" s="17"/>
      <c r="C796" t="s">
        <v>23</v>
      </c>
      <c r="D796" s="19">
        <v>1757000000</v>
      </c>
    </row>
    <row r="797" spans="1:7" x14ac:dyDescent="0.25">
      <c r="A797" s="17"/>
      <c r="C797" t="s">
        <v>24</v>
      </c>
      <c r="D797" s="19">
        <v>1781168500</v>
      </c>
    </row>
    <row r="798" spans="1:7" x14ac:dyDescent="0.25">
      <c r="A798" s="17"/>
      <c r="C798" t="s">
        <v>44</v>
      </c>
      <c r="D798" s="19">
        <v>76500000</v>
      </c>
    </row>
    <row r="799" spans="1:7" x14ac:dyDescent="0.25">
      <c r="A799" s="17"/>
      <c r="C799" t="s">
        <v>111</v>
      </c>
      <c r="D799" s="19">
        <v>82500000</v>
      </c>
    </row>
    <row r="800" spans="1:7" x14ac:dyDescent="0.25">
      <c r="A800" s="17"/>
      <c r="C800" t="s">
        <v>190</v>
      </c>
      <c r="D800" s="19">
        <v>72000000</v>
      </c>
    </row>
    <row r="801" spans="1:7" x14ac:dyDescent="0.25">
      <c r="A801" s="17"/>
      <c r="C801" t="s">
        <v>197</v>
      </c>
      <c r="D801" s="20">
        <v>75825000</v>
      </c>
    </row>
    <row r="802" spans="1:7" x14ac:dyDescent="0.25">
      <c r="A802" s="17"/>
      <c r="D802" s="19">
        <f>SUM(D796:D801)</f>
        <v>3844993500</v>
      </c>
      <c r="G802" s="1"/>
    </row>
    <row r="803" spans="1:7" x14ac:dyDescent="0.25">
      <c r="A803" s="17"/>
      <c r="D803" s="19"/>
      <c r="G803" s="1"/>
    </row>
    <row r="804" spans="1:7" x14ac:dyDescent="0.25">
      <c r="A804" s="43" t="s">
        <v>25</v>
      </c>
      <c r="B804" s="44"/>
      <c r="C804" s="44"/>
      <c r="D804" s="25">
        <f>D773+D784+D789+D793-D802</f>
        <v>1057388298.3299999</v>
      </c>
      <c r="G804" s="1"/>
    </row>
    <row r="805" spans="1:7" x14ac:dyDescent="0.25">
      <c r="A805" s="21"/>
      <c r="B805" s="22"/>
      <c r="C805" s="22"/>
      <c r="D805" s="20"/>
      <c r="G805" s="1"/>
    </row>
    <row r="807" spans="1:7" x14ac:dyDescent="0.25">
      <c r="A807" s="40" t="s">
        <v>13</v>
      </c>
      <c r="B807" s="40"/>
      <c r="C807" s="40"/>
      <c r="D807" s="40"/>
      <c r="G807" s="1"/>
    </row>
    <row r="808" spans="1:7" x14ac:dyDescent="0.25">
      <c r="A808" s="41" t="s">
        <v>14</v>
      </c>
      <c r="B808" s="41"/>
      <c r="C808" s="41"/>
      <c r="D808" s="41"/>
      <c r="G808" s="1"/>
    </row>
    <row r="809" spans="1:7" x14ac:dyDescent="0.25">
      <c r="A809" s="42">
        <v>45678</v>
      </c>
      <c r="B809" s="42"/>
      <c r="C809" s="42"/>
      <c r="D809" s="42"/>
      <c r="G809" s="1"/>
    </row>
    <row r="810" spans="1:7" x14ac:dyDescent="0.25">
      <c r="A810" s="13"/>
      <c r="B810" s="13"/>
      <c r="C810" s="13"/>
      <c r="D810" s="13"/>
      <c r="G810" s="1"/>
    </row>
    <row r="811" spans="1:7" x14ac:dyDescent="0.25">
      <c r="A811" s="14"/>
      <c r="B811" s="15"/>
      <c r="C811" s="15"/>
      <c r="D811" s="16"/>
      <c r="F811" s="5" t="s">
        <v>26</v>
      </c>
      <c r="G811" s="1">
        <f>D852-D804</f>
        <v>2733525</v>
      </c>
    </row>
    <row r="812" spans="1:7" x14ac:dyDescent="0.25">
      <c r="A812" s="17"/>
      <c r="D812" s="32" t="s">
        <v>16</v>
      </c>
      <c r="G812" s="1"/>
    </row>
    <row r="813" spans="1:7" x14ac:dyDescent="0.25">
      <c r="A813" s="23" t="s">
        <v>15</v>
      </c>
      <c r="D813" s="18" t="s">
        <v>17</v>
      </c>
      <c r="F813" s="26" t="s">
        <v>27</v>
      </c>
      <c r="G813" s="1"/>
    </row>
    <row r="814" spans="1:7" x14ac:dyDescent="0.25">
      <c r="A814" s="17"/>
      <c r="B814" s="24" t="s">
        <v>18</v>
      </c>
      <c r="D814" s="19"/>
      <c r="F814" s="27" t="s">
        <v>28</v>
      </c>
      <c r="G814" s="1"/>
    </row>
    <row r="815" spans="1:7" x14ac:dyDescent="0.25">
      <c r="A815" s="17"/>
      <c r="C815" s="2" t="s">
        <v>31</v>
      </c>
      <c r="D815" s="19">
        <v>918506.59</v>
      </c>
      <c r="F815" t="s">
        <v>204</v>
      </c>
      <c r="G815" s="1">
        <v>20560000</v>
      </c>
    </row>
    <row r="816" spans="1:7" x14ac:dyDescent="0.25">
      <c r="A816" s="17"/>
      <c r="C816" s="2" t="s">
        <v>32</v>
      </c>
      <c r="D816" s="19">
        <v>134755363.74000001</v>
      </c>
      <c r="F816" t="s">
        <v>205</v>
      </c>
      <c r="G816" s="1">
        <v>2380839</v>
      </c>
    </row>
    <row r="817" spans="1:7" x14ac:dyDescent="0.25">
      <c r="A817" s="17"/>
      <c r="C817" s="2" t="s">
        <v>33</v>
      </c>
      <c r="D817" s="19">
        <v>323547864.39999998</v>
      </c>
      <c r="F817" t="s">
        <v>207</v>
      </c>
      <c r="G817" s="1">
        <v>1725000</v>
      </c>
    </row>
    <row r="818" spans="1:7" x14ac:dyDescent="0.25">
      <c r="A818" s="17"/>
      <c r="C818" s="2" t="s">
        <v>34</v>
      </c>
      <c r="D818" s="19">
        <v>12307337</v>
      </c>
      <c r="F818" t="s">
        <v>208</v>
      </c>
      <c r="G818" s="1">
        <v>861600</v>
      </c>
    </row>
    <row r="819" spans="1:7" x14ac:dyDescent="0.25">
      <c r="A819" s="17"/>
      <c r="C819" s="2" t="s">
        <v>35</v>
      </c>
      <c r="D819" s="19">
        <v>10885100</v>
      </c>
      <c r="F819" t="s">
        <v>210</v>
      </c>
      <c r="G819" s="1">
        <v>1500000</v>
      </c>
    </row>
    <row r="820" spans="1:7" x14ac:dyDescent="0.25">
      <c r="A820" s="17"/>
      <c r="C820" s="2" t="s">
        <v>36</v>
      </c>
      <c r="D820" s="19">
        <v>191129786.59999999</v>
      </c>
      <c r="F820" t="s">
        <v>211</v>
      </c>
      <c r="G820" s="1">
        <v>375000</v>
      </c>
    </row>
    <row r="821" spans="1:7" x14ac:dyDescent="0.25">
      <c r="A821" s="17"/>
      <c r="C821" s="2" t="s">
        <v>37</v>
      </c>
      <c r="D821" s="19">
        <v>483535324</v>
      </c>
      <c r="F821" t="s">
        <v>212</v>
      </c>
      <c r="G821" s="1">
        <v>975000</v>
      </c>
    </row>
    <row r="822" spans="1:7" x14ac:dyDescent="0.25">
      <c r="A822" s="17"/>
      <c r="C822" s="2" t="s">
        <v>51</v>
      </c>
      <c r="D822" s="20">
        <v>130317</v>
      </c>
      <c r="G822" s="30">
        <f>SUM(G815:G821)</f>
        <v>28377439</v>
      </c>
    </row>
    <row r="823" spans="1:7" x14ac:dyDescent="0.25">
      <c r="A823" s="17"/>
      <c r="B823" s="24" t="s">
        <v>19</v>
      </c>
      <c r="D823" s="19">
        <f>SUM(D815:D822)</f>
        <v>1157209599.3299999</v>
      </c>
      <c r="F823" s="28" t="s">
        <v>29</v>
      </c>
      <c r="G823" s="1"/>
    </row>
    <row r="824" spans="1:7" x14ac:dyDescent="0.25">
      <c r="A824" s="17"/>
      <c r="D824" s="19"/>
      <c r="F824" t="s">
        <v>201</v>
      </c>
      <c r="G824" s="1">
        <v>2500</v>
      </c>
    </row>
    <row r="825" spans="1:7" x14ac:dyDescent="0.25">
      <c r="A825" s="17"/>
      <c r="B825" s="24" t="s">
        <v>20</v>
      </c>
      <c r="D825" s="19"/>
      <c r="F825" t="s">
        <v>206</v>
      </c>
      <c r="G825" s="1">
        <v>476168</v>
      </c>
    </row>
    <row r="826" spans="1:7" x14ac:dyDescent="0.25">
      <c r="A826" s="17"/>
      <c r="C826" t="s">
        <v>7</v>
      </c>
      <c r="D826" s="19">
        <v>2387290724</v>
      </c>
      <c r="F826" t="s">
        <v>2</v>
      </c>
      <c r="G826" s="1">
        <v>2250000</v>
      </c>
    </row>
    <row r="827" spans="1:7" x14ac:dyDescent="0.25">
      <c r="A827" s="17"/>
      <c r="C827" t="s">
        <v>47</v>
      </c>
      <c r="D827" s="19">
        <v>8255000</v>
      </c>
      <c r="F827" t="s">
        <v>209</v>
      </c>
      <c r="G827" s="1">
        <v>10912746</v>
      </c>
    </row>
    <row r="828" spans="1:7" x14ac:dyDescent="0.25">
      <c r="A828" s="17"/>
      <c r="C828" t="s">
        <v>21</v>
      </c>
      <c r="D828" s="19">
        <v>762399500</v>
      </c>
      <c r="F828" t="s">
        <v>213</v>
      </c>
      <c r="G828" s="1">
        <v>12000000</v>
      </c>
    </row>
    <row r="829" spans="1:7" x14ac:dyDescent="0.25">
      <c r="A829" s="17"/>
      <c r="C829" t="s">
        <v>45</v>
      </c>
      <c r="D829" s="19">
        <v>25000000</v>
      </c>
      <c r="F829" t="s">
        <v>199</v>
      </c>
      <c r="G829" s="1">
        <v>2500</v>
      </c>
    </row>
    <row r="830" spans="1:7" x14ac:dyDescent="0.25">
      <c r="A830" s="17"/>
      <c r="C830" t="s">
        <v>48</v>
      </c>
      <c r="D830" s="19">
        <v>30000000</v>
      </c>
      <c r="G830" s="30">
        <f>SUM(G824:G829)</f>
        <v>25643914</v>
      </c>
    </row>
    <row r="831" spans="1:7" x14ac:dyDescent="0.25">
      <c r="A831" s="17"/>
      <c r="C831" t="s">
        <v>68</v>
      </c>
      <c r="D831" s="19">
        <v>141000000</v>
      </c>
      <c r="G831" s="1"/>
    </row>
    <row r="832" spans="1:7" x14ac:dyDescent="0.25">
      <c r="A832" s="17"/>
      <c r="C832" t="s">
        <v>68</v>
      </c>
      <c r="D832" s="20">
        <v>145000000</v>
      </c>
      <c r="F832" s="28" t="s">
        <v>30</v>
      </c>
      <c r="G832" s="29">
        <f>G822-G830</f>
        <v>2733525</v>
      </c>
    </row>
    <row r="833" spans="1:7" x14ac:dyDescent="0.25">
      <c r="A833" s="17"/>
      <c r="D833" s="19">
        <f>SUM(D826:D832)</f>
        <v>3498945224</v>
      </c>
    </row>
    <row r="834" spans="1:7" x14ac:dyDescent="0.25">
      <c r="A834" s="17"/>
      <c r="D834" s="19"/>
    </row>
    <row r="835" spans="1:7" x14ac:dyDescent="0.25">
      <c r="A835" s="17"/>
      <c r="B835" s="24" t="s">
        <v>46</v>
      </c>
      <c r="D835" s="19"/>
      <c r="G835" s="1"/>
    </row>
    <row r="836" spans="1:7" x14ac:dyDescent="0.25">
      <c r="A836" s="17"/>
      <c r="C836" t="s">
        <v>198</v>
      </c>
      <c r="D836" s="19">
        <v>68082500</v>
      </c>
    </row>
    <row r="837" spans="1:7" x14ac:dyDescent="0.25">
      <c r="A837" s="17"/>
      <c r="D837" s="20">
        <v>0</v>
      </c>
    </row>
    <row r="838" spans="1:7" x14ac:dyDescent="0.25">
      <c r="A838" s="17"/>
      <c r="D838" s="19">
        <f>SUM(D836:D837)</f>
        <v>68082500</v>
      </c>
    </row>
    <row r="839" spans="1:7" x14ac:dyDescent="0.25">
      <c r="A839" s="17"/>
      <c r="D839" s="19"/>
    </row>
    <row r="840" spans="1:7" x14ac:dyDescent="0.25">
      <c r="A840" s="17"/>
      <c r="B840" s="24" t="s">
        <v>43</v>
      </c>
      <c r="D840" s="19"/>
    </row>
    <row r="841" spans="1:7" x14ac:dyDescent="0.25">
      <c r="A841" s="17"/>
      <c r="B841" s="24"/>
      <c r="C841" t="s">
        <v>183</v>
      </c>
      <c r="D841" s="20">
        <v>112050000</v>
      </c>
    </row>
    <row r="842" spans="1:7" x14ac:dyDescent="0.25">
      <c r="A842" s="17"/>
      <c r="D842" s="19">
        <f>D841</f>
        <v>112050000</v>
      </c>
    </row>
    <row r="843" spans="1:7" x14ac:dyDescent="0.25">
      <c r="A843" s="17"/>
      <c r="D843" s="19"/>
    </row>
    <row r="844" spans="1:7" x14ac:dyDescent="0.25">
      <c r="A844" s="23" t="s">
        <v>22</v>
      </c>
      <c r="D844" s="19"/>
    </row>
    <row r="845" spans="1:7" x14ac:dyDescent="0.25">
      <c r="A845" s="17"/>
      <c r="C845" t="s">
        <v>23</v>
      </c>
      <c r="D845" s="19">
        <v>1580400000</v>
      </c>
    </row>
    <row r="846" spans="1:7" x14ac:dyDescent="0.25">
      <c r="A846" s="17"/>
      <c r="C846" t="s">
        <v>24</v>
      </c>
      <c r="D846" s="19">
        <v>1637440500</v>
      </c>
    </row>
    <row r="847" spans="1:7" x14ac:dyDescent="0.25">
      <c r="A847" s="17"/>
      <c r="C847" t="s">
        <v>44</v>
      </c>
      <c r="D847" s="19">
        <v>153000000</v>
      </c>
    </row>
    <row r="848" spans="1:7" x14ac:dyDescent="0.25">
      <c r="A848" s="17"/>
      <c r="C848" t="s">
        <v>111</v>
      </c>
      <c r="D848" s="19">
        <v>329500000</v>
      </c>
    </row>
    <row r="849" spans="1:7" x14ac:dyDescent="0.25">
      <c r="A849" s="17"/>
      <c r="C849" t="s">
        <v>197</v>
      </c>
      <c r="D849" s="20">
        <v>75825000</v>
      </c>
    </row>
    <row r="850" spans="1:7" x14ac:dyDescent="0.25">
      <c r="A850" s="17"/>
      <c r="D850" s="19">
        <f>SUM(D845:D849)</f>
        <v>3776165500</v>
      </c>
      <c r="G850" s="1"/>
    </row>
    <row r="851" spans="1:7" x14ac:dyDescent="0.25">
      <c r="A851" s="17"/>
      <c r="D851" s="19"/>
      <c r="G851" s="1"/>
    </row>
    <row r="852" spans="1:7" x14ac:dyDescent="0.25">
      <c r="A852" s="43" t="s">
        <v>25</v>
      </c>
      <c r="B852" s="44"/>
      <c r="C852" s="44"/>
      <c r="D852" s="25">
        <f>D823+D833+D838+D842-D850</f>
        <v>1060121823.3299999</v>
      </c>
      <c r="G852" s="1"/>
    </row>
    <row r="853" spans="1:7" x14ac:dyDescent="0.25">
      <c r="A853" s="21"/>
      <c r="B853" s="22"/>
      <c r="C853" s="22"/>
      <c r="D853" s="20"/>
      <c r="G853" s="1"/>
    </row>
    <row r="855" spans="1:7" x14ac:dyDescent="0.25">
      <c r="A855" s="40" t="s">
        <v>13</v>
      </c>
      <c r="B855" s="40"/>
      <c r="C855" s="40"/>
      <c r="D855" s="40"/>
      <c r="G855" s="1"/>
    </row>
    <row r="856" spans="1:7" x14ac:dyDescent="0.25">
      <c r="A856" s="41" t="s">
        <v>14</v>
      </c>
      <c r="B856" s="41"/>
      <c r="C856" s="41"/>
      <c r="D856" s="41"/>
      <c r="G856" s="1"/>
    </row>
    <row r="857" spans="1:7" x14ac:dyDescent="0.25">
      <c r="A857" s="42">
        <v>45679</v>
      </c>
      <c r="B857" s="42"/>
      <c r="C857" s="42"/>
      <c r="D857" s="42"/>
      <c r="G857" s="1"/>
    </row>
    <row r="858" spans="1:7" x14ac:dyDescent="0.25">
      <c r="A858" s="13"/>
      <c r="B858" s="13"/>
      <c r="C858" s="13"/>
      <c r="D858" s="13"/>
      <c r="G858" s="1"/>
    </row>
    <row r="859" spans="1:7" x14ac:dyDescent="0.25">
      <c r="A859" s="14"/>
      <c r="B859" s="15"/>
      <c r="C859" s="15"/>
      <c r="D859" s="16"/>
      <c r="F859" s="5" t="s">
        <v>26</v>
      </c>
      <c r="G859" s="1">
        <f>D899-D852</f>
        <v>22784000</v>
      </c>
    </row>
    <row r="860" spans="1:7" x14ac:dyDescent="0.25">
      <c r="A860" s="17"/>
      <c r="D860" s="32" t="s">
        <v>16</v>
      </c>
      <c r="G860" s="1"/>
    </row>
    <row r="861" spans="1:7" x14ac:dyDescent="0.25">
      <c r="A861" s="23" t="s">
        <v>15</v>
      </c>
      <c r="D861" s="18" t="s">
        <v>17</v>
      </c>
      <c r="F861" s="26" t="s">
        <v>27</v>
      </c>
      <c r="G861" s="1"/>
    </row>
    <row r="862" spans="1:7" x14ac:dyDescent="0.25">
      <c r="A862" s="17"/>
      <c r="B862" s="24" t="s">
        <v>18</v>
      </c>
      <c r="D862" s="19"/>
      <c r="F862" s="27" t="s">
        <v>28</v>
      </c>
      <c r="G862" s="1"/>
    </row>
    <row r="863" spans="1:7" x14ac:dyDescent="0.25">
      <c r="A863" s="17"/>
      <c r="C863" s="2" t="s">
        <v>31</v>
      </c>
      <c r="D863" s="19">
        <v>88918506.590000004</v>
      </c>
      <c r="F863" t="s">
        <v>216</v>
      </c>
      <c r="G863" s="1">
        <v>15784000</v>
      </c>
    </row>
    <row r="864" spans="1:7" x14ac:dyDescent="0.25">
      <c r="A864" s="17"/>
      <c r="C864" s="2" t="s">
        <v>32</v>
      </c>
      <c r="D864" s="19">
        <v>139200363.74000001</v>
      </c>
      <c r="F864" t="s">
        <v>217</v>
      </c>
      <c r="G864" s="1">
        <v>2250000</v>
      </c>
    </row>
    <row r="865" spans="1:7" x14ac:dyDescent="0.25">
      <c r="A865" s="17"/>
      <c r="C865" s="2" t="s">
        <v>33</v>
      </c>
      <c r="D865" s="19">
        <v>58897864.399999999</v>
      </c>
      <c r="F865" t="s">
        <v>218</v>
      </c>
      <c r="G865" s="1">
        <v>1350000</v>
      </c>
    </row>
    <row r="866" spans="1:7" x14ac:dyDescent="0.25">
      <c r="A866" s="17"/>
      <c r="C866" s="2" t="s">
        <v>34</v>
      </c>
      <c r="D866" s="19">
        <v>4937337</v>
      </c>
      <c r="F866" t="s">
        <v>219</v>
      </c>
      <c r="G866" s="1">
        <v>3000000</v>
      </c>
    </row>
    <row r="867" spans="1:7" x14ac:dyDescent="0.25">
      <c r="A867" s="17"/>
      <c r="C867" s="2" t="s">
        <v>35</v>
      </c>
      <c r="D867" s="19">
        <v>10885100</v>
      </c>
      <c r="F867" t="s">
        <v>221</v>
      </c>
      <c r="G867" s="1">
        <v>900000</v>
      </c>
    </row>
    <row r="868" spans="1:7" x14ac:dyDescent="0.25">
      <c r="A868" s="17"/>
      <c r="C868" s="2" t="s">
        <v>36</v>
      </c>
      <c r="D868" s="19">
        <v>279629786.60000002</v>
      </c>
      <c r="G868" s="30">
        <f>SUM(G863:G867)</f>
        <v>23284000</v>
      </c>
    </row>
    <row r="869" spans="1:7" x14ac:dyDescent="0.25">
      <c r="A869" s="17"/>
      <c r="C869" s="2" t="s">
        <v>37</v>
      </c>
      <c r="D869" s="19">
        <v>523010324</v>
      </c>
      <c r="F869" s="28" t="s">
        <v>29</v>
      </c>
      <c r="G869" s="1"/>
    </row>
    <row r="870" spans="1:7" x14ac:dyDescent="0.25">
      <c r="A870" s="17"/>
      <c r="C870" s="2" t="s">
        <v>51</v>
      </c>
      <c r="D870" s="20">
        <v>130317</v>
      </c>
      <c r="F870" t="s">
        <v>220</v>
      </c>
      <c r="G870" s="1">
        <v>500000</v>
      </c>
    </row>
    <row r="871" spans="1:7" x14ac:dyDescent="0.25">
      <c r="A871" s="17"/>
      <c r="B871" s="24" t="s">
        <v>19</v>
      </c>
      <c r="D871" s="19">
        <f>SUM(D863:D870)</f>
        <v>1105609599.3299999</v>
      </c>
      <c r="G871" s="30">
        <f>SUM(G870:G870)</f>
        <v>500000</v>
      </c>
    </row>
    <row r="872" spans="1:7" x14ac:dyDescent="0.25">
      <c r="A872" s="17"/>
      <c r="D872" s="19"/>
      <c r="G872" s="1"/>
    </row>
    <row r="873" spans="1:7" x14ac:dyDescent="0.25">
      <c r="A873" s="17"/>
      <c r="B873" s="24" t="s">
        <v>20</v>
      </c>
      <c r="D873" s="19"/>
      <c r="F873" s="28" t="s">
        <v>30</v>
      </c>
      <c r="G873" s="29">
        <f>G868-G871</f>
        <v>22784000</v>
      </c>
    </row>
    <row r="874" spans="1:7" x14ac:dyDescent="0.25">
      <c r="A874" s="17"/>
      <c r="C874" t="s">
        <v>7</v>
      </c>
      <c r="D874" s="19">
        <v>2570206724</v>
      </c>
    </row>
    <row r="875" spans="1:7" x14ac:dyDescent="0.25">
      <c r="A875" s="17"/>
      <c r="C875" t="s">
        <v>47</v>
      </c>
      <c r="D875" s="19">
        <v>3810000</v>
      </c>
    </row>
    <row r="876" spans="1:7" x14ac:dyDescent="0.25">
      <c r="A876" s="17"/>
      <c r="C876" t="s">
        <v>21</v>
      </c>
      <c r="D876" s="19">
        <v>814599500</v>
      </c>
    </row>
    <row r="877" spans="1:7" x14ac:dyDescent="0.25">
      <c r="A877" s="17"/>
      <c r="C877" t="s">
        <v>45</v>
      </c>
      <c r="D877" s="19">
        <v>25000000</v>
      </c>
    </row>
    <row r="878" spans="1:7" x14ac:dyDescent="0.25">
      <c r="A878" s="17"/>
      <c r="C878" t="s">
        <v>48</v>
      </c>
      <c r="D878" s="19">
        <v>30000000</v>
      </c>
    </row>
    <row r="879" spans="1:7" x14ac:dyDescent="0.25">
      <c r="A879" s="17"/>
      <c r="C879" t="s">
        <v>68</v>
      </c>
      <c r="D879" s="19">
        <v>141000000</v>
      </c>
    </row>
    <row r="880" spans="1:7" x14ac:dyDescent="0.25">
      <c r="A880" s="17"/>
      <c r="C880" t="s">
        <v>68</v>
      </c>
      <c r="D880" s="20">
        <v>145000000</v>
      </c>
    </row>
    <row r="881" spans="1:7" x14ac:dyDescent="0.25">
      <c r="A881" s="17"/>
      <c r="D881" s="19">
        <f>SUM(D874:D880)</f>
        <v>3729616224</v>
      </c>
    </row>
    <row r="882" spans="1:7" x14ac:dyDescent="0.25">
      <c r="A882" s="17"/>
      <c r="D882" s="19"/>
    </row>
    <row r="883" spans="1:7" x14ac:dyDescent="0.25">
      <c r="A883" s="17"/>
      <c r="B883" s="24" t="s">
        <v>46</v>
      </c>
      <c r="D883" s="19"/>
      <c r="G883" s="1"/>
    </row>
    <row r="884" spans="1:7" x14ac:dyDescent="0.25">
      <c r="A884" s="17"/>
      <c r="C884" t="s">
        <v>198</v>
      </c>
      <c r="D884" s="19">
        <v>68082500</v>
      </c>
    </row>
    <row r="885" spans="1:7" x14ac:dyDescent="0.25">
      <c r="A885" s="17"/>
      <c r="D885" s="20">
        <v>0</v>
      </c>
    </row>
    <row r="886" spans="1:7" x14ac:dyDescent="0.25">
      <c r="A886" s="17"/>
      <c r="D886" s="19">
        <f>SUM(D884:D885)</f>
        <v>68082500</v>
      </c>
    </row>
    <row r="887" spans="1:7" x14ac:dyDescent="0.25">
      <c r="A887" s="17"/>
      <c r="D887" s="19"/>
    </row>
    <row r="888" spans="1:7" x14ac:dyDescent="0.25">
      <c r="A888" s="17"/>
      <c r="B888" s="24" t="s">
        <v>43</v>
      </c>
      <c r="D888" s="19"/>
    </row>
    <row r="889" spans="1:7" x14ac:dyDescent="0.25">
      <c r="A889" s="17"/>
      <c r="B889" s="24"/>
      <c r="C889" t="s">
        <v>183</v>
      </c>
      <c r="D889" s="20">
        <v>112050000</v>
      </c>
    </row>
    <row r="890" spans="1:7" x14ac:dyDescent="0.25">
      <c r="A890" s="17"/>
      <c r="D890" s="19">
        <f>D889</f>
        <v>112050000</v>
      </c>
    </row>
    <row r="891" spans="1:7" x14ac:dyDescent="0.25">
      <c r="A891" s="17"/>
      <c r="D891" s="19"/>
    </row>
    <row r="892" spans="1:7" x14ac:dyDescent="0.25">
      <c r="A892" s="23" t="s">
        <v>22</v>
      </c>
      <c r="D892" s="19"/>
    </row>
    <row r="893" spans="1:7" x14ac:dyDescent="0.25">
      <c r="A893" s="17"/>
      <c r="C893" t="s">
        <v>23</v>
      </c>
      <c r="D893" s="19">
        <v>1580400000</v>
      </c>
    </row>
    <row r="894" spans="1:7" x14ac:dyDescent="0.25">
      <c r="A894" s="17"/>
      <c r="C894" t="s">
        <v>24</v>
      </c>
      <c r="D894" s="19">
        <v>1791052500</v>
      </c>
    </row>
    <row r="895" spans="1:7" x14ac:dyDescent="0.25">
      <c r="A895" s="17"/>
      <c r="C895" t="s">
        <v>44</v>
      </c>
      <c r="D895" s="19">
        <v>153000000</v>
      </c>
    </row>
    <row r="896" spans="1:7" x14ac:dyDescent="0.25">
      <c r="A896" s="17"/>
      <c r="C896" t="s">
        <v>111</v>
      </c>
      <c r="D896" s="20">
        <v>408000000</v>
      </c>
    </row>
    <row r="897" spans="1:7" x14ac:dyDescent="0.25">
      <c r="A897" s="17"/>
      <c r="D897" s="19">
        <f>SUM(D893:D896)</f>
        <v>3932452500</v>
      </c>
      <c r="G897" s="1"/>
    </row>
    <row r="898" spans="1:7" x14ac:dyDescent="0.25">
      <c r="A898" s="17"/>
      <c r="D898" s="19"/>
      <c r="G898" s="1"/>
    </row>
    <row r="899" spans="1:7" x14ac:dyDescent="0.25">
      <c r="A899" s="43" t="s">
        <v>25</v>
      </c>
      <c r="B899" s="44"/>
      <c r="C899" s="44"/>
      <c r="D899" s="25">
        <f>D871+D881+D886+D890-D897</f>
        <v>1082905823.3299999</v>
      </c>
      <c r="G899" s="1"/>
    </row>
    <row r="900" spans="1:7" x14ac:dyDescent="0.25">
      <c r="A900" s="21"/>
      <c r="B900" s="22"/>
      <c r="C900" s="22"/>
      <c r="D900" s="20"/>
      <c r="G900" s="1"/>
    </row>
    <row r="902" spans="1:7" x14ac:dyDescent="0.25">
      <c r="A902" s="40" t="s">
        <v>13</v>
      </c>
      <c r="B902" s="40"/>
      <c r="C902" s="40"/>
      <c r="D902" s="40"/>
      <c r="G902" s="1"/>
    </row>
    <row r="903" spans="1:7" x14ac:dyDescent="0.25">
      <c r="A903" s="41" t="s">
        <v>14</v>
      </c>
      <c r="B903" s="41"/>
      <c r="C903" s="41"/>
      <c r="D903" s="41"/>
      <c r="G903" s="1"/>
    </row>
    <row r="904" spans="1:7" x14ac:dyDescent="0.25">
      <c r="A904" s="42">
        <v>45680</v>
      </c>
      <c r="B904" s="42"/>
      <c r="C904" s="42"/>
      <c r="D904" s="42"/>
      <c r="G904" s="1"/>
    </row>
    <row r="905" spans="1:7" x14ac:dyDescent="0.25">
      <c r="A905" s="13"/>
      <c r="B905" s="13"/>
      <c r="C905" s="13"/>
      <c r="D905" s="13"/>
      <c r="G905" s="1"/>
    </row>
    <row r="906" spans="1:7" x14ac:dyDescent="0.25">
      <c r="A906" s="14"/>
      <c r="B906" s="15"/>
      <c r="C906" s="15"/>
      <c r="D906" s="16"/>
      <c r="F906" s="5" t="s">
        <v>26</v>
      </c>
      <c r="G906" s="1">
        <f>D947-D899</f>
        <v>17796500</v>
      </c>
    </row>
    <row r="907" spans="1:7" x14ac:dyDescent="0.25">
      <c r="A907" s="17"/>
      <c r="D907" s="32" t="s">
        <v>16</v>
      </c>
      <c r="G907" s="1"/>
    </row>
    <row r="908" spans="1:7" x14ac:dyDescent="0.25">
      <c r="A908" s="23" t="s">
        <v>15</v>
      </c>
      <c r="D908" s="18" t="s">
        <v>17</v>
      </c>
      <c r="F908" s="26" t="s">
        <v>27</v>
      </c>
      <c r="G908" s="1"/>
    </row>
    <row r="909" spans="1:7" x14ac:dyDescent="0.25">
      <c r="A909" s="17"/>
      <c r="B909" s="24" t="s">
        <v>18</v>
      </c>
      <c r="D909" s="19"/>
      <c r="F909" s="27" t="s">
        <v>28</v>
      </c>
      <c r="G909" s="1"/>
    </row>
    <row r="910" spans="1:7" x14ac:dyDescent="0.25">
      <c r="A910" s="17"/>
      <c r="C910" s="2" t="s">
        <v>31</v>
      </c>
      <c r="D910" s="19">
        <v>65443506.590000004</v>
      </c>
      <c r="F910" t="s">
        <v>223</v>
      </c>
      <c r="G910" s="1">
        <v>18764000</v>
      </c>
    </row>
    <row r="911" spans="1:7" x14ac:dyDescent="0.25">
      <c r="A911" s="17"/>
      <c r="C911" s="2" t="s">
        <v>32</v>
      </c>
      <c r="D911" s="19">
        <v>139200363.74000001</v>
      </c>
      <c r="F911" t="s">
        <v>90</v>
      </c>
      <c r="G911" s="1">
        <v>675000</v>
      </c>
    </row>
    <row r="912" spans="1:7" x14ac:dyDescent="0.25">
      <c r="A912" s="17"/>
      <c r="C912" s="2" t="s">
        <v>33</v>
      </c>
      <c r="D912" s="19">
        <v>-26633635.600000001</v>
      </c>
      <c r="F912" t="s">
        <v>224</v>
      </c>
      <c r="G912" s="1">
        <v>4800000</v>
      </c>
    </row>
    <row r="913" spans="1:7" x14ac:dyDescent="0.25">
      <c r="A913" s="17"/>
      <c r="C913" s="2" t="s">
        <v>34</v>
      </c>
      <c r="D913" s="19">
        <v>158237337</v>
      </c>
      <c r="F913" t="s">
        <v>225</v>
      </c>
      <c r="G913" s="1">
        <v>600000</v>
      </c>
    </row>
    <row r="914" spans="1:7" x14ac:dyDescent="0.25">
      <c r="A914" s="17"/>
      <c r="C914" s="2" t="s">
        <v>35</v>
      </c>
      <c r="D914" s="19">
        <v>10885100</v>
      </c>
      <c r="F914" t="s">
        <v>228</v>
      </c>
      <c r="G914" s="1">
        <v>1350000</v>
      </c>
    </row>
    <row r="915" spans="1:7" x14ac:dyDescent="0.25">
      <c r="A915" s="17"/>
      <c r="C915" s="2" t="s">
        <v>36</v>
      </c>
      <c r="D915" s="19">
        <v>29627286.600000001</v>
      </c>
      <c r="F915" t="s">
        <v>229</v>
      </c>
      <c r="G915" s="1">
        <v>450000</v>
      </c>
    </row>
    <row r="916" spans="1:7" x14ac:dyDescent="0.25">
      <c r="A916" s="17"/>
      <c r="C916" s="2" t="s">
        <v>37</v>
      </c>
      <c r="D916" s="19">
        <v>20755324</v>
      </c>
      <c r="G916" s="30">
        <f>SUM(G910:G915)</f>
        <v>26639000</v>
      </c>
    </row>
    <row r="917" spans="1:7" x14ac:dyDescent="0.25">
      <c r="A917" s="17"/>
      <c r="C917" s="2" t="s">
        <v>51</v>
      </c>
      <c r="D917" s="20">
        <v>130317</v>
      </c>
      <c r="F917" s="28" t="s">
        <v>29</v>
      </c>
      <c r="G917" s="1"/>
    </row>
    <row r="918" spans="1:7" x14ac:dyDescent="0.25">
      <c r="A918" s="17"/>
      <c r="B918" s="24" t="s">
        <v>19</v>
      </c>
      <c r="D918" s="19">
        <f>SUM(D910:D917)</f>
        <v>397645599.33000004</v>
      </c>
      <c r="F918" t="s">
        <v>161</v>
      </c>
      <c r="G918" s="1">
        <v>5000</v>
      </c>
    </row>
    <row r="919" spans="1:7" x14ac:dyDescent="0.25">
      <c r="A919" s="17"/>
      <c r="D919" s="19"/>
      <c r="F919" t="s">
        <v>104</v>
      </c>
      <c r="G919" s="1">
        <v>2250000</v>
      </c>
    </row>
    <row r="920" spans="1:7" x14ac:dyDescent="0.25">
      <c r="A920" s="17"/>
      <c r="B920" s="24" t="s">
        <v>20</v>
      </c>
      <c r="D920" s="19"/>
      <c r="F920" t="s">
        <v>112</v>
      </c>
      <c r="G920" s="1">
        <v>5000000</v>
      </c>
    </row>
    <row r="921" spans="1:7" x14ac:dyDescent="0.25">
      <c r="A921" s="17"/>
      <c r="C921" t="s">
        <v>7</v>
      </c>
      <c r="D921" s="19">
        <v>3246256724</v>
      </c>
      <c r="F921" t="s">
        <v>230</v>
      </c>
      <c r="G921" s="1">
        <v>2500</v>
      </c>
    </row>
    <row r="922" spans="1:7" x14ac:dyDescent="0.25">
      <c r="A922" s="17"/>
      <c r="C922" t="s">
        <v>47</v>
      </c>
      <c r="D922" s="19">
        <v>22560000</v>
      </c>
      <c r="F922" t="s">
        <v>231</v>
      </c>
      <c r="G922" s="1">
        <v>1585000</v>
      </c>
    </row>
    <row r="923" spans="1:7" x14ac:dyDescent="0.25">
      <c r="A923" s="17"/>
      <c r="C923" t="s">
        <v>21</v>
      </c>
      <c r="D923" s="19">
        <v>861199500</v>
      </c>
      <c r="G923" s="30">
        <f>SUM(G918:G922)</f>
        <v>8842500</v>
      </c>
    </row>
    <row r="924" spans="1:7" x14ac:dyDescent="0.25">
      <c r="A924" s="17"/>
      <c r="C924" t="s">
        <v>45</v>
      </c>
      <c r="D924" s="19">
        <v>25000000</v>
      </c>
      <c r="G924" s="1"/>
    </row>
    <row r="925" spans="1:7" x14ac:dyDescent="0.25">
      <c r="A925" s="17"/>
      <c r="C925" t="s">
        <v>48</v>
      </c>
      <c r="D925" s="19">
        <v>30000000</v>
      </c>
      <c r="F925" s="28" t="s">
        <v>30</v>
      </c>
      <c r="G925" s="29">
        <f>G916-G923</f>
        <v>17796500</v>
      </c>
    </row>
    <row r="926" spans="1:7" x14ac:dyDescent="0.25">
      <c r="A926" s="17"/>
      <c r="C926" t="s">
        <v>68</v>
      </c>
      <c r="D926" s="19">
        <v>141000000</v>
      </c>
    </row>
    <row r="927" spans="1:7" x14ac:dyDescent="0.25">
      <c r="A927" s="17"/>
      <c r="C927" t="s">
        <v>68</v>
      </c>
      <c r="D927" s="20">
        <v>145000000</v>
      </c>
    </row>
    <row r="928" spans="1:7" x14ac:dyDescent="0.25">
      <c r="A928" s="17"/>
      <c r="D928" s="19">
        <f>SUM(D921:D927)</f>
        <v>4471016224</v>
      </c>
    </row>
    <row r="929" spans="1:7" x14ac:dyDescent="0.25">
      <c r="A929" s="17"/>
      <c r="D929" s="19"/>
    </row>
    <row r="930" spans="1:7" x14ac:dyDescent="0.25">
      <c r="A930" s="17"/>
      <c r="B930" s="24" t="s">
        <v>46</v>
      </c>
      <c r="D930" s="19"/>
      <c r="G930" s="1"/>
    </row>
    <row r="931" spans="1:7" x14ac:dyDescent="0.25">
      <c r="A931" s="17"/>
      <c r="C931" t="s">
        <v>226</v>
      </c>
      <c r="D931" s="19">
        <v>43982500</v>
      </c>
    </row>
    <row r="932" spans="1:7" x14ac:dyDescent="0.25">
      <c r="A932" s="17"/>
      <c r="C932" t="s">
        <v>227</v>
      </c>
      <c r="D932" s="20">
        <v>6025000</v>
      </c>
    </row>
    <row r="933" spans="1:7" x14ac:dyDescent="0.25">
      <c r="A933" s="17"/>
      <c r="D933" s="19">
        <f>SUM(D931:D932)</f>
        <v>50007500</v>
      </c>
    </row>
    <row r="934" spans="1:7" x14ac:dyDescent="0.25">
      <c r="A934" s="17"/>
      <c r="D934" s="19"/>
    </row>
    <row r="935" spans="1:7" x14ac:dyDescent="0.25">
      <c r="A935" s="17"/>
      <c r="B935" s="24" t="s">
        <v>43</v>
      </c>
      <c r="D935" s="19"/>
    </row>
    <row r="936" spans="1:7" x14ac:dyDescent="0.25">
      <c r="A936" s="17"/>
      <c r="B936" s="24"/>
      <c r="C936" t="s">
        <v>183</v>
      </c>
      <c r="D936" s="20">
        <v>112050000</v>
      </c>
    </row>
    <row r="937" spans="1:7" x14ac:dyDescent="0.25">
      <c r="A937" s="17"/>
      <c r="D937" s="19">
        <f>D936</f>
        <v>112050000</v>
      </c>
    </row>
    <row r="938" spans="1:7" x14ac:dyDescent="0.25">
      <c r="A938" s="17"/>
      <c r="D938" s="19"/>
    </row>
    <row r="939" spans="1:7" x14ac:dyDescent="0.25">
      <c r="A939" s="23" t="s">
        <v>22</v>
      </c>
      <c r="D939" s="19"/>
    </row>
    <row r="940" spans="1:7" x14ac:dyDescent="0.25">
      <c r="A940" s="17"/>
      <c r="C940" t="s">
        <v>23</v>
      </c>
      <c r="D940" s="19">
        <v>1578550000</v>
      </c>
    </row>
    <row r="941" spans="1:7" x14ac:dyDescent="0.25">
      <c r="A941" s="17"/>
      <c r="C941" t="s">
        <v>24</v>
      </c>
      <c r="D941" s="19">
        <v>1497717000</v>
      </c>
    </row>
    <row r="942" spans="1:7" x14ac:dyDescent="0.25">
      <c r="A942" s="17"/>
      <c r="C942" t="s">
        <v>44</v>
      </c>
      <c r="D942" s="19">
        <v>225250000</v>
      </c>
    </row>
    <row r="943" spans="1:7" x14ac:dyDescent="0.25">
      <c r="A943" s="17"/>
      <c r="C943" t="s">
        <v>232</v>
      </c>
      <c r="D943" s="19">
        <v>144000000</v>
      </c>
    </row>
    <row r="944" spans="1:7" x14ac:dyDescent="0.25">
      <c r="A944" s="17"/>
      <c r="C944" t="s">
        <v>111</v>
      </c>
      <c r="D944" s="20">
        <v>484500000</v>
      </c>
    </row>
    <row r="945" spans="1:7" x14ac:dyDescent="0.25">
      <c r="A945" s="17"/>
      <c r="D945" s="19">
        <f>SUM(D940:D944)</f>
        <v>3930017000</v>
      </c>
      <c r="G945" s="1"/>
    </row>
    <row r="946" spans="1:7" x14ac:dyDescent="0.25">
      <c r="A946" s="17"/>
      <c r="D946" s="19"/>
      <c r="G946" s="1"/>
    </row>
    <row r="947" spans="1:7" x14ac:dyDescent="0.25">
      <c r="A947" s="43" t="s">
        <v>25</v>
      </c>
      <c r="B947" s="44"/>
      <c r="C947" s="44"/>
      <c r="D947" s="25">
        <f>D918+D928+D933+D937-D945</f>
        <v>1100702323.3299999</v>
      </c>
      <c r="G947" s="1"/>
    </row>
    <row r="948" spans="1:7" x14ac:dyDescent="0.25">
      <c r="A948" s="21"/>
      <c r="B948" s="22"/>
      <c r="C948" s="22"/>
      <c r="D948" s="20"/>
      <c r="G948" s="1"/>
    </row>
    <row r="950" spans="1:7" x14ac:dyDescent="0.25">
      <c r="A950" s="40" t="s">
        <v>13</v>
      </c>
      <c r="B950" s="40"/>
      <c r="C950" s="40"/>
      <c r="D950" s="40"/>
      <c r="G950" s="1"/>
    </row>
    <row r="951" spans="1:7" x14ac:dyDescent="0.25">
      <c r="A951" s="41" t="s">
        <v>14</v>
      </c>
      <c r="B951" s="41"/>
      <c r="C951" s="41"/>
      <c r="D951" s="41"/>
      <c r="G951" s="1"/>
    </row>
    <row r="952" spans="1:7" x14ac:dyDescent="0.25">
      <c r="A952" s="42">
        <v>45681</v>
      </c>
      <c r="B952" s="42"/>
      <c r="C952" s="42"/>
      <c r="D952" s="42"/>
      <c r="G952" s="1"/>
    </row>
    <row r="953" spans="1:7" x14ac:dyDescent="0.25">
      <c r="A953" s="13"/>
      <c r="B953" s="13"/>
      <c r="C953" s="13"/>
      <c r="D953" s="13"/>
      <c r="G953" s="1"/>
    </row>
    <row r="954" spans="1:7" x14ac:dyDescent="0.25">
      <c r="A954" s="14"/>
      <c r="B954" s="15"/>
      <c r="C954" s="15"/>
      <c r="D954" s="16"/>
      <c r="F954" s="5" t="s">
        <v>26</v>
      </c>
      <c r="G954" s="1">
        <f>D994-D947</f>
        <v>28103900</v>
      </c>
    </row>
    <row r="955" spans="1:7" x14ac:dyDescent="0.25">
      <c r="A955" s="17"/>
      <c r="D955" s="32" t="s">
        <v>16</v>
      </c>
      <c r="G955" s="1"/>
    </row>
    <row r="956" spans="1:7" x14ac:dyDescent="0.25">
      <c r="A956" s="23" t="s">
        <v>15</v>
      </c>
      <c r="D956" s="18" t="s">
        <v>17</v>
      </c>
      <c r="F956" s="26" t="s">
        <v>27</v>
      </c>
      <c r="G956" s="1"/>
    </row>
    <row r="957" spans="1:7" x14ac:dyDescent="0.25">
      <c r="A957" s="17"/>
      <c r="B957" s="24" t="s">
        <v>18</v>
      </c>
      <c r="D957" s="19"/>
      <c r="F957" s="27" t="s">
        <v>28</v>
      </c>
      <c r="G957" s="1"/>
    </row>
    <row r="958" spans="1:7" x14ac:dyDescent="0.25">
      <c r="A958" s="17"/>
      <c r="C958" s="2" t="s">
        <v>31</v>
      </c>
      <c r="D958" s="19">
        <v>201443506.59</v>
      </c>
      <c r="F958" t="s">
        <v>244</v>
      </c>
      <c r="G958" s="1">
        <v>16046000</v>
      </c>
    </row>
    <row r="959" spans="1:7" x14ac:dyDescent="0.25">
      <c r="A959" s="17"/>
      <c r="C959" s="2" t="s">
        <v>32</v>
      </c>
      <c r="D959" s="19">
        <v>139200363.74000001</v>
      </c>
      <c r="F959" t="s">
        <v>90</v>
      </c>
      <c r="G959" s="1">
        <v>180000</v>
      </c>
    </row>
    <row r="960" spans="1:7" x14ac:dyDescent="0.25">
      <c r="A960" s="17"/>
      <c r="C960" s="2" t="s">
        <v>33</v>
      </c>
      <c r="D960" s="19">
        <v>335810214.39999998</v>
      </c>
      <c r="F960" t="s">
        <v>233</v>
      </c>
      <c r="G960" s="1">
        <v>3300000</v>
      </c>
    </row>
    <row r="961" spans="1:7" x14ac:dyDescent="0.25">
      <c r="A961" s="17"/>
      <c r="C961" s="2" t="s">
        <v>34</v>
      </c>
      <c r="D961" s="19">
        <v>1487337</v>
      </c>
      <c r="F961" t="s">
        <v>228</v>
      </c>
      <c r="G961" s="1">
        <v>1350000</v>
      </c>
    </row>
    <row r="962" spans="1:7" x14ac:dyDescent="0.25">
      <c r="A962" s="17"/>
      <c r="C962" s="2" t="s">
        <v>35</v>
      </c>
      <c r="D962" s="19">
        <v>10885100</v>
      </c>
      <c r="F962" t="s">
        <v>228</v>
      </c>
      <c r="G962" s="1">
        <v>1350000</v>
      </c>
    </row>
    <row r="963" spans="1:7" x14ac:dyDescent="0.25">
      <c r="A963" s="17"/>
      <c r="C963" s="2" t="s">
        <v>36</v>
      </c>
      <c r="D963" s="19">
        <v>29627286.600000001</v>
      </c>
      <c r="F963" t="s">
        <v>218</v>
      </c>
      <c r="G963" s="1">
        <v>1350000</v>
      </c>
    </row>
    <row r="964" spans="1:7" x14ac:dyDescent="0.25">
      <c r="A964" s="17"/>
      <c r="C964" s="2" t="s">
        <v>37</v>
      </c>
      <c r="D964" s="19">
        <v>68455324</v>
      </c>
      <c r="F964" t="s">
        <v>237</v>
      </c>
      <c r="G964" s="1">
        <v>4200000</v>
      </c>
    </row>
    <row r="965" spans="1:7" x14ac:dyDescent="0.25">
      <c r="A965" s="17"/>
      <c r="C965" s="2" t="s">
        <v>51</v>
      </c>
      <c r="D965" s="20">
        <v>130317</v>
      </c>
      <c r="F965" t="s">
        <v>238</v>
      </c>
      <c r="G965" s="1">
        <v>1350000</v>
      </c>
    </row>
    <row r="966" spans="1:7" x14ac:dyDescent="0.25">
      <c r="A966" s="17"/>
      <c r="B966" s="24" t="s">
        <v>19</v>
      </c>
      <c r="D966" s="19">
        <f>SUM(D958:D965)</f>
        <v>787039449.33000004</v>
      </c>
      <c r="G966" s="30">
        <f>SUM(G958:G965)</f>
        <v>29126000</v>
      </c>
    </row>
    <row r="967" spans="1:7" x14ac:dyDescent="0.25">
      <c r="A967" s="17"/>
      <c r="D967" s="19"/>
      <c r="F967" s="28" t="s">
        <v>29</v>
      </c>
      <c r="G967" s="1"/>
    </row>
    <row r="968" spans="1:7" x14ac:dyDescent="0.25">
      <c r="A968" s="17"/>
      <c r="B968" s="24" t="s">
        <v>20</v>
      </c>
      <c r="D968" s="19"/>
      <c r="F968" t="s">
        <v>236</v>
      </c>
      <c r="G968" s="1">
        <v>889350</v>
      </c>
    </row>
    <row r="969" spans="1:7" x14ac:dyDescent="0.25">
      <c r="A969" s="17"/>
      <c r="C969" t="s">
        <v>7</v>
      </c>
      <c r="D969" s="19">
        <v>2549486774</v>
      </c>
      <c r="F969" t="s">
        <v>234</v>
      </c>
      <c r="G969" s="1">
        <v>132750</v>
      </c>
    </row>
    <row r="970" spans="1:7" x14ac:dyDescent="0.25">
      <c r="A970" s="17"/>
      <c r="C970" t="s">
        <v>47</v>
      </c>
      <c r="D970" s="19">
        <v>25150000</v>
      </c>
      <c r="G970" s="30">
        <f>SUM(G968:G969)</f>
        <v>1022100</v>
      </c>
    </row>
    <row r="971" spans="1:7" x14ac:dyDescent="0.25">
      <c r="A971" s="17"/>
      <c r="C971" t="s">
        <v>21</v>
      </c>
      <c r="D971" s="19">
        <v>805999500</v>
      </c>
      <c r="G971" s="1"/>
    </row>
    <row r="972" spans="1:7" x14ac:dyDescent="0.25">
      <c r="A972" s="17"/>
      <c r="C972" t="s">
        <v>45</v>
      </c>
      <c r="D972" s="19">
        <v>25000000</v>
      </c>
      <c r="F972" s="28" t="s">
        <v>30</v>
      </c>
      <c r="G972" s="29">
        <f>G966-G970</f>
        <v>28103900</v>
      </c>
    </row>
    <row r="973" spans="1:7" x14ac:dyDescent="0.25">
      <c r="A973" s="17"/>
      <c r="C973" t="s">
        <v>48</v>
      </c>
      <c r="D973" s="19">
        <v>30000000</v>
      </c>
    </row>
    <row r="974" spans="1:7" x14ac:dyDescent="0.25">
      <c r="A974" s="17"/>
      <c r="C974" t="s">
        <v>68</v>
      </c>
      <c r="D974" s="19">
        <v>141000000</v>
      </c>
    </row>
    <row r="975" spans="1:7" x14ac:dyDescent="0.25">
      <c r="A975" s="17"/>
      <c r="C975" t="s">
        <v>68</v>
      </c>
      <c r="D975" s="20">
        <v>145000000</v>
      </c>
    </row>
    <row r="976" spans="1:7" x14ac:dyDescent="0.25">
      <c r="A976" s="17"/>
      <c r="D976" s="19">
        <f>SUM(D969:D975)</f>
        <v>3721636274</v>
      </c>
    </row>
    <row r="977" spans="1:7" x14ac:dyDescent="0.25">
      <c r="A977" s="17"/>
      <c r="D977" s="19"/>
    </row>
    <row r="978" spans="1:7" x14ac:dyDescent="0.25">
      <c r="A978" s="17"/>
      <c r="B978" s="24" t="s">
        <v>46</v>
      </c>
      <c r="D978" s="19"/>
      <c r="G978" s="1"/>
    </row>
    <row r="979" spans="1:7" x14ac:dyDescent="0.25">
      <c r="A979" s="17"/>
      <c r="C979" t="s">
        <v>235</v>
      </c>
      <c r="D979" s="19">
        <v>41572500</v>
      </c>
    </row>
    <row r="980" spans="1:7" x14ac:dyDescent="0.25">
      <c r="A980" s="17"/>
      <c r="C980" t="s">
        <v>227</v>
      </c>
      <c r="D980" s="20">
        <v>6025000</v>
      </c>
    </row>
    <row r="981" spans="1:7" x14ac:dyDescent="0.25">
      <c r="A981" s="17"/>
      <c r="D981" s="19">
        <f>SUM(D979:D980)</f>
        <v>47597500</v>
      </c>
    </row>
    <row r="982" spans="1:7" x14ac:dyDescent="0.25">
      <c r="A982" s="17"/>
      <c r="D982" s="19"/>
    </row>
    <row r="983" spans="1:7" x14ac:dyDescent="0.25">
      <c r="A983" s="17"/>
      <c r="B983" s="24" t="s">
        <v>43</v>
      </c>
      <c r="D983" s="19"/>
    </row>
    <row r="984" spans="1:7" x14ac:dyDescent="0.25">
      <c r="A984" s="17"/>
      <c r="B984" s="24"/>
      <c r="C984" t="s">
        <v>183</v>
      </c>
      <c r="D984" s="20">
        <v>112050000</v>
      </c>
    </row>
    <row r="985" spans="1:7" x14ac:dyDescent="0.25">
      <c r="A985" s="17"/>
      <c r="D985" s="19">
        <f>D984</f>
        <v>112050000</v>
      </c>
    </row>
    <row r="986" spans="1:7" x14ac:dyDescent="0.25">
      <c r="A986" s="17"/>
      <c r="D986" s="19"/>
    </row>
    <row r="987" spans="1:7" x14ac:dyDescent="0.25">
      <c r="A987" s="23" t="s">
        <v>22</v>
      </c>
      <c r="D987" s="19"/>
    </row>
    <row r="988" spans="1:7" x14ac:dyDescent="0.25">
      <c r="A988" s="17"/>
      <c r="C988" t="s">
        <v>23</v>
      </c>
      <c r="D988" s="19">
        <v>1578550000</v>
      </c>
    </row>
    <row r="989" spans="1:7" x14ac:dyDescent="0.25">
      <c r="A989" s="17"/>
      <c r="C989" t="s">
        <v>24</v>
      </c>
      <c r="D989" s="19">
        <v>1497717000</v>
      </c>
    </row>
    <row r="990" spans="1:7" x14ac:dyDescent="0.25">
      <c r="A990" s="17"/>
      <c r="C990" t="s">
        <v>44</v>
      </c>
      <c r="D990" s="19">
        <v>225250000</v>
      </c>
    </row>
    <row r="991" spans="1:7" x14ac:dyDescent="0.25">
      <c r="A991" s="17"/>
      <c r="C991" t="s">
        <v>111</v>
      </c>
      <c r="D991" s="20">
        <v>238000000</v>
      </c>
    </row>
    <row r="992" spans="1:7" x14ac:dyDescent="0.25">
      <c r="A992" s="17"/>
      <c r="D992" s="19">
        <f>SUM(D988:D991)</f>
        <v>3539517000</v>
      </c>
      <c r="G992" s="1"/>
    </row>
    <row r="993" spans="1:7" x14ac:dyDescent="0.25">
      <c r="A993" s="17"/>
      <c r="D993" s="19"/>
      <c r="G993" s="1"/>
    </row>
    <row r="994" spans="1:7" x14ac:dyDescent="0.25">
      <c r="A994" s="43" t="s">
        <v>25</v>
      </c>
      <c r="B994" s="44"/>
      <c r="C994" s="44"/>
      <c r="D994" s="25">
        <f>D966+D976+D981+D985-D992</f>
        <v>1128806223.3299999</v>
      </c>
      <c r="G994" s="1"/>
    </row>
    <row r="995" spans="1:7" x14ac:dyDescent="0.25">
      <c r="A995" s="21"/>
      <c r="B995" s="22"/>
      <c r="C995" s="22"/>
      <c r="D995" s="20"/>
      <c r="G995" s="1"/>
    </row>
    <row r="997" spans="1:7" x14ac:dyDescent="0.25">
      <c r="A997" s="40" t="s">
        <v>13</v>
      </c>
      <c r="B997" s="40"/>
      <c r="C997" s="40"/>
      <c r="D997" s="40"/>
      <c r="G997" s="1"/>
    </row>
    <row r="998" spans="1:7" x14ac:dyDescent="0.25">
      <c r="A998" s="41" t="s">
        <v>14</v>
      </c>
      <c r="B998" s="41"/>
      <c r="C998" s="41"/>
      <c r="D998" s="41"/>
      <c r="G998" s="1"/>
    </row>
    <row r="999" spans="1:7" x14ac:dyDescent="0.25">
      <c r="A999" s="42">
        <v>45682</v>
      </c>
      <c r="B999" s="42"/>
      <c r="C999" s="42"/>
      <c r="D999" s="42"/>
      <c r="G999" s="1"/>
    </row>
    <row r="1000" spans="1:7" x14ac:dyDescent="0.25">
      <c r="A1000" s="13"/>
      <c r="B1000" s="13"/>
      <c r="C1000" s="13"/>
      <c r="D1000" s="13"/>
      <c r="G1000" s="1"/>
    </row>
    <row r="1001" spans="1:7" x14ac:dyDescent="0.25">
      <c r="A1001" s="14"/>
      <c r="B1001" s="15"/>
      <c r="C1001" s="15"/>
      <c r="D1001" s="16"/>
      <c r="F1001" s="5" t="s">
        <v>26</v>
      </c>
      <c r="G1001" s="1">
        <f>D1043-D994</f>
        <v>-68080045</v>
      </c>
    </row>
    <row r="1002" spans="1:7" x14ac:dyDescent="0.25">
      <c r="A1002" s="17"/>
      <c r="D1002" s="32" t="s">
        <v>16</v>
      </c>
      <c r="G1002" s="1"/>
    </row>
    <row r="1003" spans="1:7" x14ac:dyDescent="0.25">
      <c r="A1003" s="23" t="s">
        <v>15</v>
      </c>
      <c r="D1003" s="18" t="s">
        <v>17</v>
      </c>
      <c r="F1003" s="26" t="s">
        <v>27</v>
      </c>
      <c r="G1003" s="1"/>
    </row>
    <row r="1004" spans="1:7" x14ac:dyDescent="0.25">
      <c r="A1004" s="17"/>
      <c r="B1004" s="24" t="s">
        <v>18</v>
      </c>
      <c r="D1004" s="19"/>
      <c r="F1004" s="27" t="s">
        <v>28</v>
      </c>
      <c r="G1004" s="1"/>
    </row>
    <row r="1005" spans="1:7" x14ac:dyDescent="0.25">
      <c r="A1005" s="17"/>
      <c r="C1005" s="2" t="s">
        <v>31</v>
      </c>
      <c r="D1005" s="19">
        <v>46343506.590000004</v>
      </c>
      <c r="F1005" t="s">
        <v>250</v>
      </c>
      <c r="G1005" s="1">
        <v>15231000</v>
      </c>
    </row>
    <row r="1006" spans="1:7" x14ac:dyDescent="0.25">
      <c r="A1006" s="17"/>
      <c r="C1006" s="2" t="s">
        <v>32</v>
      </c>
      <c r="D1006" s="19">
        <v>160490363.74000001</v>
      </c>
      <c r="F1006" t="s">
        <v>90</v>
      </c>
      <c r="G1006" s="1">
        <v>207500</v>
      </c>
    </row>
    <row r="1007" spans="1:7" x14ac:dyDescent="0.25">
      <c r="A1007" s="17"/>
      <c r="C1007" s="2" t="s">
        <v>33</v>
      </c>
      <c r="D1007" s="19">
        <v>48460214.399999999</v>
      </c>
      <c r="F1007" t="s">
        <v>221</v>
      </c>
      <c r="G1007" s="1">
        <v>900000</v>
      </c>
    </row>
    <row r="1008" spans="1:7" x14ac:dyDescent="0.25">
      <c r="A1008" s="17"/>
      <c r="C1008" s="2" t="s">
        <v>34</v>
      </c>
      <c r="D1008" s="19">
        <v>112287337</v>
      </c>
      <c r="F1008" t="s">
        <v>228</v>
      </c>
      <c r="G1008" s="1">
        <v>1350000</v>
      </c>
    </row>
    <row r="1009" spans="1:7" x14ac:dyDescent="0.25">
      <c r="A1009" s="17"/>
      <c r="C1009" s="2" t="s">
        <v>35</v>
      </c>
      <c r="D1009" s="19">
        <v>10885100</v>
      </c>
      <c r="F1009" t="s">
        <v>217</v>
      </c>
      <c r="G1009" s="1">
        <v>2250000</v>
      </c>
    </row>
    <row r="1010" spans="1:7" x14ac:dyDescent="0.25">
      <c r="A1010" s="17"/>
      <c r="C1010" s="2" t="s">
        <v>36</v>
      </c>
      <c r="D1010" s="19">
        <v>29627286.600000001</v>
      </c>
      <c r="F1010" t="s">
        <v>97</v>
      </c>
      <c r="G1010" s="1">
        <v>16</v>
      </c>
    </row>
    <row r="1011" spans="1:7" x14ac:dyDescent="0.25">
      <c r="A1011" s="17"/>
      <c r="C1011" s="2" t="s">
        <v>37</v>
      </c>
      <c r="D1011" s="19">
        <v>-90063221</v>
      </c>
      <c r="F1011" t="s">
        <v>251</v>
      </c>
      <c r="G1011" s="1">
        <v>6000000</v>
      </c>
    </row>
    <row r="1012" spans="1:7" x14ac:dyDescent="0.25">
      <c r="A1012" s="17"/>
      <c r="C1012" s="2" t="s">
        <v>51</v>
      </c>
      <c r="D1012" s="20">
        <v>130317</v>
      </c>
      <c r="F1012" t="s">
        <v>252</v>
      </c>
      <c r="G1012" s="1">
        <v>1500000</v>
      </c>
    </row>
    <row r="1013" spans="1:7" x14ac:dyDescent="0.25">
      <c r="A1013" s="17"/>
      <c r="B1013" s="24" t="s">
        <v>19</v>
      </c>
      <c r="D1013" s="19">
        <f>SUM(D1005:D1012)</f>
        <v>318160904.33000004</v>
      </c>
      <c r="G1013" s="30">
        <f>SUM(G1005:G1012)</f>
        <v>27438516</v>
      </c>
    </row>
    <row r="1014" spans="1:7" x14ac:dyDescent="0.25">
      <c r="A1014" s="17"/>
      <c r="D1014" s="19"/>
      <c r="F1014" s="28" t="s">
        <v>29</v>
      </c>
      <c r="G1014" s="1"/>
    </row>
    <row r="1015" spans="1:7" x14ac:dyDescent="0.25">
      <c r="A1015" s="17"/>
      <c r="B1015" s="24" t="s">
        <v>20</v>
      </c>
      <c r="D1015" s="19"/>
      <c r="F1015" t="s">
        <v>247</v>
      </c>
      <c r="G1015" s="1">
        <v>42666666</v>
      </c>
    </row>
    <row r="1016" spans="1:7" x14ac:dyDescent="0.25">
      <c r="A1016" s="17"/>
      <c r="C1016" t="s">
        <v>7</v>
      </c>
      <c r="D1016" s="19">
        <v>2578806774</v>
      </c>
      <c r="F1016" t="s">
        <v>356</v>
      </c>
      <c r="G1016" s="1">
        <v>43773395</v>
      </c>
    </row>
    <row r="1017" spans="1:7" x14ac:dyDescent="0.25">
      <c r="A1017" s="17"/>
      <c r="C1017" t="s">
        <v>47</v>
      </c>
      <c r="D1017" s="19">
        <v>8285000</v>
      </c>
      <c r="F1017" t="s">
        <v>248</v>
      </c>
      <c r="G1017" s="1">
        <v>744000</v>
      </c>
    </row>
    <row r="1018" spans="1:7" x14ac:dyDescent="0.25">
      <c r="A1018" s="17"/>
      <c r="C1018" t="s">
        <v>21</v>
      </c>
      <c r="D1018" s="19">
        <v>921999500</v>
      </c>
      <c r="F1018" t="s">
        <v>248</v>
      </c>
      <c r="G1018" s="1">
        <v>3332000</v>
      </c>
    </row>
    <row r="1019" spans="1:7" x14ac:dyDescent="0.25">
      <c r="A1019" s="17"/>
      <c r="C1019" t="s">
        <v>45</v>
      </c>
      <c r="D1019" s="19">
        <v>25000000</v>
      </c>
      <c r="F1019" t="s">
        <v>161</v>
      </c>
      <c r="G1019" s="1">
        <v>2500</v>
      </c>
    </row>
    <row r="1020" spans="1:7" x14ac:dyDescent="0.25">
      <c r="A1020" s="17"/>
      <c r="C1020" t="s">
        <v>48</v>
      </c>
      <c r="D1020" s="19">
        <v>30000000</v>
      </c>
      <c r="F1020" t="s">
        <v>112</v>
      </c>
      <c r="G1020" s="1">
        <v>5000000</v>
      </c>
    </row>
    <row r="1021" spans="1:7" x14ac:dyDescent="0.25">
      <c r="A1021" s="17"/>
      <c r="C1021" t="s">
        <v>68</v>
      </c>
      <c r="D1021" s="19">
        <v>141000000</v>
      </c>
      <c r="G1021" s="30">
        <f>SUM(G1015:G1020)</f>
        <v>95518561</v>
      </c>
    </row>
    <row r="1022" spans="1:7" x14ac:dyDescent="0.25">
      <c r="A1022" s="17"/>
      <c r="C1022" t="s">
        <v>68</v>
      </c>
      <c r="D1022" s="20">
        <v>145000000</v>
      </c>
      <c r="G1022" s="1"/>
    </row>
    <row r="1023" spans="1:7" x14ac:dyDescent="0.25">
      <c r="A1023" s="17"/>
      <c r="D1023" s="19">
        <f>SUM(D1016:D1022)</f>
        <v>3850091274</v>
      </c>
      <c r="F1023" s="28" t="s">
        <v>30</v>
      </c>
      <c r="G1023" s="29">
        <f>G1013-G1021</f>
        <v>-68080045</v>
      </c>
    </row>
    <row r="1024" spans="1:7" x14ac:dyDescent="0.25">
      <c r="A1024" s="17"/>
      <c r="D1024" s="19"/>
    </row>
    <row r="1025" spans="1:7" x14ac:dyDescent="0.25">
      <c r="A1025" s="17"/>
      <c r="B1025" s="24" t="s">
        <v>46</v>
      </c>
      <c r="D1025" s="19"/>
      <c r="G1025" s="1"/>
    </row>
    <row r="1026" spans="1:7" x14ac:dyDescent="0.25">
      <c r="A1026" s="17"/>
      <c r="C1026" t="s">
        <v>246</v>
      </c>
      <c r="D1026" s="19">
        <v>37355000</v>
      </c>
    </row>
    <row r="1027" spans="1:7" x14ac:dyDescent="0.25">
      <c r="A1027" s="17"/>
      <c r="C1027" t="s">
        <v>227</v>
      </c>
      <c r="D1027" s="20">
        <v>6025000</v>
      </c>
    </row>
    <row r="1028" spans="1:7" x14ac:dyDescent="0.25">
      <c r="A1028" s="17"/>
      <c r="D1028" s="19">
        <f>SUM(D1026:D1027)</f>
        <v>43380000</v>
      </c>
    </row>
    <row r="1029" spans="1:7" x14ac:dyDescent="0.25">
      <c r="A1029" s="17"/>
      <c r="D1029" s="19"/>
    </row>
    <row r="1030" spans="1:7" x14ac:dyDescent="0.25">
      <c r="A1030" s="17"/>
      <c r="B1030" s="24" t="s">
        <v>43</v>
      </c>
      <c r="D1030" s="19"/>
    </row>
    <row r="1031" spans="1:7" x14ac:dyDescent="0.25">
      <c r="A1031" s="17"/>
      <c r="B1031" s="24"/>
      <c r="C1031" t="s">
        <v>245</v>
      </c>
      <c r="D1031" s="19">
        <v>37350000</v>
      </c>
    </row>
    <row r="1032" spans="1:7" x14ac:dyDescent="0.25">
      <c r="A1032" s="17"/>
      <c r="B1032" s="24"/>
      <c r="C1032" t="s">
        <v>253</v>
      </c>
      <c r="D1032" s="20">
        <v>76500000</v>
      </c>
    </row>
    <row r="1033" spans="1:7" x14ac:dyDescent="0.25">
      <c r="A1033" s="17"/>
      <c r="D1033" s="19">
        <f>SUM(D1031:D1032)</f>
        <v>113850000</v>
      </c>
    </row>
    <row r="1034" spans="1:7" x14ac:dyDescent="0.25">
      <c r="A1034" s="17"/>
      <c r="D1034" s="19"/>
    </row>
    <row r="1035" spans="1:7" x14ac:dyDescent="0.25">
      <c r="A1035" s="23" t="s">
        <v>22</v>
      </c>
      <c r="D1035" s="19"/>
    </row>
    <row r="1036" spans="1:7" x14ac:dyDescent="0.25">
      <c r="A1036" s="17"/>
      <c r="C1036" t="s">
        <v>23</v>
      </c>
      <c r="D1036" s="19">
        <v>1334050000</v>
      </c>
    </row>
    <row r="1037" spans="1:7" x14ac:dyDescent="0.25">
      <c r="A1037" s="17"/>
      <c r="C1037" t="s">
        <v>24</v>
      </c>
      <c r="D1037" s="19">
        <v>1570256000</v>
      </c>
    </row>
    <row r="1038" spans="1:7" x14ac:dyDescent="0.25">
      <c r="A1038" s="17"/>
      <c r="C1038" t="s">
        <v>44</v>
      </c>
      <c r="D1038" s="19">
        <v>47300000</v>
      </c>
    </row>
    <row r="1039" spans="1:7" x14ac:dyDescent="0.25">
      <c r="A1039" s="17"/>
      <c r="C1039" t="s">
        <v>249</v>
      </c>
      <c r="D1039" s="19">
        <v>151650000</v>
      </c>
    </row>
    <row r="1040" spans="1:7" x14ac:dyDescent="0.25">
      <c r="A1040" s="17"/>
      <c r="C1040" t="s">
        <v>111</v>
      </c>
      <c r="D1040" s="20">
        <v>161500000</v>
      </c>
    </row>
    <row r="1041" spans="1:7" x14ac:dyDescent="0.25">
      <c r="A1041" s="17"/>
      <c r="D1041" s="19">
        <f>SUM(D1036:D1040)</f>
        <v>3264756000</v>
      </c>
      <c r="G1041" s="1"/>
    </row>
    <row r="1042" spans="1:7" x14ac:dyDescent="0.25">
      <c r="A1042" s="17"/>
      <c r="D1042" s="19"/>
      <c r="G1042" s="1"/>
    </row>
    <row r="1043" spans="1:7" x14ac:dyDescent="0.25">
      <c r="A1043" s="43" t="s">
        <v>25</v>
      </c>
      <c r="B1043" s="44"/>
      <c r="C1043" s="44"/>
      <c r="D1043" s="25">
        <f>D1013+D1023+D1028+D1033-D1041</f>
        <v>1060726178.3299999</v>
      </c>
      <c r="G1043" s="1"/>
    </row>
    <row r="1044" spans="1:7" x14ac:dyDescent="0.25">
      <c r="A1044" s="21"/>
      <c r="B1044" s="22"/>
      <c r="C1044" s="22"/>
      <c r="D1044" s="20"/>
      <c r="G1044" s="1"/>
    </row>
    <row r="1046" spans="1:7" x14ac:dyDescent="0.25">
      <c r="A1046" s="40" t="s">
        <v>13</v>
      </c>
      <c r="B1046" s="40"/>
      <c r="C1046" s="40"/>
      <c r="D1046" s="40"/>
      <c r="G1046" s="1"/>
    </row>
    <row r="1047" spans="1:7" x14ac:dyDescent="0.25">
      <c r="A1047" s="41" t="s">
        <v>14</v>
      </c>
      <c r="B1047" s="41"/>
      <c r="C1047" s="41"/>
      <c r="D1047" s="41"/>
      <c r="G1047" s="1"/>
    </row>
    <row r="1048" spans="1:7" x14ac:dyDescent="0.25">
      <c r="A1048" s="42">
        <v>45685</v>
      </c>
      <c r="B1048" s="42"/>
      <c r="C1048" s="42"/>
      <c r="D1048" s="42"/>
      <c r="G1048" s="1"/>
    </row>
    <row r="1049" spans="1:7" x14ac:dyDescent="0.25">
      <c r="A1049" s="13"/>
      <c r="B1049" s="13"/>
      <c r="C1049" s="13"/>
      <c r="D1049" s="13"/>
      <c r="G1049" s="1"/>
    </row>
    <row r="1050" spans="1:7" x14ac:dyDescent="0.25">
      <c r="A1050" s="14"/>
      <c r="B1050" s="15"/>
      <c r="C1050" s="15"/>
      <c r="D1050" s="16"/>
      <c r="F1050" s="5" t="s">
        <v>26</v>
      </c>
      <c r="G1050" s="1">
        <f>D1092-D1043</f>
        <v>13699000</v>
      </c>
    </row>
    <row r="1051" spans="1:7" x14ac:dyDescent="0.25">
      <c r="A1051" s="17"/>
      <c r="D1051" s="32" t="s">
        <v>16</v>
      </c>
      <c r="G1051" s="1"/>
    </row>
    <row r="1052" spans="1:7" x14ac:dyDescent="0.25">
      <c r="A1052" s="23" t="s">
        <v>15</v>
      </c>
      <c r="D1052" s="18" t="s">
        <v>17</v>
      </c>
      <c r="F1052" s="26" t="s">
        <v>27</v>
      </c>
      <c r="G1052" s="1"/>
    </row>
    <row r="1053" spans="1:7" x14ac:dyDescent="0.25">
      <c r="A1053" s="17"/>
      <c r="B1053" s="24" t="s">
        <v>18</v>
      </c>
      <c r="D1053" s="19"/>
      <c r="F1053" s="27" t="s">
        <v>28</v>
      </c>
      <c r="G1053" s="1"/>
    </row>
    <row r="1054" spans="1:7" x14ac:dyDescent="0.25">
      <c r="A1054" s="17"/>
      <c r="C1054" s="2" t="s">
        <v>31</v>
      </c>
      <c r="D1054" s="19">
        <v>305593506.58999997</v>
      </c>
      <c r="F1054" t="s">
        <v>254</v>
      </c>
      <c r="G1054" s="1">
        <v>13198000</v>
      </c>
    </row>
    <row r="1055" spans="1:7" x14ac:dyDescent="0.25">
      <c r="A1055" s="17"/>
      <c r="C1055" s="2" t="s">
        <v>32</v>
      </c>
      <c r="D1055" s="19">
        <v>160490363.74000001</v>
      </c>
      <c r="F1055" t="s">
        <v>90</v>
      </c>
      <c r="G1055" s="1">
        <v>225000</v>
      </c>
    </row>
    <row r="1056" spans="1:7" x14ac:dyDescent="0.25">
      <c r="A1056" s="17"/>
      <c r="C1056" s="2" t="s">
        <v>33</v>
      </c>
      <c r="D1056" s="19">
        <v>333386214.39999998</v>
      </c>
      <c r="F1056" t="s">
        <v>256</v>
      </c>
      <c r="G1056" s="1">
        <v>276000</v>
      </c>
    </row>
    <row r="1057" spans="1:7" x14ac:dyDescent="0.25">
      <c r="A1057" s="17"/>
      <c r="C1057" s="2" t="s">
        <v>34</v>
      </c>
      <c r="D1057" s="19">
        <v>278637337</v>
      </c>
      <c r="G1057" s="30">
        <f>SUM(G1054:G1056)</f>
        <v>13699000</v>
      </c>
    </row>
    <row r="1058" spans="1:7" x14ac:dyDescent="0.25">
      <c r="A1058" s="17"/>
      <c r="C1058" s="2" t="s">
        <v>35</v>
      </c>
      <c r="D1058" s="19">
        <v>10885100</v>
      </c>
      <c r="F1058" s="28" t="s">
        <v>29</v>
      </c>
      <c r="G1058" s="1"/>
    </row>
    <row r="1059" spans="1:7" x14ac:dyDescent="0.25">
      <c r="A1059" s="17"/>
      <c r="C1059" s="2" t="s">
        <v>36</v>
      </c>
      <c r="D1059" s="19">
        <v>29627286.600000001</v>
      </c>
      <c r="G1059" s="1">
        <v>0</v>
      </c>
    </row>
    <row r="1060" spans="1:7" x14ac:dyDescent="0.25">
      <c r="A1060" s="17"/>
      <c r="C1060" s="2" t="s">
        <v>37</v>
      </c>
      <c r="D1060" s="19">
        <v>-3963221</v>
      </c>
      <c r="G1060" s="30">
        <f>SUM(G1059:G1059)</f>
        <v>0</v>
      </c>
    </row>
    <row r="1061" spans="1:7" x14ac:dyDescent="0.25">
      <c r="A1061" s="17"/>
      <c r="C1061" s="2" t="s">
        <v>51</v>
      </c>
      <c r="D1061" s="20">
        <v>130317</v>
      </c>
      <c r="G1061" s="1"/>
    </row>
    <row r="1062" spans="1:7" x14ac:dyDescent="0.25">
      <c r="A1062" s="17"/>
      <c r="B1062" s="24" t="s">
        <v>19</v>
      </c>
      <c r="D1062" s="19">
        <f>SUM(D1054:D1061)</f>
        <v>1114786904.3299999</v>
      </c>
      <c r="F1062" s="28" t="s">
        <v>30</v>
      </c>
      <c r="G1062" s="29">
        <f>G1057-G1060</f>
        <v>13699000</v>
      </c>
    </row>
    <row r="1063" spans="1:7" x14ac:dyDescent="0.25">
      <c r="A1063" s="17"/>
      <c r="D1063" s="19"/>
    </row>
    <row r="1064" spans="1:7" x14ac:dyDescent="0.25">
      <c r="A1064" s="17"/>
      <c r="B1064" s="24" t="s">
        <v>20</v>
      </c>
      <c r="D1064" s="19"/>
    </row>
    <row r="1065" spans="1:7" x14ac:dyDescent="0.25">
      <c r="A1065" s="17"/>
      <c r="C1065" t="s">
        <v>7</v>
      </c>
      <c r="D1065" s="19">
        <v>2196106774</v>
      </c>
    </row>
    <row r="1066" spans="1:7" x14ac:dyDescent="0.25">
      <c r="A1066" s="17"/>
      <c r="C1066" t="s">
        <v>47</v>
      </c>
      <c r="D1066" s="19">
        <v>14535000</v>
      </c>
    </row>
    <row r="1067" spans="1:7" x14ac:dyDescent="0.25">
      <c r="A1067" s="17"/>
      <c r="C1067" t="s">
        <v>21</v>
      </c>
      <c r="D1067" s="19">
        <v>921999500</v>
      </c>
    </row>
    <row r="1068" spans="1:7" x14ac:dyDescent="0.25">
      <c r="A1068" s="17"/>
      <c r="C1068" t="s">
        <v>45</v>
      </c>
      <c r="D1068" s="19">
        <v>25000000</v>
      </c>
    </row>
    <row r="1069" spans="1:7" x14ac:dyDescent="0.25">
      <c r="A1069" s="17"/>
      <c r="C1069" t="s">
        <v>48</v>
      </c>
      <c r="D1069" s="19">
        <v>30000000</v>
      </c>
    </row>
    <row r="1070" spans="1:7" x14ac:dyDescent="0.25">
      <c r="A1070" s="17"/>
      <c r="C1070" t="s">
        <v>68</v>
      </c>
      <c r="D1070" s="19">
        <v>141000000</v>
      </c>
    </row>
    <row r="1071" spans="1:7" x14ac:dyDescent="0.25">
      <c r="A1071" s="17"/>
      <c r="C1071" t="s">
        <v>68</v>
      </c>
      <c r="D1071" s="20">
        <v>145000000</v>
      </c>
    </row>
    <row r="1072" spans="1:7" x14ac:dyDescent="0.25">
      <c r="A1072" s="17"/>
      <c r="D1072" s="19">
        <f>SUM(D1065:D1071)</f>
        <v>3473641274</v>
      </c>
    </row>
    <row r="1073" spans="1:7" x14ac:dyDescent="0.25">
      <c r="A1073" s="17"/>
      <c r="D1073" s="19"/>
    </row>
    <row r="1074" spans="1:7" x14ac:dyDescent="0.25">
      <c r="A1074" s="17"/>
      <c r="B1074" s="24" t="s">
        <v>46</v>
      </c>
      <c r="D1074" s="19"/>
      <c r="G1074" s="1"/>
    </row>
    <row r="1075" spans="1:7" x14ac:dyDescent="0.25">
      <c r="A1075" s="17"/>
      <c r="C1075" t="s">
        <v>260</v>
      </c>
      <c r="D1075" s="19">
        <v>31330000</v>
      </c>
    </row>
    <row r="1076" spans="1:7" x14ac:dyDescent="0.25">
      <c r="A1076" s="17"/>
      <c r="C1076" t="s">
        <v>227</v>
      </c>
      <c r="D1076" s="20">
        <v>6025000</v>
      </c>
    </row>
    <row r="1077" spans="1:7" x14ac:dyDescent="0.25">
      <c r="A1077" s="17"/>
      <c r="D1077" s="19">
        <f>SUM(D1075:D1076)</f>
        <v>37355000</v>
      </c>
    </row>
    <row r="1078" spans="1:7" x14ac:dyDescent="0.25">
      <c r="A1078" s="17"/>
      <c r="D1078" s="19"/>
    </row>
    <row r="1079" spans="1:7" x14ac:dyDescent="0.25">
      <c r="A1079" s="17"/>
      <c r="B1079" s="24" t="s">
        <v>43</v>
      </c>
      <c r="D1079" s="19"/>
    </row>
    <row r="1080" spans="1:7" x14ac:dyDescent="0.25">
      <c r="A1080" s="17"/>
      <c r="B1080" s="24"/>
      <c r="C1080" t="s">
        <v>245</v>
      </c>
      <c r="D1080" s="19">
        <v>37350000</v>
      </c>
    </row>
    <row r="1081" spans="1:7" x14ac:dyDescent="0.25">
      <c r="A1081" s="17"/>
      <c r="B1081" s="24"/>
      <c r="C1081" t="s">
        <v>253</v>
      </c>
      <c r="D1081" s="20">
        <v>76500000</v>
      </c>
    </row>
    <row r="1082" spans="1:7" x14ac:dyDescent="0.25">
      <c r="A1082" s="17"/>
      <c r="D1082" s="19">
        <f>SUM(D1080:D1081)</f>
        <v>113850000</v>
      </c>
    </row>
    <row r="1083" spans="1:7" x14ac:dyDescent="0.25">
      <c r="A1083" s="17"/>
      <c r="D1083" s="19"/>
    </row>
    <row r="1084" spans="1:7" x14ac:dyDescent="0.25">
      <c r="A1084" s="23" t="s">
        <v>22</v>
      </c>
      <c r="D1084" s="19"/>
    </row>
    <row r="1085" spans="1:7" x14ac:dyDescent="0.25">
      <c r="A1085" s="17"/>
      <c r="C1085" t="s">
        <v>23</v>
      </c>
      <c r="D1085" s="19">
        <v>1334050000</v>
      </c>
    </row>
    <row r="1086" spans="1:7" x14ac:dyDescent="0.25">
      <c r="A1086" s="17"/>
      <c r="C1086" t="s">
        <v>24</v>
      </c>
      <c r="D1086" s="19">
        <v>1809208000</v>
      </c>
    </row>
    <row r="1087" spans="1:7" x14ac:dyDescent="0.25">
      <c r="A1087" s="17"/>
      <c r="C1087" t="s">
        <v>44</v>
      </c>
      <c r="D1087" s="19">
        <v>47300000</v>
      </c>
    </row>
    <row r="1088" spans="1:7" x14ac:dyDescent="0.25">
      <c r="A1088" s="17"/>
      <c r="C1088" t="s">
        <v>249</v>
      </c>
      <c r="D1088" s="19">
        <v>151650000</v>
      </c>
    </row>
    <row r="1089" spans="1:7" x14ac:dyDescent="0.25">
      <c r="A1089" s="17"/>
      <c r="C1089" t="s">
        <v>111</v>
      </c>
      <c r="D1089" s="20">
        <v>323000000</v>
      </c>
    </row>
    <row r="1090" spans="1:7" x14ac:dyDescent="0.25">
      <c r="A1090" s="17"/>
      <c r="D1090" s="19">
        <f>SUM(D1085:D1089)</f>
        <v>3665208000</v>
      </c>
      <c r="G1090" s="1"/>
    </row>
    <row r="1091" spans="1:7" x14ac:dyDescent="0.25">
      <c r="A1091" s="17"/>
      <c r="D1091" s="19"/>
      <c r="G1091" s="1"/>
    </row>
    <row r="1092" spans="1:7" x14ac:dyDescent="0.25">
      <c r="A1092" s="43" t="s">
        <v>25</v>
      </c>
      <c r="B1092" s="44"/>
      <c r="C1092" s="44"/>
      <c r="D1092" s="25">
        <f>D1062+D1072+D1077+D1082-D1090</f>
        <v>1074425178.3299999</v>
      </c>
      <c r="G1092" s="1"/>
    </row>
    <row r="1093" spans="1:7" x14ac:dyDescent="0.25">
      <c r="A1093" s="21"/>
      <c r="B1093" s="22"/>
      <c r="C1093" s="22"/>
      <c r="D1093" s="20"/>
      <c r="G1093" s="1"/>
    </row>
    <row r="1095" spans="1:7" x14ac:dyDescent="0.25">
      <c r="A1095" s="40" t="s">
        <v>13</v>
      </c>
      <c r="B1095" s="40"/>
      <c r="C1095" s="40"/>
      <c r="D1095" s="40"/>
      <c r="G1095" s="1"/>
    </row>
    <row r="1096" spans="1:7" x14ac:dyDescent="0.25">
      <c r="A1096" s="41" t="s">
        <v>14</v>
      </c>
      <c r="B1096" s="41"/>
      <c r="C1096" s="41"/>
      <c r="D1096" s="41"/>
      <c r="G1096" s="1"/>
    </row>
    <row r="1097" spans="1:7" x14ac:dyDescent="0.25">
      <c r="A1097" s="42">
        <v>45687</v>
      </c>
      <c r="B1097" s="42"/>
      <c r="C1097" s="42"/>
      <c r="D1097" s="42"/>
      <c r="G1097" s="1"/>
    </row>
    <row r="1098" spans="1:7" x14ac:dyDescent="0.25">
      <c r="A1098" s="13"/>
      <c r="B1098" s="13"/>
      <c r="C1098" s="13"/>
      <c r="D1098" s="13"/>
      <c r="G1098" s="1"/>
    </row>
    <row r="1099" spans="1:7" x14ac:dyDescent="0.25">
      <c r="A1099" s="14"/>
      <c r="B1099" s="15"/>
      <c r="C1099" s="15"/>
      <c r="D1099" s="16"/>
      <c r="F1099" s="5" t="s">
        <v>26</v>
      </c>
      <c r="G1099" s="1">
        <f>D1142-D1092</f>
        <v>4841277</v>
      </c>
    </row>
    <row r="1100" spans="1:7" x14ac:dyDescent="0.25">
      <c r="A1100" s="17"/>
      <c r="D1100" s="32" t="s">
        <v>16</v>
      </c>
      <c r="G1100" s="1"/>
    </row>
    <row r="1101" spans="1:7" x14ac:dyDescent="0.25">
      <c r="A1101" s="23" t="s">
        <v>15</v>
      </c>
      <c r="D1101" s="18" t="s">
        <v>17</v>
      </c>
      <c r="F1101" s="26" t="s">
        <v>27</v>
      </c>
      <c r="G1101" s="1"/>
    </row>
    <row r="1102" spans="1:7" x14ac:dyDescent="0.25">
      <c r="A1102" s="17"/>
      <c r="B1102" s="24" t="s">
        <v>18</v>
      </c>
      <c r="D1102" s="19"/>
      <c r="F1102" s="27" t="s">
        <v>28</v>
      </c>
      <c r="G1102" s="1"/>
    </row>
    <row r="1103" spans="1:7" x14ac:dyDescent="0.25">
      <c r="A1103" s="17"/>
      <c r="C1103" s="2" t="s">
        <v>31</v>
      </c>
      <c r="D1103" s="19">
        <v>163005780.59</v>
      </c>
      <c r="F1103" t="s">
        <v>261</v>
      </c>
      <c r="G1103" s="1">
        <v>19206000</v>
      </c>
    </row>
    <row r="1104" spans="1:7" x14ac:dyDescent="0.25">
      <c r="A1104" s="17"/>
      <c r="C1104" s="2" t="s">
        <v>32</v>
      </c>
      <c r="D1104" s="19">
        <v>63720363.740000002</v>
      </c>
      <c r="F1104" t="s">
        <v>90</v>
      </c>
      <c r="G1104" s="1">
        <v>137500</v>
      </c>
    </row>
    <row r="1105" spans="1:7" x14ac:dyDescent="0.25">
      <c r="A1105" s="17"/>
      <c r="C1105" s="2" t="s">
        <v>33</v>
      </c>
      <c r="D1105" s="19">
        <v>229300093.40000001</v>
      </c>
      <c r="F1105" t="s">
        <v>269</v>
      </c>
      <c r="G1105" s="1">
        <v>85500</v>
      </c>
    </row>
    <row r="1106" spans="1:7" x14ac:dyDescent="0.25">
      <c r="A1106" s="17"/>
      <c r="C1106" s="2" t="s">
        <v>34</v>
      </c>
      <c r="D1106" s="19">
        <v>367291961</v>
      </c>
      <c r="F1106" t="s">
        <v>270</v>
      </c>
      <c r="G1106" s="1">
        <v>85500</v>
      </c>
    </row>
    <row r="1107" spans="1:7" x14ac:dyDescent="0.25">
      <c r="A1107" s="17"/>
      <c r="C1107" s="2" t="s">
        <v>35</v>
      </c>
      <c r="D1107" s="19">
        <v>10885100</v>
      </c>
      <c r="F1107" t="s">
        <v>271</v>
      </c>
      <c r="G1107" s="1">
        <v>172000</v>
      </c>
    </row>
    <row r="1108" spans="1:7" x14ac:dyDescent="0.25">
      <c r="A1108" s="17"/>
      <c r="C1108" s="2" t="s">
        <v>36</v>
      </c>
      <c r="D1108" s="19">
        <v>29627286.600000001</v>
      </c>
      <c r="F1108" t="s">
        <v>272</v>
      </c>
      <c r="G1108" s="1">
        <v>172000</v>
      </c>
    </row>
    <row r="1109" spans="1:7" x14ac:dyDescent="0.25">
      <c r="A1109" s="17"/>
      <c r="C1109" s="2" t="s">
        <v>37</v>
      </c>
      <c r="D1109" s="19">
        <v>116287779</v>
      </c>
      <c r="F1109" t="s">
        <v>273</v>
      </c>
      <c r="G1109" s="1">
        <v>86000</v>
      </c>
    </row>
    <row r="1110" spans="1:7" x14ac:dyDescent="0.25">
      <c r="A1110" s="17"/>
      <c r="C1110" s="2" t="s">
        <v>51</v>
      </c>
      <c r="D1110" s="20">
        <v>130317</v>
      </c>
      <c r="F1110" t="s">
        <v>218</v>
      </c>
      <c r="G1110" s="1">
        <v>1350000</v>
      </c>
    </row>
    <row r="1111" spans="1:7" x14ac:dyDescent="0.25">
      <c r="A1111" s="17"/>
      <c r="B1111" s="24" t="s">
        <v>19</v>
      </c>
      <c r="D1111" s="19">
        <f>SUM(D1103:D1110)</f>
        <v>980248681.33000004</v>
      </c>
      <c r="G1111" s="30">
        <f>SUM(G1103:G1110)</f>
        <v>21294500</v>
      </c>
    </row>
    <row r="1112" spans="1:7" x14ac:dyDescent="0.25">
      <c r="A1112" s="17"/>
      <c r="D1112" s="19"/>
      <c r="F1112" s="28" t="s">
        <v>29</v>
      </c>
      <c r="G1112" s="1"/>
    </row>
    <row r="1113" spans="1:7" x14ac:dyDescent="0.25">
      <c r="A1113" s="17"/>
      <c r="B1113" s="24" t="s">
        <v>20</v>
      </c>
      <c r="D1113" s="19"/>
      <c r="F1113" t="s">
        <v>262</v>
      </c>
      <c r="G1113" s="1">
        <v>1140121</v>
      </c>
    </row>
    <row r="1114" spans="1:7" x14ac:dyDescent="0.25">
      <c r="A1114" s="17"/>
      <c r="C1114" t="s">
        <v>7</v>
      </c>
      <c r="D1114" s="19">
        <v>1863932774</v>
      </c>
      <c r="F1114" t="s">
        <v>263</v>
      </c>
      <c r="G1114" s="1">
        <v>2437726</v>
      </c>
    </row>
    <row r="1115" spans="1:7" x14ac:dyDescent="0.25">
      <c r="A1115" s="17"/>
      <c r="C1115" t="s">
        <v>47</v>
      </c>
      <c r="D1115" s="19">
        <v>14455000</v>
      </c>
      <c r="F1115" t="s">
        <v>264</v>
      </c>
      <c r="G1115" s="1">
        <v>1905219</v>
      </c>
    </row>
    <row r="1116" spans="1:7" x14ac:dyDescent="0.25">
      <c r="A1116" s="17"/>
      <c r="C1116" t="s">
        <v>21</v>
      </c>
      <c r="D1116" s="19">
        <v>949799500</v>
      </c>
      <c r="F1116" t="s">
        <v>265</v>
      </c>
      <c r="G1116" s="1">
        <v>1020157</v>
      </c>
    </row>
    <row r="1117" spans="1:7" x14ac:dyDescent="0.25">
      <c r="A1117" s="17"/>
      <c r="C1117" t="s">
        <v>45</v>
      </c>
      <c r="D1117" s="19">
        <v>25000000</v>
      </c>
      <c r="F1117" t="s">
        <v>166</v>
      </c>
      <c r="G1117" s="1">
        <v>2250000</v>
      </c>
    </row>
    <row r="1118" spans="1:7" x14ac:dyDescent="0.25">
      <c r="A1118" s="17"/>
      <c r="C1118" t="s">
        <v>48</v>
      </c>
      <c r="D1118" s="19">
        <v>30000000</v>
      </c>
      <c r="F1118" t="s">
        <v>104</v>
      </c>
      <c r="G1118" s="1">
        <v>2250000</v>
      </c>
    </row>
    <row r="1119" spans="1:7" x14ac:dyDescent="0.25">
      <c r="A1119" s="17"/>
      <c r="C1119" t="s">
        <v>68</v>
      </c>
      <c r="D1119" s="19">
        <v>141000000</v>
      </c>
      <c r="F1119" t="s">
        <v>112</v>
      </c>
      <c r="G1119" s="1">
        <v>5000000</v>
      </c>
    </row>
    <row r="1120" spans="1:7" x14ac:dyDescent="0.25">
      <c r="A1120" s="17"/>
      <c r="C1120" t="s">
        <v>68</v>
      </c>
      <c r="D1120" s="19">
        <v>145000000</v>
      </c>
      <c r="F1120" t="s">
        <v>274</v>
      </c>
      <c r="G1120" s="1">
        <v>450000</v>
      </c>
    </row>
    <row r="1121" spans="1:7" x14ac:dyDescent="0.25">
      <c r="A1121" s="17"/>
      <c r="C1121" t="s">
        <v>267</v>
      </c>
      <c r="D1121" s="20">
        <v>100000000</v>
      </c>
      <c r="G1121" s="30">
        <f>SUM(G1113:G1120)</f>
        <v>16453223</v>
      </c>
    </row>
    <row r="1122" spans="1:7" x14ac:dyDescent="0.25">
      <c r="A1122" s="17"/>
      <c r="D1122" s="19">
        <f>SUM(D1114:D1121)</f>
        <v>3269187274</v>
      </c>
      <c r="G1122" s="1"/>
    </row>
    <row r="1123" spans="1:7" x14ac:dyDescent="0.25">
      <c r="A1123" s="17"/>
      <c r="D1123" s="19"/>
      <c r="F1123" s="28" t="s">
        <v>30</v>
      </c>
      <c r="G1123" s="29">
        <f>G1111-G1121</f>
        <v>4841277</v>
      </c>
    </row>
    <row r="1124" spans="1:7" x14ac:dyDescent="0.25">
      <c r="A1124" s="17"/>
      <c r="B1124" s="24" t="s">
        <v>46</v>
      </c>
      <c r="D1124" s="19"/>
      <c r="G1124" s="1"/>
    </row>
    <row r="1125" spans="1:7" x14ac:dyDescent="0.25">
      <c r="A1125" s="17"/>
      <c r="C1125" t="s">
        <v>260</v>
      </c>
      <c r="D1125" s="19">
        <v>31330000</v>
      </c>
    </row>
    <row r="1126" spans="1:7" x14ac:dyDescent="0.25">
      <c r="A1126" s="17"/>
      <c r="C1126" t="s">
        <v>266</v>
      </c>
      <c r="D1126" s="20">
        <v>3012500</v>
      </c>
    </row>
    <row r="1127" spans="1:7" x14ac:dyDescent="0.25">
      <c r="A1127" s="17"/>
      <c r="D1127" s="19">
        <f>SUM(D1125:D1126)</f>
        <v>34342500</v>
      </c>
    </row>
    <row r="1128" spans="1:7" x14ac:dyDescent="0.25">
      <c r="A1128" s="17"/>
      <c r="D1128" s="19"/>
    </row>
    <row r="1129" spans="1:7" x14ac:dyDescent="0.25">
      <c r="A1129" s="17"/>
      <c r="B1129" s="24" t="s">
        <v>43</v>
      </c>
      <c r="D1129" s="19"/>
    </row>
    <row r="1130" spans="1:7" x14ac:dyDescent="0.25">
      <c r="A1130" s="17"/>
      <c r="B1130" s="24"/>
      <c r="C1130" t="s">
        <v>245</v>
      </c>
      <c r="D1130" s="20">
        <v>37350000</v>
      </c>
    </row>
    <row r="1131" spans="1:7" x14ac:dyDescent="0.25">
      <c r="A1131" s="17"/>
      <c r="D1131" s="19">
        <f>SUM(D1130:D1130)</f>
        <v>37350000</v>
      </c>
    </row>
    <row r="1132" spans="1:7" x14ac:dyDescent="0.25">
      <c r="A1132" s="17"/>
      <c r="D1132" s="19"/>
    </row>
    <row r="1133" spans="1:7" x14ac:dyDescent="0.25">
      <c r="A1133" s="23" t="s">
        <v>22</v>
      </c>
      <c r="D1133" s="19"/>
    </row>
    <row r="1134" spans="1:7" x14ac:dyDescent="0.25">
      <c r="A1134" s="17"/>
      <c r="C1134" t="s">
        <v>23</v>
      </c>
      <c r="D1134" s="19">
        <v>1075250000</v>
      </c>
    </row>
    <row r="1135" spans="1:7" x14ac:dyDescent="0.25">
      <c r="A1135" s="17"/>
      <c r="C1135" t="s">
        <v>24</v>
      </c>
      <c r="D1135" s="19">
        <v>1433712000</v>
      </c>
    </row>
    <row r="1136" spans="1:7" x14ac:dyDescent="0.25">
      <c r="A1136" s="17"/>
      <c r="C1136" t="s">
        <v>44</v>
      </c>
      <c r="D1136" s="19">
        <v>133300000</v>
      </c>
    </row>
    <row r="1137" spans="1:7" x14ac:dyDescent="0.25">
      <c r="A1137" s="17"/>
      <c r="C1137" t="s">
        <v>249</v>
      </c>
      <c r="D1137" s="19">
        <v>151650000</v>
      </c>
    </row>
    <row r="1138" spans="1:7" x14ac:dyDescent="0.25">
      <c r="A1138" s="17"/>
      <c r="C1138" t="s">
        <v>190</v>
      </c>
      <c r="D1138" s="19">
        <v>72000000</v>
      </c>
    </row>
    <row r="1139" spans="1:7" x14ac:dyDescent="0.25">
      <c r="A1139" s="17"/>
      <c r="C1139" t="s">
        <v>111</v>
      </c>
      <c r="D1139" s="20">
        <v>375950000</v>
      </c>
    </row>
    <row r="1140" spans="1:7" x14ac:dyDescent="0.25">
      <c r="A1140" s="17"/>
      <c r="D1140" s="19">
        <f>SUM(D1134:D1139)</f>
        <v>3241862000</v>
      </c>
      <c r="G1140" s="1"/>
    </row>
    <row r="1141" spans="1:7" x14ac:dyDescent="0.25">
      <c r="A1141" s="17"/>
      <c r="D1141" s="19"/>
      <c r="G1141" s="1"/>
    </row>
    <row r="1142" spans="1:7" x14ac:dyDescent="0.25">
      <c r="A1142" s="43" t="s">
        <v>25</v>
      </c>
      <c r="B1142" s="44"/>
      <c r="C1142" s="44"/>
      <c r="D1142" s="25">
        <f>D1111+D1122+D1127+D1131-D1140</f>
        <v>1079266455.3299999</v>
      </c>
      <c r="G1142" s="1"/>
    </row>
    <row r="1143" spans="1:7" x14ac:dyDescent="0.25">
      <c r="A1143" s="21"/>
      <c r="B1143" s="22"/>
      <c r="C1143" s="22"/>
      <c r="D1143" s="20"/>
      <c r="G1143" s="1"/>
    </row>
    <row r="1145" spans="1:7" x14ac:dyDescent="0.25">
      <c r="A1145" s="40" t="s">
        <v>13</v>
      </c>
      <c r="B1145" s="40"/>
      <c r="C1145" s="40"/>
      <c r="D1145" s="40"/>
      <c r="G1145" s="1"/>
    </row>
    <row r="1146" spans="1:7" x14ac:dyDescent="0.25">
      <c r="A1146" s="41" t="s">
        <v>14</v>
      </c>
      <c r="B1146" s="41"/>
      <c r="C1146" s="41"/>
      <c r="D1146" s="41"/>
      <c r="G1146" s="1"/>
    </row>
    <row r="1147" spans="1:7" x14ac:dyDescent="0.25">
      <c r="A1147" s="42">
        <v>45688</v>
      </c>
      <c r="B1147" s="42"/>
      <c r="C1147" s="42"/>
      <c r="D1147" s="42"/>
      <c r="G1147" s="1"/>
    </row>
    <row r="1148" spans="1:7" x14ac:dyDescent="0.25">
      <c r="A1148" s="13"/>
      <c r="B1148" s="13"/>
      <c r="C1148" s="13"/>
      <c r="D1148" s="13"/>
      <c r="G1148" s="1"/>
    </row>
    <row r="1149" spans="1:7" x14ac:dyDescent="0.25">
      <c r="A1149" s="14"/>
      <c r="B1149" s="15"/>
      <c r="C1149" s="15"/>
      <c r="D1149" s="16"/>
      <c r="F1149" s="5" t="s">
        <v>26</v>
      </c>
      <c r="G1149" s="1">
        <f>D1190-D1142</f>
        <v>26946000</v>
      </c>
    </row>
    <row r="1150" spans="1:7" x14ac:dyDescent="0.25">
      <c r="A1150" s="17"/>
      <c r="D1150" s="32" t="s">
        <v>16</v>
      </c>
      <c r="G1150" s="1"/>
    </row>
    <row r="1151" spans="1:7" x14ac:dyDescent="0.25">
      <c r="A1151" s="23" t="s">
        <v>15</v>
      </c>
      <c r="D1151" s="18" t="s">
        <v>17</v>
      </c>
      <c r="F1151" s="26" t="s">
        <v>27</v>
      </c>
      <c r="G1151" s="1"/>
    </row>
    <row r="1152" spans="1:7" x14ac:dyDescent="0.25">
      <c r="A1152" s="17"/>
      <c r="B1152" s="24" t="s">
        <v>18</v>
      </c>
      <c r="D1152" s="19"/>
      <c r="F1152" s="27" t="s">
        <v>28</v>
      </c>
      <c r="G1152" s="1"/>
    </row>
    <row r="1153" spans="1:7" x14ac:dyDescent="0.25">
      <c r="A1153" s="17"/>
      <c r="C1153" s="2" t="s">
        <v>31</v>
      </c>
      <c r="D1153" s="19">
        <v>6255780.5899999999</v>
      </c>
      <c r="F1153" t="s">
        <v>11</v>
      </c>
      <c r="G1153" s="1">
        <v>26886000</v>
      </c>
    </row>
    <row r="1154" spans="1:7" x14ac:dyDescent="0.25">
      <c r="A1154" s="17"/>
      <c r="C1154" s="2" t="s">
        <v>32</v>
      </c>
      <c r="D1154" s="19">
        <v>74415363.739999995</v>
      </c>
      <c r="F1154" t="s">
        <v>90</v>
      </c>
      <c r="G1154" s="1">
        <v>115000</v>
      </c>
    </row>
    <row r="1155" spans="1:7" x14ac:dyDescent="0.25">
      <c r="A1155" s="17"/>
      <c r="C1155" s="2" t="s">
        <v>33</v>
      </c>
      <c r="D1155" s="19">
        <v>-39902406.600000001</v>
      </c>
      <c r="F1155" t="s">
        <v>278</v>
      </c>
      <c r="G1155" s="1">
        <v>80000</v>
      </c>
    </row>
    <row r="1156" spans="1:7" x14ac:dyDescent="0.25">
      <c r="A1156" s="17"/>
      <c r="C1156" s="2" t="s">
        <v>34</v>
      </c>
      <c r="D1156" s="19">
        <v>120491961</v>
      </c>
      <c r="G1156" s="30">
        <f>SUM(G1153:G1155)</f>
        <v>27081000</v>
      </c>
    </row>
    <row r="1157" spans="1:7" x14ac:dyDescent="0.25">
      <c r="A1157" s="17"/>
      <c r="C1157" s="2" t="s">
        <v>35</v>
      </c>
      <c r="D1157" s="19">
        <v>10885100</v>
      </c>
      <c r="F1157" s="28" t="s">
        <v>29</v>
      </c>
      <c r="G1157" s="1"/>
    </row>
    <row r="1158" spans="1:7" x14ac:dyDescent="0.25">
      <c r="A1158" s="17"/>
      <c r="C1158" s="2" t="s">
        <v>36</v>
      </c>
      <c r="D1158" s="19">
        <v>29627286.600000001</v>
      </c>
      <c r="F1158" t="s">
        <v>49</v>
      </c>
      <c r="G1158" s="1">
        <v>2500</v>
      </c>
    </row>
    <row r="1159" spans="1:7" x14ac:dyDescent="0.25">
      <c r="A1159" s="17"/>
      <c r="C1159" s="2" t="s">
        <v>37</v>
      </c>
      <c r="D1159" s="19">
        <v>180605279</v>
      </c>
      <c r="F1159" t="s">
        <v>277</v>
      </c>
      <c r="G1159" s="1">
        <v>88000</v>
      </c>
    </row>
    <row r="1160" spans="1:7" x14ac:dyDescent="0.25">
      <c r="A1160" s="17"/>
      <c r="C1160" s="2" t="s">
        <v>51</v>
      </c>
      <c r="D1160" s="20">
        <v>130317</v>
      </c>
      <c r="F1160" t="s">
        <v>161</v>
      </c>
      <c r="G1160" s="1">
        <v>2500</v>
      </c>
    </row>
    <row r="1161" spans="1:7" x14ac:dyDescent="0.25">
      <c r="A1161" s="17"/>
      <c r="B1161" s="24" t="s">
        <v>19</v>
      </c>
      <c r="D1161" s="19">
        <f>SUM(D1153:D1160)</f>
        <v>382508681.32999998</v>
      </c>
      <c r="F1161" t="s">
        <v>122</v>
      </c>
      <c r="G1161" s="1">
        <v>42000</v>
      </c>
    </row>
    <row r="1162" spans="1:7" x14ac:dyDescent="0.25">
      <c r="A1162" s="17"/>
      <c r="D1162" s="19"/>
      <c r="G1162" s="30">
        <f>SUM(G1158:G1161)</f>
        <v>135000</v>
      </c>
    </row>
    <row r="1163" spans="1:7" x14ac:dyDescent="0.25">
      <c r="A1163" s="17"/>
      <c r="B1163" s="24" t="s">
        <v>20</v>
      </c>
      <c r="D1163" s="19"/>
      <c r="G1163" s="1"/>
    </row>
    <row r="1164" spans="1:7" x14ac:dyDescent="0.25">
      <c r="A1164" s="17"/>
      <c r="C1164" t="s">
        <v>7</v>
      </c>
      <c r="D1164" s="19">
        <v>2164782774</v>
      </c>
      <c r="F1164" s="28" t="s">
        <v>30</v>
      </c>
      <c r="G1164" s="29">
        <f>G1156-G1162</f>
        <v>26946000</v>
      </c>
    </row>
    <row r="1165" spans="1:7" x14ac:dyDescent="0.25">
      <c r="A1165" s="17"/>
      <c r="C1165" t="s">
        <v>47</v>
      </c>
      <c r="D1165" s="19">
        <v>5080000</v>
      </c>
    </row>
    <row r="1166" spans="1:7" x14ac:dyDescent="0.25">
      <c r="A1166" s="17"/>
      <c r="C1166" t="s">
        <v>21</v>
      </c>
      <c r="D1166" s="19">
        <v>856179500</v>
      </c>
    </row>
    <row r="1167" spans="1:7" x14ac:dyDescent="0.25">
      <c r="A1167" s="17"/>
      <c r="C1167" t="s">
        <v>45</v>
      </c>
      <c r="D1167" s="19">
        <v>25000000</v>
      </c>
    </row>
    <row r="1168" spans="1:7" x14ac:dyDescent="0.25">
      <c r="A1168" s="17"/>
      <c r="C1168" t="s">
        <v>48</v>
      </c>
      <c r="D1168" s="19">
        <v>30000000</v>
      </c>
    </row>
    <row r="1169" spans="1:7" x14ac:dyDescent="0.25">
      <c r="A1169" s="17"/>
      <c r="C1169" t="s">
        <v>68</v>
      </c>
      <c r="D1169" s="19">
        <v>141000000</v>
      </c>
    </row>
    <row r="1170" spans="1:7" x14ac:dyDescent="0.25">
      <c r="A1170" s="17"/>
      <c r="C1170" t="s">
        <v>68</v>
      </c>
      <c r="D1170" s="19">
        <v>145000000</v>
      </c>
    </row>
    <row r="1171" spans="1:7" x14ac:dyDescent="0.25">
      <c r="A1171" s="17"/>
      <c r="C1171" t="s">
        <v>267</v>
      </c>
      <c r="D1171" s="20">
        <v>100000000</v>
      </c>
    </row>
    <row r="1172" spans="1:7" x14ac:dyDescent="0.25">
      <c r="A1172" s="17"/>
      <c r="D1172" s="19">
        <f>SUM(D1164:D1171)</f>
        <v>3467042274</v>
      </c>
    </row>
    <row r="1173" spans="1:7" x14ac:dyDescent="0.25">
      <c r="A1173" s="17"/>
      <c r="D1173" s="19"/>
    </row>
    <row r="1174" spans="1:7" x14ac:dyDescent="0.25">
      <c r="A1174" s="17"/>
      <c r="B1174" s="24" t="s">
        <v>46</v>
      </c>
      <c r="D1174" s="19"/>
      <c r="G1174" s="1"/>
    </row>
    <row r="1175" spans="1:7" x14ac:dyDescent="0.25">
      <c r="A1175" s="17"/>
      <c r="C1175" t="s">
        <v>275</v>
      </c>
      <c r="D1175" s="19">
        <v>30125000</v>
      </c>
    </row>
    <row r="1176" spans="1:7" x14ac:dyDescent="0.25">
      <c r="A1176" s="17"/>
      <c r="C1176" t="s">
        <v>266</v>
      </c>
      <c r="D1176" s="20">
        <v>3012500</v>
      </c>
    </row>
    <row r="1177" spans="1:7" x14ac:dyDescent="0.25">
      <c r="A1177" s="17"/>
      <c r="D1177" s="19">
        <f>SUM(D1175:D1176)</f>
        <v>33137500</v>
      </c>
    </row>
    <row r="1178" spans="1:7" x14ac:dyDescent="0.25">
      <c r="A1178" s="17"/>
      <c r="D1178" s="19"/>
    </row>
    <row r="1179" spans="1:7" x14ac:dyDescent="0.25">
      <c r="A1179" s="17"/>
      <c r="B1179" s="24" t="s">
        <v>43</v>
      </c>
      <c r="D1179" s="19"/>
    </row>
    <row r="1180" spans="1:7" x14ac:dyDescent="0.25">
      <c r="A1180" s="17"/>
      <c r="B1180" s="24"/>
      <c r="C1180" t="s">
        <v>245</v>
      </c>
      <c r="D1180" s="20">
        <v>37350000</v>
      </c>
    </row>
    <row r="1181" spans="1:7" x14ac:dyDescent="0.25">
      <c r="A1181" s="17"/>
      <c r="D1181" s="19">
        <f>SUM(D1180:D1180)</f>
        <v>37350000</v>
      </c>
    </row>
    <row r="1182" spans="1:7" x14ac:dyDescent="0.25">
      <c r="A1182" s="17"/>
      <c r="D1182" s="19"/>
    </row>
    <row r="1183" spans="1:7" x14ac:dyDescent="0.25">
      <c r="A1183" s="23" t="s">
        <v>22</v>
      </c>
      <c r="D1183" s="19"/>
    </row>
    <row r="1184" spans="1:7" x14ac:dyDescent="0.25">
      <c r="A1184" s="17"/>
      <c r="C1184" t="s">
        <v>23</v>
      </c>
      <c r="D1184" s="19">
        <v>1019900000</v>
      </c>
    </row>
    <row r="1185" spans="1:7" x14ac:dyDescent="0.25">
      <c r="A1185" s="17"/>
      <c r="C1185" t="s">
        <v>24</v>
      </c>
      <c r="D1185" s="19">
        <v>1502026000</v>
      </c>
    </row>
    <row r="1186" spans="1:7" x14ac:dyDescent="0.25">
      <c r="A1186" s="17"/>
      <c r="C1186" t="s">
        <v>44</v>
      </c>
      <c r="D1186" s="19">
        <v>206400000</v>
      </c>
    </row>
    <row r="1187" spans="1:7" x14ac:dyDescent="0.25">
      <c r="A1187" s="17"/>
      <c r="C1187" t="s">
        <v>111</v>
      </c>
      <c r="D1187" s="20">
        <v>85500000</v>
      </c>
    </row>
    <row r="1188" spans="1:7" x14ac:dyDescent="0.25">
      <c r="A1188" s="17"/>
      <c r="D1188" s="19">
        <f>SUM(D1184:D1187)</f>
        <v>2813826000</v>
      </c>
      <c r="G1188" s="1"/>
    </row>
    <row r="1189" spans="1:7" x14ac:dyDescent="0.25">
      <c r="A1189" s="17"/>
      <c r="D1189" s="19"/>
      <c r="G1189" s="1"/>
    </row>
    <row r="1190" spans="1:7" x14ac:dyDescent="0.25">
      <c r="A1190" s="43" t="s">
        <v>25</v>
      </c>
      <c r="B1190" s="44"/>
      <c r="C1190" s="44"/>
      <c r="D1190" s="25">
        <f>D1161+D1172+D1177+D1181-D1188</f>
        <v>1106212455.3299999</v>
      </c>
      <c r="G1190" s="1"/>
    </row>
    <row r="1191" spans="1:7" x14ac:dyDescent="0.25">
      <c r="A1191" s="21"/>
      <c r="B1191" s="22"/>
      <c r="C1191" s="22"/>
      <c r="D1191" s="20"/>
      <c r="G1191" s="1"/>
    </row>
  </sheetData>
  <mergeCells count="100">
    <mergeCell ref="A950:D950"/>
    <mergeCell ref="A951:D951"/>
    <mergeCell ref="A952:D952"/>
    <mergeCell ref="A994:C994"/>
    <mergeCell ref="A855:D855"/>
    <mergeCell ref="A856:D856"/>
    <mergeCell ref="A857:D857"/>
    <mergeCell ref="A899:C899"/>
    <mergeCell ref="A904:D904"/>
    <mergeCell ref="A947:C947"/>
    <mergeCell ref="A852:C852"/>
    <mergeCell ref="A804:C804"/>
    <mergeCell ref="A708:D708"/>
    <mergeCell ref="A709:D709"/>
    <mergeCell ref="A710:D710"/>
    <mergeCell ref="A754:C754"/>
    <mergeCell ref="A757:D757"/>
    <mergeCell ref="A758:D758"/>
    <mergeCell ref="A656:C656"/>
    <mergeCell ref="A520:D520"/>
    <mergeCell ref="A521:D521"/>
    <mergeCell ref="A519:D519"/>
    <mergeCell ref="A611:D611"/>
    <mergeCell ref="A566:D566"/>
    <mergeCell ref="A194:D194"/>
    <mergeCell ref="A237:C237"/>
    <mergeCell ref="A288:D288"/>
    <mergeCell ref="A339:D339"/>
    <mergeCell ref="A240:D240"/>
    <mergeCell ref="A338:D338"/>
    <mergeCell ref="A289:D289"/>
    <mergeCell ref="A290:D290"/>
    <mergeCell ref="A335:C335"/>
    <mergeCell ref="A242:D242"/>
    <mergeCell ref="A192:D192"/>
    <mergeCell ref="A241:D241"/>
    <mergeCell ref="A1:D1"/>
    <mergeCell ref="A2:D2"/>
    <mergeCell ref="A3:D3"/>
    <mergeCell ref="A44:C44"/>
    <mergeCell ref="A47:D47"/>
    <mergeCell ref="A48:D48"/>
    <mergeCell ref="A49:D49"/>
    <mergeCell ref="A91:C91"/>
    <mergeCell ref="A143:D143"/>
    <mergeCell ref="A144:D144"/>
    <mergeCell ref="A94:D94"/>
    <mergeCell ref="A95:D95"/>
    <mergeCell ref="A96:D96"/>
    <mergeCell ref="A140:C140"/>
    <mergeCell ref="A189:C189"/>
    <mergeCell ref="A145:D145"/>
    <mergeCell ref="A383:C383"/>
    <mergeCell ref="A902:D902"/>
    <mergeCell ref="A903:D903"/>
    <mergeCell ref="A607:C607"/>
    <mergeCell ref="A610:D610"/>
    <mergeCell ref="A427:C427"/>
    <mergeCell ref="A430:D430"/>
    <mergeCell ref="A285:C285"/>
    <mergeCell ref="A388:D388"/>
    <mergeCell ref="A471:C471"/>
    <mergeCell ref="A474:D474"/>
    <mergeCell ref="A431:D431"/>
    <mergeCell ref="A432:D432"/>
    <mergeCell ref="A193:D193"/>
    <mergeCell ref="A386:D386"/>
    <mergeCell ref="A475:D475"/>
    <mergeCell ref="A476:D476"/>
    <mergeCell ref="A516:C516"/>
    <mergeCell ref="A340:D340"/>
    <mergeCell ref="A387:D387"/>
    <mergeCell ref="A999:D999"/>
    <mergeCell ref="A1043:C1043"/>
    <mergeCell ref="A561:C561"/>
    <mergeCell ref="A564:D564"/>
    <mergeCell ref="A565:D565"/>
    <mergeCell ref="A997:D997"/>
    <mergeCell ref="A998:D998"/>
    <mergeCell ref="A612:D612"/>
    <mergeCell ref="A807:D807"/>
    <mergeCell ref="A808:D808"/>
    <mergeCell ref="A809:D809"/>
    <mergeCell ref="A659:D659"/>
    <mergeCell ref="A660:D660"/>
    <mergeCell ref="A661:D661"/>
    <mergeCell ref="A705:C705"/>
    <mergeCell ref="A759:D759"/>
    <mergeCell ref="A1046:D1046"/>
    <mergeCell ref="A1047:D1047"/>
    <mergeCell ref="A1048:D1048"/>
    <mergeCell ref="A1092:C1092"/>
    <mergeCell ref="A1095:D1095"/>
    <mergeCell ref="A1145:D1145"/>
    <mergeCell ref="A1146:D1146"/>
    <mergeCell ref="A1147:D1147"/>
    <mergeCell ref="A1190:C1190"/>
    <mergeCell ref="A1096:D1096"/>
    <mergeCell ref="A1097:D1097"/>
    <mergeCell ref="A1142:C114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37F8-4C3D-4027-93B4-04FE3CF646A0}">
  <dimension ref="A1:G1096"/>
  <sheetViews>
    <sheetView topLeftCell="A1051" zoomScale="80" zoomScaleNormal="80" workbookViewId="0">
      <selection activeCell="F471" sqref="F471:F472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4.42578125" bestFit="1" customWidth="1"/>
    <col min="4" max="4" width="24.7109375" customWidth="1"/>
    <col min="5" max="5" width="5" customWidth="1"/>
    <col min="6" max="6" width="49.5703125" customWidth="1"/>
    <col min="7" max="7" width="20.85546875" customWidth="1"/>
    <col min="9" max="9" width="17.7109375" bestFit="1" customWidth="1"/>
  </cols>
  <sheetData>
    <row r="1" spans="1:7" x14ac:dyDescent="0.25">
      <c r="A1" s="40" t="s">
        <v>13</v>
      </c>
      <c r="B1" s="40"/>
      <c r="C1" s="40"/>
      <c r="D1" s="40"/>
      <c r="G1" s="1"/>
    </row>
    <row r="2" spans="1:7" x14ac:dyDescent="0.25">
      <c r="A2" s="41" t="s">
        <v>14</v>
      </c>
      <c r="B2" s="41"/>
      <c r="C2" s="41"/>
      <c r="D2" s="41"/>
      <c r="G2" s="1"/>
    </row>
    <row r="3" spans="1:7" x14ac:dyDescent="0.25">
      <c r="A3" s="42">
        <v>45689</v>
      </c>
      <c r="B3" s="42"/>
      <c r="C3" s="42"/>
      <c r="D3" s="42"/>
      <c r="G3" s="1"/>
    </row>
    <row r="4" spans="1:7" x14ac:dyDescent="0.25">
      <c r="A4" s="13"/>
      <c r="B4" s="13"/>
      <c r="C4" s="13"/>
      <c r="D4" s="13"/>
      <c r="G4" s="1"/>
    </row>
    <row r="5" spans="1:7" x14ac:dyDescent="0.25">
      <c r="A5" s="14"/>
      <c r="B5" s="15"/>
      <c r="C5" s="15"/>
      <c r="D5" s="16"/>
      <c r="F5" s="5" t="s">
        <v>26</v>
      </c>
      <c r="G5" s="1">
        <f>D47-Jan!D1190</f>
        <v>-31217413.630000114</v>
      </c>
    </row>
    <row r="6" spans="1:7" x14ac:dyDescent="0.25">
      <c r="A6" s="17"/>
      <c r="D6" s="32" t="s">
        <v>16</v>
      </c>
      <c r="G6" s="1"/>
    </row>
    <row r="7" spans="1:7" x14ac:dyDescent="0.25">
      <c r="A7" s="23" t="s">
        <v>15</v>
      </c>
      <c r="D7" s="18" t="s">
        <v>17</v>
      </c>
      <c r="F7" s="26" t="s">
        <v>27</v>
      </c>
      <c r="G7" s="1"/>
    </row>
    <row r="8" spans="1:7" x14ac:dyDescent="0.25">
      <c r="A8" s="17"/>
      <c r="B8" s="24" t="s">
        <v>18</v>
      </c>
      <c r="D8" s="19"/>
      <c r="F8" s="27" t="s">
        <v>28</v>
      </c>
      <c r="G8" s="1"/>
    </row>
    <row r="9" spans="1:7" x14ac:dyDescent="0.25">
      <c r="A9" s="17"/>
      <c r="C9" s="2" t="s">
        <v>31</v>
      </c>
      <c r="D9" s="19">
        <v>6257030.5300000003</v>
      </c>
      <c r="F9" t="s">
        <v>279</v>
      </c>
      <c r="G9" s="1">
        <v>16119000</v>
      </c>
    </row>
    <row r="10" spans="1:7" x14ac:dyDescent="0.25">
      <c r="A10" s="17"/>
      <c r="C10" s="2" t="s">
        <v>32</v>
      </c>
      <c r="D10" s="19">
        <v>74416200.170000002</v>
      </c>
      <c r="F10" t="s">
        <v>90</v>
      </c>
      <c r="G10" s="1">
        <v>190000</v>
      </c>
    </row>
    <row r="11" spans="1:7" x14ac:dyDescent="0.25">
      <c r="A11" s="17"/>
      <c r="C11" s="2" t="s">
        <v>33</v>
      </c>
      <c r="D11" s="19">
        <v>190276593.40000001</v>
      </c>
      <c r="F11" t="s">
        <v>286</v>
      </c>
      <c r="G11" s="1">
        <v>1562.42</v>
      </c>
    </row>
    <row r="12" spans="1:7" x14ac:dyDescent="0.25">
      <c r="A12" s="17"/>
      <c r="C12" s="2" t="s">
        <v>34</v>
      </c>
      <c r="D12" s="19">
        <v>3361961</v>
      </c>
      <c r="F12" t="s">
        <v>287</v>
      </c>
      <c r="G12" s="1">
        <v>1045.54</v>
      </c>
    </row>
    <row r="13" spans="1:7" x14ac:dyDescent="0.25">
      <c r="A13" s="17"/>
      <c r="C13" s="2" t="s">
        <v>35</v>
      </c>
      <c r="D13" s="19">
        <v>10885100</v>
      </c>
      <c r="G13" s="30">
        <f>SUM(G9:G12)</f>
        <v>16311607.959999999</v>
      </c>
    </row>
    <row r="14" spans="1:7" x14ac:dyDescent="0.25">
      <c r="A14" s="17"/>
      <c r="C14" s="2" t="s">
        <v>36</v>
      </c>
      <c r="D14" s="19">
        <v>29627286.600000001</v>
      </c>
      <c r="F14" s="28" t="s">
        <v>29</v>
      </c>
      <c r="G14" s="1"/>
    </row>
    <row r="15" spans="1:7" x14ac:dyDescent="0.25">
      <c r="A15" s="17"/>
      <c r="C15" s="2" t="s">
        <v>37</v>
      </c>
      <c r="D15" s="19">
        <v>120552779</v>
      </c>
      <c r="F15" t="s">
        <v>161</v>
      </c>
      <c r="G15" s="1">
        <v>2500</v>
      </c>
    </row>
    <row r="16" spans="1:7" x14ac:dyDescent="0.25">
      <c r="A16" s="17"/>
      <c r="C16" s="2" t="s">
        <v>51</v>
      </c>
      <c r="D16" s="20">
        <v>130317</v>
      </c>
      <c r="F16" t="s">
        <v>281</v>
      </c>
      <c r="G16" s="1">
        <v>900000</v>
      </c>
    </row>
    <row r="17" spans="1:7" x14ac:dyDescent="0.25">
      <c r="A17" s="17"/>
      <c r="B17" s="24" t="s">
        <v>19</v>
      </c>
      <c r="D17" s="19">
        <f>SUM(D9:D16)</f>
        <v>435507267.70000005</v>
      </c>
      <c r="F17" t="s">
        <v>282</v>
      </c>
      <c r="G17" s="1">
        <v>13478500</v>
      </c>
    </row>
    <row r="18" spans="1:7" x14ac:dyDescent="0.25">
      <c r="A18" s="17"/>
      <c r="D18" s="19"/>
      <c r="F18" t="s">
        <v>112</v>
      </c>
      <c r="G18" s="1">
        <v>5000000</v>
      </c>
    </row>
    <row r="19" spans="1:7" x14ac:dyDescent="0.25">
      <c r="A19" s="17"/>
      <c r="B19" s="24" t="s">
        <v>20</v>
      </c>
      <c r="D19" s="19"/>
      <c r="F19" t="s">
        <v>283</v>
      </c>
      <c r="G19" s="1">
        <v>27700000</v>
      </c>
    </row>
    <row r="20" spans="1:7" x14ac:dyDescent="0.25">
      <c r="A20" s="17"/>
      <c r="C20" t="s">
        <v>7</v>
      </c>
      <c r="D20" s="19">
        <v>2716182774</v>
      </c>
      <c r="F20" t="s">
        <v>284</v>
      </c>
      <c r="G20" s="1">
        <v>60000</v>
      </c>
    </row>
    <row r="21" spans="1:7" x14ac:dyDescent="0.25">
      <c r="A21" s="17"/>
      <c r="C21" t="s">
        <v>47</v>
      </c>
      <c r="D21" s="19">
        <v>7680000</v>
      </c>
      <c r="F21" t="s">
        <v>49</v>
      </c>
      <c r="G21" s="1">
        <v>12500</v>
      </c>
    </row>
    <row r="22" spans="1:7" x14ac:dyDescent="0.25">
      <c r="A22" s="17"/>
      <c r="C22" t="s">
        <v>21</v>
      </c>
      <c r="D22" s="19">
        <v>902179500</v>
      </c>
      <c r="F22" t="s">
        <v>285</v>
      </c>
      <c r="G22" s="1">
        <v>312.48</v>
      </c>
    </row>
    <row r="23" spans="1:7" x14ac:dyDescent="0.25">
      <c r="A23" s="17"/>
      <c r="C23" t="s">
        <v>45</v>
      </c>
      <c r="D23" s="19">
        <v>25000000</v>
      </c>
      <c r="F23" t="s">
        <v>288</v>
      </c>
      <c r="G23" s="1">
        <v>209.11</v>
      </c>
    </row>
    <row r="24" spans="1:7" x14ac:dyDescent="0.25">
      <c r="A24" s="17"/>
      <c r="C24" t="s">
        <v>48</v>
      </c>
      <c r="D24" s="19">
        <v>30000000</v>
      </c>
      <c r="F24" t="s">
        <v>122</v>
      </c>
      <c r="G24" s="1">
        <v>375000</v>
      </c>
    </row>
    <row r="25" spans="1:7" x14ac:dyDescent="0.25">
      <c r="A25" s="17"/>
      <c r="C25" t="s">
        <v>68</v>
      </c>
      <c r="D25" s="19">
        <v>141000000</v>
      </c>
      <c r="G25" s="30">
        <f>SUM(G15:G24)</f>
        <v>47529021.589999996</v>
      </c>
    </row>
    <row r="26" spans="1:7" x14ac:dyDescent="0.25">
      <c r="A26" s="17"/>
      <c r="C26" t="s">
        <v>68</v>
      </c>
      <c r="D26" s="19">
        <v>145000000</v>
      </c>
      <c r="G26" s="1"/>
    </row>
    <row r="27" spans="1:7" x14ac:dyDescent="0.25">
      <c r="A27" s="17"/>
      <c r="C27" t="s">
        <v>267</v>
      </c>
      <c r="D27" s="20">
        <v>100000000</v>
      </c>
      <c r="F27" s="28" t="s">
        <v>30</v>
      </c>
      <c r="G27" s="29">
        <f>G13-G25</f>
        <v>-31217413.629999995</v>
      </c>
    </row>
    <row r="28" spans="1:7" x14ac:dyDescent="0.25">
      <c r="A28" s="17"/>
      <c r="D28" s="19">
        <f>SUM(D20:D27)</f>
        <v>4067042274</v>
      </c>
    </row>
    <row r="29" spans="1:7" x14ac:dyDescent="0.25">
      <c r="A29" s="17"/>
      <c r="D29" s="19"/>
    </row>
    <row r="30" spans="1:7" x14ac:dyDescent="0.25">
      <c r="A30" s="17"/>
      <c r="B30" s="24" t="s">
        <v>46</v>
      </c>
      <c r="D30" s="19"/>
      <c r="G30" s="1"/>
    </row>
    <row r="31" spans="1:7" x14ac:dyDescent="0.25">
      <c r="A31" s="17"/>
      <c r="C31" t="s">
        <v>280</v>
      </c>
      <c r="D31" s="19">
        <v>27715000</v>
      </c>
    </row>
    <row r="32" spans="1:7" x14ac:dyDescent="0.25">
      <c r="A32" s="17"/>
      <c r="C32" t="s">
        <v>266</v>
      </c>
      <c r="D32" s="20">
        <v>3012500</v>
      </c>
    </row>
    <row r="33" spans="1:7" x14ac:dyDescent="0.25">
      <c r="A33" s="17"/>
      <c r="D33" s="19">
        <f>SUM(D31:D32)</f>
        <v>30727500</v>
      </c>
    </row>
    <row r="34" spans="1:7" x14ac:dyDescent="0.25">
      <c r="A34" s="17"/>
      <c r="D34" s="19"/>
    </row>
    <row r="35" spans="1:7" x14ac:dyDescent="0.25">
      <c r="A35" s="17"/>
      <c r="B35" s="24" t="s">
        <v>43</v>
      </c>
      <c r="D35" s="19"/>
    </row>
    <row r="36" spans="1:7" x14ac:dyDescent="0.25">
      <c r="A36" s="17"/>
      <c r="B36" s="24"/>
      <c r="C36" t="s">
        <v>245</v>
      </c>
      <c r="D36" s="20">
        <v>37350000</v>
      </c>
    </row>
    <row r="37" spans="1:7" x14ac:dyDescent="0.25">
      <c r="A37" s="17"/>
      <c r="D37" s="19">
        <f>SUM(D36:D36)</f>
        <v>37350000</v>
      </c>
    </row>
    <row r="38" spans="1:7" x14ac:dyDescent="0.25">
      <c r="A38" s="17"/>
      <c r="D38" s="19"/>
    </row>
    <row r="39" spans="1:7" x14ac:dyDescent="0.25">
      <c r="A39" s="23" t="s">
        <v>22</v>
      </c>
      <c r="D39" s="19"/>
    </row>
    <row r="40" spans="1:7" x14ac:dyDescent="0.25">
      <c r="A40" s="17"/>
      <c r="C40" t="s">
        <v>23</v>
      </c>
      <c r="D40" s="19">
        <v>1231150000</v>
      </c>
    </row>
    <row r="41" spans="1:7" x14ac:dyDescent="0.25">
      <c r="A41" s="17"/>
      <c r="C41" t="s">
        <v>24</v>
      </c>
      <c r="D41" s="19">
        <v>1580182000</v>
      </c>
    </row>
    <row r="42" spans="1:7" x14ac:dyDescent="0.25">
      <c r="A42" s="17"/>
      <c r="C42" t="s">
        <v>44</v>
      </c>
      <c r="D42" s="19">
        <v>206400000</v>
      </c>
    </row>
    <row r="43" spans="1:7" x14ac:dyDescent="0.25">
      <c r="A43" s="17"/>
      <c r="C43" t="s">
        <v>289</v>
      </c>
      <c r="D43" s="19">
        <v>76050000</v>
      </c>
    </row>
    <row r="44" spans="1:7" x14ac:dyDescent="0.25">
      <c r="A44" s="17"/>
      <c r="C44" t="s">
        <v>111</v>
      </c>
      <c r="D44" s="20">
        <v>401850000</v>
      </c>
    </row>
    <row r="45" spans="1:7" x14ac:dyDescent="0.25">
      <c r="A45" s="17"/>
      <c r="D45" s="19">
        <f>SUM(D40:D44)</f>
        <v>3495632000</v>
      </c>
      <c r="G45" s="1"/>
    </row>
    <row r="46" spans="1:7" x14ac:dyDescent="0.25">
      <c r="A46" s="17"/>
      <c r="D46" s="19"/>
      <c r="G46" s="1"/>
    </row>
    <row r="47" spans="1:7" x14ac:dyDescent="0.25">
      <c r="A47" s="43" t="s">
        <v>25</v>
      </c>
      <c r="B47" s="44"/>
      <c r="C47" s="44"/>
      <c r="D47" s="25">
        <f>D17+D28+D33+D37-D45</f>
        <v>1074995041.6999998</v>
      </c>
      <c r="G47" s="1"/>
    </row>
    <row r="48" spans="1:7" x14ac:dyDescent="0.25">
      <c r="A48" s="21"/>
      <c r="B48" s="22"/>
      <c r="C48" s="22"/>
      <c r="D48" s="20"/>
      <c r="G48" s="1"/>
    </row>
    <row r="50" spans="1:7" x14ac:dyDescent="0.25">
      <c r="A50" s="40" t="s">
        <v>13</v>
      </c>
      <c r="B50" s="40"/>
      <c r="C50" s="40"/>
      <c r="D50" s="40"/>
      <c r="G50" s="1"/>
    </row>
    <row r="51" spans="1:7" x14ac:dyDescent="0.25">
      <c r="A51" s="41" t="s">
        <v>14</v>
      </c>
      <c r="B51" s="41"/>
      <c r="C51" s="41"/>
      <c r="D51" s="41"/>
      <c r="G51" s="1"/>
    </row>
    <row r="52" spans="1:7" x14ac:dyDescent="0.25">
      <c r="A52" s="42">
        <v>45691</v>
      </c>
      <c r="B52" s="42"/>
      <c r="C52" s="42"/>
      <c r="D52" s="42"/>
      <c r="G52" s="1"/>
    </row>
    <row r="53" spans="1:7" x14ac:dyDescent="0.25">
      <c r="A53" s="13"/>
      <c r="B53" s="13"/>
      <c r="C53" s="13"/>
      <c r="D53" s="13"/>
      <c r="G53" s="1"/>
    </row>
    <row r="54" spans="1:7" x14ac:dyDescent="0.25">
      <c r="A54" s="14"/>
      <c r="B54" s="15"/>
      <c r="C54" s="15"/>
      <c r="D54" s="16"/>
      <c r="F54" s="5" t="s">
        <v>26</v>
      </c>
      <c r="G54" s="1">
        <f>D95-D47</f>
        <v>26536500</v>
      </c>
    </row>
    <row r="55" spans="1:7" x14ac:dyDescent="0.25">
      <c r="A55" s="17"/>
      <c r="D55" s="32" t="s">
        <v>16</v>
      </c>
      <c r="G55" s="1"/>
    </row>
    <row r="56" spans="1:7" x14ac:dyDescent="0.25">
      <c r="A56" s="23" t="s">
        <v>15</v>
      </c>
      <c r="D56" s="18" t="s">
        <v>17</v>
      </c>
      <c r="F56" s="26" t="s">
        <v>27</v>
      </c>
      <c r="G56" s="1"/>
    </row>
    <row r="57" spans="1:7" x14ac:dyDescent="0.25">
      <c r="A57" s="17"/>
      <c r="B57" s="24" t="s">
        <v>18</v>
      </c>
      <c r="D57" s="19"/>
      <c r="F57" s="27" t="s">
        <v>28</v>
      </c>
      <c r="G57" s="1"/>
    </row>
    <row r="58" spans="1:7" x14ac:dyDescent="0.25">
      <c r="A58" s="17"/>
      <c r="C58" s="2" t="s">
        <v>31</v>
      </c>
      <c r="D58" s="19">
        <v>165107030.53</v>
      </c>
      <c r="F58" t="s">
        <v>292</v>
      </c>
      <c r="G58" s="1">
        <v>26110000</v>
      </c>
    </row>
    <row r="59" spans="1:7" x14ac:dyDescent="0.25">
      <c r="A59" s="17"/>
      <c r="C59" s="2" t="s">
        <v>32</v>
      </c>
      <c r="D59" s="19">
        <v>175696200.16999999</v>
      </c>
      <c r="F59" t="s">
        <v>90</v>
      </c>
      <c r="G59" s="1">
        <v>515000</v>
      </c>
    </row>
    <row r="60" spans="1:7" x14ac:dyDescent="0.25">
      <c r="A60" s="17"/>
      <c r="C60" s="2" t="s">
        <v>33</v>
      </c>
      <c r="D60" s="19">
        <v>90091593.400000006</v>
      </c>
      <c r="G60" s="30">
        <f>SUM(G58:G59)</f>
        <v>26625000</v>
      </c>
    </row>
    <row r="61" spans="1:7" x14ac:dyDescent="0.25">
      <c r="A61" s="17"/>
      <c r="C61" s="2" t="s">
        <v>34</v>
      </c>
      <c r="D61" s="19">
        <v>130636961</v>
      </c>
      <c r="F61" s="28" t="s">
        <v>29</v>
      </c>
      <c r="G61" s="1"/>
    </row>
    <row r="62" spans="1:7" x14ac:dyDescent="0.25">
      <c r="A62" s="17"/>
      <c r="C62" s="2" t="s">
        <v>35</v>
      </c>
      <c r="D62" s="19">
        <v>10885100</v>
      </c>
      <c r="F62" t="s">
        <v>161</v>
      </c>
      <c r="G62" s="1">
        <v>2500</v>
      </c>
    </row>
    <row r="63" spans="1:7" x14ac:dyDescent="0.25">
      <c r="A63" s="17"/>
      <c r="C63" s="2" t="s">
        <v>36</v>
      </c>
      <c r="D63" s="19">
        <v>29627286.600000001</v>
      </c>
      <c r="F63" t="s">
        <v>293</v>
      </c>
      <c r="G63" s="1">
        <v>86000</v>
      </c>
    </row>
    <row r="64" spans="1:7" x14ac:dyDescent="0.25">
      <c r="A64" s="17"/>
      <c r="C64" s="2" t="s">
        <v>37</v>
      </c>
      <c r="D64" s="19">
        <v>127225279</v>
      </c>
      <c r="G64" s="30">
        <f>SUM(G62:G63)</f>
        <v>88500</v>
      </c>
    </row>
    <row r="65" spans="1:7" x14ac:dyDescent="0.25">
      <c r="A65" s="17"/>
      <c r="C65" s="2" t="s">
        <v>51</v>
      </c>
      <c r="D65" s="20">
        <v>130317</v>
      </c>
      <c r="G65" s="1"/>
    </row>
    <row r="66" spans="1:7" x14ac:dyDescent="0.25">
      <c r="A66" s="17"/>
      <c r="B66" s="24" t="s">
        <v>19</v>
      </c>
      <c r="D66" s="19">
        <f>SUM(D58:D65)</f>
        <v>729399767.70000005</v>
      </c>
      <c r="F66" s="28" t="s">
        <v>30</v>
      </c>
      <c r="G66" s="29">
        <f>G60-G64</f>
        <v>26536500</v>
      </c>
    </row>
    <row r="67" spans="1:7" x14ac:dyDescent="0.25">
      <c r="A67" s="17"/>
      <c r="D67" s="19"/>
    </row>
    <row r="68" spans="1:7" x14ac:dyDescent="0.25">
      <c r="A68" s="17"/>
      <c r="B68" s="24" t="s">
        <v>20</v>
      </c>
      <c r="D68" s="19"/>
    </row>
    <row r="69" spans="1:7" x14ac:dyDescent="0.25">
      <c r="A69" s="17"/>
      <c r="C69" t="s">
        <v>7</v>
      </c>
      <c r="D69" s="19">
        <v>2650290774</v>
      </c>
    </row>
    <row r="70" spans="1:7" x14ac:dyDescent="0.25">
      <c r="A70" s="17"/>
      <c r="C70" t="s">
        <v>47</v>
      </c>
      <c r="D70" s="19">
        <v>14145000</v>
      </c>
    </row>
    <row r="71" spans="1:7" x14ac:dyDescent="0.25">
      <c r="A71" s="17"/>
      <c r="C71" t="s">
        <v>21</v>
      </c>
      <c r="D71" s="19">
        <v>822179500</v>
      </c>
    </row>
    <row r="72" spans="1:7" x14ac:dyDescent="0.25">
      <c r="A72" s="17"/>
      <c r="C72" t="s">
        <v>45</v>
      </c>
      <c r="D72" s="19">
        <v>25000000</v>
      </c>
    </row>
    <row r="73" spans="1:7" x14ac:dyDescent="0.25">
      <c r="A73" s="17"/>
      <c r="C73" t="s">
        <v>48</v>
      </c>
      <c r="D73" s="19">
        <v>30000000</v>
      </c>
    </row>
    <row r="74" spans="1:7" x14ac:dyDescent="0.25">
      <c r="A74" s="17"/>
      <c r="C74" t="s">
        <v>68</v>
      </c>
      <c r="D74" s="19">
        <v>141000000</v>
      </c>
    </row>
    <row r="75" spans="1:7" x14ac:dyDescent="0.25">
      <c r="A75" s="17"/>
      <c r="C75" t="s">
        <v>68</v>
      </c>
      <c r="D75" s="20">
        <v>145000000</v>
      </c>
    </row>
    <row r="76" spans="1:7" x14ac:dyDescent="0.25">
      <c r="A76" s="17"/>
      <c r="D76" s="19">
        <f>SUM(D69:D75)</f>
        <v>3827615274</v>
      </c>
    </row>
    <row r="77" spans="1:7" x14ac:dyDescent="0.25">
      <c r="A77" s="17"/>
      <c r="D77" s="19"/>
    </row>
    <row r="78" spans="1:7" x14ac:dyDescent="0.25">
      <c r="A78" s="17"/>
      <c r="B78" s="24" t="s">
        <v>46</v>
      </c>
      <c r="D78" s="19"/>
      <c r="G78" s="1"/>
    </row>
    <row r="79" spans="1:7" x14ac:dyDescent="0.25">
      <c r="A79" s="17"/>
      <c r="C79" t="s">
        <v>294</v>
      </c>
      <c r="D79" s="19">
        <v>20485000</v>
      </c>
    </row>
    <row r="80" spans="1:7" x14ac:dyDescent="0.25">
      <c r="A80" s="17"/>
      <c r="C80" t="s">
        <v>266</v>
      </c>
      <c r="D80" s="20">
        <v>3012500</v>
      </c>
    </row>
    <row r="81" spans="1:7" x14ac:dyDescent="0.25">
      <c r="A81" s="17"/>
      <c r="D81" s="19">
        <f>SUM(D79:D80)</f>
        <v>23497500</v>
      </c>
    </row>
    <row r="82" spans="1:7" x14ac:dyDescent="0.25">
      <c r="A82" s="17"/>
      <c r="D82" s="19"/>
    </row>
    <row r="83" spans="1:7" x14ac:dyDescent="0.25">
      <c r="A83" s="17"/>
      <c r="B83" s="24" t="s">
        <v>43</v>
      </c>
      <c r="D83" s="19"/>
    </row>
    <row r="84" spans="1:7" x14ac:dyDescent="0.25">
      <c r="A84" s="17"/>
      <c r="B84" s="24"/>
      <c r="C84" t="s">
        <v>245</v>
      </c>
      <c r="D84" s="20">
        <v>37350000</v>
      </c>
    </row>
    <row r="85" spans="1:7" x14ac:dyDescent="0.25">
      <c r="A85" s="17"/>
      <c r="D85" s="19">
        <f>SUM(D84:D84)</f>
        <v>37350000</v>
      </c>
    </row>
    <row r="86" spans="1:7" x14ac:dyDescent="0.25">
      <c r="A86" s="17"/>
      <c r="D86" s="19"/>
    </row>
    <row r="87" spans="1:7" x14ac:dyDescent="0.25">
      <c r="A87" s="23" t="s">
        <v>22</v>
      </c>
      <c r="D87" s="19"/>
    </row>
    <row r="88" spans="1:7" x14ac:dyDescent="0.25">
      <c r="A88" s="17"/>
      <c r="C88" t="s">
        <v>23</v>
      </c>
      <c r="D88" s="19">
        <v>1307200000</v>
      </c>
    </row>
    <row r="89" spans="1:7" x14ac:dyDescent="0.25">
      <c r="A89" s="17"/>
      <c r="C89" t="s">
        <v>24</v>
      </c>
      <c r="D89" s="19">
        <v>1681181000</v>
      </c>
    </row>
    <row r="90" spans="1:7" x14ac:dyDescent="0.25">
      <c r="A90" s="17"/>
      <c r="C90" t="s">
        <v>44</v>
      </c>
      <c r="D90" s="19">
        <v>206400000</v>
      </c>
    </row>
    <row r="91" spans="1:7" x14ac:dyDescent="0.25">
      <c r="A91" s="17"/>
      <c r="C91" t="s">
        <v>190</v>
      </c>
      <c r="D91" s="19">
        <v>73600000</v>
      </c>
    </row>
    <row r="92" spans="1:7" x14ac:dyDescent="0.25">
      <c r="A92" s="17"/>
      <c r="C92" t="s">
        <v>111</v>
      </c>
      <c r="D92" s="20">
        <v>247950000</v>
      </c>
    </row>
    <row r="93" spans="1:7" x14ac:dyDescent="0.25">
      <c r="A93" s="17"/>
      <c r="D93" s="19">
        <f>SUM(D88:D92)</f>
        <v>3516331000</v>
      </c>
      <c r="G93" s="1"/>
    </row>
    <row r="94" spans="1:7" x14ac:dyDescent="0.25">
      <c r="A94" s="17"/>
      <c r="D94" s="19"/>
      <c r="G94" s="1"/>
    </row>
    <row r="95" spans="1:7" x14ac:dyDescent="0.25">
      <c r="A95" s="43" t="s">
        <v>25</v>
      </c>
      <c r="B95" s="44"/>
      <c r="C95" s="44"/>
      <c r="D95" s="25">
        <f>D66+D76+D81+D85-D93</f>
        <v>1101531541.6999998</v>
      </c>
      <c r="G95" s="1"/>
    </row>
    <row r="96" spans="1:7" x14ac:dyDescent="0.25">
      <c r="A96" s="21"/>
      <c r="B96" s="22"/>
      <c r="C96" s="22"/>
      <c r="D96" s="20"/>
      <c r="G96" s="1"/>
    </row>
    <row r="98" spans="1:7" x14ac:dyDescent="0.25">
      <c r="A98" s="40" t="s">
        <v>13</v>
      </c>
      <c r="B98" s="40"/>
      <c r="C98" s="40"/>
      <c r="D98" s="40"/>
      <c r="G98" s="1"/>
    </row>
    <row r="99" spans="1:7" x14ac:dyDescent="0.25">
      <c r="A99" s="41" t="s">
        <v>14</v>
      </c>
      <c r="B99" s="41"/>
      <c r="C99" s="41"/>
      <c r="D99" s="41"/>
      <c r="G99" s="1"/>
    </row>
    <row r="100" spans="1:7" x14ac:dyDescent="0.25">
      <c r="A100" s="42">
        <v>45692</v>
      </c>
      <c r="B100" s="42"/>
      <c r="C100" s="42"/>
      <c r="D100" s="42"/>
      <c r="G100" s="1"/>
    </row>
    <row r="101" spans="1:7" x14ac:dyDescent="0.25">
      <c r="A101" s="13"/>
      <c r="B101" s="13"/>
      <c r="C101" s="13"/>
      <c r="D101" s="13"/>
      <c r="G101" s="1"/>
    </row>
    <row r="102" spans="1:7" x14ac:dyDescent="0.25">
      <c r="A102" s="14"/>
      <c r="B102" s="15"/>
      <c r="C102" s="15"/>
      <c r="D102" s="16"/>
      <c r="F102" s="5" t="s">
        <v>26</v>
      </c>
      <c r="G102" s="1">
        <f>D141-D95</f>
        <v>-1929375</v>
      </c>
    </row>
    <row r="103" spans="1:7" x14ac:dyDescent="0.25">
      <c r="A103" s="17"/>
      <c r="D103" s="32" t="s">
        <v>16</v>
      </c>
      <c r="G103" s="1"/>
    </row>
    <row r="104" spans="1:7" x14ac:dyDescent="0.25">
      <c r="A104" s="23" t="s">
        <v>15</v>
      </c>
      <c r="D104" s="18" t="s">
        <v>17</v>
      </c>
      <c r="F104" s="26" t="s">
        <v>27</v>
      </c>
      <c r="G104" s="1"/>
    </row>
    <row r="105" spans="1:7" x14ac:dyDescent="0.25">
      <c r="A105" s="17"/>
      <c r="B105" s="24" t="s">
        <v>18</v>
      </c>
      <c r="D105" s="19"/>
      <c r="F105" s="27" t="s">
        <v>28</v>
      </c>
      <c r="G105" s="1"/>
    </row>
    <row r="106" spans="1:7" x14ac:dyDescent="0.25">
      <c r="A106" s="17"/>
      <c r="C106" s="2" t="s">
        <v>31</v>
      </c>
      <c r="D106" s="19">
        <v>166780155.53</v>
      </c>
      <c r="F106" t="s">
        <v>118</v>
      </c>
      <c r="G106" s="1">
        <v>4360000</v>
      </c>
    </row>
    <row r="107" spans="1:7" x14ac:dyDescent="0.25">
      <c r="A107" s="17"/>
      <c r="C107" s="2" t="s">
        <v>32</v>
      </c>
      <c r="D107" s="19">
        <v>181636200.16999999</v>
      </c>
      <c r="F107" t="s">
        <v>90</v>
      </c>
      <c r="G107" s="1">
        <v>362500</v>
      </c>
    </row>
    <row r="108" spans="1:7" x14ac:dyDescent="0.25">
      <c r="A108" s="17"/>
      <c r="C108" s="2" t="s">
        <v>33</v>
      </c>
      <c r="D108" s="19">
        <v>476229093.39999998</v>
      </c>
      <c r="F108" t="s">
        <v>297</v>
      </c>
      <c r="G108" s="1">
        <v>80000</v>
      </c>
    </row>
    <row r="109" spans="1:7" x14ac:dyDescent="0.25">
      <c r="A109" s="17"/>
      <c r="C109" s="2" t="s">
        <v>34</v>
      </c>
      <c r="D109" s="19">
        <v>84336961</v>
      </c>
      <c r="G109" s="30">
        <f>SUM(G106:G108)</f>
        <v>4802500</v>
      </c>
    </row>
    <row r="110" spans="1:7" x14ac:dyDescent="0.25">
      <c r="A110" s="17"/>
      <c r="C110" s="2" t="s">
        <v>35</v>
      </c>
      <c r="D110" s="19">
        <v>10885100</v>
      </c>
      <c r="F110" s="28" t="s">
        <v>29</v>
      </c>
      <c r="G110" s="1"/>
    </row>
    <row r="111" spans="1:7" x14ac:dyDescent="0.25">
      <c r="A111" s="17"/>
      <c r="C111" s="2" t="s">
        <v>36</v>
      </c>
      <c r="D111" s="19">
        <v>29627286.600000001</v>
      </c>
      <c r="F111" t="s">
        <v>161</v>
      </c>
      <c r="G111" s="1">
        <v>2500</v>
      </c>
    </row>
    <row r="112" spans="1:7" x14ac:dyDescent="0.25">
      <c r="A112" s="17"/>
      <c r="C112" s="2" t="s">
        <v>37</v>
      </c>
      <c r="D112" s="19">
        <v>100966779</v>
      </c>
      <c r="F112" t="s">
        <v>49</v>
      </c>
      <c r="G112" s="1">
        <v>2500</v>
      </c>
    </row>
    <row r="113" spans="1:7" x14ac:dyDescent="0.25">
      <c r="A113" s="17"/>
      <c r="C113" s="2" t="s">
        <v>51</v>
      </c>
      <c r="D113" s="20">
        <v>130317</v>
      </c>
      <c r="F113" t="s">
        <v>2</v>
      </c>
      <c r="G113" s="1">
        <v>2250000</v>
      </c>
    </row>
    <row r="114" spans="1:7" x14ac:dyDescent="0.25">
      <c r="A114" s="17"/>
      <c r="B114" s="24" t="s">
        <v>19</v>
      </c>
      <c r="D114" s="19">
        <f>SUM(D106:D113)</f>
        <v>1050591892.6999999</v>
      </c>
      <c r="F114" t="s">
        <v>298</v>
      </c>
      <c r="G114" s="1">
        <v>4476875</v>
      </c>
    </row>
    <row r="115" spans="1:7" x14ac:dyDescent="0.25">
      <c r="A115" s="17"/>
      <c r="D115" s="19"/>
      <c r="G115" s="30">
        <f>SUM(G111:G114)</f>
        <v>6731875</v>
      </c>
    </row>
    <row r="116" spans="1:7" x14ac:dyDescent="0.25">
      <c r="A116" s="17"/>
      <c r="B116" s="24" t="s">
        <v>20</v>
      </c>
      <c r="D116" s="19"/>
      <c r="G116" s="1"/>
    </row>
    <row r="117" spans="1:7" x14ac:dyDescent="0.25">
      <c r="A117" s="17"/>
      <c r="C117" t="s">
        <v>7</v>
      </c>
      <c r="D117" s="19">
        <v>2227580774</v>
      </c>
      <c r="F117" s="28" t="s">
        <v>30</v>
      </c>
      <c r="G117" s="29">
        <f>G109-G115</f>
        <v>-1929375</v>
      </c>
    </row>
    <row r="118" spans="1:7" x14ac:dyDescent="0.25">
      <c r="A118" s="17"/>
      <c r="C118" t="s">
        <v>47</v>
      </c>
      <c r="D118" s="19">
        <v>16400000</v>
      </c>
    </row>
    <row r="119" spans="1:7" x14ac:dyDescent="0.25">
      <c r="A119" s="17"/>
      <c r="C119" t="s">
        <v>21</v>
      </c>
      <c r="D119" s="19">
        <v>736735500</v>
      </c>
    </row>
    <row r="120" spans="1:7" x14ac:dyDescent="0.25">
      <c r="A120" s="17"/>
      <c r="C120" t="s">
        <v>45</v>
      </c>
      <c r="D120" s="19">
        <v>25000000</v>
      </c>
    </row>
    <row r="121" spans="1:7" x14ac:dyDescent="0.25">
      <c r="A121" s="17"/>
      <c r="C121" t="s">
        <v>48</v>
      </c>
      <c r="D121" s="19">
        <v>30000000</v>
      </c>
    </row>
    <row r="122" spans="1:7" x14ac:dyDescent="0.25">
      <c r="A122" s="17"/>
      <c r="C122" t="s">
        <v>68</v>
      </c>
      <c r="D122" s="19">
        <v>141000000</v>
      </c>
    </row>
    <row r="123" spans="1:7" x14ac:dyDescent="0.25">
      <c r="A123" s="17"/>
      <c r="C123" t="s">
        <v>68</v>
      </c>
      <c r="D123" s="20">
        <v>145000000</v>
      </c>
    </row>
    <row r="124" spans="1:7" x14ac:dyDescent="0.25">
      <c r="A124" s="17"/>
      <c r="D124" s="19">
        <f>SUM(D117:D123)</f>
        <v>3321716274</v>
      </c>
    </row>
    <row r="125" spans="1:7" x14ac:dyDescent="0.25">
      <c r="A125" s="17"/>
      <c r="D125" s="19"/>
    </row>
    <row r="126" spans="1:7" x14ac:dyDescent="0.25">
      <c r="A126" s="17"/>
      <c r="B126" s="24" t="s">
        <v>46</v>
      </c>
      <c r="D126" s="19"/>
      <c r="G126" s="1"/>
    </row>
    <row r="127" spans="1:7" x14ac:dyDescent="0.25">
      <c r="A127" s="17"/>
      <c r="C127" t="s">
        <v>296</v>
      </c>
      <c r="D127" s="19">
        <v>13857500</v>
      </c>
    </row>
    <row r="128" spans="1:7" x14ac:dyDescent="0.25">
      <c r="A128" s="17"/>
      <c r="C128" t="s">
        <v>295</v>
      </c>
      <c r="D128" s="20">
        <v>1807500</v>
      </c>
    </row>
    <row r="129" spans="1:7" x14ac:dyDescent="0.25">
      <c r="A129" s="17"/>
      <c r="D129" s="19">
        <f>SUM(D127:D128)</f>
        <v>15665000</v>
      </c>
    </row>
    <row r="130" spans="1:7" x14ac:dyDescent="0.25">
      <c r="A130" s="17"/>
      <c r="D130" s="19"/>
    </row>
    <row r="131" spans="1:7" x14ac:dyDescent="0.25">
      <c r="A131" s="17"/>
      <c r="B131" s="24" t="s">
        <v>43</v>
      </c>
      <c r="D131" s="19"/>
    </row>
    <row r="132" spans="1:7" x14ac:dyDescent="0.25">
      <c r="A132" s="17"/>
      <c r="B132" s="24"/>
      <c r="C132" t="s">
        <v>245</v>
      </c>
      <c r="D132" s="20">
        <v>37350000</v>
      </c>
    </row>
    <row r="133" spans="1:7" x14ac:dyDescent="0.25">
      <c r="A133" s="17"/>
      <c r="D133" s="19">
        <f>SUM(D132:D132)</f>
        <v>37350000</v>
      </c>
    </row>
    <row r="134" spans="1:7" x14ac:dyDescent="0.25">
      <c r="A134" s="17"/>
      <c r="D134" s="19"/>
    </row>
    <row r="135" spans="1:7" x14ac:dyDescent="0.25">
      <c r="A135" s="23" t="s">
        <v>22</v>
      </c>
      <c r="D135" s="19"/>
    </row>
    <row r="136" spans="1:7" x14ac:dyDescent="0.25">
      <c r="A136" s="17"/>
      <c r="C136" t="s">
        <v>23</v>
      </c>
      <c r="D136" s="19">
        <v>1155850000</v>
      </c>
    </row>
    <row r="137" spans="1:7" x14ac:dyDescent="0.25">
      <c r="A137" s="17"/>
      <c r="C137" t="s">
        <v>24</v>
      </c>
      <c r="D137" s="19">
        <v>1768021000</v>
      </c>
    </row>
    <row r="138" spans="1:7" x14ac:dyDescent="0.25">
      <c r="A138" s="17"/>
      <c r="C138" t="s">
        <v>111</v>
      </c>
      <c r="D138" s="20">
        <v>401850000</v>
      </c>
    </row>
    <row r="139" spans="1:7" x14ac:dyDescent="0.25">
      <c r="A139" s="17"/>
      <c r="D139" s="19">
        <f>SUM(D136:D138)</f>
        <v>3325721000</v>
      </c>
      <c r="G139" s="1"/>
    </row>
    <row r="140" spans="1:7" x14ac:dyDescent="0.25">
      <c r="A140" s="17"/>
      <c r="D140" s="19"/>
      <c r="G140" s="1"/>
    </row>
    <row r="141" spans="1:7" x14ac:dyDescent="0.25">
      <c r="A141" s="43" t="s">
        <v>25</v>
      </c>
      <c r="B141" s="44"/>
      <c r="C141" s="44"/>
      <c r="D141" s="25">
        <f>D114+D124+D129+D133-D139</f>
        <v>1099602166.6999998</v>
      </c>
      <c r="G141" s="1"/>
    </row>
    <row r="142" spans="1:7" x14ac:dyDescent="0.25">
      <c r="A142" s="21"/>
      <c r="B142" s="22"/>
      <c r="C142" s="22"/>
      <c r="D142" s="20"/>
      <c r="G142" s="1"/>
    </row>
    <row r="144" spans="1:7" x14ac:dyDescent="0.25">
      <c r="A144" s="40" t="s">
        <v>13</v>
      </c>
      <c r="B144" s="40"/>
      <c r="C144" s="40"/>
      <c r="D144" s="40"/>
      <c r="G144" s="1"/>
    </row>
    <row r="145" spans="1:7" x14ac:dyDescent="0.25">
      <c r="A145" s="41" t="s">
        <v>14</v>
      </c>
      <c r="B145" s="41"/>
      <c r="C145" s="41"/>
      <c r="D145" s="41"/>
      <c r="G145" s="1"/>
    </row>
    <row r="146" spans="1:7" x14ac:dyDescent="0.25">
      <c r="A146" s="42">
        <v>45693</v>
      </c>
      <c r="B146" s="42"/>
      <c r="C146" s="42"/>
      <c r="D146" s="42"/>
      <c r="G146" s="1"/>
    </row>
    <row r="147" spans="1:7" x14ac:dyDescent="0.25">
      <c r="A147" s="13"/>
      <c r="B147" s="13"/>
      <c r="C147" s="13"/>
      <c r="D147" s="13"/>
      <c r="G147" s="1"/>
    </row>
    <row r="148" spans="1:7" x14ac:dyDescent="0.25">
      <c r="A148" s="14"/>
      <c r="B148" s="15"/>
      <c r="C148" s="15"/>
      <c r="D148" s="16"/>
      <c r="F148" s="5" t="s">
        <v>26</v>
      </c>
      <c r="G148" s="1">
        <f>D188-D141</f>
        <v>1916000</v>
      </c>
    </row>
    <row r="149" spans="1:7" x14ac:dyDescent="0.25">
      <c r="A149" s="17"/>
      <c r="D149" s="32" t="s">
        <v>16</v>
      </c>
      <c r="G149" s="1"/>
    </row>
    <row r="150" spans="1:7" x14ac:dyDescent="0.25">
      <c r="A150" s="23" t="s">
        <v>15</v>
      </c>
      <c r="D150" s="18" t="s">
        <v>17</v>
      </c>
      <c r="F150" s="26" t="s">
        <v>27</v>
      </c>
      <c r="G150" s="1"/>
    </row>
    <row r="151" spans="1:7" x14ac:dyDescent="0.25">
      <c r="A151" s="17"/>
      <c r="B151" s="24" t="s">
        <v>18</v>
      </c>
      <c r="D151" s="19"/>
      <c r="F151" s="27" t="s">
        <v>28</v>
      </c>
      <c r="G151" s="1"/>
    </row>
    <row r="152" spans="1:7" x14ac:dyDescent="0.25">
      <c r="A152" s="17"/>
      <c r="C152" s="2" t="s">
        <v>31</v>
      </c>
      <c r="D152" s="19">
        <v>-65069844.469999999</v>
      </c>
      <c r="F152" t="s">
        <v>299</v>
      </c>
      <c r="G152" s="1">
        <v>13616000</v>
      </c>
    </row>
    <row r="153" spans="1:7" x14ac:dyDescent="0.25">
      <c r="A153" s="17"/>
      <c r="C153" s="2" t="s">
        <v>32</v>
      </c>
      <c r="D153" s="19">
        <v>191051200.16999999</v>
      </c>
      <c r="G153" s="30">
        <f>SUM(G152:G152)</f>
        <v>13616000</v>
      </c>
    </row>
    <row r="154" spans="1:7" x14ac:dyDescent="0.25">
      <c r="A154" s="17"/>
      <c r="C154" s="2" t="s">
        <v>33</v>
      </c>
      <c r="D154" s="19">
        <v>100114093.40000001</v>
      </c>
      <c r="F154" s="28" t="s">
        <v>29</v>
      </c>
      <c r="G154" s="1"/>
    </row>
    <row r="155" spans="1:7" x14ac:dyDescent="0.25">
      <c r="A155" s="17"/>
      <c r="C155" s="2" t="s">
        <v>34</v>
      </c>
      <c r="D155" s="19">
        <v>25286961</v>
      </c>
      <c r="F155" t="s">
        <v>298</v>
      </c>
      <c r="G155" s="1">
        <v>11700000</v>
      </c>
    </row>
    <row r="156" spans="1:7" x14ac:dyDescent="0.25">
      <c r="A156" s="17"/>
      <c r="C156" s="2" t="s">
        <v>35</v>
      </c>
      <c r="D156" s="19">
        <v>10885100</v>
      </c>
      <c r="G156" s="30">
        <f>SUM(G155:G155)</f>
        <v>11700000</v>
      </c>
    </row>
    <row r="157" spans="1:7" x14ac:dyDescent="0.25">
      <c r="A157" s="17"/>
      <c r="C157" s="2" t="s">
        <v>36</v>
      </c>
      <c r="D157" s="19">
        <v>29627286.600000001</v>
      </c>
      <c r="G157" s="1"/>
    </row>
    <row r="158" spans="1:7" x14ac:dyDescent="0.25">
      <c r="A158" s="17"/>
      <c r="C158" s="2" t="s">
        <v>37</v>
      </c>
      <c r="D158" s="19">
        <v>241245779</v>
      </c>
      <c r="F158" s="28" t="s">
        <v>30</v>
      </c>
      <c r="G158" s="29">
        <f>G153-G156</f>
        <v>1916000</v>
      </c>
    </row>
    <row r="159" spans="1:7" x14ac:dyDescent="0.25">
      <c r="A159" s="17"/>
      <c r="C159" s="2" t="s">
        <v>51</v>
      </c>
      <c r="D159" s="20">
        <v>130317</v>
      </c>
    </row>
    <row r="160" spans="1:7" x14ac:dyDescent="0.25">
      <c r="A160" s="17"/>
      <c r="B160" s="24" t="s">
        <v>19</v>
      </c>
      <c r="D160" s="19">
        <f>SUM(D152:D159)</f>
        <v>533270892.69999999</v>
      </c>
    </row>
    <row r="161" spans="1:7" x14ac:dyDescent="0.25">
      <c r="A161" s="17"/>
      <c r="D161" s="19"/>
    </row>
    <row r="162" spans="1:7" x14ac:dyDescent="0.25">
      <c r="A162" s="17"/>
      <c r="B162" s="24" t="s">
        <v>20</v>
      </c>
      <c r="D162" s="19"/>
    </row>
    <row r="163" spans="1:7" x14ac:dyDescent="0.25">
      <c r="A163" s="17"/>
      <c r="C163" t="s">
        <v>7</v>
      </c>
      <c r="D163" s="19">
        <v>2734830774</v>
      </c>
    </row>
    <row r="164" spans="1:7" x14ac:dyDescent="0.25">
      <c r="A164" s="17"/>
      <c r="C164" t="s">
        <v>47</v>
      </c>
      <c r="D164" s="19">
        <v>6985000</v>
      </c>
    </row>
    <row r="165" spans="1:7" x14ac:dyDescent="0.25">
      <c r="A165" s="17"/>
      <c r="C165" t="s">
        <v>21</v>
      </c>
      <c r="D165" s="19">
        <v>709221500</v>
      </c>
    </row>
    <row r="166" spans="1:7" x14ac:dyDescent="0.25">
      <c r="A166" s="17"/>
      <c r="C166" t="s">
        <v>45</v>
      </c>
      <c r="D166" s="19">
        <v>25000000</v>
      </c>
    </row>
    <row r="167" spans="1:7" x14ac:dyDescent="0.25">
      <c r="A167" s="17"/>
      <c r="C167" t="s">
        <v>48</v>
      </c>
      <c r="D167" s="19">
        <v>30000000</v>
      </c>
    </row>
    <row r="168" spans="1:7" x14ac:dyDescent="0.25">
      <c r="A168" s="17"/>
      <c r="C168" t="s">
        <v>68</v>
      </c>
      <c r="D168" s="19">
        <v>141000000</v>
      </c>
    </row>
    <row r="169" spans="1:7" x14ac:dyDescent="0.25">
      <c r="A169" s="17"/>
      <c r="C169" t="s">
        <v>68</v>
      </c>
      <c r="D169" s="20">
        <v>145000000</v>
      </c>
    </row>
    <row r="170" spans="1:7" x14ac:dyDescent="0.25">
      <c r="A170" s="17"/>
      <c r="D170" s="19">
        <f>SUM(D163:D169)</f>
        <v>3792037274</v>
      </c>
    </row>
    <row r="171" spans="1:7" x14ac:dyDescent="0.25">
      <c r="A171" s="17"/>
      <c r="D171" s="19"/>
    </row>
    <row r="172" spans="1:7" x14ac:dyDescent="0.25">
      <c r="A172" s="17"/>
      <c r="B172" s="24" t="s">
        <v>46</v>
      </c>
      <c r="D172" s="19"/>
      <c r="G172" s="1"/>
    </row>
    <row r="173" spans="1:7" x14ac:dyDescent="0.25">
      <c r="A173" s="17"/>
      <c r="C173" t="s">
        <v>296</v>
      </c>
      <c r="D173" s="19">
        <v>13857500</v>
      </c>
    </row>
    <row r="174" spans="1:7" x14ac:dyDescent="0.25">
      <c r="A174" s="17"/>
      <c r="C174" t="s">
        <v>295</v>
      </c>
      <c r="D174" s="20">
        <v>1807500</v>
      </c>
    </row>
    <row r="175" spans="1:7" x14ac:dyDescent="0.25">
      <c r="A175" s="17"/>
      <c r="D175" s="19">
        <f>SUM(D173:D174)</f>
        <v>15665000</v>
      </c>
    </row>
    <row r="176" spans="1:7" x14ac:dyDescent="0.25">
      <c r="A176" s="17"/>
      <c r="D176" s="19"/>
    </row>
    <row r="177" spans="1:7" x14ac:dyDescent="0.25">
      <c r="A177" s="17"/>
      <c r="B177" s="24" t="s">
        <v>43</v>
      </c>
      <c r="D177" s="19"/>
    </row>
    <row r="178" spans="1:7" x14ac:dyDescent="0.25">
      <c r="A178" s="17"/>
      <c r="B178" s="24"/>
      <c r="C178" t="s">
        <v>245</v>
      </c>
      <c r="D178" s="20">
        <v>37350000</v>
      </c>
    </row>
    <row r="179" spans="1:7" x14ac:dyDescent="0.25">
      <c r="A179" s="17"/>
      <c r="D179" s="19">
        <f>SUM(D178:D178)</f>
        <v>37350000</v>
      </c>
    </row>
    <row r="180" spans="1:7" x14ac:dyDescent="0.25">
      <c r="A180" s="17"/>
      <c r="D180" s="19"/>
    </row>
    <row r="181" spans="1:7" x14ac:dyDescent="0.25">
      <c r="A181" s="23" t="s">
        <v>22</v>
      </c>
      <c r="D181" s="19"/>
    </row>
    <row r="182" spans="1:7" x14ac:dyDescent="0.25">
      <c r="A182" s="17"/>
      <c r="C182" t="s">
        <v>23</v>
      </c>
      <c r="D182" s="19">
        <v>949150000</v>
      </c>
    </row>
    <row r="183" spans="1:7" x14ac:dyDescent="0.25">
      <c r="A183" s="17"/>
      <c r="C183" t="s">
        <v>24</v>
      </c>
      <c r="D183" s="19">
        <v>1841835000</v>
      </c>
    </row>
    <row r="184" spans="1:7" x14ac:dyDescent="0.25">
      <c r="A184" s="17"/>
      <c r="C184" t="s">
        <v>300</v>
      </c>
      <c r="D184" s="19">
        <v>75420000</v>
      </c>
    </row>
    <row r="185" spans="1:7" x14ac:dyDescent="0.25">
      <c r="A185" s="17"/>
      <c r="C185" t="s">
        <v>111</v>
      </c>
      <c r="D185" s="20">
        <v>410400000</v>
      </c>
    </row>
    <row r="186" spans="1:7" x14ac:dyDescent="0.25">
      <c r="A186" s="17"/>
      <c r="D186" s="19">
        <f>SUM(D182:D185)</f>
        <v>3276805000</v>
      </c>
      <c r="G186" s="1"/>
    </row>
    <row r="187" spans="1:7" x14ac:dyDescent="0.25">
      <c r="A187" s="17"/>
      <c r="D187" s="19"/>
      <c r="G187" s="1"/>
    </row>
    <row r="188" spans="1:7" x14ac:dyDescent="0.25">
      <c r="A188" s="43" t="s">
        <v>25</v>
      </c>
      <c r="B188" s="44"/>
      <c r="C188" s="44"/>
      <c r="D188" s="25">
        <f>D160+D170+D175+D179-D186</f>
        <v>1101518166.6999998</v>
      </c>
      <c r="G188" s="1"/>
    </row>
    <row r="189" spans="1:7" x14ac:dyDescent="0.25">
      <c r="A189" s="21"/>
      <c r="B189" s="22"/>
      <c r="C189" s="22"/>
      <c r="D189" s="20"/>
      <c r="G189" s="1"/>
    </row>
    <row r="191" spans="1:7" x14ac:dyDescent="0.25">
      <c r="A191" s="40" t="s">
        <v>13</v>
      </c>
      <c r="B191" s="40"/>
      <c r="C191" s="40"/>
      <c r="D191" s="40"/>
      <c r="G191" s="1"/>
    </row>
    <row r="192" spans="1:7" x14ac:dyDescent="0.25">
      <c r="A192" s="41" t="s">
        <v>14</v>
      </c>
      <c r="B192" s="41"/>
      <c r="C192" s="41"/>
      <c r="D192" s="41"/>
      <c r="G192" s="1"/>
    </row>
    <row r="193" spans="1:7" x14ac:dyDescent="0.25">
      <c r="A193" s="42">
        <v>45694</v>
      </c>
      <c r="B193" s="42"/>
      <c r="C193" s="42"/>
      <c r="D193" s="42"/>
      <c r="G193" s="1"/>
    </row>
    <row r="194" spans="1:7" x14ac:dyDescent="0.25">
      <c r="A194" s="13"/>
      <c r="B194" s="13"/>
      <c r="C194" s="13"/>
      <c r="D194" s="13"/>
      <c r="G194" s="1"/>
    </row>
    <row r="195" spans="1:7" x14ac:dyDescent="0.25">
      <c r="A195" s="14"/>
      <c r="B195" s="15"/>
      <c r="C195" s="15"/>
      <c r="D195" s="16"/>
      <c r="F195" s="5" t="s">
        <v>26</v>
      </c>
      <c r="G195" s="1">
        <f>D232-D188</f>
        <v>14829500</v>
      </c>
    </row>
    <row r="196" spans="1:7" x14ac:dyDescent="0.25">
      <c r="A196" s="17"/>
      <c r="D196" s="32" t="s">
        <v>16</v>
      </c>
      <c r="G196" s="1"/>
    </row>
    <row r="197" spans="1:7" x14ac:dyDescent="0.25">
      <c r="A197" s="23" t="s">
        <v>15</v>
      </c>
      <c r="D197" s="18" t="s">
        <v>17</v>
      </c>
      <c r="F197" s="26" t="s">
        <v>27</v>
      </c>
      <c r="G197" s="1"/>
    </row>
    <row r="198" spans="1:7" x14ac:dyDescent="0.25">
      <c r="A198" s="17"/>
      <c r="B198" s="24" t="s">
        <v>18</v>
      </c>
      <c r="D198" s="19"/>
      <c r="F198" s="27" t="s">
        <v>28</v>
      </c>
      <c r="G198" s="1"/>
    </row>
    <row r="199" spans="1:7" x14ac:dyDescent="0.25">
      <c r="A199" s="17"/>
      <c r="C199" s="2" t="s">
        <v>31</v>
      </c>
      <c r="D199" s="19">
        <v>105780155.53</v>
      </c>
      <c r="F199" t="s">
        <v>124</v>
      </c>
      <c r="G199" s="1">
        <v>17533000</v>
      </c>
    </row>
    <row r="200" spans="1:7" x14ac:dyDescent="0.25">
      <c r="A200" s="17"/>
      <c r="C200" s="2" t="s">
        <v>32</v>
      </c>
      <c r="D200" s="19">
        <v>194176200.16999999</v>
      </c>
      <c r="G200" s="30">
        <f>SUM(G199:G199)</f>
        <v>17533000</v>
      </c>
    </row>
    <row r="201" spans="1:7" x14ac:dyDescent="0.25">
      <c r="A201" s="17"/>
      <c r="C201" s="2" t="s">
        <v>33</v>
      </c>
      <c r="D201" s="19">
        <v>419212093.39999998</v>
      </c>
      <c r="F201" s="28" t="s">
        <v>29</v>
      </c>
      <c r="G201" s="1"/>
    </row>
    <row r="202" spans="1:7" x14ac:dyDescent="0.25">
      <c r="A202" s="17"/>
      <c r="C202" s="2" t="s">
        <v>34</v>
      </c>
      <c r="D202" s="19">
        <v>105836961</v>
      </c>
      <c r="F202" t="s">
        <v>161</v>
      </c>
      <c r="G202" s="1">
        <v>2500</v>
      </c>
    </row>
    <row r="203" spans="1:7" x14ac:dyDescent="0.25">
      <c r="A203" s="17"/>
      <c r="C203" s="2" t="s">
        <v>35</v>
      </c>
      <c r="D203" s="19">
        <v>10883600</v>
      </c>
      <c r="F203" t="s">
        <v>104</v>
      </c>
      <c r="G203" s="1">
        <v>2250000</v>
      </c>
    </row>
    <row r="204" spans="1:7" x14ac:dyDescent="0.25">
      <c r="A204" s="17"/>
      <c r="C204" s="2" t="s">
        <v>36</v>
      </c>
      <c r="D204" s="19">
        <v>124786.6</v>
      </c>
      <c r="F204" t="s">
        <v>122</v>
      </c>
      <c r="G204" s="1">
        <v>447000</v>
      </c>
    </row>
    <row r="205" spans="1:7" x14ac:dyDescent="0.25">
      <c r="A205" s="17"/>
      <c r="C205" s="2" t="s">
        <v>37</v>
      </c>
      <c r="D205" s="19">
        <v>65760279</v>
      </c>
      <c r="F205" t="s">
        <v>230</v>
      </c>
      <c r="G205" s="1">
        <v>2500</v>
      </c>
    </row>
    <row r="206" spans="1:7" x14ac:dyDescent="0.25">
      <c r="A206" s="17"/>
      <c r="C206" s="2" t="s">
        <v>51</v>
      </c>
      <c r="D206" s="20">
        <v>130317</v>
      </c>
      <c r="F206" t="s">
        <v>302</v>
      </c>
      <c r="G206" s="1">
        <v>1500</v>
      </c>
    </row>
    <row r="207" spans="1:7" x14ac:dyDescent="0.25">
      <c r="A207" s="17"/>
      <c r="B207" s="24" t="s">
        <v>19</v>
      </c>
      <c r="D207" s="19">
        <f>SUM(D199:D206)</f>
        <v>901904392.69999993</v>
      </c>
      <c r="G207" s="30">
        <f>SUM(G202:G206)</f>
        <v>2703500</v>
      </c>
    </row>
    <row r="208" spans="1:7" x14ac:dyDescent="0.25">
      <c r="A208" s="17"/>
      <c r="D208" s="19"/>
      <c r="G208" s="1"/>
    </row>
    <row r="209" spans="1:7" x14ac:dyDescent="0.25">
      <c r="A209" s="17"/>
      <c r="B209" s="24" t="s">
        <v>20</v>
      </c>
      <c r="D209" s="19"/>
      <c r="F209" s="28" t="s">
        <v>30</v>
      </c>
      <c r="G209" s="29">
        <f>G200-G207</f>
        <v>14829500</v>
      </c>
    </row>
    <row r="210" spans="1:7" x14ac:dyDescent="0.25">
      <c r="A210" s="17"/>
      <c r="C210" t="s">
        <v>7</v>
      </c>
      <c r="D210" s="19">
        <v>2505734774</v>
      </c>
    </row>
    <row r="211" spans="1:7" x14ac:dyDescent="0.25">
      <c r="A211" s="17"/>
      <c r="C211" t="s">
        <v>47</v>
      </c>
      <c r="D211" s="19">
        <v>3860000</v>
      </c>
    </row>
    <row r="212" spans="1:7" x14ac:dyDescent="0.25">
      <c r="A212" s="17"/>
      <c r="C212" t="s">
        <v>21</v>
      </c>
      <c r="D212" s="19">
        <v>671554500</v>
      </c>
    </row>
    <row r="213" spans="1:7" x14ac:dyDescent="0.25">
      <c r="A213" s="17"/>
      <c r="C213" t="s">
        <v>45</v>
      </c>
      <c r="D213" s="19">
        <v>25000000</v>
      </c>
    </row>
    <row r="214" spans="1:7" x14ac:dyDescent="0.25">
      <c r="A214" s="17"/>
      <c r="C214" t="s">
        <v>48</v>
      </c>
      <c r="D214" s="19">
        <v>30000000</v>
      </c>
    </row>
    <row r="215" spans="1:7" x14ac:dyDescent="0.25">
      <c r="A215" s="17"/>
      <c r="C215" t="s">
        <v>68</v>
      </c>
      <c r="D215" s="19">
        <v>141000000</v>
      </c>
    </row>
    <row r="216" spans="1:7" x14ac:dyDescent="0.25">
      <c r="A216" s="17"/>
      <c r="C216" t="s">
        <v>68</v>
      </c>
      <c r="D216" s="20">
        <v>145000000</v>
      </c>
    </row>
    <row r="217" spans="1:7" x14ac:dyDescent="0.25">
      <c r="A217" s="17"/>
      <c r="D217" s="19">
        <f>SUM(D210:D216)</f>
        <v>3522149274</v>
      </c>
    </row>
    <row r="218" spans="1:7" x14ac:dyDescent="0.25">
      <c r="A218" s="17"/>
      <c r="D218" s="19"/>
    </row>
    <row r="219" spans="1:7" x14ac:dyDescent="0.25">
      <c r="A219" s="17"/>
      <c r="B219" s="24" t="s">
        <v>46</v>
      </c>
      <c r="D219" s="19"/>
      <c r="G219" s="1"/>
    </row>
    <row r="220" spans="1:7" x14ac:dyDescent="0.25">
      <c r="A220" s="17"/>
      <c r="C220" t="s">
        <v>296</v>
      </c>
      <c r="D220" s="19">
        <v>13857500</v>
      </c>
    </row>
    <row r="221" spans="1:7" x14ac:dyDescent="0.25">
      <c r="A221" s="17"/>
      <c r="C221" t="s">
        <v>295</v>
      </c>
      <c r="D221" s="20">
        <v>1807500</v>
      </c>
    </row>
    <row r="222" spans="1:7" x14ac:dyDescent="0.25">
      <c r="A222" s="17"/>
      <c r="D222" s="19">
        <f>SUM(D220:D221)</f>
        <v>15665000</v>
      </c>
    </row>
    <row r="223" spans="1:7" x14ac:dyDescent="0.25">
      <c r="A223" s="17"/>
      <c r="D223" s="19"/>
    </row>
    <row r="224" spans="1:7" x14ac:dyDescent="0.25">
      <c r="A224" s="23" t="s">
        <v>22</v>
      </c>
      <c r="D224" s="19"/>
    </row>
    <row r="225" spans="1:7" x14ac:dyDescent="0.25">
      <c r="A225" s="17"/>
      <c r="C225" t="s">
        <v>23</v>
      </c>
      <c r="D225" s="19">
        <v>949150000</v>
      </c>
    </row>
    <row r="226" spans="1:7" x14ac:dyDescent="0.25">
      <c r="A226" s="17"/>
      <c r="C226" t="s">
        <v>24</v>
      </c>
      <c r="D226" s="19">
        <v>1772751000</v>
      </c>
    </row>
    <row r="227" spans="1:7" x14ac:dyDescent="0.25">
      <c r="A227" s="17"/>
      <c r="C227" t="s">
        <v>300</v>
      </c>
      <c r="D227" s="19">
        <v>75420000</v>
      </c>
    </row>
    <row r="228" spans="1:7" x14ac:dyDescent="0.25">
      <c r="A228" s="17"/>
      <c r="C228" t="s">
        <v>44</v>
      </c>
      <c r="D228" s="19">
        <v>38700000</v>
      </c>
    </row>
    <row r="229" spans="1:7" x14ac:dyDescent="0.25">
      <c r="A229" s="17"/>
      <c r="C229" t="s">
        <v>111</v>
      </c>
      <c r="D229" s="20">
        <v>487350000</v>
      </c>
    </row>
    <row r="230" spans="1:7" x14ac:dyDescent="0.25">
      <c r="A230" s="17"/>
      <c r="D230" s="19">
        <f>SUM(D225:D229)</f>
        <v>3323371000</v>
      </c>
      <c r="G230" s="1"/>
    </row>
    <row r="231" spans="1:7" x14ac:dyDescent="0.25">
      <c r="A231" s="17"/>
      <c r="D231" s="19"/>
      <c r="G231" s="1"/>
    </row>
    <row r="232" spans="1:7" x14ac:dyDescent="0.25">
      <c r="A232" s="43" t="s">
        <v>25</v>
      </c>
      <c r="B232" s="44"/>
      <c r="C232" s="44"/>
      <c r="D232" s="25">
        <f>D207+D217+D222-D230</f>
        <v>1116347666.6999998</v>
      </c>
      <c r="G232" s="1"/>
    </row>
    <row r="233" spans="1:7" x14ac:dyDescent="0.25">
      <c r="A233" s="21"/>
      <c r="B233" s="22"/>
      <c r="C233" s="22"/>
      <c r="D233" s="20"/>
      <c r="G233" s="1"/>
    </row>
    <row r="235" spans="1:7" x14ac:dyDescent="0.25">
      <c r="A235" s="40" t="s">
        <v>13</v>
      </c>
      <c r="B235" s="40"/>
      <c r="C235" s="40"/>
      <c r="D235" s="40"/>
      <c r="G235" s="1"/>
    </row>
    <row r="236" spans="1:7" x14ac:dyDescent="0.25">
      <c r="A236" s="41" t="s">
        <v>14</v>
      </c>
      <c r="B236" s="41"/>
      <c r="C236" s="41"/>
      <c r="D236" s="41"/>
      <c r="G236" s="1"/>
    </row>
    <row r="237" spans="1:7" x14ac:dyDescent="0.25">
      <c r="A237" s="42">
        <v>45695</v>
      </c>
      <c r="B237" s="42"/>
      <c r="C237" s="42"/>
      <c r="D237" s="42"/>
      <c r="G237" s="1"/>
    </row>
    <row r="238" spans="1:7" x14ac:dyDescent="0.25">
      <c r="A238" s="13"/>
      <c r="B238" s="13"/>
      <c r="C238" s="13"/>
      <c r="D238" s="13"/>
      <c r="G238" s="1"/>
    </row>
    <row r="239" spans="1:7" x14ac:dyDescent="0.25">
      <c r="A239" s="14"/>
      <c r="B239" s="15"/>
      <c r="C239" s="15"/>
      <c r="D239" s="16"/>
      <c r="F239" s="5" t="s">
        <v>26</v>
      </c>
      <c r="G239" s="1">
        <f>D275-D232</f>
        <v>5720000</v>
      </c>
    </row>
    <row r="240" spans="1:7" x14ac:dyDescent="0.25">
      <c r="A240" s="17"/>
      <c r="D240" s="32" t="s">
        <v>16</v>
      </c>
      <c r="G240" s="1"/>
    </row>
    <row r="241" spans="1:7" x14ac:dyDescent="0.25">
      <c r="A241" s="23" t="s">
        <v>15</v>
      </c>
      <c r="D241" s="18" t="s">
        <v>17</v>
      </c>
      <c r="F241" s="26" t="s">
        <v>27</v>
      </c>
      <c r="G241" s="1"/>
    </row>
    <row r="242" spans="1:7" x14ac:dyDescent="0.25">
      <c r="A242" s="17"/>
      <c r="B242" s="24" t="s">
        <v>18</v>
      </c>
      <c r="D242" s="19"/>
      <c r="F242" s="27" t="s">
        <v>28</v>
      </c>
      <c r="G242" s="1"/>
    </row>
    <row r="243" spans="1:7" x14ac:dyDescent="0.25">
      <c r="A243" s="17"/>
      <c r="C243" s="2" t="s">
        <v>31</v>
      </c>
      <c r="D243" s="19">
        <v>210350155.53</v>
      </c>
      <c r="F243" t="s">
        <v>303</v>
      </c>
      <c r="G243" s="1">
        <v>10655000</v>
      </c>
    </row>
    <row r="244" spans="1:7" x14ac:dyDescent="0.25">
      <c r="A244" s="17"/>
      <c r="C244" s="2" t="s">
        <v>32</v>
      </c>
      <c r="D244" s="19">
        <v>197386200.16999999</v>
      </c>
      <c r="F244" t="s">
        <v>90</v>
      </c>
      <c r="G244" s="1">
        <v>197500</v>
      </c>
    </row>
    <row r="245" spans="1:7" x14ac:dyDescent="0.25">
      <c r="A245" s="17"/>
      <c r="C245" s="2" t="s">
        <v>33</v>
      </c>
      <c r="D245" s="19">
        <v>256931093.40000001</v>
      </c>
      <c r="G245" s="30">
        <f>SUM(G243:G244)</f>
        <v>10852500</v>
      </c>
    </row>
    <row r="246" spans="1:7" x14ac:dyDescent="0.25">
      <c r="A246" s="17"/>
      <c r="C246" s="2" t="s">
        <v>34</v>
      </c>
      <c r="D246" s="19">
        <v>60436961</v>
      </c>
      <c r="F246" s="28" t="s">
        <v>29</v>
      </c>
      <c r="G246" s="1"/>
    </row>
    <row r="247" spans="1:7" x14ac:dyDescent="0.25">
      <c r="A247" s="17"/>
      <c r="C247" s="2" t="s">
        <v>35</v>
      </c>
      <c r="D247" s="19">
        <v>10883600</v>
      </c>
      <c r="F247" t="s">
        <v>161</v>
      </c>
      <c r="G247" s="1">
        <v>2500</v>
      </c>
    </row>
    <row r="248" spans="1:7" x14ac:dyDescent="0.25">
      <c r="A248" s="17"/>
      <c r="C248" s="2" t="s">
        <v>36</v>
      </c>
      <c r="D248" s="19">
        <v>124786.6</v>
      </c>
      <c r="F248" t="s">
        <v>298</v>
      </c>
      <c r="G248" s="1">
        <v>5130000</v>
      </c>
    </row>
    <row r="249" spans="1:7" x14ac:dyDescent="0.25">
      <c r="A249" s="17"/>
      <c r="C249" s="2" t="s">
        <v>37</v>
      </c>
      <c r="D249" s="19">
        <v>-11795221</v>
      </c>
      <c r="G249" s="30">
        <f>SUM(G247:G248)</f>
        <v>5132500</v>
      </c>
    </row>
    <row r="250" spans="1:7" x14ac:dyDescent="0.25">
      <c r="A250" s="17"/>
      <c r="C250" s="2" t="s">
        <v>51</v>
      </c>
      <c r="D250" s="20">
        <v>130317</v>
      </c>
      <c r="G250" s="1"/>
    </row>
    <row r="251" spans="1:7" x14ac:dyDescent="0.25">
      <c r="A251" s="17"/>
      <c r="B251" s="24" t="s">
        <v>19</v>
      </c>
      <c r="D251" s="19">
        <f>SUM(D243:D250)</f>
        <v>724447892.70000005</v>
      </c>
      <c r="F251" s="28" t="s">
        <v>30</v>
      </c>
      <c r="G251" s="29">
        <f>G245-G249</f>
        <v>5720000</v>
      </c>
    </row>
    <row r="252" spans="1:7" x14ac:dyDescent="0.25">
      <c r="A252" s="17"/>
      <c r="D252" s="19"/>
    </row>
    <row r="253" spans="1:7" x14ac:dyDescent="0.25">
      <c r="A253" s="17"/>
      <c r="B253" s="24" t="s">
        <v>20</v>
      </c>
      <c r="D253" s="19"/>
    </row>
    <row r="254" spans="1:7" x14ac:dyDescent="0.25">
      <c r="A254" s="17"/>
      <c r="C254" t="s">
        <v>7</v>
      </c>
      <c r="D254" s="19">
        <v>2524414774</v>
      </c>
    </row>
    <row r="255" spans="1:7" x14ac:dyDescent="0.25">
      <c r="A255" s="17"/>
      <c r="C255" t="s">
        <v>47</v>
      </c>
      <c r="D255" s="19">
        <v>3860000</v>
      </c>
    </row>
    <row r="256" spans="1:7" x14ac:dyDescent="0.25">
      <c r="A256" s="17"/>
      <c r="C256" t="s">
        <v>21</v>
      </c>
      <c r="D256" s="19">
        <v>606907500</v>
      </c>
    </row>
    <row r="257" spans="1:7" x14ac:dyDescent="0.25">
      <c r="A257" s="17"/>
      <c r="C257" t="s">
        <v>45</v>
      </c>
      <c r="D257" s="19">
        <v>25000000</v>
      </c>
    </row>
    <row r="258" spans="1:7" x14ac:dyDescent="0.25">
      <c r="A258" s="17"/>
      <c r="C258" t="s">
        <v>48</v>
      </c>
      <c r="D258" s="19">
        <v>30000000</v>
      </c>
    </row>
    <row r="259" spans="1:7" x14ac:dyDescent="0.25">
      <c r="A259" s="17"/>
      <c r="C259" t="s">
        <v>68</v>
      </c>
      <c r="D259" s="19">
        <v>141000000</v>
      </c>
    </row>
    <row r="260" spans="1:7" x14ac:dyDescent="0.25">
      <c r="A260" s="17"/>
      <c r="C260" t="s">
        <v>68</v>
      </c>
      <c r="D260" s="20">
        <v>145000000</v>
      </c>
    </row>
    <row r="261" spans="1:7" x14ac:dyDescent="0.25">
      <c r="A261" s="17"/>
      <c r="D261" s="19">
        <f>SUM(D254:D260)</f>
        <v>3476182274</v>
      </c>
    </row>
    <row r="262" spans="1:7" x14ac:dyDescent="0.25">
      <c r="A262" s="17"/>
      <c r="D262" s="19"/>
    </row>
    <row r="263" spans="1:7" x14ac:dyDescent="0.25">
      <c r="A263" s="17"/>
      <c r="B263" s="24" t="s">
        <v>46</v>
      </c>
      <c r="D263" s="19"/>
      <c r="G263" s="1"/>
    </row>
    <row r="264" spans="1:7" x14ac:dyDescent="0.25">
      <c r="A264" s="17"/>
      <c r="C264" t="s">
        <v>304</v>
      </c>
      <c r="D264" s="19">
        <v>12652500</v>
      </c>
    </row>
    <row r="265" spans="1:7" x14ac:dyDescent="0.25">
      <c r="A265" s="17"/>
      <c r="D265" s="20">
        <v>0</v>
      </c>
    </row>
    <row r="266" spans="1:7" x14ac:dyDescent="0.25">
      <c r="A266" s="17"/>
      <c r="D266" s="19">
        <f>SUM(D264:D265)</f>
        <v>12652500</v>
      </c>
    </row>
    <row r="267" spans="1:7" x14ac:dyDescent="0.25">
      <c r="A267" s="17"/>
      <c r="D267" s="19"/>
    </row>
    <row r="268" spans="1:7" x14ac:dyDescent="0.25">
      <c r="A268" s="23" t="s">
        <v>22</v>
      </c>
      <c r="D268" s="19"/>
    </row>
    <row r="269" spans="1:7" x14ac:dyDescent="0.25">
      <c r="A269" s="17"/>
      <c r="C269" t="s">
        <v>23</v>
      </c>
      <c r="D269" s="19">
        <v>949150000</v>
      </c>
    </row>
    <row r="270" spans="1:7" x14ac:dyDescent="0.25">
      <c r="A270" s="17"/>
      <c r="C270" t="s">
        <v>24</v>
      </c>
      <c r="D270" s="19">
        <v>1530515000</v>
      </c>
    </row>
    <row r="271" spans="1:7" x14ac:dyDescent="0.25">
      <c r="A271" s="17"/>
      <c r="C271" t="s">
        <v>44</v>
      </c>
      <c r="D271" s="19">
        <v>38700000</v>
      </c>
    </row>
    <row r="272" spans="1:7" x14ac:dyDescent="0.25">
      <c r="A272" s="17"/>
      <c r="C272" t="s">
        <v>111</v>
      </c>
      <c r="D272" s="20">
        <v>572850000</v>
      </c>
    </row>
    <row r="273" spans="1:7" x14ac:dyDescent="0.25">
      <c r="A273" s="17"/>
      <c r="D273" s="19">
        <f>SUM(D269:D272)</f>
        <v>3091215000</v>
      </c>
      <c r="G273" s="1"/>
    </row>
    <row r="274" spans="1:7" x14ac:dyDescent="0.25">
      <c r="A274" s="17"/>
      <c r="D274" s="19"/>
      <c r="G274" s="1"/>
    </row>
    <row r="275" spans="1:7" x14ac:dyDescent="0.25">
      <c r="A275" s="43" t="s">
        <v>25</v>
      </c>
      <c r="B275" s="44"/>
      <c r="C275" s="44"/>
      <c r="D275" s="25">
        <f>D251+D261+D266-D273</f>
        <v>1122067666.6999998</v>
      </c>
      <c r="G275" s="1"/>
    </row>
    <row r="276" spans="1:7" x14ac:dyDescent="0.25">
      <c r="A276" s="21"/>
      <c r="B276" s="22"/>
      <c r="C276" s="22"/>
      <c r="D276" s="20"/>
      <c r="G276" s="1"/>
    </row>
    <row r="278" spans="1:7" x14ac:dyDescent="0.25">
      <c r="A278" s="40" t="s">
        <v>13</v>
      </c>
      <c r="B278" s="40"/>
      <c r="C278" s="40"/>
      <c r="D278" s="40"/>
      <c r="G278" s="1"/>
    </row>
    <row r="279" spans="1:7" x14ac:dyDescent="0.25">
      <c r="A279" s="41" t="s">
        <v>14</v>
      </c>
      <c r="B279" s="41"/>
      <c r="C279" s="41"/>
      <c r="D279" s="41"/>
      <c r="G279" s="1"/>
    </row>
    <row r="280" spans="1:7" x14ac:dyDescent="0.25">
      <c r="A280" s="42">
        <v>45696</v>
      </c>
      <c r="B280" s="42"/>
      <c r="C280" s="42"/>
      <c r="D280" s="42"/>
      <c r="G280" s="1"/>
    </row>
    <row r="281" spans="1:7" x14ac:dyDescent="0.25">
      <c r="A281" s="13"/>
      <c r="B281" s="13"/>
      <c r="C281" s="13"/>
      <c r="D281" s="13"/>
      <c r="G281" s="1"/>
    </row>
    <row r="282" spans="1:7" x14ac:dyDescent="0.25">
      <c r="A282" s="14"/>
      <c r="B282" s="15"/>
      <c r="C282" s="15"/>
      <c r="D282" s="16"/>
      <c r="F282" s="5" t="s">
        <v>26</v>
      </c>
      <c r="G282" s="1">
        <f>D319-D275</f>
        <v>-6396000</v>
      </c>
    </row>
    <row r="283" spans="1:7" x14ac:dyDescent="0.25">
      <c r="A283" s="17"/>
      <c r="D283" s="32" t="s">
        <v>16</v>
      </c>
      <c r="G283" s="1"/>
    </row>
    <row r="284" spans="1:7" x14ac:dyDescent="0.25">
      <c r="A284" s="23" t="s">
        <v>15</v>
      </c>
      <c r="D284" s="18" t="s">
        <v>17</v>
      </c>
      <c r="F284" s="26" t="s">
        <v>27</v>
      </c>
      <c r="G284" s="1"/>
    </row>
    <row r="285" spans="1:7" x14ac:dyDescent="0.25">
      <c r="A285" s="17"/>
      <c r="B285" s="24" t="s">
        <v>18</v>
      </c>
      <c r="D285" s="19"/>
      <c r="F285" s="27" t="s">
        <v>28</v>
      </c>
      <c r="G285" s="1"/>
    </row>
    <row r="286" spans="1:7" x14ac:dyDescent="0.25">
      <c r="A286" s="17"/>
      <c r="C286" s="2" t="s">
        <v>31</v>
      </c>
      <c r="D286" s="19">
        <v>32900155.530000001</v>
      </c>
      <c r="F286" t="s">
        <v>305</v>
      </c>
      <c r="G286" s="1">
        <v>2884000</v>
      </c>
    </row>
    <row r="287" spans="1:7" x14ac:dyDescent="0.25">
      <c r="A287" s="17"/>
      <c r="C287" s="2" t="s">
        <v>32</v>
      </c>
      <c r="D287" s="19">
        <v>197386200.16999999</v>
      </c>
      <c r="G287" s="30">
        <f>SUM(G286:G286)</f>
        <v>2884000</v>
      </c>
    </row>
    <row r="288" spans="1:7" x14ac:dyDescent="0.25">
      <c r="A288" s="17"/>
      <c r="C288" s="2" t="s">
        <v>33</v>
      </c>
      <c r="D288" s="19">
        <v>142668593.40000001</v>
      </c>
      <c r="F288" s="28" t="s">
        <v>29</v>
      </c>
      <c r="G288" s="1"/>
    </row>
    <row r="289" spans="1:7" x14ac:dyDescent="0.25">
      <c r="A289" s="17"/>
      <c r="C289" s="2" t="s">
        <v>34</v>
      </c>
      <c r="D289" s="19">
        <v>148936961</v>
      </c>
      <c r="F289" t="s">
        <v>217</v>
      </c>
      <c r="G289" s="1">
        <v>1275000</v>
      </c>
    </row>
    <row r="290" spans="1:7" x14ac:dyDescent="0.25">
      <c r="A290" s="17"/>
      <c r="C290" s="2" t="s">
        <v>35</v>
      </c>
      <c r="D290" s="19">
        <v>10883600</v>
      </c>
      <c r="F290" t="s">
        <v>161</v>
      </c>
      <c r="G290" s="1">
        <v>2500</v>
      </c>
    </row>
    <row r="291" spans="1:7" x14ac:dyDescent="0.25">
      <c r="A291" s="17"/>
      <c r="C291" s="2" t="s">
        <v>36</v>
      </c>
      <c r="D291" s="19">
        <v>124786.6</v>
      </c>
      <c r="F291" t="s">
        <v>307</v>
      </c>
      <c r="G291" s="1">
        <v>2500</v>
      </c>
    </row>
    <row r="292" spans="1:7" x14ac:dyDescent="0.25">
      <c r="A292" s="17"/>
      <c r="C292" s="2" t="s">
        <v>37</v>
      </c>
      <c r="D292" s="19">
        <v>-50822721</v>
      </c>
      <c r="F292" t="s">
        <v>308</v>
      </c>
      <c r="G292" s="1">
        <v>8000000</v>
      </c>
    </row>
    <row r="293" spans="1:7" x14ac:dyDescent="0.25">
      <c r="A293" s="17"/>
      <c r="C293" s="2" t="s">
        <v>51</v>
      </c>
      <c r="D293" s="20">
        <v>130317</v>
      </c>
      <c r="G293" s="30">
        <f>SUM(G289:G292)</f>
        <v>9280000</v>
      </c>
    </row>
    <row r="294" spans="1:7" x14ac:dyDescent="0.25">
      <c r="A294" s="17"/>
      <c r="B294" s="24" t="s">
        <v>19</v>
      </c>
      <c r="D294" s="19">
        <f>SUM(D286:D293)</f>
        <v>482207892.70000005</v>
      </c>
      <c r="G294" s="1"/>
    </row>
    <row r="295" spans="1:7" x14ac:dyDescent="0.25">
      <c r="A295" s="17"/>
      <c r="D295" s="19"/>
      <c r="F295" s="28" t="s">
        <v>30</v>
      </c>
      <c r="G295" s="29">
        <f>G287-G293</f>
        <v>-6396000</v>
      </c>
    </row>
    <row r="296" spans="1:7" x14ac:dyDescent="0.25">
      <c r="A296" s="17"/>
      <c r="B296" s="24" t="s">
        <v>20</v>
      </c>
      <c r="D296" s="19"/>
    </row>
    <row r="297" spans="1:7" x14ac:dyDescent="0.25">
      <c r="A297" s="17"/>
      <c r="C297" t="s">
        <v>7</v>
      </c>
      <c r="D297" s="19">
        <v>2674199774</v>
      </c>
    </row>
    <row r="298" spans="1:7" x14ac:dyDescent="0.25">
      <c r="A298" s="17"/>
      <c r="C298" t="s">
        <v>47</v>
      </c>
      <c r="D298" s="19">
        <v>3860000</v>
      </c>
    </row>
    <row r="299" spans="1:7" x14ac:dyDescent="0.25">
      <c r="A299" s="17"/>
      <c r="C299" t="s">
        <v>21</v>
      </c>
      <c r="D299" s="19">
        <v>743007500</v>
      </c>
    </row>
    <row r="300" spans="1:7" x14ac:dyDescent="0.25">
      <c r="A300" s="17"/>
      <c r="C300" t="s">
        <v>45</v>
      </c>
      <c r="D300" s="19">
        <v>25000000</v>
      </c>
    </row>
    <row r="301" spans="1:7" x14ac:dyDescent="0.25">
      <c r="A301" s="17"/>
      <c r="C301" t="s">
        <v>48</v>
      </c>
      <c r="D301" s="19">
        <v>30000000</v>
      </c>
    </row>
    <row r="302" spans="1:7" x14ac:dyDescent="0.25">
      <c r="A302" s="17"/>
      <c r="C302" t="s">
        <v>68</v>
      </c>
      <c r="D302" s="19">
        <v>141000000</v>
      </c>
    </row>
    <row r="303" spans="1:7" x14ac:dyDescent="0.25">
      <c r="A303" s="17"/>
      <c r="C303" t="s">
        <v>68</v>
      </c>
      <c r="D303" s="20">
        <v>145000000</v>
      </c>
    </row>
    <row r="304" spans="1:7" x14ac:dyDescent="0.25">
      <c r="A304" s="17"/>
      <c r="D304" s="19">
        <f>SUM(D297:D303)</f>
        <v>3762067274</v>
      </c>
    </row>
    <row r="305" spans="1:7" x14ac:dyDescent="0.25">
      <c r="A305" s="17"/>
      <c r="D305" s="19"/>
    </row>
    <row r="306" spans="1:7" x14ac:dyDescent="0.25">
      <c r="A306" s="17"/>
      <c r="B306" s="24" t="s">
        <v>46</v>
      </c>
      <c r="D306" s="19"/>
      <c r="G306" s="1"/>
    </row>
    <row r="307" spans="1:7" x14ac:dyDescent="0.25">
      <c r="A307" s="17"/>
      <c r="C307" t="s">
        <v>304</v>
      </c>
      <c r="D307" s="19">
        <v>12652500</v>
      </c>
    </row>
    <row r="308" spans="1:7" x14ac:dyDescent="0.25">
      <c r="A308" s="17"/>
      <c r="D308" s="20">
        <v>0</v>
      </c>
    </row>
    <row r="309" spans="1:7" x14ac:dyDescent="0.25">
      <c r="A309" s="17"/>
      <c r="D309" s="19">
        <f>SUM(D307:D308)</f>
        <v>12652500</v>
      </c>
    </row>
    <row r="310" spans="1:7" x14ac:dyDescent="0.25">
      <c r="A310" s="17"/>
      <c r="D310" s="19"/>
    </row>
    <row r="311" spans="1:7" x14ac:dyDescent="0.25">
      <c r="A311" s="23" t="s">
        <v>22</v>
      </c>
      <c r="D311" s="19"/>
    </row>
    <row r="312" spans="1:7" x14ac:dyDescent="0.25">
      <c r="A312" s="17"/>
      <c r="C312" t="s">
        <v>23</v>
      </c>
      <c r="D312" s="19">
        <v>931000000</v>
      </c>
    </row>
    <row r="313" spans="1:7" x14ac:dyDescent="0.25">
      <c r="A313" s="17"/>
      <c r="C313" t="s">
        <v>24</v>
      </c>
      <c r="D313" s="19">
        <v>1852956000</v>
      </c>
    </row>
    <row r="314" spans="1:7" x14ac:dyDescent="0.25">
      <c r="A314" s="17"/>
      <c r="C314" t="s">
        <v>44</v>
      </c>
      <c r="D314" s="19">
        <v>38700000</v>
      </c>
    </row>
    <row r="315" spans="1:7" x14ac:dyDescent="0.25">
      <c r="A315" s="17"/>
      <c r="C315" t="s">
        <v>190</v>
      </c>
      <c r="D315" s="19">
        <v>79200000</v>
      </c>
    </row>
    <row r="316" spans="1:7" x14ac:dyDescent="0.25">
      <c r="A316" s="17"/>
      <c r="C316" t="s">
        <v>111</v>
      </c>
      <c r="D316" s="20">
        <v>239400000</v>
      </c>
    </row>
    <row r="317" spans="1:7" x14ac:dyDescent="0.25">
      <c r="A317" s="17"/>
      <c r="D317" s="19">
        <f>SUM(D312:D316)</f>
        <v>3141256000</v>
      </c>
      <c r="G317" s="1"/>
    </row>
    <row r="318" spans="1:7" x14ac:dyDescent="0.25">
      <c r="A318" s="17"/>
      <c r="D318" s="19"/>
      <c r="G318" s="1"/>
    </row>
    <row r="319" spans="1:7" x14ac:dyDescent="0.25">
      <c r="A319" s="43" t="s">
        <v>25</v>
      </c>
      <c r="B319" s="44"/>
      <c r="C319" s="44"/>
      <c r="D319" s="25">
        <f>D294+D304+D309-D317</f>
        <v>1115671666.6999998</v>
      </c>
      <c r="G319" s="1"/>
    </row>
    <row r="320" spans="1:7" x14ac:dyDescent="0.25">
      <c r="A320" s="21"/>
      <c r="B320" s="22"/>
      <c r="C320" s="22"/>
      <c r="D320" s="20"/>
      <c r="G320" s="1"/>
    </row>
    <row r="322" spans="1:7" x14ac:dyDescent="0.25">
      <c r="A322" s="40" t="s">
        <v>13</v>
      </c>
      <c r="B322" s="40"/>
      <c r="C322" s="40"/>
      <c r="D322" s="40"/>
      <c r="G322" s="1"/>
    </row>
    <row r="323" spans="1:7" x14ac:dyDescent="0.25">
      <c r="A323" s="41" t="s">
        <v>14</v>
      </c>
      <c r="B323" s="41"/>
      <c r="C323" s="41"/>
      <c r="D323" s="41"/>
      <c r="G323" s="1"/>
    </row>
    <row r="324" spans="1:7" x14ac:dyDescent="0.25">
      <c r="A324" s="42">
        <v>45698</v>
      </c>
      <c r="B324" s="42"/>
      <c r="C324" s="42"/>
      <c r="D324" s="42"/>
      <c r="G324" s="1"/>
    </row>
    <row r="325" spans="1:7" x14ac:dyDescent="0.25">
      <c r="A325" s="13"/>
      <c r="B325" s="13"/>
      <c r="C325" s="13"/>
      <c r="D325" s="13"/>
      <c r="G325" s="1"/>
    </row>
    <row r="326" spans="1:7" x14ac:dyDescent="0.25">
      <c r="A326" s="14"/>
      <c r="B326" s="15"/>
      <c r="C326" s="15"/>
      <c r="D326" s="16"/>
      <c r="F326" s="5" t="s">
        <v>26</v>
      </c>
      <c r="G326" s="1">
        <f>D364-D319</f>
        <v>-756520</v>
      </c>
    </row>
    <row r="327" spans="1:7" x14ac:dyDescent="0.25">
      <c r="A327" s="17"/>
      <c r="D327" s="32" t="s">
        <v>16</v>
      </c>
      <c r="G327" s="1"/>
    </row>
    <row r="328" spans="1:7" x14ac:dyDescent="0.25">
      <c r="A328" s="23" t="s">
        <v>15</v>
      </c>
      <c r="D328" s="18" t="s">
        <v>17</v>
      </c>
      <c r="F328" s="26" t="s">
        <v>27</v>
      </c>
      <c r="G328" s="1"/>
    </row>
    <row r="329" spans="1:7" x14ac:dyDescent="0.25">
      <c r="A329" s="17"/>
      <c r="B329" s="24" t="s">
        <v>18</v>
      </c>
      <c r="D329" s="19"/>
      <c r="F329" s="27" t="s">
        <v>28</v>
      </c>
      <c r="G329" s="1"/>
    </row>
    <row r="330" spans="1:7" x14ac:dyDescent="0.25">
      <c r="A330" s="17"/>
      <c r="C330" s="2" t="s">
        <v>31</v>
      </c>
      <c r="D330" s="19">
        <v>112947655.53</v>
      </c>
      <c r="F330" t="s">
        <v>148</v>
      </c>
      <c r="G330" s="1">
        <v>4293000</v>
      </c>
    </row>
    <row r="331" spans="1:7" x14ac:dyDescent="0.25">
      <c r="A331" s="17"/>
      <c r="C331" s="2" t="s">
        <v>32</v>
      </c>
      <c r="D331" s="19">
        <v>197386200.16999999</v>
      </c>
      <c r="F331" t="s">
        <v>90</v>
      </c>
      <c r="G331" s="1">
        <v>87500</v>
      </c>
    </row>
    <row r="332" spans="1:7" x14ac:dyDescent="0.25">
      <c r="A332" s="17"/>
      <c r="C332" s="2" t="s">
        <v>33</v>
      </c>
      <c r="D332" s="19">
        <v>123768073.40000001</v>
      </c>
      <c r="F332" t="s">
        <v>314</v>
      </c>
      <c r="G332" s="1">
        <v>91000</v>
      </c>
    </row>
    <row r="333" spans="1:7" x14ac:dyDescent="0.25">
      <c r="A333" s="17"/>
      <c r="C333" s="2" t="s">
        <v>34</v>
      </c>
      <c r="D333" s="19">
        <v>1011961</v>
      </c>
      <c r="G333" s="30">
        <f>SUM(G330:G332)</f>
        <v>4471500</v>
      </c>
    </row>
    <row r="334" spans="1:7" x14ac:dyDescent="0.25">
      <c r="A334" s="17"/>
      <c r="C334" s="2" t="s">
        <v>35</v>
      </c>
      <c r="D334" s="19">
        <v>10883600</v>
      </c>
      <c r="F334" s="28" t="s">
        <v>29</v>
      </c>
      <c r="G334" s="1"/>
    </row>
    <row r="335" spans="1:7" x14ac:dyDescent="0.25">
      <c r="A335" s="17"/>
      <c r="C335" s="2" t="s">
        <v>36</v>
      </c>
      <c r="D335" s="19">
        <v>124786.6</v>
      </c>
      <c r="F335" t="s">
        <v>309</v>
      </c>
      <c r="G335" s="1">
        <v>4523020</v>
      </c>
    </row>
    <row r="336" spans="1:7" x14ac:dyDescent="0.25">
      <c r="A336" s="17"/>
      <c r="C336" s="2" t="s">
        <v>37</v>
      </c>
      <c r="D336" s="19">
        <v>177598279</v>
      </c>
      <c r="F336" t="s">
        <v>311</v>
      </c>
      <c r="G336" s="1">
        <v>200000</v>
      </c>
    </row>
    <row r="337" spans="1:7" x14ac:dyDescent="0.25">
      <c r="A337" s="17"/>
      <c r="C337" s="2" t="s">
        <v>51</v>
      </c>
      <c r="D337" s="20">
        <v>130317</v>
      </c>
      <c r="F337" t="s">
        <v>312</v>
      </c>
      <c r="G337" s="1">
        <v>2500</v>
      </c>
    </row>
    <row r="338" spans="1:7" x14ac:dyDescent="0.25">
      <c r="A338" s="17"/>
      <c r="B338" s="24" t="s">
        <v>19</v>
      </c>
      <c r="D338" s="19">
        <f>SUM(D330:D337)</f>
        <v>623850872.70000005</v>
      </c>
      <c r="F338" t="s">
        <v>298</v>
      </c>
      <c r="G338" s="1">
        <v>500000</v>
      </c>
    </row>
    <row r="339" spans="1:7" x14ac:dyDescent="0.25">
      <c r="A339" s="17"/>
      <c r="D339" s="19"/>
      <c r="F339" t="s">
        <v>49</v>
      </c>
      <c r="G339" s="1">
        <v>2500</v>
      </c>
    </row>
    <row r="340" spans="1:7" x14ac:dyDescent="0.25">
      <c r="A340" s="17"/>
      <c r="B340" s="24" t="s">
        <v>20</v>
      </c>
      <c r="D340" s="19"/>
      <c r="G340" s="30">
        <f>SUM(G335:G339)</f>
        <v>5228020</v>
      </c>
    </row>
    <row r="341" spans="1:7" x14ac:dyDescent="0.25">
      <c r="A341" s="17"/>
      <c r="C341" t="s">
        <v>7</v>
      </c>
      <c r="D341" s="19">
        <v>2924594774</v>
      </c>
      <c r="G341" s="1"/>
    </row>
    <row r="342" spans="1:7" x14ac:dyDescent="0.25">
      <c r="A342" s="17"/>
      <c r="C342" t="s">
        <v>47</v>
      </c>
      <c r="D342" s="19">
        <v>5755000</v>
      </c>
      <c r="F342" s="28" t="s">
        <v>30</v>
      </c>
      <c r="G342" s="29">
        <f>G333-G340</f>
        <v>-756520</v>
      </c>
    </row>
    <row r="343" spans="1:7" x14ac:dyDescent="0.25">
      <c r="A343" s="17"/>
      <c r="C343" t="s">
        <v>21</v>
      </c>
      <c r="D343" s="19">
        <v>662986500</v>
      </c>
    </row>
    <row r="344" spans="1:7" x14ac:dyDescent="0.25">
      <c r="A344" s="17"/>
      <c r="C344" t="s">
        <v>45</v>
      </c>
      <c r="D344" s="19">
        <v>25000000</v>
      </c>
    </row>
    <row r="345" spans="1:7" x14ac:dyDescent="0.25">
      <c r="A345" s="17"/>
      <c r="C345" t="s">
        <v>48</v>
      </c>
      <c r="D345" s="19">
        <v>30000000</v>
      </c>
    </row>
    <row r="346" spans="1:7" x14ac:dyDescent="0.25">
      <c r="A346" s="17"/>
      <c r="C346" t="s">
        <v>68</v>
      </c>
      <c r="D346" s="19">
        <v>141000000</v>
      </c>
    </row>
    <row r="347" spans="1:7" x14ac:dyDescent="0.25">
      <c r="A347" s="17"/>
      <c r="C347" t="s">
        <v>68</v>
      </c>
      <c r="D347" s="19">
        <v>145000000</v>
      </c>
    </row>
    <row r="348" spans="1:7" x14ac:dyDescent="0.25">
      <c r="A348" s="17"/>
      <c r="C348" t="s">
        <v>313</v>
      </c>
      <c r="D348" s="20">
        <v>10000000</v>
      </c>
    </row>
    <row r="349" spans="1:7" x14ac:dyDescent="0.25">
      <c r="A349" s="17"/>
      <c r="D349" s="19">
        <f>SUM(D341:D348)</f>
        <v>3944336274</v>
      </c>
    </row>
    <row r="350" spans="1:7" x14ac:dyDescent="0.25">
      <c r="A350" s="17"/>
      <c r="D350" s="19"/>
    </row>
    <row r="351" spans="1:7" x14ac:dyDescent="0.25">
      <c r="A351" s="17"/>
      <c r="B351" s="24" t="s">
        <v>46</v>
      </c>
      <c r="D351" s="19"/>
      <c r="G351" s="1"/>
    </row>
    <row r="352" spans="1:7" x14ac:dyDescent="0.25">
      <c r="A352" s="17"/>
      <c r="C352" t="s">
        <v>310</v>
      </c>
      <c r="D352" s="19">
        <v>10845000</v>
      </c>
    </row>
    <row r="353" spans="1:7" x14ac:dyDescent="0.25">
      <c r="A353" s="17"/>
      <c r="D353" s="20">
        <v>0</v>
      </c>
    </row>
    <row r="354" spans="1:7" x14ac:dyDescent="0.25">
      <c r="A354" s="17"/>
      <c r="D354" s="19">
        <f>SUM(D352:D353)</f>
        <v>10845000</v>
      </c>
    </row>
    <row r="355" spans="1:7" x14ac:dyDescent="0.25">
      <c r="A355" s="17"/>
      <c r="D355" s="19"/>
    </row>
    <row r="356" spans="1:7" x14ac:dyDescent="0.25">
      <c r="A356" s="23" t="s">
        <v>22</v>
      </c>
      <c r="D356" s="19"/>
    </row>
    <row r="357" spans="1:7" x14ac:dyDescent="0.25">
      <c r="A357" s="17"/>
      <c r="C357" t="s">
        <v>23</v>
      </c>
      <c r="D357" s="19">
        <v>1099150000</v>
      </c>
    </row>
    <row r="358" spans="1:7" x14ac:dyDescent="0.25">
      <c r="A358" s="17"/>
      <c r="C358" t="s">
        <v>24</v>
      </c>
      <c r="D358" s="19">
        <v>1707702000</v>
      </c>
    </row>
    <row r="359" spans="1:7" x14ac:dyDescent="0.25">
      <c r="A359" s="17"/>
      <c r="C359" t="s">
        <v>44</v>
      </c>
      <c r="D359" s="19">
        <v>116100000</v>
      </c>
    </row>
    <row r="360" spans="1:7" x14ac:dyDescent="0.25">
      <c r="A360" s="17"/>
      <c r="C360" t="s">
        <v>300</v>
      </c>
      <c r="D360" s="19">
        <v>70915000</v>
      </c>
    </row>
    <row r="361" spans="1:7" x14ac:dyDescent="0.25">
      <c r="A361" s="17"/>
      <c r="C361" t="s">
        <v>111</v>
      </c>
      <c r="D361" s="20">
        <v>470250000</v>
      </c>
    </row>
    <row r="362" spans="1:7" x14ac:dyDescent="0.25">
      <c r="A362" s="17"/>
      <c r="D362" s="19">
        <f>SUM(D357:D361)</f>
        <v>3464117000</v>
      </c>
      <c r="G362" s="1"/>
    </row>
    <row r="363" spans="1:7" x14ac:dyDescent="0.25">
      <c r="A363" s="17"/>
      <c r="D363" s="19"/>
      <c r="G363" s="1"/>
    </row>
    <row r="364" spans="1:7" x14ac:dyDescent="0.25">
      <c r="A364" s="43" t="s">
        <v>25</v>
      </c>
      <c r="B364" s="44"/>
      <c r="C364" s="44"/>
      <c r="D364" s="25">
        <f>D338+D349+D354-D362</f>
        <v>1114915146.6999998</v>
      </c>
      <c r="G364" s="1"/>
    </row>
    <row r="365" spans="1:7" x14ac:dyDescent="0.25">
      <c r="A365" s="21"/>
      <c r="B365" s="22"/>
      <c r="C365" s="22"/>
      <c r="D365" s="20"/>
      <c r="G365" s="1"/>
    </row>
    <row r="367" spans="1:7" x14ac:dyDescent="0.25">
      <c r="A367" s="40" t="s">
        <v>13</v>
      </c>
      <c r="B367" s="40"/>
      <c r="C367" s="40"/>
      <c r="D367" s="40"/>
      <c r="G367" s="1"/>
    </row>
    <row r="368" spans="1:7" x14ac:dyDescent="0.25">
      <c r="A368" s="41" t="s">
        <v>14</v>
      </c>
      <c r="B368" s="41"/>
      <c r="C368" s="41"/>
      <c r="D368" s="41"/>
      <c r="G368" s="1"/>
    </row>
    <row r="369" spans="1:7" x14ac:dyDescent="0.25">
      <c r="A369" s="42">
        <v>45699</v>
      </c>
      <c r="B369" s="42"/>
      <c r="C369" s="42"/>
      <c r="D369" s="42"/>
      <c r="G369" s="1"/>
    </row>
    <row r="370" spans="1:7" x14ac:dyDescent="0.25">
      <c r="A370" s="13"/>
      <c r="B370" s="13"/>
      <c r="C370" s="13"/>
      <c r="D370" s="13"/>
      <c r="G370" s="1"/>
    </row>
    <row r="371" spans="1:7" x14ac:dyDescent="0.25">
      <c r="A371" s="14"/>
      <c r="B371" s="15"/>
      <c r="C371" s="15"/>
      <c r="D371" s="16"/>
      <c r="F371" s="5" t="s">
        <v>26</v>
      </c>
      <c r="G371" s="1">
        <f>D408-D364</f>
        <v>-56000</v>
      </c>
    </row>
    <row r="372" spans="1:7" x14ac:dyDescent="0.25">
      <c r="A372" s="17"/>
      <c r="D372" s="32" t="s">
        <v>16</v>
      </c>
      <c r="G372" s="1"/>
    </row>
    <row r="373" spans="1:7" x14ac:dyDescent="0.25">
      <c r="A373" s="23" t="s">
        <v>15</v>
      </c>
      <c r="D373" s="18" t="s">
        <v>17</v>
      </c>
      <c r="F373" s="26" t="s">
        <v>27</v>
      </c>
      <c r="G373" s="1"/>
    </row>
    <row r="374" spans="1:7" x14ac:dyDescent="0.25">
      <c r="A374" s="17"/>
      <c r="B374" s="24" t="s">
        <v>18</v>
      </c>
      <c r="D374" s="19"/>
      <c r="F374" s="27" t="s">
        <v>28</v>
      </c>
      <c r="G374" s="1"/>
    </row>
    <row r="375" spans="1:7" x14ac:dyDescent="0.25">
      <c r="A375" s="17"/>
      <c r="C375" s="2" t="s">
        <v>31</v>
      </c>
      <c r="D375" s="19">
        <v>81747655.530000001</v>
      </c>
      <c r="F375" t="s">
        <v>151</v>
      </c>
      <c r="G375" s="1">
        <v>2194000</v>
      </c>
    </row>
    <row r="376" spans="1:7" x14ac:dyDescent="0.25">
      <c r="A376" s="17"/>
      <c r="C376" s="2" t="s">
        <v>32</v>
      </c>
      <c r="D376" s="19">
        <v>198011200.16999999</v>
      </c>
      <c r="G376" s="30">
        <f>SUM(G375:G375)</f>
        <v>2194000</v>
      </c>
    </row>
    <row r="377" spans="1:7" x14ac:dyDescent="0.25">
      <c r="A377" s="17"/>
      <c r="C377" s="2" t="s">
        <v>33</v>
      </c>
      <c r="D377" s="19">
        <v>157943073.40000001</v>
      </c>
      <c r="F377" s="28" t="s">
        <v>29</v>
      </c>
      <c r="G377" s="1"/>
    </row>
    <row r="378" spans="1:7" x14ac:dyDescent="0.25">
      <c r="A378" s="17"/>
      <c r="C378" s="2" t="s">
        <v>34</v>
      </c>
      <c r="D378" s="19">
        <v>91786961</v>
      </c>
      <c r="F378" t="s">
        <v>2</v>
      </c>
      <c r="G378" s="1">
        <v>2250000</v>
      </c>
    </row>
    <row r="379" spans="1:7" x14ac:dyDescent="0.25">
      <c r="A379" s="17"/>
      <c r="C379" s="2" t="s">
        <v>35</v>
      </c>
      <c r="D379" s="19">
        <v>10883600</v>
      </c>
      <c r="G379" s="30">
        <f>SUM(G378:G378)</f>
        <v>2250000</v>
      </c>
    </row>
    <row r="380" spans="1:7" x14ac:dyDescent="0.25">
      <c r="A380" s="17"/>
      <c r="C380" s="2" t="s">
        <v>36</v>
      </c>
      <c r="D380" s="19">
        <v>124786.6</v>
      </c>
      <c r="G380" s="1"/>
    </row>
    <row r="381" spans="1:7" x14ac:dyDescent="0.25">
      <c r="A381" s="17"/>
      <c r="C381" s="2" t="s">
        <v>37</v>
      </c>
      <c r="D381" s="19">
        <v>179123279</v>
      </c>
      <c r="F381" s="28" t="s">
        <v>30</v>
      </c>
      <c r="G381" s="29">
        <f>G376-G379</f>
        <v>-56000</v>
      </c>
    </row>
    <row r="382" spans="1:7" x14ac:dyDescent="0.25">
      <c r="A382" s="17"/>
      <c r="C382" s="2" t="s">
        <v>51</v>
      </c>
      <c r="D382" s="20">
        <v>130317</v>
      </c>
    </row>
    <row r="383" spans="1:7" x14ac:dyDescent="0.25">
      <c r="A383" s="17"/>
      <c r="B383" s="24" t="s">
        <v>19</v>
      </c>
      <c r="D383" s="19">
        <f>SUM(D375:D382)</f>
        <v>719750872.70000005</v>
      </c>
    </row>
    <row r="384" spans="1:7" x14ac:dyDescent="0.25">
      <c r="A384" s="17"/>
      <c r="D384" s="19"/>
    </row>
    <row r="385" spans="1:7" x14ac:dyDescent="0.25">
      <c r="A385" s="17"/>
      <c r="B385" s="24" t="s">
        <v>20</v>
      </c>
      <c r="D385" s="19"/>
    </row>
    <row r="386" spans="1:7" x14ac:dyDescent="0.25">
      <c r="A386" s="17"/>
      <c r="C386" t="s">
        <v>7</v>
      </c>
      <c r="D386" s="19">
        <v>2972504774</v>
      </c>
    </row>
    <row r="387" spans="1:7" x14ac:dyDescent="0.25">
      <c r="A387" s="17"/>
      <c r="C387" t="s">
        <v>47</v>
      </c>
      <c r="D387" s="19">
        <v>5130000</v>
      </c>
    </row>
    <row r="388" spans="1:7" x14ac:dyDescent="0.25">
      <c r="A388" s="17"/>
      <c r="C388" t="s">
        <v>21</v>
      </c>
      <c r="D388" s="19">
        <v>607986500</v>
      </c>
    </row>
    <row r="389" spans="1:7" x14ac:dyDescent="0.25">
      <c r="A389" s="17"/>
      <c r="C389" t="s">
        <v>45</v>
      </c>
      <c r="D389" s="19">
        <v>25000000</v>
      </c>
    </row>
    <row r="390" spans="1:7" x14ac:dyDescent="0.25">
      <c r="A390" s="17"/>
      <c r="C390" t="s">
        <v>48</v>
      </c>
      <c r="D390" s="19">
        <v>30000000</v>
      </c>
    </row>
    <row r="391" spans="1:7" x14ac:dyDescent="0.25">
      <c r="A391" s="17"/>
      <c r="C391" t="s">
        <v>68</v>
      </c>
      <c r="D391" s="19">
        <v>141000000</v>
      </c>
    </row>
    <row r="392" spans="1:7" x14ac:dyDescent="0.25">
      <c r="A392" s="17"/>
      <c r="C392" t="s">
        <v>68</v>
      </c>
      <c r="D392" s="19">
        <v>145000000</v>
      </c>
    </row>
    <row r="393" spans="1:7" x14ac:dyDescent="0.25">
      <c r="A393" s="17"/>
      <c r="C393" t="s">
        <v>313</v>
      </c>
      <c r="D393" s="20">
        <v>10000000</v>
      </c>
    </row>
    <row r="394" spans="1:7" x14ac:dyDescent="0.25">
      <c r="A394" s="17"/>
      <c r="D394" s="19">
        <f>SUM(D386:D393)</f>
        <v>3936621274</v>
      </c>
    </row>
    <row r="395" spans="1:7" x14ac:dyDescent="0.25">
      <c r="A395" s="17"/>
      <c r="D395" s="19"/>
    </row>
    <row r="396" spans="1:7" x14ac:dyDescent="0.25">
      <c r="A396" s="17"/>
      <c r="B396" s="24" t="s">
        <v>46</v>
      </c>
      <c r="D396" s="19"/>
      <c r="G396" s="1"/>
    </row>
    <row r="397" spans="1:7" x14ac:dyDescent="0.25">
      <c r="A397" s="17"/>
      <c r="C397" t="s">
        <v>310</v>
      </c>
      <c r="D397" s="19">
        <v>10845000</v>
      </c>
    </row>
    <row r="398" spans="1:7" x14ac:dyDescent="0.25">
      <c r="A398" s="17"/>
      <c r="D398" s="20">
        <v>0</v>
      </c>
    </row>
    <row r="399" spans="1:7" x14ac:dyDescent="0.25">
      <c r="A399" s="17"/>
      <c r="D399" s="19">
        <f>SUM(D397:D398)</f>
        <v>10845000</v>
      </c>
    </row>
    <row r="400" spans="1:7" x14ac:dyDescent="0.25">
      <c r="A400" s="17"/>
      <c r="D400" s="19"/>
    </row>
    <row r="401" spans="1:7" x14ac:dyDescent="0.25">
      <c r="A401" s="23" t="s">
        <v>22</v>
      </c>
      <c r="D401" s="19"/>
    </row>
    <row r="402" spans="1:7" x14ac:dyDescent="0.25">
      <c r="A402" s="17"/>
      <c r="C402" t="s">
        <v>23</v>
      </c>
      <c r="D402" s="19">
        <v>1178800000</v>
      </c>
    </row>
    <row r="403" spans="1:7" x14ac:dyDescent="0.25">
      <c r="A403" s="17"/>
      <c r="C403" t="s">
        <v>24</v>
      </c>
      <c r="D403" s="19">
        <v>1787208000</v>
      </c>
    </row>
    <row r="404" spans="1:7" x14ac:dyDescent="0.25">
      <c r="A404" s="17"/>
      <c r="C404" t="s">
        <v>44</v>
      </c>
      <c r="D404" s="19">
        <v>116100000</v>
      </c>
    </row>
    <row r="405" spans="1:7" x14ac:dyDescent="0.25">
      <c r="A405" s="17"/>
      <c r="C405" t="s">
        <v>111</v>
      </c>
      <c r="D405" s="20">
        <v>470250000</v>
      </c>
    </row>
    <row r="406" spans="1:7" x14ac:dyDescent="0.25">
      <c r="A406" s="17"/>
      <c r="D406" s="19">
        <f>SUM(D402:D405)</f>
        <v>3552358000</v>
      </c>
      <c r="G406" s="1"/>
    </row>
    <row r="407" spans="1:7" x14ac:dyDescent="0.25">
      <c r="A407" s="17"/>
      <c r="D407" s="19"/>
      <c r="G407" s="1"/>
    </row>
    <row r="408" spans="1:7" x14ac:dyDescent="0.25">
      <c r="A408" s="43" t="s">
        <v>25</v>
      </c>
      <c r="B408" s="44"/>
      <c r="C408" s="44"/>
      <c r="D408" s="25">
        <f>D383+D394+D399-D406</f>
        <v>1114859146.6999998</v>
      </c>
      <c r="G408" s="1"/>
    </row>
    <row r="409" spans="1:7" x14ac:dyDescent="0.25">
      <c r="A409" s="21"/>
      <c r="B409" s="22"/>
      <c r="C409" s="22"/>
      <c r="D409" s="20"/>
      <c r="G409" s="1"/>
    </row>
    <row r="411" spans="1:7" x14ac:dyDescent="0.25">
      <c r="A411" s="40" t="s">
        <v>13</v>
      </c>
      <c r="B411" s="40"/>
      <c r="C411" s="40"/>
      <c r="D411" s="40"/>
      <c r="G411" s="1"/>
    </row>
    <row r="412" spans="1:7" x14ac:dyDescent="0.25">
      <c r="A412" s="41" t="s">
        <v>14</v>
      </c>
      <c r="B412" s="41"/>
      <c r="C412" s="41"/>
      <c r="D412" s="41"/>
      <c r="G412" s="1"/>
    </row>
    <row r="413" spans="1:7" x14ac:dyDescent="0.25">
      <c r="A413" s="42">
        <v>45700</v>
      </c>
      <c r="B413" s="42"/>
      <c r="C413" s="42"/>
      <c r="D413" s="42"/>
      <c r="G413" s="1"/>
    </row>
    <row r="414" spans="1:7" x14ac:dyDescent="0.25">
      <c r="A414" s="13"/>
      <c r="B414" s="13"/>
      <c r="C414" s="13"/>
      <c r="D414" s="13"/>
      <c r="G414" s="1"/>
    </row>
    <row r="415" spans="1:7" x14ac:dyDescent="0.25">
      <c r="A415" s="14"/>
      <c r="B415" s="15"/>
      <c r="C415" s="15"/>
      <c r="D415" s="16"/>
      <c r="F415" s="5" t="s">
        <v>26</v>
      </c>
      <c r="G415" s="1">
        <f>D454-D408</f>
        <v>-15180980</v>
      </c>
    </row>
    <row r="416" spans="1:7" x14ac:dyDescent="0.25">
      <c r="A416" s="17"/>
      <c r="D416" s="32" t="s">
        <v>16</v>
      </c>
      <c r="G416" s="1"/>
    </row>
    <row r="417" spans="1:7" x14ac:dyDescent="0.25">
      <c r="A417" s="23" t="s">
        <v>15</v>
      </c>
      <c r="D417" s="18" t="s">
        <v>17</v>
      </c>
      <c r="F417" s="26" t="s">
        <v>27</v>
      </c>
      <c r="G417" s="1"/>
    </row>
    <row r="418" spans="1:7" x14ac:dyDescent="0.25">
      <c r="A418" s="17"/>
      <c r="B418" s="24" t="s">
        <v>18</v>
      </c>
      <c r="D418" s="19"/>
      <c r="F418" s="27" t="s">
        <v>28</v>
      </c>
      <c r="G418" s="1"/>
    </row>
    <row r="419" spans="1:7" x14ac:dyDescent="0.25">
      <c r="A419" s="17"/>
      <c r="C419" s="2" t="s">
        <v>31</v>
      </c>
      <c r="D419" s="19">
        <v>180737655.53</v>
      </c>
      <c r="F419" t="s">
        <v>317</v>
      </c>
      <c r="G419" s="1">
        <v>8073000</v>
      </c>
    </row>
    <row r="420" spans="1:7" x14ac:dyDescent="0.25">
      <c r="A420" s="17"/>
      <c r="C420" s="2" t="s">
        <v>32</v>
      </c>
      <c r="D420" s="19">
        <v>201791200.16999999</v>
      </c>
      <c r="F420" t="s">
        <v>90</v>
      </c>
      <c r="G420" s="1">
        <v>280000</v>
      </c>
    </row>
    <row r="421" spans="1:7" x14ac:dyDescent="0.25">
      <c r="A421" s="17"/>
      <c r="C421" s="2" t="s">
        <v>33</v>
      </c>
      <c r="D421" s="19">
        <v>317016783.39999998</v>
      </c>
      <c r="G421" s="30">
        <f>SUM(G419:G420)</f>
        <v>8353000</v>
      </c>
    </row>
    <row r="422" spans="1:7" x14ac:dyDescent="0.25">
      <c r="A422" s="17"/>
      <c r="C422" s="2" t="s">
        <v>34</v>
      </c>
      <c r="D422" s="19">
        <v>4509271</v>
      </c>
      <c r="F422" s="28" t="s">
        <v>29</v>
      </c>
      <c r="G422" s="1"/>
    </row>
    <row r="423" spans="1:7" x14ac:dyDescent="0.25">
      <c r="A423" s="17"/>
      <c r="C423" s="2" t="s">
        <v>35</v>
      </c>
      <c r="D423" s="19">
        <v>10883600</v>
      </c>
      <c r="F423" t="s">
        <v>318</v>
      </c>
      <c r="G423" s="1">
        <v>13921290</v>
      </c>
    </row>
    <row r="424" spans="1:7" x14ac:dyDescent="0.25">
      <c r="A424" s="17"/>
      <c r="C424" s="2" t="s">
        <v>36</v>
      </c>
      <c r="D424" s="19">
        <v>124786.6</v>
      </c>
      <c r="F424" t="s">
        <v>112</v>
      </c>
      <c r="G424" s="1">
        <v>7000000</v>
      </c>
    </row>
    <row r="425" spans="1:7" x14ac:dyDescent="0.25">
      <c r="A425" s="17"/>
      <c r="C425" s="2" t="s">
        <v>37</v>
      </c>
      <c r="D425" s="19">
        <v>590288279</v>
      </c>
      <c r="F425" t="s">
        <v>171</v>
      </c>
      <c r="G425" s="1">
        <v>1335000</v>
      </c>
    </row>
    <row r="426" spans="1:7" x14ac:dyDescent="0.25">
      <c r="A426" s="17"/>
      <c r="C426" s="2" t="s">
        <v>51</v>
      </c>
      <c r="D426" s="20">
        <v>130317</v>
      </c>
      <c r="F426" t="s">
        <v>172</v>
      </c>
      <c r="G426" s="1">
        <v>1277690</v>
      </c>
    </row>
    <row r="427" spans="1:7" x14ac:dyDescent="0.25">
      <c r="A427" s="17"/>
      <c r="B427" s="24" t="s">
        <v>19</v>
      </c>
      <c r="D427" s="19">
        <f>SUM(D419:D426)</f>
        <v>1305481892.6999998</v>
      </c>
      <c r="G427" s="30">
        <f>SUM(G423:G426)</f>
        <v>23533980</v>
      </c>
    </row>
    <row r="428" spans="1:7" x14ac:dyDescent="0.25">
      <c r="A428" s="17"/>
      <c r="D428" s="19"/>
      <c r="G428" s="1"/>
    </row>
    <row r="429" spans="1:7" x14ac:dyDescent="0.25">
      <c r="A429" s="17"/>
      <c r="B429" s="24" t="s">
        <v>20</v>
      </c>
      <c r="D429" s="19"/>
      <c r="F429" s="28" t="s">
        <v>30</v>
      </c>
      <c r="G429" s="29">
        <f>G421-G427</f>
        <v>-15180980</v>
      </c>
    </row>
    <row r="430" spans="1:7" x14ac:dyDescent="0.25">
      <c r="A430" s="17"/>
      <c r="C430" t="s">
        <v>7</v>
      </c>
      <c r="D430" s="19">
        <v>2142604774</v>
      </c>
    </row>
    <row r="431" spans="1:7" x14ac:dyDescent="0.25">
      <c r="A431" s="17"/>
      <c r="C431" t="s">
        <v>47</v>
      </c>
      <c r="D431" s="19">
        <v>6450000</v>
      </c>
    </row>
    <row r="432" spans="1:7" x14ac:dyDescent="0.25">
      <c r="A432" s="17"/>
      <c r="C432" t="s">
        <v>21</v>
      </c>
      <c r="D432" s="19">
        <v>627686500</v>
      </c>
    </row>
    <row r="433" spans="1:7" x14ac:dyDescent="0.25">
      <c r="A433" s="17"/>
      <c r="C433" t="s">
        <v>45</v>
      </c>
      <c r="D433" s="19">
        <v>25000000</v>
      </c>
    </row>
    <row r="434" spans="1:7" x14ac:dyDescent="0.25">
      <c r="A434" s="17"/>
      <c r="C434" t="s">
        <v>48</v>
      </c>
      <c r="D434" s="19">
        <v>30000000</v>
      </c>
    </row>
    <row r="435" spans="1:7" x14ac:dyDescent="0.25">
      <c r="A435" s="17"/>
      <c r="C435" t="s">
        <v>68</v>
      </c>
      <c r="D435" s="19">
        <v>141000000</v>
      </c>
    </row>
    <row r="436" spans="1:7" x14ac:dyDescent="0.25">
      <c r="A436" s="17"/>
      <c r="C436" t="s">
        <v>68</v>
      </c>
      <c r="D436" s="19">
        <v>145000000</v>
      </c>
    </row>
    <row r="437" spans="1:7" x14ac:dyDescent="0.25">
      <c r="A437" s="17"/>
      <c r="C437" t="s">
        <v>313</v>
      </c>
      <c r="D437" s="20">
        <v>10000000</v>
      </c>
    </row>
    <row r="438" spans="1:7" x14ac:dyDescent="0.25">
      <c r="A438" s="17"/>
      <c r="D438" s="19">
        <f>SUM(D430:D437)</f>
        <v>3127741274</v>
      </c>
    </row>
    <row r="439" spans="1:7" x14ac:dyDescent="0.25">
      <c r="A439" s="17"/>
      <c r="D439" s="19"/>
    </row>
    <row r="440" spans="1:7" x14ac:dyDescent="0.25">
      <c r="A440" s="17"/>
      <c r="B440" s="24" t="s">
        <v>46</v>
      </c>
      <c r="D440" s="19"/>
      <c r="G440" s="1"/>
    </row>
    <row r="441" spans="1:7" x14ac:dyDescent="0.25">
      <c r="A441" s="17"/>
      <c r="C441" t="s">
        <v>227</v>
      </c>
      <c r="D441" s="20">
        <v>6025000</v>
      </c>
    </row>
    <row r="442" spans="1:7" x14ac:dyDescent="0.25">
      <c r="A442" s="17"/>
      <c r="D442" s="19">
        <f>SUM(D441:D441)</f>
        <v>6025000</v>
      </c>
    </row>
    <row r="443" spans="1:7" x14ac:dyDescent="0.25">
      <c r="A443" s="17"/>
      <c r="D443" s="19"/>
    </row>
    <row r="444" spans="1:7" x14ac:dyDescent="0.25">
      <c r="A444" s="17"/>
      <c r="B444" s="24" t="s">
        <v>43</v>
      </c>
      <c r="D444" s="19"/>
    </row>
    <row r="445" spans="1:7" x14ac:dyDescent="0.25">
      <c r="A445" s="17"/>
      <c r="C445" t="s">
        <v>321</v>
      </c>
      <c r="D445" s="20">
        <v>30100000</v>
      </c>
    </row>
    <row r="446" spans="1:7" x14ac:dyDescent="0.25">
      <c r="A446" s="17"/>
      <c r="D446" s="19">
        <f>D445</f>
        <v>30100000</v>
      </c>
    </row>
    <row r="447" spans="1:7" x14ac:dyDescent="0.25">
      <c r="A447" s="17"/>
      <c r="D447" s="19"/>
    </row>
    <row r="448" spans="1:7" x14ac:dyDescent="0.25">
      <c r="A448" s="23" t="s">
        <v>22</v>
      </c>
      <c r="D448" s="19"/>
    </row>
    <row r="449" spans="1:7" x14ac:dyDescent="0.25">
      <c r="A449" s="17"/>
      <c r="C449" t="s">
        <v>23</v>
      </c>
      <c r="D449" s="19">
        <v>1277350000</v>
      </c>
    </row>
    <row r="450" spans="1:7" x14ac:dyDescent="0.25">
      <c r="A450" s="17"/>
      <c r="C450" t="s">
        <v>24</v>
      </c>
      <c r="D450" s="19">
        <v>1622070000</v>
      </c>
    </row>
    <row r="451" spans="1:7" x14ac:dyDescent="0.25">
      <c r="A451" s="17"/>
      <c r="C451" t="s">
        <v>111</v>
      </c>
      <c r="D451" s="20">
        <v>470250000</v>
      </c>
    </row>
    <row r="452" spans="1:7" x14ac:dyDescent="0.25">
      <c r="A452" s="17"/>
      <c r="D452" s="19">
        <f>SUM(D449:D451)</f>
        <v>3369670000</v>
      </c>
      <c r="G452" s="1"/>
    </row>
    <row r="453" spans="1:7" x14ac:dyDescent="0.25">
      <c r="A453" s="17"/>
      <c r="D453" s="19"/>
      <c r="G453" s="1"/>
    </row>
    <row r="454" spans="1:7" x14ac:dyDescent="0.25">
      <c r="A454" s="43" t="s">
        <v>25</v>
      </c>
      <c r="B454" s="44"/>
      <c r="C454" s="44"/>
      <c r="D454" s="25">
        <f>D427+D438+D442+D446-D452</f>
        <v>1099678166.6999998</v>
      </c>
      <c r="G454" s="1"/>
    </row>
    <row r="455" spans="1:7" x14ac:dyDescent="0.25">
      <c r="A455" s="21"/>
      <c r="B455" s="22"/>
      <c r="C455" s="22"/>
      <c r="D455" s="20"/>
      <c r="G455" s="1"/>
    </row>
    <row r="457" spans="1:7" x14ac:dyDescent="0.25">
      <c r="A457" s="40" t="s">
        <v>13</v>
      </c>
      <c r="B457" s="40"/>
      <c r="C457" s="40"/>
      <c r="D457" s="40"/>
      <c r="G457" s="1"/>
    </row>
    <row r="458" spans="1:7" x14ac:dyDescent="0.25">
      <c r="A458" s="41" t="s">
        <v>14</v>
      </c>
      <c r="B458" s="41"/>
      <c r="C458" s="41"/>
      <c r="D458" s="41"/>
      <c r="G458" s="1"/>
    </row>
    <row r="459" spans="1:7" x14ac:dyDescent="0.25">
      <c r="A459" s="42">
        <v>45701</v>
      </c>
      <c r="B459" s="42"/>
      <c r="C459" s="42"/>
      <c r="D459" s="42"/>
      <c r="G459" s="1"/>
    </row>
    <row r="460" spans="1:7" x14ac:dyDescent="0.25">
      <c r="A460" s="13"/>
      <c r="B460" s="13"/>
      <c r="C460" s="13"/>
      <c r="D460" s="13"/>
      <c r="G460" s="1"/>
    </row>
    <row r="461" spans="1:7" x14ac:dyDescent="0.25">
      <c r="A461" s="14"/>
      <c r="B461" s="15"/>
      <c r="C461" s="15"/>
      <c r="D461" s="16"/>
      <c r="F461" s="5" t="s">
        <v>26</v>
      </c>
      <c r="G461" s="1">
        <f>D501-D454</f>
        <v>-7015500</v>
      </c>
    </row>
    <row r="462" spans="1:7" x14ac:dyDescent="0.25">
      <c r="A462" s="17"/>
      <c r="D462" s="32" t="s">
        <v>16</v>
      </c>
      <c r="G462" s="1"/>
    </row>
    <row r="463" spans="1:7" x14ac:dyDescent="0.25">
      <c r="A463" s="23" t="s">
        <v>15</v>
      </c>
      <c r="D463" s="18" t="s">
        <v>17</v>
      </c>
      <c r="F463" s="26" t="s">
        <v>27</v>
      </c>
      <c r="G463" s="1"/>
    </row>
    <row r="464" spans="1:7" x14ac:dyDescent="0.25">
      <c r="A464" s="17"/>
      <c r="B464" s="24" t="s">
        <v>18</v>
      </c>
      <c r="D464" s="19"/>
      <c r="F464" s="27" t="s">
        <v>28</v>
      </c>
      <c r="G464" s="1"/>
    </row>
    <row r="465" spans="1:7" x14ac:dyDescent="0.25">
      <c r="A465" s="17"/>
      <c r="C465" s="2" t="s">
        <v>31</v>
      </c>
      <c r="D465" s="19">
        <v>441387655.52999997</v>
      </c>
      <c r="F465" t="s">
        <v>154</v>
      </c>
      <c r="G465" s="1">
        <v>9681000</v>
      </c>
    </row>
    <row r="466" spans="1:7" x14ac:dyDescent="0.25">
      <c r="A466" s="17"/>
      <c r="C466" s="2" t="s">
        <v>32</v>
      </c>
      <c r="D466" s="19">
        <v>201791200.16999999</v>
      </c>
      <c r="G466" s="30">
        <f>SUM(G465:G465)</f>
        <v>9681000</v>
      </c>
    </row>
    <row r="467" spans="1:7" x14ac:dyDescent="0.25">
      <c r="A467" s="17"/>
      <c r="C467" s="2" t="s">
        <v>33</v>
      </c>
      <c r="D467" s="19">
        <v>86278783.400000006</v>
      </c>
      <c r="F467" s="28" t="s">
        <v>29</v>
      </c>
      <c r="G467" s="1"/>
    </row>
    <row r="468" spans="1:7" x14ac:dyDescent="0.25">
      <c r="A468" s="17"/>
      <c r="C468" s="2" t="s">
        <v>34</v>
      </c>
      <c r="D468" s="19">
        <v>48759271</v>
      </c>
      <c r="F468" t="s">
        <v>112</v>
      </c>
      <c r="G468" s="1">
        <v>5000000</v>
      </c>
    </row>
    <row r="469" spans="1:7" x14ac:dyDescent="0.25">
      <c r="A469" s="17"/>
      <c r="C469" s="2" t="s">
        <v>35</v>
      </c>
      <c r="D469" s="19">
        <v>10883600</v>
      </c>
      <c r="F469" t="s">
        <v>104</v>
      </c>
      <c r="G469" s="1">
        <v>2250000</v>
      </c>
    </row>
    <row r="470" spans="1:7" x14ac:dyDescent="0.25">
      <c r="A470" s="17"/>
      <c r="C470" s="2" t="s">
        <v>36</v>
      </c>
      <c r="D470" s="19">
        <v>124786.6</v>
      </c>
      <c r="F470" t="s">
        <v>161</v>
      </c>
      <c r="G470" s="1">
        <v>2500</v>
      </c>
    </row>
    <row r="471" spans="1:7" x14ac:dyDescent="0.25">
      <c r="A471" s="17"/>
      <c r="C471" s="2" t="s">
        <v>37</v>
      </c>
      <c r="D471" s="19">
        <v>338035779</v>
      </c>
      <c r="F471" t="s">
        <v>181</v>
      </c>
      <c r="G471" s="1">
        <v>1444000</v>
      </c>
    </row>
    <row r="472" spans="1:7" x14ac:dyDescent="0.25">
      <c r="A472" s="17"/>
      <c r="C472" s="2" t="s">
        <v>51</v>
      </c>
      <c r="D472" s="20">
        <v>130317</v>
      </c>
      <c r="F472" t="s">
        <v>182</v>
      </c>
      <c r="G472" s="1">
        <v>500000</v>
      </c>
    </row>
    <row r="473" spans="1:7" x14ac:dyDescent="0.25">
      <c r="A473" s="17"/>
      <c r="B473" s="24" t="s">
        <v>19</v>
      </c>
      <c r="D473" s="19">
        <f>SUM(D465:D472)</f>
        <v>1127391392.6999998</v>
      </c>
      <c r="F473" t="s">
        <v>322</v>
      </c>
      <c r="G473" s="1">
        <v>7500000</v>
      </c>
    </row>
    <row r="474" spans="1:7" x14ac:dyDescent="0.25">
      <c r="A474" s="17"/>
      <c r="D474" s="19"/>
      <c r="G474" s="30">
        <f>SUM(G468:G473)</f>
        <v>16696500</v>
      </c>
    </row>
    <row r="475" spans="1:7" x14ac:dyDescent="0.25">
      <c r="A475" s="17"/>
      <c r="B475" s="24" t="s">
        <v>20</v>
      </c>
      <c r="D475" s="19"/>
      <c r="G475" s="1"/>
    </row>
    <row r="476" spans="1:7" x14ac:dyDescent="0.25">
      <c r="A476" s="17"/>
      <c r="C476" t="s">
        <v>7</v>
      </c>
      <c r="D476" s="19">
        <v>2439775774</v>
      </c>
      <c r="F476" s="28" t="s">
        <v>30</v>
      </c>
      <c r="G476" s="29">
        <f>G466-G474</f>
        <v>-7015500</v>
      </c>
    </row>
    <row r="477" spans="1:7" x14ac:dyDescent="0.25">
      <c r="A477" s="17"/>
      <c r="C477" t="s">
        <v>47</v>
      </c>
      <c r="D477" s="19">
        <v>6450000</v>
      </c>
    </row>
    <row r="478" spans="1:7" x14ac:dyDescent="0.25">
      <c r="A478" s="17"/>
      <c r="C478" t="s">
        <v>21</v>
      </c>
      <c r="D478" s="19">
        <v>680986500</v>
      </c>
    </row>
    <row r="479" spans="1:7" x14ac:dyDescent="0.25">
      <c r="A479" s="17"/>
      <c r="C479" t="s">
        <v>45</v>
      </c>
      <c r="D479" s="19">
        <v>25000000</v>
      </c>
    </row>
    <row r="480" spans="1:7" x14ac:dyDescent="0.25">
      <c r="A480" s="17"/>
      <c r="C480" t="s">
        <v>48</v>
      </c>
      <c r="D480" s="19">
        <v>30000000</v>
      </c>
    </row>
    <row r="481" spans="1:7" x14ac:dyDescent="0.25">
      <c r="A481" s="17"/>
      <c r="C481" t="s">
        <v>68</v>
      </c>
      <c r="D481" s="19">
        <v>141000000</v>
      </c>
    </row>
    <row r="482" spans="1:7" x14ac:dyDescent="0.25">
      <c r="A482" s="17"/>
      <c r="C482" t="s">
        <v>68</v>
      </c>
      <c r="D482" s="19">
        <v>145000000</v>
      </c>
    </row>
    <row r="483" spans="1:7" x14ac:dyDescent="0.25">
      <c r="A483" s="17"/>
      <c r="C483" t="s">
        <v>313</v>
      </c>
      <c r="D483" s="20">
        <v>10000000</v>
      </c>
    </row>
    <row r="484" spans="1:7" x14ac:dyDescent="0.25">
      <c r="A484" s="17"/>
      <c r="D484" s="19">
        <f>SUM(D476:D483)</f>
        <v>3478212274</v>
      </c>
    </row>
    <row r="485" spans="1:7" x14ac:dyDescent="0.25">
      <c r="A485" s="17"/>
      <c r="D485" s="19"/>
    </row>
    <row r="486" spans="1:7" x14ac:dyDescent="0.25">
      <c r="A486" s="17"/>
      <c r="B486" s="24" t="s">
        <v>46</v>
      </c>
      <c r="D486" s="19"/>
      <c r="G486" s="1"/>
    </row>
    <row r="487" spans="1:7" x14ac:dyDescent="0.25">
      <c r="A487" s="17"/>
      <c r="C487" t="s">
        <v>227</v>
      </c>
      <c r="D487" s="20">
        <v>6025000</v>
      </c>
    </row>
    <row r="488" spans="1:7" x14ac:dyDescent="0.25">
      <c r="A488" s="17"/>
      <c r="D488" s="19">
        <f>SUM(D487:D487)</f>
        <v>6025000</v>
      </c>
    </row>
    <row r="489" spans="1:7" x14ac:dyDescent="0.25">
      <c r="A489" s="17"/>
      <c r="D489" s="19"/>
    </row>
    <row r="490" spans="1:7" x14ac:dyDescent="0.25">
      <c r="A490" s="17"/>
      <c r="B490" s="24" t="s">
        <v>43</v>
      </c>
      <c r="D490" s="19"/>
    </row>
    <row r="491" spans="1:7" x14ac:dyDescent="0.25">
      <c r="A491" s="17"/>
      <c r="C491" t="s">
        <v>321</v>
      </c>
      <c r="D491" s="20">
        <v>30100000</v>
      </c>
    </row>
    <row r="492" spans="1:7" x14ac:dyDescent="0.25">
      <c r="A492" s="17"/>
      <c r="D492" s="19">
        <f>D491</f>
        <v>30100000</v>
      </c>
    </row>
    <row r="493" spans="1:7" x14ac:dyDescent="0.25">
      <c r="A493" s="17"/>
      <c r="D493" s="19"/>
    </row>
    <row r="494" spans="1:7" x14ac:dyDescent="0.25">
      <c r="A494" s="23" t="s">
        <v>22</v>
      </c>
      <c r="D494" s="19"/>
    </row>
    <row r="495" spans="1:7" x14ac:dyDescent="0.25">
      <c r="A495" s="17"/>
      <c r="C495" t="s">
        <v>23</v>
      </c>
      <c r="D495" s="19">
        <v>1517500000</v>
      </c>
    </row>
    <row r="496" spans="1:7" x14ac:dyDescent="0.25">
      <c r="A496" s="17"/>
      <c r="C496" t="s">
        <v>24</v>
      </c>
      <c r="D496" s="19">
        <v>1789916000</v>
      </c>
    </row>
    <row r="497" spans="1:7" x14ac:dyDescent="0.25">
      <c r="A497" s="17"/>
      <c r="C497" t="s">
        <v>190</v>
      </c>
      <c r="D497" s="19">
        <v>79200000</v>
      </c>
    </row>
    <row r="498" spans="1:7" x14ac:dyDescent="0.25">
      <c r="A498" s="17"/>
      <c r="C498" t="s">
        <v>111</v>
      </c>
      <c r="D498" s="20">
        <v>162450000</v>
      </c>
    </row>
    <row r="499" spans="1:7" x14ac:dyDescent="0.25">
      <c r="A499" s="17"/>
      <c r="D499" s="19">
        <f>SUM(D495:D498)</f>
        <v>3549066000</v>
      </c>
      <c r="G499" s="1"/>
    </row>
    <row r="500" spans="1:7" x14ac:dyDescent="0.25">
      <c r="A500" s="17"/>
      <c r="D500" s="19"/>
      <c r="G500" s="1"/>
    </row>
    <row r="501" spans="1:7" x14ac:dyDescent="0.25">
      <c r="A501" s="43" t="s">
        <v>25</v>
      </c>
      <c r="B501" s="44"/>
      <c r="C501" s="44"/>
      <c r="D501" s="25">
        <f>D473+D484+D488+D492-D499</f>
        <v>1092662666.6999998</v>
      </c>
      <c r="G501" s="1"/>
    </row>
    <row r="502" spans="1:7" x14ac:dyDescent="0.25">
      <c r="A502" s="21"/>
      <c r="B502" s="22"/>
      <c r="C502" s="22"/>
      <c r="D502" s="20"/>
      <c r="G502" s="1"/>
    </row>
    <row r="504" spans="1:7" x14ac:dyDescent="0.25">
      <c r="A504" s="40" t="s">
        <v>13</v>
      </c>
      <c r="B504" s="40"/>
      <c r="C504" s="40"/>
      <c r="D504" s="40"/>
      <c r="G504" s="1"/>
    </row>
    <row r="505" spans="1:7" x14ac:dyDescent="0.25">
      <c r="A505" s="41" t="s">
        <v>14</v>
      </c>
      <c r="B505" s="41"/>
      <c r="C505" s="41"/>
      <c r="D505" s="41"/>
      <c r="G505" s="1"/>
    </row>
    <row r="506" spans="1:7" x14ac:dyDescent="0.25">
      <c r="A506" s="42">
        <v>45702</v>
      </c>
      <c r="B506" s="42"/>
      <c r="C506" s="42"/>
      <c r="D506" s="42"/>
      <c r="G506" s="1"/>
    </row>
    <row r="507" spans="1:7" x14ac:dyDescent="0.25">
      <c r="A507" s="13"/>
      <c r="B507" s="13"/>
      <c r="C507" s="13"/>
      <c r="D507" s="13"/>
      <c r="G507" s="1"/>
    </row>
    <row r="508" spans="1:7" x14ac:dyDescent="0.25">
      <c r="A508" s="14"/>
      <c r="B508" s="15"/>
      <c r="C508" s="15"/>
      <c r="D508" s="16"/>
      <c r="F508" s="5" t="s">
        <v>26</v>
      </c>
      <c r="G508" s="1">
        <f>D547-D501</f>
        <v>-18943860</v>
      </c>
    </row>
    <row r="509" spans="1:7" x14ac:dyDescent="0.25">
      <c r="A509" s="17"/>
      <c r="D509" s="32" t="s">
        <v>16</v>
      </c>
      <c r="G509" s="1"/>
    </row>
    <row r="510" spans="1:7" x14ac:dyDescent="0.25">
      <c r="A510" s="23" t="s">
        <v>15</v>
      </c>
      <c r="D510" s="18" t="s">
        <v>17</v>
      </c>
      <c r="F510" s="26" t="s">
        <v>27</v>
      </c>
      <c r="G510" s="1"/>
    </row>
    <row r="511" spans="1:7" x14ac:dyDescent="0.25">
      <c r="A511" s="17"/>
      <c r="B511" s="24" t="s">
        <v>18</v>
      </c>
      <c r="D511" s="19"/>
      <c r="F511" s="27" t="s">
        <v>28</v>
      </c>
      <c r="G511" s="1"/>
    </row>
    <row r="512" spans="1:7" x14ac:dyDescent="0.25">
      <c r="A512" s="17"/>
      <c r="C512" s="2" t="s">
        <v>31</v>
      </c>
      <c r="D512" s="19">
        <v>69187655.530000001</v>
      </c>
      <c r="F512" t="s">
        <v>160</v>
      </c>
      <c r="G512" s="1">
        <v>14114000</v>
      </c>
    </row>
    <row r="513" spans="1:7" x14ac:dyDescent="0.25">
      <c r="A513" s="17"/>
      <c r="C513" s="2" t="s">
        <v>32</v>
      </c>
      <c r="D513" s="19">
        <v>203111200.16999999</v>
      </c>
      <c r="F513" t="s">
        <v>90</v>
      </c>
      <c r="G513" s="1">
        <v>345000</v>
      </c>
    </row>
    <row r="514" spans="1:7" x14ac:dyDescent="0.25">
      <c r="A514" s="17"/>
      <c r="C514" s="2" t="s">
        <v>33</v>
      </c>
      <c r="D514" s="19">
        <v>213243543.40000001</v>
      </c>
      <c r="F514" t="s">
        <v>324</v>
      </c>
      <c r="G514" s="1">
        <v>375000</v>
      </c>
    </row>
    <row r="515" spans="1:7" x14ac:dyDescent="0.25">
      <c r="A515" s="17"/>
      <c r="C515" s="2" t="s">
        <v>34</v>
      </c>
      <c r="D515" s="19">
        <v>44434271</v>
      </c>
      <c r="G515" s="30">
        <f>SUM(G512:G514)</f>
        <v>14834000</v>
      </c>
    </row>
    <row r="516" spans="1:7" x14ac:dyDescent="0.25">
      <c r="A516" s="17"/>
      <c r="C516" s="2" t="s">
        <v>35</v>
      </c>
      <c r="D516" s="19">
        <v>10883600</v>
      </c>
      <c r="F516" s="28" t="s">
        <v>29</v>
      </c>
      <c r="G516" s="1"/>
    </row>
    <row r="517" spans="1:7" x14ac:dyDescent="0.25">
      <c r="A517" s="17"/>
      <c r="C517" s="2" t="s">
        <v>36</v>
      </c>
      <c r="D517" s="19">
        <v>124786.6</v>
      </c>
      <c r="F517" t="s">
        <v>325</v>
      </c>
      <c r="G517" s="1">
        <v>4600000</v>
      </c>
    </row>
    <row r="518" spans="1:7" x14ac:dyDescent="0.25">
      <c r="A518" s="17"/>
      <c r="C518" s="2" t="s">
        <v>37</v>
      </c>
      <c r="D518" s="19">
        <v>275583279</v>
      </c>
      <c r="F518" t="s">
        <v>49</v>
      </c>
      <c r="G518" s="1">
        <v>2500</v>
      </c>
    </row>
    <row r="519" spans="1:7" x14ac:dyDescent="0.25">
      <c r="A519" s="17"/>
      <c r="C519" s="2" t="s">
        <v>51</v>
      </c>
      <c r="D519" s="20">
        <v>130317</v>
      </c>
      <c r="F519" t="s">
        <v>161</v>
      </c>
      <c r="G519" s="1">
        <v>2500</v>
      </c>
    </row>
    <row r="520" spans="1:7" x14ac:dyDescent="0.25">
      <c r="A520" s="17"/>
      <c r="B520" s="24" t="s">
        <v>19</v>
      </c>
      <c r="D520" s="19">
        <f>SUM(D512:D519)</f>
        <v>816698652.70000005</v>
      </c>
      <c r="F520" t="s">
        <v>318</v>
      </c>
      <c r="G520" s="1">
        <v>21341560</v>
      </c>
    </row>
    <row r="521" spans="1:7" x14ac:dyDescent="0.25">
      <c r="A521" s="17"/>
      <c r="D521" s="19"/>
      <c r="F521" t="s">
        <v>326</v>
      </c>
      <c r="G521" s="1">
        <v>1736800</v>
      </c>
    </row>
    <row r="522" spans="1:7" x14ac:dyDescent="0.25">
      <c r="A522" s="17"/>
      <c r="B522" s="24" t="s">
        <v>20</v>
      </c>
      <c r="D522" s="19"/>
      <c r="F522" t="s">
        <v>327</v>
      </c>
      <c r="G522" s="1">
        <v>94500</v>
      </c>
    </row>
    <row r="523" spans="1:7" x14ac:dyDescent="0.25">
      <c r="A523" s="17"/>
      <c r="C523" t="s">
        <v>7</v>
      </c>
      <c r="D523" s="19">
        <v>2284143974</v>
      </c>
      <c r="F523" t="s">
        <v>112</v>
      </c>
      <c r="G523" s="1">
        <v>6000000</v>
      </c>
    </row>
    <row r="524" spans="1:7" x14ac:dyDescent="0.25">
      <c r="A524" s="17"/>
      <c r="C524" t="s">
        <v>47</v>
      </c>
      <c r="D524" s="19">
        <v>9090000</v>
      </c>
      <c r="G524" s="30">
        <f>SUM(G517:G523)</f>
        <v>33777860</v>
      </c>
    </row>
    <row r="525" spans="1:7" x14ac:dyDescent="0.25">
      <c r="A525" s="17"/>
      <c r="C525" t="s">
        <v>21</v>
      </c>
      <c r="D525" s="19">
        <v>764986500</v>
      </c>
      <c r="G525" s="1"/>
    </row>
    <row r="526" spans="1:7" x14ac:dyDescent="0.25">
      <c r="A526" s="17"/>
      <c r="C526" t="s">
        <v>45</v>
      </c>
      <c r="D526" s="19">
        <v>25000000</v>
      </c>
      <c r="F526" s="28" t="s">
        <v>30</v>
      </c>
      <c r="G526" s="29">
        <f>G515-G524</f>
        <v>-18943860</v>
      </c>
    </row>
    <row r="527" spans="1:7" x14ac:dyDescent="0.25">
      <c r="A527" s="17"/>
      <c r="C527" t="s">
        <v>48</v>
      </c>
      <c r="D527" s="19">
        <v>30000000</v>
      </c>
    </row>
    <row r="528" spans="1:7" x14ac:dyDescent="0.25">
      <c r="A528" s="17"/>
      <c r="C528" t="s">
        <v>68</v>
      </c>
      <c r="D528" s="19">
        <v>141000000</v>
      </c>
    </row>
    <row r="529" spans="1:7" x14ac:dyDescent="0.25">
      <c r="A529" s="17"/>
      <c r="C529" t="s">
        <v>68</v>
      </c>
      <c r="D529" s="19">
        <v>145000000</v>
      </c>
    </row>
    <row r="530" spans="1:7" x14ac:dyDescent="0.25">
      <c r="A530" s="17"/>
      <c r="C530" t="s">
        <v>313</v>
      </c>
      <c r="D530" s="20">
        <v>10000000</v>
      </c>
    </row>
    <row r="531" spans="1:7" x14ac:dyDescent="0.25">
      <c r="A531" s="17"/>
      <c r="D531" s="19">
        <f>SUM(D523:D530)</f>
        <v>3409220474</v>
      </c>
    </row>
    <row r="532" spans="1:7" x14ac:dyDescent="0.25">
      <c r="A532" s="17"/>
      <c r="D532" s="19"/>
    </row>
    <row r="533" spans="1:7" x14ac:dyDescent="0.25">
      <c r="A533" s="17"/>
      <c r="B533" s="24" t="s">
        <v>46</v>
      </c>
      <c r="D533" s="19"/>
      <c r="G533" s="1"/>
    </row>
    <row r="534" spans="1:7" x14ac:dyDescent="0.25">
      <c r="A534" s="17"/>
      <c r="C534" t="s">
        <v>323</v>
      </c>
      <c r="D534" s="20">
        <v>2410000</v>
      </c>
    </row>
    <row r="535" spans="1:7" x14ac:dyDescent="0.25">
      <c r="A535" s="17"/>
      <c r="D535" s="19">
        <f>SUM(D534:D534)</f>
        <v>2410000</v>
      </c>
    </row>
    <row r="536" spans="1:7" x14ac:dyDescent="0.25">
      <c r="A536" s="17"/>
      <c r="D536" s="19"/>
    </row>
    <row r="537" spans="1:7" x14ac:dyDescent="0.25">
      <c r="A537" s="17"/>
      <c r="B537" s="24" t="s">
        <v>43</v>
      </c>
      <c r="D537" s="19"/>
    </row>
    <row r="538" spans="1:7" x14ac:dyDescent="0.25">
      <c r="A538" s="17"/>
      <c r="C538" t="s">
        <v>321</v>
      </c>
      <c r="D538" s="20">
        <v>30100000</v>
      </c>
    </row>
    <row r="539" spans="1:7" x14ac:dyDescent="0.25">
      <c r="A539" s="17"/>
      <c r="D539" s="19">
        <f>D538</f>
        <v>30100000</v>
      </c>
    </row>
    <row r="540" spans="1:7" x14ac:dyDescent="0.25">
      <c r="A540" s="17"/>
      <c r="D540" s="19"/>
    </row>
    <row r="541" spans="1:7" x14ac:dyDescent="0.25">
      <c r="A541" s="23" t="s">
        <v>22</v>
      </c>
      <c r="D541" s="19"/>
    </row>
    <row r="542" spans="1:7" x14ac:dyDescent="0.25">
      <c r="A542" s="17"/>
      <c r="C542" t="s">
        <v>23</v>
      </c>
      <c r="D542" s="19">
        <v>1427900000</v>
      </c>
    </row>
    <row r="543" spans="1:7" x14ac:dyDescent="0.25">
      <c r="A543" s="17"/>
      <c r="C543" t="s">
        <v>24</v>
      </c>
      <c r="D543" s="19">
        <v>1594360320</v>
      </c>
    </row>
    <row r="544" spans="1:7" x14ac:dyDescent="0.25">
      <c r="A544" s="17"/>
      <c r="C544" t="s">
        <v>111</v>
      </c>
      <c r="D544" s="20">
        <v>162450000</v>
      </c>
    </row>
    <row r="545" spans="1:7" x14ac:dyDescent="0.25">
      <c r="A545" s="17"/>
      <c r="D545" s="19">
        <f>SUM(D542:D544)</f>
        <v>3184710320</v>
      </c>
      <c r="G545" s="1"/>
    </row>
    <row r="546" spans="1:7" x14ac:dyDescent="0.25">
      <c r="A546" s="17"/>
      <c r="D546" s="19"/>
      <c r="G546" s="1"/>
    </row>
    <row r="547" spans="1:7" x14ac:dyDescent="0.25">
      <c r="A547" s="43" t="s">
        <v>25</v>
      </c>
      <c r="B547" s="44"/>
      <c r="C547" s="44"/>
      <c r="D547" s="25">
        <f>D520+D531+D535+D539-D545</f>
        <v>1073718806.6999998</v>
      </c>
      <c r="G547" s="1"/>
    </row>
    <row r="548" spans="1:7" x14ac:dyDescent="0.25">
      <c r="A548" s="21"/>
      <c r="B548" s="22"/>
      <c r="C548" s="22"/>
      <c r="D548" s="20"/>
      <c r="G548" s="1"/>
    </row>
    <row r="550" spans="1:7" x14ac:dyDescent="0.25">
      <c r="A550" s="40" t="s">
        <v>13</v>
      </c>
      <c r="B550" s="40"/>
      <c r="C550" s="40"/>
      <c r="D550" s="40"/>
      <c r="G550" s="1"/>
    </row>
    <row r="551" spans="1:7" x14ac:dyDescent="0.25">
      <c r="A551" s="41" t="s">
        <v>14</v>
      </c>
      <c r="B551" s="41"/>
      <c r="C551" s="41"/>
      <c r="D551" s="41"/>
      <c r="G551" s="1"/>
    </row>
    <row r="552" spans="1:7" x14ac:dyDescent="0.25">
      <c r="A552" s="42">
        <v>45703</v>
      </c>
      <c r="B552" s="42"/>
      <c r="C552" s="42"/>
      <c r="D552" s="42"/>
      <c r="G552" s="1"/>
    </row>
    <row r="553" spans="1:7" x14ac:dyDescent="0.25">
      <c r="A553" s="13"/>
      <c r="B553" s="13"/>
      <c r="C553" s="13"/>
      <c r="D553" s="13"/>
      <c r="G553" s="1"/>
    </row>
    <row r="554" spans="1:7" x14ac:dyDescent="0.25">
      <c r="A554" s="14"/>
      <c r="B554" s="15"/>
      <c r="C554" s="15"/>
      <c r="D554" s="16"/>
      <c r="F554" s="5" t="s">
        <v>26</v>
      </c>
      <c r="G554" s="1">
        <f>D594-D547</f>
        <v>-10243500</v>
      </c>
    </row>
    <row r="555" spans="1:7" x14ac:dyDescent="0.25">
      <c r="A555" s="17"/>
      <c r="D555" s="32" t="s">
        <v>16</v>
      </c>
      <c r="G555" s="1"/>
    </row>
    <row r="556" spans="1:7" x14ac:dyDescent="0.25">
      <c r="A556" s="23" t="s">
        <v>15</v>
      </c>
      <c r="D556" s="18" t="s">
        <v>17</v>
      </c>
      <c r="F556" s="26" t="s">
        <v>27</v>
      </c>
      <c r="G556" s="1"/>
    </row>
    <row r="557" spans="1:7" x14ac:dyDescent="0.25">
      <c r="A557" s="17"/>
      <c r="B557" s="24" t="s">
        <v>18</v>
      </c>
      <c r="D557" s="19"/>
      <c r="F557" s="27" t="s">
        <v>28</v>
      </c>
      <c r="G557" s="1"/>
    </row>
    <row r="558" spans="1:7" x14ac:dyDescent="0.25">
      <c r="A558" s="17"/>
      <c r="C558" s="2" t="s">
        <v>31</v>
      </c>
      <c r="D558" s="19">
        <v>63150155.530000001</v>
      </c>
      <c r="F558" t="s">
        <v>328</v>
      </c>
      <c r="G558" s="1">
        <v>1544000</v>
      </c>
    </row>
    <row r="559" spans="1:7" x14ac:dyDescent="0.25">
      <c r="A559" s="17"/>
      <c r="C559" s="2" t="s">
        <v>32</v>
      </c>
      <c r="D559" s="19">
        <v>203111200.16999999</v>
      </c>
      <c r="G559" s="30">
        <f>SUM(G558:G558)</f>
        <v>1544000</v>
      </c>
    </row>
    <row r="560" spans="1:7" x14ac:dyDescent="0.25">
      <c r="A560" s="17"/>
      <c r="C560" s="2" t="s">
        <v>33</v>
      </c>
      <c r="D560" s="19">
        <v>293343543.39999998</v>
      </c>
      <c r="F560" s="28" t="s">
        <v>29</v>
      </c>
      <c r="G560" s="1"/>
    </row>
    <row r="561" spans="1:7" x14ac:dyDescent="0.25">
      <c r="A561" s="17"/>
      <c r="C561" s="2" t="s">
        <v>34</v>
      </c>
      <c r="D561" s="19">
        <v>89184271</v>
      </c>
      <c r="F561" t="s">
        <v>312</v>
      </c>
      <c r="G561" s="1">
        <v>2500</v>
      </c>
    </row>
    <row r="562" spans="1:7" x14ac:dyDescent="0.25">
      <c r="A562" s="17"/>
      <c r="C562" s="2" t="s">
        <v>35</v>
      </c>
      <c r="D562" s="19">
        <v>10883600</v>
      </c>
      <c r="F562" t="s">
        <v>298</v>
      </c>
      <c r="G562" s="1">
        <v>1035000</v>
      </c>
    </row>
    <row r="563" spans="1:7" x14ac:dyDescent="0.25">
      <c r="A563" s="17"/>
      <c r="C563" s="2" t="s">
        <v>36</v>
      </c>
      <c r="D563" s="19">
        <v>124786.6</v>
      </c>
      <c r="F563" t="s">
        <v>329</v>
      </c>
      <c r="G563" s="1">
        <v>750000</v>
      </c>
    </row>
    <row r="564" spans="1:7" x14ac:dyDescent="0.25">
      <c r="A564" s="17"/>
      <c r="C564" s="2" t="s">
        <v>37</v>
      </c>
      <c r="D564" s="19">
        <v>275583279</v>
      </c>
      <c r="F564" t="s">
        <v>112</v>
      </c>
      <c r="G564" s="1">
        <v>5000000</v>
      </c>
    </row>
    <row r="565" spans="1:7" x14ac:dyDescent="0.25">
      <c r="A565" s="17"/>
      <c r="C565" s="2" t="s">
        <v>51</v>
      </c>
      <c r="D565" s="20">
        <v>130317</v>
      </c>
      <c r="F565" t="s">
        <v>298</v>
      </c>
      <c r="G565" s="1">
        <v>5000000</v>
      </c>
    </row>
    <row r="566" spans="1:7" x14ac:dyDescent="0.25">
      <c r="A566" s="17"/>
      <c r="B566" s="24" t="s">
        <v>19</v>
      </c>
      <c r="D566" s="19">
        <f>SUM(D558:D565)</f>
        <v>935511152.69999993</v>
      </c>
      <c r="G566" s="30">
        <f>SUM(G561:G565)</f>
        <v>11787500</v>
      </c>
    </row>
    <row r="567" spans="1:7" x14ac:dyDescent="0.25">
      <c r="A567" s="17"/>
      <c r="D567" s="19"/>
      <c r="G567" s="1"/>
    </row>
    <row r="568" spans="1:7" x14ac:dyDescent="0.25">
      <c r="A568" s="17"/>
      <c r="B568" s="24" t="s">
        <v>20</v>
      </c>
      <c r="D568" s="19"/>
      <c r="F568" s="28" t="s">
        <v>30</v>
      </c>
      <c r="G568" s="29">
        <f>G559-G566</f>
        <v>-10243500</v>
      </c>
    </row>
    <row r="569" spans="1:7" x14ac:dyDescent="0.25">
      <c r="A569" s="17"/>
      <c r="C569" t="s">
        <v>7</v>
      </c>
      <c r="D569" s="19">
        <v>2640793974</v>
      </c>
    </row>
    <row r="570" spans="1:7" x14ac:dyDescent="0.25">
      <c r="A570" s="17"/>
      <c r="C570" t="s">
        <v>47</v>
      </c>
      <c r="D570" s="19">
        <v>9090000</v>
      </c>
    </row>
    <row r="571" spans="1:7" x14ac:dyDescent="0.25">
      <c r="A571" s="17"/>
      <c r="C571" t="s">
        <v>21</v>
      </c>
      <c r="D571" s="19">
        <v>759986500</v>
      </c>
    </row>
    <row r="572" spans="1:7" x14ac:dyDescent="0.25">
      <c r="A572" s="17"/>
      <c r="C572" t="s">
        <v>45</v>
      </c>
      <c r="D572" s="19">
        <v>25000000</v>
      </c>
    </row>
    <row r="573" spans="1:7" x14ac:dyDescent="0.25">
      <c r="A573" s="17"/>
      <c r="C573" t="s">
        <v>48</v>
      </c>
      <c r="D573" s="19">
        <v>30000000</v>
      </c>
    </row>
    <row r="574" spans="1:7" x14ac:dyDescent="0.25">
      <c r="A574" s="17"/>
      <c r="C574" t="s">
        <v>68</v>
      </c>
      <c r="D574" s="19">
        <v>141000000</v>
      </c>
    </row>
    <row r="575" spans="1:7" x14ac:dyDescent="0.25">
      <c r="A575" s="17"/>
      <c r="C575" t="s">
        <v>68</v>
      </c>
      <c r="D575" s="19">
        <v>145000000</v>
      </c>
    </row>
    <row r="576" spans="1:7" x14ac:dyDescent="0.25">
      <c r="A576" s="17"/>
      <c r="C576" t="s">
        <v>313</v>
      </c>
      <c r="D576" s="20">
        <v>10000000</v>
      </c>
    </row>
    <row r="577" spans="1:7" x14ac:dyDescent="0.25">
      <c r="A577" s="17"/>
      <c r="D577" s="19">
        <f>SUM(D569:D576)</f>
        <v>3760870474</v>
      </c>
    </row>
    <row r="578" spans="1:7" x14ac:dyDescent="0.25">
      <c r="A578" s="17"/>
      <c r="D578" s="19"/>
    </row>
    <row r="579" spans="1:7" x14ac:dyDescent="0.25">
      <c r="A579" s="17"/>
      <c r="B579" s="24" t="s">
        <v>46</v>
      </c>
      <c r="D579" s="19"/>
      <c r="G579" s="1"/>
    </row>
    <row r="580" spans="1:7" x14ac:dyDescent="0.25">
      <c r="A580" s="17"/>
      <c r="C580" t="s">
        <v>323</v>
      </c>
      <c r="D580" s="20">
        <v>2410000</v>
      </c>
    </row>
    <row r="581" spans="1:7" x14ac:dyDescent="0.25">
      <c r="A581" s="17"/>
      <c r="D581" s="19">
        <f>SUM(D580:D580)</f>
        <v>2410000</v>
      </c>
    </row>
    <row r="582" spans="1:7" x14ac:dyDescent="0.25">
      <c r="A582" s="17"/>
      <c r="D582" s="19"/>
    </row>
    <row r="583" spans="1:7" x14ac:dyDescent="0.25">
      <c r="A583" s="17"/>
      <c r="B583" s="24" t="s">
        <v>43</v>
      </c>
      <c r="D583" s="19"/>
    </row>
    <row r="584" spans="1:7" x14ac:dyDescent="0.25">
      <c r="A584" s="17"/>
      <c r="C584" t="s">
        <v>321</v>
      </c>
      <c r="D584" s="20">
        <v>30100000</v>
      </c>
    </row>
    <row r="585" spans="1:7" x14ac:dyDescent="0.25">
      <c r="A585" s="17"/>
      <c r="D585" s="19">
        <f>D584</f>
        <v>30100000</v>
      </c>
    </row>
    <row r="586" spans="1:7" x14ac:dyDescent="0.25">
      <c r="A586" s="17"/>
      <c r="D586" s="19"/>
    </row>
    <row r="587" spans="1:7" x14ac:dyDescent="0.25">
      <c r="A587" s="23" t="s">
        <v>22</v>
      </c>
      <c r="D587" s="19"/>
    </row>
    <row r="588" spans="1:7" x14ac:dyDescent="0.25">
      <c r="A588" s="17"/>
      <c r="C588" t="s">
        <v>23</v>
      </c>
      <c r="D588" s="19">
        <v>1579100000</v>
      </c>
    </row>
    <row r="589" spans="1:7" x14ac:dyDescent="0.25">
      <c r="A589" s="17"/>
      <c r="C589" t="s">
        <v>24</v>
      </c>
      <c r="D589" s="19">
        <v>1673866320</v>
      </c>
    </row>
    <row r="590" spans="1:7" x14ac:dyDescent="0.25">
      <c r="A590" s="17"/>
      <c r="C590" t="s">
        <v>190</v>
      </c>
      <c r="D590" s="19">
        <v>79200000</v>
      </c>
    </row>
    <row r="591" spans="1:7" x14ac:dyDescent="0.25">
      <c r="A591" s="17"/>
      <c r="C591" t="s">
        <v>111</v>
      </c>
      <c r="D591" s="20">
        <v>333250000</v>
      </c>
    </row>
    <row r="592" spans="1:7" x14ac:dyDescent="0.25">
      <c r="A592" s="17"/>
      <c r="D592" s="19">
        <f>SUM(D588:D591)</f>
        <v>3665416320</v>
      </c>
      <c r="G592" s="1"/>
    </row>
    <row r="593" spans="1:7" x14ac:dyDescent="0.25">
      <c r="A593" s="17"/>
      <c r="D593" s="19"/>
      <c r="G593" s="1"/>
    </row>
    <row r="594" spans="1:7" x14ac:dyDescent="0.25">
      <c r="A594" s="43" t="s">
        <v>25</v>
      </c>
      <c r="B594" s="44"/>
      <c r="C594" s="44"/>
      <c r="D594" s="25">
        <f>D566+D577+D581+D585-D592</f>
        <v>1063475306.6999998</v>
      </c>
      <c r="G594" s="1"/>
    </row>
    <row r="595" spans="1:7" x14ac:dyDescent="0.25">
      <c r="A595" s="21"/>
      <c r="B595" s="22"/>
      <c r="C595" s="22"/>
      <c r="D595" s="20"/>
      <c r="G595" s="1"/>
    </row>
    <row r="597" spans="1:7" x14ac:dyDescent="0.25">
      <c r="A597" s="40" t="s">
        <v>13</v>
      </c>
      <c r="B597" s="40"/>
      <c r="C597" s="40"/>
      <c r="D597" s="40"/>
      <c r="G597" s="1"/>
    </row>
    <row r="598" spans="1:7" x14ac:dyDescent="0.25">
      <c r="A598" s="41" t="s">
        <v>14</v>
      </c>
      <c r="B598" s="41"/>
      <c r="C598" s="41"/>
      <c r="D598" s="41"/>
      <c r="G598" s="1"/>
    </row>
    <row r="599" spans="1:7" x14ac:dyDescent="0.25">
      <c r="A599" s="42">
        <v>45705</v>
      </c>
      <c r="B599" s="42"/>
      <c r="C599" s="42"/>
      <c r="D599" s="42"/>
      <c r="G599" s="1"/>
    </row>
    <row r="600" spans="1:7" x14ac:dyDescent="0.25">
      <c r="A600" s="13"/>
      <c r="B600" s="13"/>
      <c r="C600" s="13"/>
      <c r="D600" s="13"/>
      <c r="G600" s="1"/>
    </row>
    <row r="601" spans="1:7" x14ac:dyDescent="0.25">
      <c r="A601" s="14"/>
      <c r="B601" s="15"/>
      <c r="C601" s="15"/>
      <c r="D601" s="16"/>
      <c r="F601" s="5" t="s">
        <v>26</v>
      </c>
      <c r="G601" s="1">
        <f>D637-D594</f>
        <v>-3351080</v>
      </c>
    </row>
    <row r="602" spans="1:7" x14ac:dyDescent="0.25">
      <c r="A602" s="17"/>
      <c r="D602" s="32" t="s">
        <v>16</v>
      </c>
      <c r="G602" s="1"/>
    </row>
    <row r="603" spans="1:7" x14ac:dyDescent="0.25">
      <c r="A603" s="23" t="s">
        <v>15</v>
      </c>
      <c r="D603" s="18" t="s">
        <v>17</v>
      </c>
      <c r="F603" s="26" t="s">
        <v>27</v>
      </c>
      <c r="G603" s="1"/>
    </row>
    <row r="604" spans="1:7" x14ac:dyDescent="0.25">
      <c r="A604" s="17"/>
      <c r="B604" s="24" t="s">
        <v>18</v>
      </c>
      <c r="D604" s="19"/>
      <c r="F604" s="27" t="s">
        <v>28</v>
      </c>
      <c r="G604" s="1"/>
    </row>
    <row r="605" spans="1:7" x14ac:dyDescent="0.25">
      <c r="A605" s="17"/>
      <c r="C605" s="2" t="s">
        <v>31</v>
      </c>
      <c r="D605" s="19">
        <v>108147655.53</v>
      </c>
      <c r="F605" t="s">
        <v>185</v>
      </c>
      <c r="G605" s="1">
        <v>7374000</v>
      </c>
    </row>
    <row r="606" spans="1:7" x14ac:dyDescent="0.25">
      <c r="A606" s="17"/>
      <c r="C606" s="2" t="s">
        <v>32</v>
      </c>
      <c r="D606" s="19">
        <v>203111200.16999999</v>
      </c>
      <c r="F606" t="s">
        <v>90</v>
      </c>
      <c r="G606" s="1">
        <v>190000</v>
      </c>
    </row>
    <row r="607" spans="1:7" x14ac:dyDescent="0.25">
      <c r="A607" s="17"/>
      <c r="C607" s="2" t="s">
        <v>33</v>
      </c>
      <c r="D607" s="19">
        <v>411103643.39999998</v>
      </c>
      <c r="F607" t="s">
        <v>332</v>
      </c>
      <c r="G607" s="1">
        <v>88000</v>
      </c>
    </row>
    <row r="608" spans="1:7" x14ac:dyDescent="0.25">
      <c r="A608" s="17"/>
      <c r="C608" s="2" t="s">
        <v>34</v>
      </c>
      <c r="D608" s="19">
        <v>98084271</v>
      </c>
      <c r="G608" s="30">
        <f>SUM(G605:G607)</f>
        <v>7652000</v>
      </c>
    </row>
    <row r="609" spans="1:7" x14ac:dyDescent="0.25">
      <c r="A609" s="17"/>
      <c r="C609" s="2" t="s">
        <v>35</v>
      </c>
      <c r="D609" s="19">
        <v>10883600</v>
      </c>
      <c r="F609" s="28" t="s">
        <v>29</v>
      </c>
      <c r="G609" s="1"/>
    </row>
    <row r="610" spans="1:7" x14ac:dyDescent="0.25">
      <c r="A610" s="17"/>
      <c r="C610" s="2" t="s">
        <v>36</v>
      </c>
      <c r="D610" s="19">
        <v>124786.6</v>
      </c>
      <c r="F610" t="s">
        <v>298</v>
      </c>
      <c r="G610" s="1">
        <v>2000000</v>
      </c>
    </row>
    <row r="611" spans="1:7" x14ac:dyDescent="0.25">
      <c r="A611" s="17"/>
      <c r="C611" s="2" t="s">
        <v>37</v>
      </c>
      <c r="D611" s="19">
        <v>385083279</v>
      </c>
      <c r="F611" t="s">
        <v>330</v>
      </c>
      <c r="G611" s="1">
        <v>900000</v>
      </c>
    </row>
    <row r="612" spans="1:7" x14ac:dyDescent="0.25">
      <c r="A612" s="17"/>
      <c r="C612" s="2" t="s">
        <v>51</v>
      </c>
      <c r="D612" s="20">
        <v>130317</v>
      </c>
      <c r="F612" t="s">
        <v>331</v>
      </c>
      <c r="G612" s="1">
        <v>87500</v>
      </c>
    </row>
    <row r="613" spans="1:7" x14ac:dyDescent="0.25">
      <c r="A613" s="17"/>
      <c r="B613" s="24" t="s">
        <v>19</v>
      </c>
      <c r="D613" s="19">
        <f>SUM(D605:D612)</f>
        <v>1216668752.6999998</v>
      </c>
      <c r="F613" t="s">
        <v>49</v>
      </c>
      <c r="G613" s="1">
        <v>2500</v>
      </c>
    </row>
    <row r="614" spans="1:7" x14ac:dyDescent="0.25">
      <c r="A614" s="17"/>
      <c r="D614" s="19"/>
      <c r="F614" t="s">
        <v>298</v>
      </c>
      <c r="G614" s="1">
        <v>850000</v>
      </c>
    </row>
    <row r="615" spans="1:7" x14ac:dyDescent="0.25">
      <c r="A615" s="17"/>
      <c r="B615" s="24" t="s">
        <v>20</v>
      </c>
      <c r="D615" s="19"/>
      <c r="F615" t="s">
        <v>312</v>
      </c>
      <c r="G615" s="1">
        <v>2500</v>
      </c>
    </row>
    <row r="616" spans="1:7" x14ac:dyDescent="0.25">
      <c r="A616" s="17"/>
      <c r="C616" t="s">
        <v>7</v>
      </c>
      <c r="D616" s="19">
        <v>2754453974</v>
      </c>
      <c r="F616" t="s">
        <v>318</v>
      </c>
      <c r="G616" s="1">
        <v>7160580</v>
      </c>
    </row>
    <row r="617" spans="1:7" x14ac:dyDescent="0.25">
      <c r="A617" s="17"/>
      <c r="C617" t="s">
        <v>47</v>
      </c>
      <c r="D617" s="19">
        <v>11690000</v>
      </c>
      <c r="G617" s="30">
        <f>SUM(G610:G616)</f>
        <v>11003080</v>
      </c>
    </row>
    <row r="618" spans="1:7" x14ac:dyDescent="0.25">
      <c r="A618" s="17"/>
      <c r="C618" t="s">
        <v>21</v>
      </c>
      <c r="D618" s="19">
        <v>680486500</v>
      </c>
      <c r="G618" s="1"/>
    </row>
    <row r="619" spans="1:7" x14ac:dyDescent="0.25">
      <c r="A619" s="17"/>
      <c r="C619" t="s">
        <v>45</v>
      </c>
      <c r="D619" s="19">
        <v>25000000</v>
      </c>
      <c r="F619" s="28" t="s">
        <v>30</v>
      </c>
      <c r="G619" s="29">
        <f>G608-G617</f>
        <v>-3351080</v>
      </c>
    </row>
    <row r="620" spans="1:7" x14ac:dyDescent="0.25">
      <c r="A620" s="17"/>
      <c r="C620" t="s">
        <v>48</v>
      </c>
      <c r="D620" s="19">
        <v>30000000</v>
      </c>
    </row>
    <row r="621" spans="1:7" x14ac:dyDescent="0.25">
      <c r="A621" s="17"/>
      <c r="C621" t="s">
        <v>68</v>
      </c>
      <c r="D621" s="19">
        <v>141000000</v>
      </c>
    </row>
    <row r="622" spans="1:7" x14ac:dyDescent="0.25">
      <c r="A622" s="17"/>
      <c r="C622" t="s">
        <v>68</v>
      </c>
      <c r="D622" s="19">
        <v>145000000</v>
      </c>
    </row>
    <row r="623" spans="1:7" x14ac:dyDescent="0.25">
      <c r="A623" s="17"/>
      <c r="C623" t="s">
        <v>290</v>
      </c>
      <c r="D623" s="19">
        <v>30000000</v>
      </c>
    </row>
    <row r="624" spans="1:7" x14ac:dyDescent="0.25">
      <c r="A624" s="17"/>
      <c r="C624" t="s">
        <v>313</v>
      </c>
      <c r="D624" s="20">
        <v>10000000</v>
      </c>
    </row>
    <row r="625" spans="1:7" x14ac:dyDescent="0.25">
      <c r="A625" s="17"/>
      <c r="D625" s="19">
        <f>SUM(D616:D624)</f>
        <v>3827630474</v>
      </c>
    </row>
    <row r="626" spans="1:7" x14ac:dyDescent="0.25">
      <c r="A626" s="17"/>
      <c r="D626" s="19"/>
    </row>
    <row r="627" spans="1:7" x14ac:dyDescent="0.25">
      <c r="A627" s="17"/>
      <c r="B627" s="24" t="s">
        <v>43</v>
      </c>
      <c r="D627" s="19"/>
    </row>
    <row r="628" spans="1:7" x14ac:dyDescent="0.25">
      <c r="A628" s="17"/>
      <c r="C628" t="s">
        <v>321</v>
      </c>
      <c r="D628" s="20">
        <v>30100000</v>
      </c>
    </row>
    <row r="629" spans="1:7" x14ac:dyDescent="0.25">
      <c r="A629" s="17"/>
      <c r="D629" s="19">
        <f>D628</f>
        <v>30100000</v>
      </c>
    </row>
    <row r="630" spans="1:7" x14ac:dyDescent="0.25">
      <c r="A630" s="17"/>
      <c r="D630" s="19"/>
    </row>
    <row r="631" spans="1:7" x14ac:dyDescent="0.25">
      <c r="A631" s="23" t="s">
        <v>22</v>
      </c>
      <c r="D631" s="19"/>
    </row>
    <row r="632" spans="1:7" x14ac:dyDescent="0.25">
      <c r="A632" s="17"/>
      <c r="C632" t="s">
        <v>23</v>
      </c>
      <c r="D632" s="19">
        <v>2187100000</v>
      </c>
    </row>
    <row r="633" spans="1:7" x14ac:dyDescent="0.25">
      <c r="A633" s="17"/>
      <c r="C633" t="s">
        <v>24</v>
      </c>
      <c r="D633" s="19">
        <v>1656375000</v>
      </c>
    </row>
    <row r="634" spans="1:7" x14ac:dyDescent="0.25">
      <c r="A634" s="17"/>
      <c r="C634" t="s">
        <v>111</v>
      </c>
      <c r="D634" s="20">
        <v>170800000</v>
      </c>
    </row>
    <row r="635" spans="1:7" x14ac:dyDescent="0.25">
      <c r="A635" s="17"/>
      <c r="D635" s="19">
        <f>SUM(D632:D634)</f>
        <v>4014275000</v>
      </c>
      <c r="G635" s="1"/>
    </row>
    <row r="636" spans="1:7" x14ac:dyDescent="0.25">
      <c r="A636" s="17"/>
      <c r="D636" s="19"/>
      <c r="G636" s="1"/>
    </row>
    <row r="637" spans="1:7" x14ac:dyDescent="0.25">
      <c r="A637" s="43" t="s">
        <v>25</v>
      </c>
      <c r="B637" s="44"/>
      <c r="C637" s="44"/>
      <c r="D637" s="25">
        <f>D613+D625+D629-D635</f>
        <v>1060124226.6999998</v>
      </c>
      <c r="G637" s="1"/>
    </row>
    <row r="638" spans="1:7" x14ac:dyDescent="0.25">
      <c r="A638" s="21"/>
      <c r="B638" s="22"/>
      <c r="C638" s="22"/>
      <c r="D638" s="20"/>
      <c r="G638" s="1"/>
    </row>
    <row r="640" spans="1:7" x14ac:dyDescent="0.25">
      <c r="A640" s="40" t="s">
        <v>13</v>
      </c>
      <c r="B640" s="40"/>
      <c r="C640" s="40"/>
      <c r="D640" s="40"/>
      <c r="G640" s="1"/>
    </row>
    <row r="641" spans="1:7" x14ac:dyDescent="0.25">
      <c r="A641" s="41" t="s">
        <v>14</v>
      </c>
      <c r="B641" s="41"/>
      <c r="C641" s="41"/>
      <c r="D641" s="41"/>
      <c r="G641" s="1"/>
    </row>
    <row r="642" spans="1:7" x14ac:dyDescent="0.25">
      <c r="A642" s="42">
        <v>45706</v>
      </c>
      <c r="B642" s="42"/>
      <c r="C642" s="42"/>
      <c r="D642" s="42"/>
      <c r="G642" s="1"/>
    </row>
    <row r="643" spans="1:7" x14ac:dyDescent="0.25">
      <c r="A643" s="13"/>
      <c r="B643" s="13"/>
      <c r="C643" s="13"/>
      <c r="D643" s="13"/>
      <c r="G643" s="1"/>
    </row>
    <row r="644" spans="1:7" x14ac:dyDescent="0.25">
      <c r="A644" s="14"/>
      <c r="B644" s="15"/>
      <c r="C644" s="15"/>
      <c r="D644" s="16"/>
      <c r="F644" s="5" t="s">
        <v>26</v>
      </c>
      <c r="G644" s="1">
        <f>D680-D637</f>
        <v>2117000</v>
      </c>
    </row>
    <row r="645" spans="1:7" x14ac:dyDescent="0.25">
      <c r="A645" s="17"/>
      <c r="D645" s="32" t="s">
        <v>16</v>
      </c>
      <c r="G645" s="1"/>
    </row>
    <row r="646" spans="1:7" x14ac:dyDescent="0.25">
      <c r="A646" s="23" t="s">
        <v>15</v>
      </c>
      <c r="D646" s="18" t="s">
        <v>17</v>
      </c>
      <c r="F646" s="26" t="s">
        <v>27</v>
      </c>
      <c r="G646" s="1"/>
    </row>
    <row r="647" spans="1:7" x14ac:dyDescent="0.25">
      <c r="A647" s="17"/>
      <c r="B647" s="24" t="s">
        <v>18</v>
      </c>
      <c r="D647" s="19"/>
      <c r="F647" s="27" t="s">
        <v>28</v>
      </c>
      <c r="G647" s="1"/>
    </row>
    <row r="648" spans="1:7" x14ac:dyDescent="0.25">
      <c r="A648" s="17"/>
      <c r="C648" s="2" t="s">
        <v>31</v>
      </c>
      <c r="D648" s="19">
        <v>2297655.5299999998</v>
      </c>
      <c r="F648" t="s">
        <v>191</v>
      </c>
      <c r="G648" s="1">
        <v>3950000</v>
      </c>
    </row>
    <row r="649" spans="1:7" x14ac:dyDescent="0.25">
      <c r="A649" s="17"/>
      <c r="C649" s="2" t="s">
        <v>32</v>
      </c>
      <c r="D649" s="19">
        <v>205711200.16999999</v>
      </c>
      <c r="F649" t="s">
        <v>335</v>
      </c>
      <c r="G649" s="1">
        <v>425000</v>
      </c>
    </row>
    <row r="650" spans="1:7" x14ac:dyDescent="0.25">
      <c r="A650" s="17"/>
      <c r="C650" s="2" t="s">
        <v>33</v>
      </c>
      <c r="D650" s="19">
        <v>315603643.39999998</v>
      </c>
      <c r="G650" s="30">
        <f>SUM(G648:G649)</f>
        <v>4375000</v>
      </c>
    </row>
    <row r="651" spans="1:7" x14ac:dyDescent="0.25">
      <c r="A651" s="17"/>
      <c r="C651" s="2" t="s">
        <v>34</v>
      </c>
      <c r="D651" s="19">
        <v>4084271</v>
      </c>
      <c r="F651" s="28" t="s">
        <v>29</v>
      </c>
      <c r="G651" s="1"/>
    </row>
    <row r="652" spans="1:7" x14ac:dyDescent="0.25">
      <c r="A652" s="17"/>
      <c r="C652" s="2" t="s">
        <v>35</v>
      </c>
      <c r="D652" s="19">
        <v>10875600</v>
      </c>
      <c r="F652" t="s">
        <v>333</v>
      </c>
      <c r="G652" s="1">
        <v>8000</v>
      </c>
    </row>
    <row r="653" spans="1:7" x14ac:dyDescent="0.25">
      <c r="A653" s="17"/>
      <c r="C653" s="2" t="s">
        <v>36</v>
      </c>
      <c r="D653" s="19">
        <v>89624786.599999994</v>
      </c>
      <c r="F653" t="s">
        <v>2</v>
      </c>
      <c r="G653" s="1">
        <v>2250000</v>
      </c>
    </row>
    <row r="654" spans="1:7" x14ac:dyDescent="0.25">
      <c r="A654" s="17"/>
      <c r="C654" s="2" t="s">
        <v>37</v>
      </c>
      <c r="D654" s="19">
        <v>260083279</v>
      </c>
      <c r="G654" s="30">
        <f>SUM(G652:G653)</f>
        <v>2258000</v>
      </c>
    </row>
    <row r="655" spans="1:7" x14ac:dyDescent="0.25">
      <c r="A655" s="17"/>
      <c r="C655" s="2" t="s">
        <v>51</v>
      </c>
      <c r="D655" s="20">
        <v>130317</v>
      </c>
      <c r="G655" s="1"/>
    </row>
    <row r="656" spans="1:7" x14ac:dyDescent="0.25">
      <c r="A656" s="17"/>
      <c r="B656" s="24" t="s">
        <v>19</v>
      </c>
      <c r="D656" s="19">
        <f>SUM(D648:D655)</f>
        <v>888410752.69999993</v>
      </c>
      <c r="F656" s="28" t="s">
        <v>30</v>
      </c>
      <c r="G656" s="29">
        <f>G650-G654</f>
        <v>2117000</v>
      </c>
    </row>
    <row r="657" spans="1:4" x14ac:dyDescent="0.25">
      <c r="A657" s="17"/>
      <c r="D657" s="19"/>
    </row>
    <row r="658" spans="1:4" x14ac:dyDescent="0.25">
      <c r="A658" s="17"/>
      <c r="B658" s="24" t="s">
        <v>20</v>
      </c>
      <c r="D658" s="19"/>
    </row>
    <row r="659" spans="1:4" x14ac:dyDescent="0.25">
      <c r="A659" s="17"/>
      <c r="C659" t="s">
        <v>7</v>
      </c>
      <c r="D659" s="19">
        <v>3031378974</v>
      </c>
    </row>
    <row r="660" spans="1:4" x14ac:dyDescent="0.25">
      <c r="A660" s="17"/>
      <c r="C660" t="s">
        <v>47</v>
      </c>
      <c r="D660" s="19">
        <v>9090000</v>
      </c>
    </row>
    <row r="661" spans="1:4" x14ac:dyDescent="0.25">
      <c r="A661" s="17"/>
      <c r="C661" t="s">
        <v>21</v>
      </c>
      <c r="D661" s="19">
        <v>680486500</v>
      </c>
    </row>
    <row r="662" spans="1:4" x14ac:dyDescent="0.25">
      <c r="A662" s="17"/>
      <c r="C662" t="s">
        <v>45</v>
      </c>
      <c r="D662" s="19">
        <v>25000000</v>
      </c>
    </row>
    <row r="663" spans="1:4" x14ac:dyDescent="0.25">
      <c r="A663" s="17"/>
      <c r="C663" t="s">
        <v>48</v>
      </c>
      <c r="D663" s="19">
        <v>30000000</v>
      </c>
    </row>
    <row r="664" spans="1:4" x14ac:dyDescent="0.25">
      <c r="A664" s="17"/>
      <c r="C664" t="s">
        <v>68</v>
      </c>
      <c r="D664" s="19">
        <v>141000000</v>
      </c>
    </row>
    <row r="665" spans="1:4" x14ac:dyDescent="0.25">
      <c r="A665" s="17"/>
      <c r="C665" t="s">
        <v>68</v>
      </c>
      <c r="D665" s="19">
        <v>145000000</v>
      </c>
    </row>
    <row r="666" spans="1:4" x14ac:dyDescent="0.25">
      <c r="A666" s="17"/>
      <c r="C666" t="s">
        <v>290</v>
      </c>
      <c r="D666" s="19">
        <v>30000000</v>
      </c>
    </row>
    <row r="667" spans="1:4" x14ac:dyDescent="0.25">
      <c r="A667" s="17"/>
      <c r="C667" t="s">
        <v>313</v>
      </c>
      <c r="D667" s="20">
        <v>10000000</v>
      </c>
    </row>
    <row r="668" spans="1:4" x14ac:dyDescent="0.25">
      <c r="A668" s="17"/>
      <c r="D668" s="19">
        <f>SUM(D659:D667)</f>
        <v>4101955474</v>
      </c>
    </row>
    <row r="669" spans="1:4" x14ac:dyDescent="0.25">
      <c r="A669" s="17"/>
      <c r="D669" s="19"/>
    </row>
    <row r="670" spans="1:4" x14ac:dyDescent="0.25">
      <c r="A670" s="17"/>
      <c r="B670" s="24" t="s">
        <v>43</v>
      </c>
      <c r="D670" s="19"/>
    </row>
    <row r="671" spans="1:4" x14ac:dyDescent="0.25">
      <c r="A671" s="17"/>
      <c r="C671" t="s">
        <v>321</v>
      </c>
      <c r="D671" s="20">
        <v>30100000</v>
      </c>
    </row>
    <row r="672" spans="1:4" x14ac:dyDescent="0.25">
      <c r="A672" s="17"/>
      <c r="D672" s="19">
        <f>D671</f>
        <v>30100000</v>
      </c>
    </row>
    <row r="673" spans="1:7" x14ac:dyDescent="0.25">
      <c r="A673" s="17"/>
      <c r="D673" s="19"/>
    </row>
    <row r="674" spans="1:7" x14ac:dyDescent="0.25">
      <c r="A674" s="23" t="s">
        <v>22</v>
      </c>
      <c r="D674" s="19"/>
    </row>
    <row r="675" spans="1:7" x14ac:dyDescent="0.25">
      <c r="A675" s="17"/>
      <c r="C675" t="s">
        <v>23</v>
      </c>
      <c r="D675" s="19">
        <v>2131850000</v>
      </c>
    </row>
    <row r="676" spans="1:7" x14ac:dyDescent="0.25">
      <c r="A676" s="17"/>
      <c r="C676" t="s">
        <v>24</v>
      </c>
      <c r="D676" s="19">
        <v>1656375000</v>
      </c>
    </row>
    <row r="677" spans="1:7" x14ac:dyDescent="0.25">
      <c r="A677" s="17"/>
      <c r="C677" t="s">
        <v>111</v>
      </c>
      <c r="D677" s="20">
        <v>170000000</v>
      </c>
    </row>
    <row r="678" spans="1:7" x14ac:dyDescent="0.25">
      <c r="A678" s="17"/>
      <c r="D678" s="19">
        <f>SUM(D675:D677)</f>
        <v>3958225000</v>
      </c>
      <c r="G678" s="1"/>
    </row>
    <row r="679" spans="1:7" x14ac:dyDescent="0.25">
      <c r="A679" s="17"/>
      <c r="D679" s="19"/>
      <c r="G679" s="1"/>
    </row>
    <row r="680" spans="1:7" x14ac:dyDescent="0.25">
      <c r="A680" s="43" t="s">
        <v>25</v>
      </c>
      <c r="B680" s="44"/>
      <c r="C680" s="44"/>
      <c r="D680" s="25">
        <f>D656+D668+D672-D678</f>
        <v>1062241226.6999998</v>
      </c>
      <c r="G680" s="1"/>
    </row>
    <row r="681" spans="1:7" x14ac:dyDescent="0.25">
      <c r="A681" s="21"/>
      <c r="B681" s="22"/>
      <c r="C681" s="22"/>
      <c r="D681" s="20"/>
      <c r="G681" s="1"/>
    </row>
    <row r="683" spans="1:7" x14ac:dyDescent="0.25">
      <c r="A683" s="40" t="s">
        <v>13</v>
      </c>
      <c r="B683" s="40"/>
      <c r="C683" s="40"/>
      <c r="D683" s="40"/>
      <c r="G683" s="1"/>
    </row>
    <row r="684" spans="1:7" x14ac:dyDescent="0.25">
      <c r="A684" s="41" t="s">
        <v>14</v>
      </c>
      <c r="B684" s="41"/>
      <c r="C684" s="41"/>
      <c r="D684" s="41"/>
      <c r="G684" s="1"/>
    </row>
    <row r="685" spans="1:7" x14ac:dyDescent="0.25">
      <c r="A685" s="42">
        <v>45707</v>
      </c>
      <c r="B685" s="42"/>
      <c r="C685" s="42"/>
      <c r="D685" s="42"/>
      <c r="G685" s="1"/>
    </row>
    <row r="686" spans="1:7" x14ac:dyDescent="0.25">
      <c r="A686" s="13"/>
      <c r="B686" s="13"/>
      <c r="C686" s="13"/>
      <c r="D686" s="13"/>
      <c r="G686" s="1"/>
    </row>
    <row r="687" spans="1:7" x14ac:dyDescent="0.25">
      <c r="A687" s="14"/>
      <c r="B687" s="15"/>
      <c r="C687" s="15"/>
      <c r="D687" s="16"/>
      <c r="F687" s="5" t="s">
        <v>26</v>
      </c>
      <c r="G687" s="1">
        <f>D723-D680</f>
        <v>-4223500</v>
      </c>
    </row>
    <row r="688" spans="1:7" x14ac:dyDescent="0.25">
      <c r="A688" s="17"/>
      <c r="D688" s="32" t="s">
        <v>16</v>
      </c>
      <c r="G688" s="1"/>
    </row>
    <row r="689" spans="1:7" x14ac:dyDescent="0.25">
      <c r="A689" s="23" t="s">
        <v>15</v>
      </c>
      <c r="D689" s="18" t="s">
        <v>17</v>
      </c>
      <c r="F689" s="26" t="s">
        <v>27</v>
      </c>
      <c r="G689" s="1"/>
    </row>
    <row r="690" spans="1:7" x14ac:dyDescent="0.25">
      <c r="A690" s="17"/>
      <c r="B690" s="24" t="s">
        <v>18</v>
      </c>
      <c r="D690" s="19"/>
      <c r="F690" s="27" t="s">
        <v>28</v>
      </c>
      <c r="G690" s="1"/>
    </row>
    <row r="691" spans="1:7" x14ac:dyDescent="0.25">
      <c r="A691" s="17"/>
      <c r="C691" s="2" t="s">
        <v>31</v>
      </c>
      <c r="D691" s="19">
        <v>6597655.5300000003</v>
      </c>
      <c r="F691" t="s">
        <v>336</v>
      </c>
      <c r="G691" s="1">
        <v>-1906000</v>
      </c>
    </row>
    <row r="692" spans="1:7" x14ac:dyDescent="0.25">
      <c r="A692" s="17"/>
      <c r="C692" s="2" t="s">
        <v>32</v>
      </c>
      <c r="D692" s="19">
        <v>37011200.170000002</v>
      </c>
      <c r="F692" t="s">
        <v>90</v>
      </c>
      <c r="G692" s="1">
        <v>1937500</v>
      </c>
    </row>
    <row r="693" spans="1:7" x14ac:dyDescent="0.25">
      <c r="A693" s="17"/>
      <c r="C693" s="2" t="s">
        <v>33</v>
      </c>
      <c r="D693" s="19">
        <v>412778643.39999998</v>
      </c>
      <c r="F693" t="s">
        <v>337</v>
      </c>
      <c r="G693" s="1">
        <v>225000</v>
      </c>
    </row>
    <row r="694" spans="1:7" x14ac:dyDescent="0.25">
      <c r="A694" s="17"/>
      <c r="C694" s="2" t="s">
        <v>34</v>
      </c>
      <c r="D694" s="19">
        <v>86759271</v>
      </c>
      <c r="G694" s="30">
        <f>SUM(G691:G693)</f>
        <v>256500</v>
      </c>
    </row>
    <row r="695" spans="1:7" x14ac:dyDescent="0.25">
      <c r="A695" s="17"/>
      <c r="C695" s="2" t="s">
        <v>35</v>
      </c>
      <c r="D695" s="19">
        <v>10875600</v>
      </c>
      <c r="F695" s="28" t="s">
        <v>29</v>
      </c>
      <c r="G695" s="1"/>
    </row>
    <row r="696" spans="1:7" x14ac:dyDescent="0.25">
      <c r="A696" s="17"/>
      <c r="C696" s="2" t="s">
        <v>36</v>
      </c>
      <c r="D696" s="19">
        <v>89624786.599999994</v>
      </c>
      <c r="F696" t="s">
        <v>339</v>
      </c>
      <c r="G696" s="1">
        <v>1000000</v>
      </c>
    </row>
    <row r="697" spans="1:7" x14ac:dyDescent="0.25">
      <c r="A697" s="17"/>
      <c r="C697" s="2" t="s">
        <v>37</v>
      </c>
      <c r="D697" s="19">
        <v>314913279</v>
      </c>
      <c r="F697" t="s">
        <v>340</v>
      </c>
      <c r="G697" s="1">
        <v>3480000</v>
      </c>
    </row>
    <row r="698" spans="1:7" x14ac:dyDescent="0.25">
      <c r="A698" s="17"/>
      <c r="C698" s="2" t="s">
        <v>51</v>
      </c>
      <c r="D698" s="20">
        <v>130317</v>
      </c>
      <c r="G698" s="30">
        <f>SUM(G696:G697)</f>
        <v>4480000</v>
      </c>
    </row>
    <row r="699" spans="1:7" x14ac:dyDescent="0.25">
      <c r="A699" s="17"/>
      <c r="B699" s="24" t="s">
        <v>19</v>
      </c>
      <c r="D699" s="19">
        <f>SUM(D691:D698)</f>
        <v>958690752.69999993</v>
      </c>
      <c r="G699" s="1"/>
    </row>
    <row r="700" spans="1:7" x14ac:dyDescent="0.25">
      <c r="A700" s="17"/>
      <c r="D700" s="19"/>
      <c r="F700" s="28" t="s">
        <v>30</v>
      </c>
      <c r="G700" s="29">
        <f>G694-G698</f>
        <v>-4223500</v>
      </c>
    </row>
    <row r="701" spans="1:7" x14ac:dyDescent="0.25">
      <c r="A701" s="17"/>
      <c r="B701" s="24" t="s">
        <v>20</v>
      </c>
      <c r="D701" s="19"/>
    </row>
    <row r="702" spans="1:7" x14ac:dyDescent="0.25">
      <c r="A702" s="17"/>
      <c r="C702" t="s">
        <v>7</v>
      </c>
      <c r="D702" s="19">
        <v>2739453974</v>
      </c>
    </row>
    <row r="703" spans="1:7" x14ac:dyDescent="0.25">
      <c r="A703" s="17"/>
      <c r="C703" t="s">
        <v>47</v>
      </c>
      <c r="D703" s="19">
        <v>50190000</v>
      </c>
    </row>
    <row r="704" spans="1:7" x14ac:dyDescent="0.25">
      <c r="A704" s="17"/>
      <c r="C704" t="s">
        <v>21</v>
      </c>
      <c r="D704" s="19">
        <v>740526500</v>
      </c>
    </row>
    <row r="705" spans="1:4" x14ac:dyDescent="0.25">
      <c r="A705" s="17"/>
      <c r="C705" t="s">
        <v>45</v>
      </c>
      <c r="D705" s="19">
        <v>25000000</v>
      </c>
    </row>
    <row r="706" spans="1:4" x14ac:dyDescent="0.25">
      <c r="A706" s="17"/>
      <c r="C706" t="s">
        <v>48</v>
      </c>
      <c r="D706" s="19">
        <v>30000000</v>
      </c>
    </row>
    <row r="707" spans="1:4" x14ac:dyDescent="0.25">
      <c r="A707" s="17"/>
      <c r="C707" t="s">
        <v>68</v>
      </c>
      <c r="D707" s="19">
        <v>141000000</v>
      </c>
    </row>
    <row r="708" spans="1:4" x14ac:dyDescent="0.25">
      <c r="A708" s="17"/>
      <c r="C708" t="s">
        <v>68</v>
      </c>
      <c r="D708" s="19">
        <v>145000000</v>
      </c>
    </row>
    <row r="709" spans="1:4" x14ac:dyDescent="0.25">
      <c r="A709" s="17"/>
      <c r="C709" t="s">
        <v>290</v>
      </c>
      <c r="D709" s="19">
        <v>30000000</v>
      </c>
    </row>
    <row r="710" spans="1:4" x14ac:dyDescent="0.25">
      <c r="A710" s="17"/>
      <c r="C710" t="s">
        <v>313</v>
      </c>
      <c r="D710" s="20">
        <v>10000000</v>
      </c>
    </row>
    <row r="711" spans="1:4" x14ac:dyDescent="0.25">
      <c r="A711" s="17"/>
      <c r="D711" s="19">
        <f>SUM(D702:D710)</f>
        <v>3911170474</v>
      </c>
    </row>
    <row r="712" spans="1:4" x14ac:dyDescent="0.25">
      <c r="A712" s="17"/>
      <c r="D712" s="19"/>
    </row>
    <row r="713" spans="1:4" x14ac:dyDescent="0.25">
      <c r="A713" s="17"/>
      <c r="B713" s="24" t="s">
        <v>46</v>
      </c>
      <c r="D713" s="19"/>
    </row>
    <row r="714" spans="1:4" x14ac:dyDescent="0.25">
      <c r="A714" s="17"/>
      <c r="C714" t="s">
        <v>338</v>
      </c>
      <c r="D714" s="20">
        <v>129537500</v>
      </c>
    </row>
    <row r="715" spans="1:4" x14ac:dyDescent="0.25">
      <c r="A715" s="17"/>
      <c r="D715" s="19">
        <f>D714</f>
        <v>129537500</v>
      </c>
    </row>
    <row r="716" spans="1:4" x14ac:dyDescent="0.25">
      <c r="A716" s="17"/>
      <c r="D716" s="19"/>
    </row>
    <row r="717" spans="1:4" x14ac:dyDescent="0.25">
      <c r="A717" s="23" t="s">
        <v>22</v>
      </c>
      <c r="D717" s="19"/>
    </row>
    <row r="718" spans="1:4" x14ac:dyDescent="0.25">
      <c r="A718" s="17"/>
      <c r="C718" t="s">
        <v>23</v>
      </c>
      <c r="D718" s="19">
        <v>2148950000</v>
      </c>
    </row>
    <row r="719" spans="1:4" x14ac:dyDescent="0.25">
      <c r="A719" s="17"/>
      <c r="C719" t="s">
        <v>24</v>
      </c>
      <c r="D719" s="19">
        <v>1735881000</v>
      </c>
    </row>
    <row r="720" spans="1:4" x14ac:dyDescent="0.25">
      <c r="A720" s="17"/>
      <c r="C720" t="s">
        <v>44</v>
      </c>
      <c r="D720" s="20">
        <v>56550000</v>
      </c>
    </row>
    <row r="721" spans="1:7" x14ac:dyDescent="0.25">
      <c r="A721" s="17"/>
      <c r="D721" s="19">
        <f>SUM(D718:D720)</f>
        <v>3941381000</v>
      </c>
      <c r="G721" s="1"/>
    </row>
    <row r="722" spans="1:7" x14ac:dyDescent="0.25">
      <c r="A722" s="17"/>
      <c r="D722" s="19"/>
      <c r="G722" s="1"/>
    </row>
    <row r="723" spans="1:7" x14ac:dyDescent="0.25">
      <c r="A723" s="43" t="s">
        <v>25</v>
      </c>
      <c r="B723" s="44"/>
      <c r="C723" s="44"/>
      <c r="D723" s="25">
        <f>D699+D711+D715-D721</f>
        <v>1058017726.6999998</v>
      </c>
      <c r="G723" s="1"/>
    </row>
    <row r="724" spans="1:7" x14ac:dyDescent="0.25">
      <c r="A724" s="21"/>
      <c r="B724" s="22"/>
      <c r="C724" s="22"/>
      <c r="D724" s="20"/>
      <c r="G724" s="1"/>
    </row>
    <row r="726" spans="1:7" x14ac:dyDescent="0.25">
      <c r="A726" s="40" t="s">
        <v>13</v>
      </c>
      <c r="B726" s="40"/>
      <c r="C726" s="40"/>
      <c r="D726" s="40"/>
      <c r="G726" s="1"/>
    </row>
    <row r="727" spans="1:7" x14ac:dyDescent="0.25">
      <c r="A727" s="41" t="s">
        <v>14</v>
      </c>
      <c r="B727" s="41"/>
      <c r="C727" s="41"/>
      <c r="D727" s="41"/>
      <c r="G727" s="1"/>
    </row>
    <row r="728" spans="1:7" x14ac:dyDescent="0.25">
      <c r="A728" s="42">
        <v>45708</v>
      </c>
      <c r="B728" s="42"/>
      <c r="C728" s="42"/>
      <c r="D728" s="42"/>
      <c r="G728" s="1"/>
    </row>
    <row r="729" spans="1:7" x14ac:dyDescent="0.25">
      <c r="A729" s="13"/>
      <c r="B729" s="13"/>
      <c r="C729" s="13"/>
      <c r="D729" s="13"/>
      <c r="G729" s="1"/>
    </row>
    <row r="730" spans="1:7" x14ac:dyDescent="0.25">
      <c r="A730" s="14"/>
      <c r="B730" s="15"/>
      <c r="C730" s="15"/>
      <c r="D730" s="16"/>
      <c r="F730" s="5" t="s">
        <v>26</v>
      </c>
      <c r="G730" s="1">
        <f>D766-D723</f>
        <v>-12700000</v>
      </c>
    </row>
    <row r="731" spans="1:7" x14ac:dyDescent="0.25">
      <c r="A731" s="17"/>
      <c r="D731" s="32" t="s">
        <v>16</v>
      </c>
      <c r="G731" s="1"/>
    </row>
    <row r="732" spans="1:7" x14ac:dyDescent="0.25">
      <c r="A732" s="23" t="s">
        <v>15</v>
      </c>
      <c r="D732" s="18" t="s">
        <v>17</v>
      </c>
      <c r="F732" s="26" t="s">
        <v>27</v>
      </c>
      <c r="G732" s="1"/>
    </row>
    <row r="733" spans="1:7" x14ac:dyDescent="0.25">
      <c r="A733" s="17"/>
      <c r="B733" s="24" t="s">
        <v>18</v>
      </c>
      <c r="D733" s="19"/>
      <c r="F733" s="27" t="s">
        <v>28</v>
      </c>
      <c r="G733" s="1"/>
    </row>
    <row r="734" spans="1:7" x14ac:dyDescent="0.25">
      <c r="A734" s="17"/>
      <c r="C734" s="2" t="s">
        <v>31</v>
      </c>
      <c r="D734" s="19">
        <v>127647655.53</v>
      </c>
      <c r="F734" t="s">
        <v>204</v>
      </c>
      <c r="G734" s="1">
        <v>-450000</v>
      </c>
    </row>
    <row r="735" spans="1:7" x14ac:dyDescent="0.25">
      <c r="A735" s="17"/>
      <c r="C735" s="2" t="s">
        <v>32</v>
      </c>
      <c r="D735" s="19">
        <v>74861200.170000002</v>
      </c>
      <c r="G735" s="30">
        <f>SUM(G734:G734)</f>
        <v>-450000</v>
      </c>
    </row>
    <row r="736" spans="1:7" x14ac:dyDescent="0.25">
      <c r="A736" s="17"/>
      <c r="C736" s="2" t="s">
        <v>33</v>
      </c>
      <c r="D736" s="19">
        <v>730824643.39999998</v>
      </c>
      <c r="F736" s="28" t="s">
        <v>29</v>
      </c>
      <c r="G736" s="1"/>
    </row>
    <row r="737" spans="1:7" x14ac:dyDescent="0.25">
      <c r="A737" s="17"/>
      <c r="C737" s="2" t="s">
        <v>34</v>
      </c>
      <c r="D737" s="19">
        <v>91659271</v>
      </c>
      <c r="F737" t="s">
        <v>104</v>
      </c>
      <c r="G737" s="1">
        <v>2250000</v>
      </c>
    </row>
    <row r="738" spans="1:7" x14ac:dyDescent="0.25">
      <c r="A738" s="17"/>
      <c r="C738" s="2" t="s">
        <v>35</v>
      </c>
      <c r="D738" s="19">
        <v>10875600</v>
      </c>
      <c r="F738" t="s">
        <v>112</v>
      </c>
      <c r="G738" s="1">
        <v>10000000</v>
      </c>
    </row>
    <row r="739" spans="1:7" x14ac:dyDescent="0.25">
      <c r="A739" s="17"/>
      <c r="C739" s="2" t="s">
        <v>36</v>
      </c>
      <c r="D739" s="19">
        <v>89624786.599999994</v>
      </c>
      <c r="G739" s="30">
        <f>SUM(G737:G738)</f>
        <v>12250000</v>
      </c>
    </row>
    <row r="740" spans="1:7" x14ac:dyDescent="0.25">
      <c r="A740" s="17"/>
      <c r="C740" s="2" t="s">
        <v>37</v>
      </c>
      <c r="D740" s="19">
        <v>368913279</v>
      </c>
      <c r="G740" s="1"/>
    </row>
    <row r="741" spans="1:7" x14ac:dyDescent="0.25">
      <c r="A741" s="17"/>
      <c r="C741" s="2" t="s">
        <v>51</v>
      </c>
      <c r="D741" s="20">
        <v>130317</v>
      </c>
      <c r="F741" s="28" t="s">
        <v>30</v>
      </c>
      <c r="G741" s="29">
        <f>G735-G739</f>
        <v>-12700000</v>
      </c>
    </row>
    <row r="742" spans="1:7" x14ac:dyDescent="0.25">
      <c r="A742" s="17"/>
      <c r="B742" s="24" t="s">
        <v>19</v>
      </c>
      <c r="D742" s="19">
        <f>SUM(D734:D741)</f>
        <v>1494536752.6999998</v>
      </c>
    </row>
    <row r="743" spans="1:7" x14ac:dyDescent="0.25">
      <c r="A743" s="17"/>
      <c r="D743" s="19"/>
    </row>
    <row r="744" spans="1:7" x14ac:dyDescent="0.25">
      <c r="A744" s="17"/>
      <c r="B744" s="24" t="s">
        <v>20</v>
      </c>
      <c r="D744" s="19"/>
    </row>
    <row r="745" spans="1:7" x14ac:dyDescent="0.25">
      <c r="A745" s="17"/>
      <c r="C745" t="s">
        <v>7</v>
      </c>
      <c r="D745" s="19">
        <v>2365857974</v>
      </c>
    </row>
    <row r="746" spans="1:7" x14ac:dyDescent="0.25">
      <c r="A746" s="17"/>
      <c r="C746" t="s">
        <v>47</v>
      </c>
      <c r="D746" s="19">
        <v>12340000</v>
      </c>
    </row>
    <row r="747" spans="1:7" x14ac:dyDescent="0.25">
      <c r="A747" s="17"/>
      <c r="C747" t="s">
        <v>21</v>
      </c>
      <c r="D747" s="19">
        <v>632926500</v>
      </c>
    </row>
    <row r="748" spans="1:7" x14ac:dyDescent="0.25">
      <c r="A748" s="17"/>
      <c r="C748" t="s">
        <v>45</v>
      </c>
      <c r="D748" s="19">
        <v>25000000</v>
      </c>
    </row>
    <row r="749" spans="1:7" x14ac:dyDescent="0.25">
      <c r="A749" s="17"/>
      <c r="C749" t="s">
        <v>48</v>
      </c>
      <c r="D749" s="19">
        <v>30000000</v>
      </c>
    </row>
    <row r="750" spans="1:7" x14ac:dyDescent="0.25">
      <c r="A750" s="17"/>
      <c r="C750" t="s">
        <v>68</v>
      </c>
      <c r="D750" s="19">
        <v>141000000</v>
      </c>
    </row>
    <row r="751" spans="1:7" x14ac:dyDescent="0.25">
      <c r="A751" s="17"/>
      <c r="C751" t="s">
        <v>68</v>
      </c>
      <c r="D751" s="19">
        <v>145000000</v>
      </c>
    </row>
    <row r="752" spans="1:7" x14ac:dyDescent="0.25">
      <c r="A752" s="17"/>
      <c r="C752" t="s">
        <v>341</v>
      </c>
      <c r="D752" s="19">
        <v>500000</v>
      </c>
    </row>
    <row r="753" spans="1:7" x14ac:dyDescent="0.25">
      <c r="A753" s="17"/>
      <c r="C753" t="s">
        <v>313</v>
      </c>
      <c r="D753" s="20">
        <v>10000000</v>
      </c>
    </row>
    <row r="754" spans="1:7" x14ac:dyDescent="0.25">
      <c r="A754" s="17"/>
      <c r="D754" s="19">
        <f>SUM(D745:D753)</f>
        <v>3362624474</v>
      </c>
    </row>
    <row r="755" spans="1:7" x14ac:dyDescent="0.25">
      <c r="A755" s="17"/>
      <c r="D755" s="19"/>
    </row>
    <row r="756" spans="1:7" x14ac:dyDescent="0.25">
      <c r="A756" s="17"/>
      <c r="B756" s="24" t="s">
        <v>46</v>
      </c>
      <c r="D756" s="19"/>
    </row>
    <row r="757" spans="1:7" x14ac:dyDescent="0.25">
      <c r="A757" s="17"/>
      <c r="C757" t="s">
        <v>338</v>
      </c>
      <c r="D757" s="20">
        <v>129537500</v>
      </c>
    </row>
    <row r="758" spans="1:7" x14ac:dyDescent="0.25">
      <c r="A758" s="17"/>
      <c r="D758" s="19">
        <f>D757</f>
        <v>129537500</v>
      </c>
    </row>
    <row r="759" spans="1:7" x14ac:dyDescent="0.25">
      <c r="A759" s="17"/>
      <c r="D759" s="19"/>
    </row>
    <row r="760" spans="1:7" x14ac:dyDescent="0.25">
      <c r="A760" s="23" t="s">
        <v>22</v>
      </c>
      <c r="D760" s="19"/>
    </row>
    <row r="761" spans="1:7" x14ac:dyDescent="0.25">
      <c r="A761" s="17"/>
      <c r="C761" t="s">
        <v>23</v>
      </c>
      <c r="D761" s="19">
        <v>2148950000</v>
      </c>
    </row>
    <row r="762" spans="1:7" x14ac:dyDescent="0.25">
      <c r="A762" s="17"/>
      <c r="C762" t="s">
        <v>24</v>
      </c>
      <c r="D762" s="19">
        <v>1735881000</v>
      </c>
    </row>
    <row r="763" spans="1:7" x14ac:dyDescent="0.25">
      <c r="A763" s="17"/>
      <c r="C763" t="s">
        <v>44</v>
      </c>
      <c r="D763" s="20">
        <v>56550000</v>
      </c>
    </row>
    <row r="764" spans="1:7" x14ac:dyDescent="0.25">
      <c r="A764" s="17"/>
      <c r="D764" s="19">
        <f>SUM(D761:D763)</f>
        <v>3941381000</v>
      </c>
      <c r="G764" s="1"/>
    </row>
    <row r="765" spans="1:7" x14ac:dyDescent="0.25">
      <c r="A765" s="17"/>
      <c r="D765" s="19"/>
      <c r="G765" s="1"/>
    </row>
    <row r="766" spans="1:7" x14ac:dyDescent="0.25">
      <c r="A766" s="43" t="s">
        <v>25</v>
      </c>
      <c r="B766" s="44"/>
      <c r="C766" s="44"/>
      <c r="D766" s="25">
        <f>D742+D754+D758-D764</f>
        <v>1045317726.6999998</v>
      </c>
      <c r="G766" s="1"/>
    </row>
    <row r="767" spans="1:7" x14ac:dyDescent="0.25">
      <c r="A767" s="21"/>
      <c r="B767" s="22"/>
      <c r="C767" s="22"/>
      <c r="D767" s="20"/>
      <c r="G767" s="1"/>
    </row>
    <row r="769" spans="1:7" x14ac:dyDescent="0.25">
      <c r="A769" s="40" t="s">
        <v>13</v>
      </c>
      <c r="B769" s="40"/>
      <c r="C769" s="40"/>
      <c r="D769" s="40"/>
      <c r="G769" s="1"/>
    </row>
    <row r="770" spans="1:7" x14ac:dyDescent="0.25">
      <c r="A770" s="41" t="s">
        <v>14</v>
      </c>
      <c r="B770" s="41"/>
      <c r="C770" s="41"/>
      <c r="D770" s="41"/>
      <c r="G770" s="1"/>
    </row>
    <row r="771" spans="1:7" x14ac:dyDescent="0.25">
      <c r="A771" s="42">
        <v>45709</v>
      </c>
      <c r="B771" s="42"/>
      <c r="C771" s="42"/>
      <c r="D771" s="42"/>
      <c r="G771" s="1"/>
    </row>
    <row r="772" spans="1:7" x14ac:dyDescent="0.25">
      <c r="A772" s="13"/>
      <c r="B772" s="13"/>
      <c r="C772" s="13"/>
      <c r="D772" s="13"/>
      <c r="G772" s="1"/>
    </row>
    <row r="773" spans="1:7" x14ac:dyDescent="0.25">
      <c r="A773" s="14"/>
      <c r="B773" s="15"/>
      <c r="C773" s="15"/>
      <c r="D773" s="16"/>
      <c r="F773" s="5" t="s">
        <v>26</v>
      </c>
      <c r="G773" s="1">
        <f>D811-D766</f>
        <v>-42448067</v>
      </c>
    </row>
    <row r="774" spans="1:7" x14ac:dyDescent="0.25">
      <c r="A774" s="17"/>
      <c r="D774" s="32" t="s">
        <v>16</v>
      </c>
      <c r="G774" s="1"/>
    </row>
    <row r="775" spans="1:7" x14ac:dyDescent="0.25">
      <c r="A775" s="23" t="s">
        <v>15</v>
      </c>
      <c r="D775" s="18" t="s">
        <v>17</v>
      </c>
      <c r="F775" s="26" t="s">
        <v>27</v>
      </c>
      <c r="G775" s="1"/>
    </row>
    <row r="776" spans="1:7" x14ac:dyDescent="0.25">
      <c r="A776" s="17"/>
      <c r="B776" s="24" t="s">
        <v>18</v>
      </c>
      <c r="D776" s="19"/>
      <c r="F776" s="27" t="s">
        <v>28</v>
      </c>
      <c r="G776" s="1"/>
    </row>
    <row r="777" spans="1:7" x14ac:dyDescent="0.25">
      <c r="A777" s="17"/>
      <c r="C777" s="2" t="s">
        <v>31</v>
      </c>
      <c r="D777" s="19">
        <v>170547655.53</v>
      </c>
      <c r="F777" t="s">
        <v>204</v>
      </c>
      <c r="G777" s="1">
        <v>-6445000</v>
      </c>
    </row>
    <row r="778" spans="1:7" x14ac:dyDescent="0.25">
      <c r="A778" s="17"/>
      <c r="C778" s="2" t="s">
        <v>32</v>
      </c>
      <c r="D778" s="19">
        <v>78111200.170000002</v>
      </c>
      <c r="F778" t="s">
        <v>90</v>
      </c>
      <c r="G778" s="1">
        <v>345000</v>
      </c>
    </row>
    <row r="779" spans="1:7" x14ac:dyDescent="0.25">
      <c r="A779" s="17"/>
      <c r="C779" s="2" t="s">
        <v>33</v>
      </c>
      <c r="D779" s="19">
        <v>334531643.39999998</v>
      </c>
      <c r="F779" t="s">
        <v>343</v>
      </c>
      <c r="G779" s="1">
        <v>2189916</v>
      </c>
    </row>
    <row r="780" spans="1:7" x14ac:dyDescent="0.25">
      <c r="A780" s="17"/>
      <c r="C780" s="2" t="s">
        <v>34</v>
      </c>
      <c r="D780" s="19">
        <v>61134271</v>
      </c>
      <c r="G780" s="30">
        <f>SUM(G777:G779)</f>
        <v>-3910084</v>
      </c>
    </row>
    <row r="781" spans="1:7" x14ac:dyDescent="0.25">
      <c r="A781" s="17"/>
      <c r="C781" s="2" t="s">
        <v>35</v>
      </c>
      <c r="D781" s="19">
        <v>10875600</v>
      </c>
      <c r="F781" s="28" t="s">
        <v>29</v>
      </c>
      <c r="G781" s="1"/>
    </row>
    <row r="782" spans="1:7" x14ac:dyDescent="0.25">
      <c r="A782" s="17"/>
      <c r="C782" s="2" t="s">
        <v>36</v>
      </c>
      <c r="D782" s="19">
        <v>89624786.599999994</v>
      </c>
      <c r="F782" t="s">
        <v>298</v>
      </c>
      <c r="G782" s="1">
        <v>300000</v>
      </c>
    </row>
    <row r="783" spans="1:7" x14ac:dyDescent="0.25">
      <c r="A783" s="17"/>
      <c r="C783" s="2" t="s">
        <v>37</v>
      </c>
      <c r="D783" s="19">
        <v>410665212</v>
      </c>
      <c r="F783" t="s">
        <v>344</v>
      </c>
      <c r="G783" s="1">
        <v>437983</v>
      </c>
    </row>
    <row r="784" spans="1:7" x14ac:dyDescent="0.25">
      <c r="A784" s="17"/>
      <c r="C784" s="2" t="s">
        <v>51</v>
      </c>
      <c r="D784" s="20">
        <v>130317</v>
      </c>
      <c r="F784" t="s">
        <v>112</v>
      </c>
      <c r="G784" s="1">
        <v>25000000</v>
      </c>
    </row>
    <row r="785" spans="1:7" x14ac:dyDescent="0.25">
      <c r="A785" s="17"/>
      <c r="B785" s="24" t="s">
        <v>19</v>
      </c>
      <c r="D785" s="19">
        <f>SUM(D777:D784)</f>
        <v>1155620685.6999998</v>
      </c>
      <c r="F785" t="s">
        <v>298</v>
      </c>
      <c r="G785" s="1">
        <v>12800000</v>
      </c>
    </row>
    <row r="786" spans="1:7" x14ac:dyDescent="0.25">
      <c r="A786" s="17"/>
      <c r="D786" s="19"/>
      <c r="G786" s="30">
        <f>SUM(G782:G785)</f>
        <v>38537983</v>
      </c>
    </row>
    <row r="787" spans="1:7" x14ac:dyDescent="0.25">
      <c r="A787" s="17"/>
      <c r="B787" s="24" t="s">
        <v>20</v>
      </c>
      <c r="D787" s="19"/>
      <c r="G787" s="1"/>
    </row>
    <row r="788" spans="1:7" x14ac:dyDescent="0.25">
      <c r="A788" s="17"/>
      <c r="C788" t="s">
        <v>7</v>
      </c>
      <c r="D788" s="19">
        <v>2855257974</v>
      </c>
      <c r="F788" s="28" t="s">
        <v>30</v>
      </c>
      <c r="G788" s="29">
        <f>G780-G786</f>
        <v>-42448067</v>
      </c>
    </row>
    <row r="789" spans="1:7" x14ac:dyDescent="0.25">
      <c r="A789" s="17"/>
      <c r="C789" t="s">
        <v>47</v>
      </c>
      <c r="D789" s="19">
        <v>13050000</v>
      </c>
    </row>
    <row r="790" spans="1:7" x14ac:dyDescent="0.25">
      <c r="A790" s="17"/>
      <c r="C790" t="s">
        <v>21</v>
      </c>
      <c r="D790" s="19">
        <v>632926500</v>
      </c>
    </row>
    <row r="791" spans="1:7" x14ac:dyDescent="0.25">
      <c r="A791" s="17"/>
      <c r="C791" t="s">
        <v>45</v>
      </c>
      <c r="D791" s="19">
        <v>25000000</v>
      </c>
    </row>
    <row r="792" spans="1:7" x14ac:dyDescent="0.25">
      <c r="A792" s="17"/>
      <c r="C792" t="s">
        <v>48</v>
      </c>
      <c r="D792" s="19">
        <v>30000000</v>
      </c>
    </row>
    <row r="793" spans="1:7" x14ac:dyDescent="0.25">
      <c r="A793" s="17"/>
      <c r="C793" t="s">
        <v>68</v>
      </c>
      <c r="D793" s="19">
        <v>141000000</v>
      </c>
    </row>
    <row r="794" spans="1:7" x14ac:dyDescent="0.25">
      <c r="A794" s="17"/>
      <c r="C794" t="s">
        <v>68</v>
      </c>
      <c r="D794" s="19">
        <v>145000000</v>
      </c>
    </row>
    <row r="795" spans="1:7" x14ac:dyDescent="0.25">
      <c r="A795" s="17"/>
      <c r="C795" t="s">
        <v>341</v>
      </c>
      <c r="D795" s="19">
        <v>500000</v>
      </c>
    </row>
    <row r="796" spans="1:7" x14ac:dyDescent="0.25">
      <c r="A796" s="17"/>
      <c r="C796" t="s">
        <v>345</v>
      </c>
      <c r="D796" s="19">
        <v>33000000</v>
      </c>
    </row>
    <row r="797" spans="1:7" x14ac:dyDescent="0.25">
      <c r="A797" s="17"/>
      <c r="C797" t="s">
        <v>313</v>
      </c>
      <c r="D797" s="20">
        <v>10000000</v>
      </c>
    </row>
    <row r="798" spans="1:7" x14ac:dyDescent="0.25">
      <c r="A798" s="17"/>
      <c r="D798" s="19">
        <f>SUM(D788:D797)</f>
        <v>3885734474</v>
      </c>
    </row>
    <row r="799" spans="1:7" x14ac:dyDescent="0.25">
      <c r="A799" s="17"/>
      <c r="D799" s="19"/>
    </row>
    <row r="800" spans="1:7" x14ac:dyDescent="0.25">
      <c r="A800" s="17"/>
      <c r="B800" s="24" t="s">
        <v>46</v>
      </c>
      <c r="D800" s="19"/>
    </row>
    <row r="801" spans="1:7" x14ac:dyDescent="0.25">
      <c r="A801" s="17"/>
      <c r="C801" t="s">
        <v>342</v>
      </c>
      <c r="D801" s="20">
        <v>125922500</v>
      </c>
    </row>
    <row r="802" spans="1:7" x14ac:dyDescent="0.25">
      <c r="A802" s="17"/>
      <c r="D802" s="19">
        <f>D801</f>
        <v>125922500</v>
      </c>
    </row>
    <row r="803" spans="1:7" x14ac:dyDescent="0.25">
      <c r="A803" s="17"/>
      <c r="D803" s="19"/>
    </row>
    <row r="804" spans="1:7" x14ac:dyDescent="0.25">
      <c r="A804" s="23" t="s">
        <v>22</v>
      </c>
      <c r="D804" s="19"/>
    </row>
    <row r="805" spans="1:7" x14ac:dyDescent="0.25">
      <c r="A805" s="17"/>
      <c r="C805" t="s">
        <v>23</v>
      </c>
      <c r="D805" s="19">
        <v>2368550000</v>
      </c>
    </row>
    <row r="806" spans="1:7" x14ac:dyDescent="0.25">
      <c r="A806" s="17"/>
      <c r="C806" t="s">
        <v>24</v>
      </c>
      <c r="D806" s="19">
        <v>1320683000</v>
      </c>
    </row>
    <row r="807" spans="1:7" x14ac:dyDescent="0.25">
      <c r="A807" s="17"/>
      <c r="C807" t="s">
        <v>44</v>
      </c>
      <c r="D807" s="19">
        <v>305175000</v>
      </c>
    </row>
    <row r="808" spans="1:7" x14ac:dyDescent="0.25">
      <c r="A808" s="17"/>
      <c r="C808" t="s">
        <v>111</v>
      </c>
      <c r="D808" s="20">
        <v>170000000</v>
      </c>
    </row>
    <row r="809" spans="1:7" x14ac:dyDescent="0.25">
      <c r="A809" s="17"/>
      <c r="D809" s="19">
        <f>SUM(D805:D808)</f>
        <v>4164408000</v>
      </c>
      <c r="G809" s="1"/>
    </row>
    <row r="810" spans="1:7" x14ac:dyDescent="0.25">
      <c r="A810" s="17"/>
      <c r="D810" s="19"/>
      <c r="G810" s="1"/>
    </row>
    <row r="811" spans="1:7" x14ac:dyDescent="0.25">
      <c r="A811" s="43" t="s">
        <v>25</v>
      </c>
      <c r="B811" s="44"/>
      <c r="C811" s="44"/>
      <c r="D811" s="25">
        <f>D785+D798+D802-D809</f>
        <v>1002869659.6999998</v>
      </c>
      <c r="G811" s="1"/>
    </row>
    <row r="812" spans="1:7" x14ac:dyDescent="0.25">
      <c r="A812" s="21"/>
      <c r="B812" s="22"/>
      <c r="C812" s="22"/>
      <c r="D812" s="20"/>
      <c r="G812" s="1"/>
    </row>
    <row r="814" spans="1:7" x14ac:dyDescent="0.25">
      <c r="A814" s="40" t="s">
        <v>13</v>
      </c>
      <c r="B814" s="40"/>
      <c r="C814" s="40"/>
      <c r="D814" s="40"/>
      <c r="G814" s="1"/>
    </row>
    <row r="815" spans="1:7" x14ac:dyDescent="0.25">
      <c r="A815" s="41" t="s">
        <v>14</v>
      </c>
      <c r="B815" s="41"/>
      <c r="C815" s="41"/>
      <c r="D815" s="41"/>
      <c r="G815" s="1"/>
    </row>
    <row r="816" spans="1:7" x14ac:dyDescent="0.25">
      <c r="A816" s="42">
        <v>45710</v>
      </c>
      <c r="B816" s="42"/>
      <c r="C816" s="42"/>
      <c r="D816" s="42"/>
      <c r="G816" s="1"/>
    </row>
    <row r="817" spans="1:7" x14ac:dyDescent="0.25">
      <c r="A817" s="13"/>
      <c r="B817" s="13"/>
      <c r="C817" s="13"/>
      <c r="D817" s="13"/>
      <c r="G817" s="1"/>
    </row>
    <row r="818" spans="1:7" x14ac:dyDescent="0.25">
      <c r="A818" s="14"/>
      <c r="B818" s="15"/>
      <c r="C818" s="15"/>
      <c r="D818" s="16"/>
      <c r="F818" s="5" t="s">
        <v>26</v>
      </c>
      <c r="G818" s="1">
        <f>D857-D811</f>
        <v>7215350</v>
      </c>
    </row>
    <row r="819" spans="1:7" x14ac:dyDescent="0.25">
      <c r="A819" s="17"/>
      <c r="D819" s="32" t="s">
        <v>16</v>
      </c>
      <c r="G819" s="1"/>
    </row>
    <row r="820" spans="1:7" x14ac:dyDescent="0.25">
      <c r="A820" s="23" t="s">
        <v>15</v>
      </c>
      <c r="D820" s="18" t="s">
        <v>17</v>
      </c>
      <c r="F820" s="26" t="s">
        <v>27</v>
      </c>
      <c r="G820" s="1"/>
    </row>
    <row r="821" spans="1:7" x14ac:dyDescent="0.25">
      <c r="A821" s="17"/>
      <c r="B821" s="24" t="s">
        <v>18</v>
      </c>
      <c r="D821" s="19"/>
      <c r="F821" s="27" t="s">
        <v>28</v>
      </c>
      <c r="G821" s="1"/>
    </row>
    <row r="822" spans="1:7" x14ac:dyDescent="0.25">
      <c r="A822" s="17"/>
      <c r="C822" s="2" t="s">
        <v>31</v>
      </c>
      <c r="D822" s="19">
        <v>86955.53</v>
      </c>
      <c r="F822" t="s">
        <v>216</v>
      </c>
      <c r="G822" s="1">
        <v>6514000</v>
      </c>
    </row>
    <row r="823" spans="1:7" x14ac:dyDescent="0.25">
      <c r="A823" s="17"/>
      <c r="C823" s="2" t="s">
        <v>32</v>
      </c>
      <c r="D823" s="19">
        <v>79411200.170000002</v>
      </c>
      <c r="F823" t="s">
        <v>122</v>
      </c>
      <c r="G823" s="1">
        <v>872500</v>
      </c>
    </row>
    <row r="824" spans="1:7" x14ac:dyDescent="0.25">
      <c r="A824" s="17"/>
      <c r="C824" s="2" t="s">
        <v>33</v>
      </c>
      <c r="D824" s="19">
        <v>476531643.39999998</v>
      </c>
      <c r="G824" s="30">
        <f>SUM(G822:G823)</f>
        <v>7386500</v>
      </c>
    </row>
    <row r="825" spans="1:7" x14ac:dyDescent="0.25">
      <c r="A825" s="17"/>
      <c r="C825" s="2" t="s">
        <v>34</v>
      </c>
      <c r="D825" s="19">
        <v>214184271</v>
      </c>
      <c r="F825" s="28" t="s">
        <v>29</v>
      </c>
      <c r="G825" s="1"/>
    </row>
    <row r="826" spans="1:7" x14ac:dyDescent="0.25">
      <c r="A826" s="17"/>
      <c r="C826" s="2" t="s">
        <v>35</v>
      </c>
      <c r="D826" s="19">
        <v>10875600</v>
      </c>
      <c r="F826" t="s">
        <v>346</v>
      </c>
      <c r="G826" s="1">
        <v>40000</v>
      </c>
    </row>
    <row r="827" spans="1:7" x14ac:dyDescent="0.25">
      <c r="A827" s="17"/>
      <c r="C827" s="2" t="s">
        <v>36</v>
      </c>
      <c r="D827" s="19">
        <v>89624786.599999994</v>
      </c>
      <c r="F827" t="s">
        <v>161</v>
      </c>
      <c r="G827" s="1">
        <v>2500</v>
      </c>
    </row>
    <row r="828" spans="1:7" x14ac:dyDescent="0.25">
      <c r="A828" s="17"/>
      <c r="C828" s="2" t="s">
        <v>37</v>
      </c>
      <c r="D828" s="19">
        <v>349712712</v>
      </c>
      <c r="F828" t="s">
        <v>329</v>
      </c>
      <c r="G828" s="1">
        <v>128650</v>
      </c>
    </row>
    <row r="829" spans="1:7" x14ac:dyDescent="0.25">
      <c r="A829" s="17"/>
      <c r="C829" s="2" t="s">
        <v>51</v>
      </c>
      <c r="D829" s="20">
        <v>130317</v>
      </c>
      <c r="G829" s="30">
        <f>SUM(G826:G828)</f>
        <v>171150</v>
      </c>
    </row>
    <row r="830" spans="1:7" x14ac:dyDescent="0.25">
      <c r="A830" s="17"/>
      <c r="B830" s="24" t="s">
        <v>19</v>
      </c>
      <c r="D830" s="19">
        <f>SUM(D822:D829)</f>
        <v>1220557485.7</v>
      </c>
      <c r="G830" s="1"/>
    </row>
    <row r="831" spans="1:7" x14ac:dyDescent="0.25">
      <c r="A831" s="17"/>
      <c r="D831" s="19"/>
      <c r="F831" s="28" t="s">
        <v>30</v>
      </c>
      <c r="G831" s="29">
        <f>G824-G829</f>
        <v>7215350</v>
      </c>
    </row>
    <row r="832" spans="1:7" x14ac:dyDescent="0.25">
      <c r="A832" s="17"/>
      <c r="B832" s="24" t="s">
        <v>20</v>
      </c>
      <c r="D832" s="19"/>
    </row>
    <row r="833" spans="1:4" x14ac:dyDescent="0.25">
      <c r="A833" s="17"/>
      <c r="C833" t="s">
        <v>7</v>
      </c>
      <c r="D833" s="19">
        <v>3027245024</v>
      </c>
    </row>
    <row r="834" spans="1:4" x14ac:dyDescent="0.25">
      <c r="A834" s="17"/>
      <c r="C834" t="s">
        <v>47</v>
      </c>
      <c r="D834" s="19">
        <v>11730000</v>
      </c>
    </row>
    <row r="835" spans="1:4" x14ac:dyDescent="0.25">
      <c r="A835" s="17"/>
      <c r="C835" t="s">
        <v>21</v>
      </c>
      <c r="D835" s="19">
        <v>789076500</v>
      </c>
    </row>
    <row r="836" spans="1:4" x14ac:dyDescent="0.25">
      <c r="A836" s="17"/>
      <c r="C836" t="s">
        <v>45</v>
      </c>
      <c r="D836" s="19">
        <v>25000000</v>
      </c>
    </row>
    <row r="837" spans="1:4" x14ac:dyDescent="0.25">
      <c r="A837" s="17"/>
      <c r="C837" t="s">
        <v>48</v>
      </c>
      <c r="D837" s="19">
        <v>30000000</v>
      </c>
    </row>
    <row r="838" spans="1:4" x14ac:dyDescent="0.25">
      <c r="A838" s="17"/>
      <c r="C838" t="s">
        <v>68</v>
      </c>
      <c r="D838" s="19">
        <v>141000000</v>
      </c>
    </row>
    <row r="839" spans="1:4" x14ac:dyDescent="0.25">
      <c r="A839" s="17"/>
      <c r="C839" t="s">
        <v>68</v>
      </c>
      <c r="D839" s="19">
        <v>145000000</v>
      </c>
    </row>
    <row r="840" spans="1:4" x14ac:dyDescent="0.25">
      <c r="A840" s="17"/>
      <c r="C840" t="s">
        <v>341</v>
      </c>
      <c r="D840" s="19">
        <v>500000</v>
      </c>
    </row>
    <row r="841" spans="1:4" x14ac:dyDescent="0.25">
      <c r="A841" s="17"/>
      <c r="C841" t="s">
        <v>347</v>
      </c>
      <c r="D841" s="19">
        <v>8475000</v>
      </c>
    </row>
    <row r="842" spans="1:4" x14ac:dyDescent="0.25">
      <c r="A842" s="17"/>
      <c r="C842" t="s">
        <v>345</v>
      </c>
      <c r="D842" s="19">
        <v>33000000</v>
      </c>
    </row>
    <row r="843" spans="1:4" x14ac:dyDescent="0.25">
      <c r="A843" s="17"/>
      <c r="C843" t="s">
        <v>313</v>
      </c>
      <c r="D843" s="20">
        <v>10000000</v>
      </c>
    </row>
    <row r="844" spans="1:4" x14ac:dyDescent="0.25">
      <c r="A844" s="17"/>
      <c r="D844" s="19">
        <f>SUM(D833:D843)</f>
        <v>4221026524</v>
      </c>
    </row>
    <row r="845" spans="1:4" x14ac:dyDescent="0.25">
      <c r="A845" s="17"/>
      <c r="D845" s="19"/>
    </row>
    <row r="846" spans="1:4" x14ac:dyDescent="0.25">
      <c r="A846" s="17"/>
      <c r="B846" s="24" t="s">
        <v>46</v>
      </c>
      <c r="D846" s="19"/>
    </row>
    <row r="847" spans="1:4" x14ac:dyDescent="0.25">
      <c r="A847" s="17"/>
      <c r="C847" t="s">
        <v>342</v>
      </c>
      <c r="D847" s="20">
        <v>125922500</v>
      </c>
    </row>
    <row r="848" spans="1:4" x14ac:dyDescent="0.25">
      <c r="A848" s="17"/>
      <c r="D848" s="19">
        <f>D847</f>
        <v>125922500</v>
      </c>
    </row>
    <row r="849" spans="1:7" x14ac:dyDescent="0.25">
      <c r="A849" s="17"/>
      <c r="D849" s="19"/>
    </row>
    <row r="850" spans="1:7" x14ac:dyDescent="0.25">
      <c r="A850" s="23" t="s">
        <v>22</v>
      </c>
      <c r="D850" s="19"/>
    </row>
    <row r="851" spans="1:7" x14ac:dyDescent="0.25">
      <c r="A851" s="17"/>
      <c r="C851" t="s">
        <v>23</v>
      </c>
      <c r="D851" s="19">
        <v>2344300000</v>
      </c>
    </row>
    <row r="852" spans="1:7" x14ac:dyDescent="0.25">
      <c r="A852" s="17"/>
      <c r="C852" t="s">
        <v>24</v>
      </c>
      <c r="D852" s="19">
        <v>1570746500</v>
      </c>
    </row>
    <row r="853" spans="1:7" x14ac:dyDescent="0.25">
      <c r="A853" s="17"/>
      <c r="C853" t="s">
        <v>44</v>
      </c>
      <c r="D853" s="19">
        <v>305175000</v>
      </c>
    </row>
    <row r="854" spans="1:7" x14ac:dyDescent="0.25">
      <c r="A854" s="17"/>
      <c r="C854" t="s">
        <v>111</v>
      </c>
      <c r="D854" s="20">
        <v>337200000</v>
      </c>
    </row>
    <row r="855" spans="1:7" x14ac:dyDescent="0.25">
      <c r="A855" s="17"/>
      <c r="D855" s="19">
        <f>SUM(D851:D854)</f>
        <v>4557421500</v>
      </c>
      <c r="G855" s="1"/>
    </row>
    <row r="856" spans="1:7" x14ac:dyDescent="0.25">
      <c r="A856" s="17"/>
      <c r="D856" s="19"/>
      <c r="G856" s="1"/>
    </row>
    <row r="857" spans="1:7" x14ac:dyDescent="0.25">
      <c r="A857" s="43" t="s">
        <v>25</v>
      </c>
      <c r="B857" s="44"/>
      <c r="C857" s="44"/>
      <c r="D857" s="25">
        <f>D830+D844+D848-D855</f>
        <v>1010085009.6999998</v>
      </c>
      <c r="G857" s="1"/>
    </row>
    <row r="858" spans="1:7" x14ac:dyDescent="0.25">
      <c r="A858" s="21"/>
      <c r="B858" s="22"/>
      <c r="C858" s="22"/>
      <c r="D858" s="20"/>
      <c r="G858" s="1"/>
    </row>
    <row r="860" spans="1:7" x14ac:dyDescent="0.25">
      <c r="A860" s="40" t="s">
        <v>13</v>
      </c>
      <c r="B860" s="40"/>
      <c r="C860" s="40"/>
      <c r="D860" s="40"/>
      <c r="G860" s="1"/>
    </row>
    <row r="861" spans="1:7" x14ac:dyDescent="0.25">
      <c r="A861" s="41" t="s">
        <v>14</v>
      </c>
      <c r="B861" s="41"/>
      <c r="C861" s="41"/>
      <c r="D861" s="41"/>
      <c r="G861" s="1"/>
    </row>
    <row r="862" spans="1:7" x14ac:dyDescent="0.25">
      <c r="A862" s="42">
        <v>45712</v>
      </c>
      <c r="B862" s="42"/>
      <c r="C862" s="42"/>
      <c r="D862" s="42"/>
      <c r="G862" s="1"/>
    </row>
    <row r="863" spans="1:7" x14ac:dyDescent="0.25">
      <c r="A863" s="13"/>
      <c r="B863" s="13"/>
      <c r="C863" s="13"/>
      <c r="D863" s="13"/>
      <c r="G863" s="1"/>
    </row>
    <row r="864" spans="1:7" x14ac:dyDescent="0.25">
      <c r="A864" s="14"/>
      <c r="B864" s="15"/>
      <c r="C864" s="15"/>
      <c r="D864" s="16"/>
      <c r="F864" s="5" t="s">
        <v>26</v>
      </c>
      <c r="G864" s="1">
        <f>D903-D857</f>
        <v>-7083500</v>
      </c>
    </row>
    <row r="865" spans="1:7" x14ac:dyDescent="0.25">
      <c r="A865" s="17"/>
      <c r="D865" s="32" t="s">
        <v>16</v>
      </c>
      <c r="G865" s="1"/>
    </row>
    <row r="866" spans="1:7" x14ac:dyDescent="0.25">
      <c r="A866" s="23" t="s">
        <v>15</v>
      </c>
      <c r="D866" s="18" t="s">
        <v>17</v>
      </c>
      <c r="F866" s="26" t="s">
        <v>27</v>
      </c>
      <c r="G866" s="1"/>
    </row>
    <row r="867" spans="1:7" x14ac:dyDescent="0.25">
      <c r="A867" s="17"/>
      <c r="B867" s="24" t="s">
        <v>18</v>
      </c>
      <c r="D867" s="19"/>
      <c r="F867" s="27" t="s">
        <v>28</v>
      </c>
      <c r="G867" s="1"/>
    </row>
    <row r="868" spans="1:7" x14ac:dyDescent="0.25">
      <c r="A868" s="17"/>
      <c r="C868" s="2" t="s">
        <v>31</v>
      </c>
      <c r="D868" s="19">
        <v>205536955.53</v>
      </c>
      <c r="F868" t="s">
        <v>348</v>
      </c>
      <c r="G868" s="1">
        <v>2504000</v>
      </c>
    </row>
    <row r="869" spans="1:7" x14ac:dyDescent="0.25">
      <c r="A869" s="17"/>
      <c r="C869" s="2" t="s">
        <v>32</v>
      </c>
      <c r="D869" s="19">
        <v>55489200.170000002</v>
      </c>
      <c r="F869" t="s">
        <v>90</v>
      </c>
      <c r="G869" s="1">
        <v>290000</v>
      </c>
    </row>
    <row r="870" spans="1:7" x14ac:dyDescent="0.25">
      <c r="A870" s="17"/>
      <c r="C870" s="2" t="s">
        <v>33</v>
      </c>
      <c r="D870" s="19">
        <v>661216643.39999998</v>
      </c>
      <c r="G870" s="30">
        <f>SUM(G868:G869)</f>
        <v>2794000</v>
      </c>
    </row>
    <row r="871" spans="1:7" x14ac:dyDescent="0.25">
      <c r="A871" s="17"/>
      <c r="C871" s="2" t="s">
        <v>34</v>
      </c>
      <c r="D871" s="19">
        <v>125184271</v>
      </c>
      <c r="F871" s="28" t="s">
        <v>29</v>
      </c>
      <c r="G871" s="1"/>
    </row>
    <row r="872" spans="1:7" x14ac:dyDescent="0.25">
      <c r="A872" s="17"/>
      <c r="C872" s="2" t="s">
        <v>35</v>
      </c>
      <c r="D872" s="19">
        <v>10875600</v>
      </c>
      <c r="F872" t="s">
        <v>112</v>
      </c>
      <c r="G872" s="1">
        <v>8975000</v>
      </c>
    </row>
    <row r="873" spans="1:7" x14ac:dyDescent="0.25">
      <c r="A873" s="17"/>
      <c r="C873" s="2" t="s">
        <v>36</v>
      </c>
      <c r="D873" s="19">
        <v>89624786.599999994</v>
      </c>
      <c r="F873" t="s">
        <v>351</v>
      </c>
      <c r="G873" s="1">
        <v>2500</v>
      </c>
    </row>
    <row r="874" spans="1:7" x14ac:dyDescent="0.25">
      <c r="A874" s="17"/>
      <c r="C874" s="2" t="s">
        <v>37</v>
      </c>
      <c r="D874" s="19">
        <v>489925712</v>
      </c>
      <c r="F874" t="s">
        <v>353</v>
      </c>
      <c r="G874" s="1">
        <v>900000</v>
      </c>
    </row>
    <row r="875" spans="1:7" x14ac:dyDescent="0.25">
      <c r="A875" s="17"/>
      <c r="C875" s="2" t="s">
        <v>51</v>
      </c>
      <c r="D875" s="20">
        <v>130317</v>
      </c>
      <c r="G875" s="30">
        <f>SUM(G872:G874)</f>
        <v>9877500</v>
      </c>
    </row>
    <row r="876" spans="1:7" x14ac:dyDescent="0.25">
      <c r="A876" s="17"/>
      <c r="B876" s="24" t="s">
        <v>19</v>
      </c>
      <c r="D876" s="19">
        <f>SUM(D868:D875)</f>
        <v>1637983485.6999998</v>
      </c>
      <c r="G876" s="1"/>
    </row>
    <row r="877" spans="1:7" x14ac:dyDescent="0.25">
      <c r="A877" s="17"/>
      <c r="D877" s="19"/>
      <c r="F877" s="28" t="s">
        <v>30</v>
      </c>
      <c r="G877" s="29">
        <f>G870-G875</f>
        <v>-7083500</v>
      </c>
    </row>
    <row r="878" spans="1:7" x14ac:dyDescent="0.25">
      <c r="A878" s="17"/>
      <c r="B878" s="24" t="s">
        <v>20</v>
      </c>
      <c r="D878" s="19"/>
    </row>
    <row r="879" spans="1:7" x14ac:dyDescent="0.25">
      <c r="A879" s="17"/>
      <c r="C879" t="s">
        <v>7</v>
      </c>
      <c r="D879" s="19">
        <v>2778895024</v>
      </c>
    </row>
    <row r="880" spans="1:7" x14ac:dyDescent="0.25">
      <c r="A880" s="17"/>
      <c r="C880" t="s">
        <v>47</v>
      </c>
      <c r="D880" s="19">
        <v>19250000</v>
      </c>
    </row>
    <row r="881" spans="1:4" x14ac:dyDescent="0.25">
      <c r="A881" s="17"/>
      <c r="C881" t="s">
        <v>21</v>
      </c>
      <c r="D881" s="19">
        <v>669453500</v>
      </c>
    </row>
    <row r="882" spans="1:4" x14ac:dyDescent="0.25">
      <c r="A882" s="17"/>
      <c r="C882" t="s">
        <v>45</v>
      </c>
      <c r="D882" s="19">
        <v>25000000</v>
      </c>
    </row>
    <row r="883" spans="1:4" x14ac:dyDescent="0.25">
      <c r="A883" s="17"/>
      <c r="C883" t="s">
        <v>48</v>
      </c>
      <c r="D883" s="19">
        <v>30000000</v>
      </c>
    </row>
    <row r="884" spans="1:4" x14ac:dyDescent="0.25">
      <c r="A884" s="17"/>
      <c r="C884" t="s">
        <v>68</v>
      </c>
      <c r="D884" s="19">
        <v>141000000</v>
      </c>
    </row>
    <row r="885" spans="1:4" x14ac:dyDescent="0.25">
      <c r="A885" s="17"/>
      <c r="C885" t="s">
        <v>68</v>
      </c>
      <c r="D885" s="19">
        <v>145000000</v>
      </c>
    </row>
    <row r="886" spans="1:4" x14ac:dyDescent="0.25">
      <c r="A886" s="17"/>
      <c r="C886" t="s">
        <v>345</v>
      </c>
      <c r="D886" s="19">
        <v>33000000</v>
      </c>
    </row>
    <row r="887" spans="1:4" x14ac:dyDescent="0.25">
      <c r="A887" s="17"/>
      <c r="C887" t="s">
        <v>349</v>
      </c>
      <c r="D887" s="19">
        <v>20419500</v>
      </c>
    </row>
    <row r="888" spans="1:4" x14ac:dyDescent="0.25">
      <c r="A888" s="17"/>
      <c r="C888" t="s">
        <v>350</v>
      </c>
      <c r="D888" s="19">
        <v>3500000</v>
      </c>
    </row>
    <row r="889" spans="1:4" x14ac:dyDescent="0.25">
      <c r="A889" s="17"/>
      <c r="C889" t="s">
        <v>313</v>
      </c>
      <c r="D889" s="20">
        <v>10000000</v>
      </c>
    </row>
    <row r="890" spans="1:4" x14ac:dyDescent="0.25">
      <c r="A890" s="17"/>
      <c r="D890" s="19">
        <f>SUM(D879:D889)</f>
        <v>3875518024</v>
      </c>
    </row>
    <row r="891" spans="1:4" x14ac:dyDescent="0.25">
      <c r="A891" s="17"/>
      <c r="D891" s="19"/>
    </row>
    <row r="892" spans="1:4" x14ac:dyDescent="0.25">
      <c r="A892" s="17"/>
      <c r="B892" s="24" t="s">
        <v>46</v>
      </c>
      <c r="D892" s="19"/>
    </row>
    <row r="893" spans="1:4" x14ac:dyDescent="0.25">
      <c r="A893" s="17"/>
      <c r="C893" t="s">
        <v>352</v>
      </c>
      <c r="D893" s="20">
        <v>118692500</v>
      </c>
    </row>
    <row r="894" spans="1:4" x14ac:dyDescent="0.25">
      <c r="A894" s="17"/>
      <c r="D894" s="19">
        <f>D893</f>
        <v>118692500</v>
      </c>
    </row>
    <row r="895" spans="1:4" x14ac:dyDescent="0.25">
      <c r="A895" s="17"/>
      <c r="D895" s="19"/>
    </row>
    <row r="896" spans="1:4" x14ac:dyDescent="0.25">
      <c r="A896" s="23" t="s">
        <v>22</v>
      </c>
      <c r="D896" s="19"/>
    </row>
    <row r="897" spans="1:7" x14ac:dyDescent="0.25">
      <c r="A897" s="17"/>
      <c r="C897" t="s">
        <v>23</v>
      </c>
      <c r="D897" s="19">
        <v>2491900000</v>
      </c>
    </row>
    <row r="898" spans="1:7" x14ac:dyDescent="0.25">
      <c r="A898" s="17"/>
      <c r="C898" t="s">
        <v>24</v>
      </c>
      <c r="D898" s="19">
        <v>1733842500</v>
      </c>
    </row>
    <row r="899" spans="1:7" x14ac:dyDescent="0.25">
      <c r="A899" s="17"/>
      <c r="C899" t="s">
        <v>190</v>
      </c>
      <c r="D899" s="19">
        <v>79200000</v>
      </c>
    </row>
    <row r="900" spans="1:7" x14ac:dyDescent="0.25">
      <c r="A900" s="17"/>
      <c r="C900" t="s">
        <v>111</v>
      </c>
      <c r="D900" s="20">
        <v>324250000</v>
      </c>
    </row>
    <row r="901" spans="1:7" x14ac:dyDescent="0.25">
      <c r="A901" s="17"/>
      <c r="D901" s="19">
        <f>SUM(D897:D900)</f>
        <v>4629192500</v>
      </c>
      <c r="G901" s="1"/>
    </row>
    <row r="902" spans="1:7" x14ac:dyDescent="0.25">
      <c r="A902" s="17"/>
      <c r="D902" s="19"/>
      <c r="G902" s="1"/>
    </row>
    <row r="903" spans="1:7" x14ac:dyDescent="0.25">
      <c r="A903" s="43" t="s">
        <v>25</v>
      </c>
      <c r="B903" s="44"/>
      <c r="C903" s="44"/>
      <c r="D903" s="25">
        <f>D876+D890+D894-D901</f>
        <v>1003001509.6999998</v>
      </c>
      <c r="G903" s="1"/>
    </row>
    <row r="904" spans="1:7" x14ac:dyDescent="0.25">
      <c r="A904" s="21"/>
      <c r="B904" s="22"/>
      <c r="C904" s="22"/>
      <c r="D904" s="20"/>
      <c r="G904" s="1"/>
    </row>
    <row r="906" spans="1:7" x14ac:dyDescent="0.25">
      <c r="A906" s="40" t="s">
        <v>13</v>
      </c>
      <c r="B906" s="40"/>
      <c r="C906" s="40"/>
      <c r="D906" s="40"/>
      <c r="G906" s="1"/>
    </row>
    <row r="907" spans="1:7" x14ac:dyDescent="0.25">
      <c r="A907" s="41" t="s">
        <v>14</v>
      </c>
      <c r="B907" s="41"/>
      <c r="C907" s="41"/>
      <c r="D907" s="41"/>
      <c r="G907" s="1"/>
    </row>
    <row r="908" spans="1:7" x14ac:dyDescent="0.25">
      <c r="A908" s="42">
        <v>45713</v>
      </c>
      <c r="B908" s="42"/>
      <c r="C908" s="42"/>
      <c r="D908" s="42"/>
      <c r="G908" s="1"/>
    </row>
    <row r="909" spans="1:7" x14ac:dyDescent="0.25">
      <c r="A909" s="13"/>
      <c r="B909" s="13"/>
      <c r="C909" s="13"/>
      <c r="D909" s="13"/>
      <c r="G909" s="1"/>
    </row>
    <row r="910" spans="1:7" x14ac:dyDescent="0.25">
      <c r="A910" s="14"/>
      <c r="B910" s="15"/>
      <c r="C910" s="15"/>
      <c r="D910" s="16"/>
      <c r="F910" s="5" t="s">
        <v>26</v>
      </c>
      <c r="G910" s="1">
        <f>D955-D903</f>
        <v>-97963855</v>
      </c>
    </row>
    <row r="911" spans="1:7" x14ac:dyDescent="0.25">
      <c r="A911" s="17"/>
      <c r="D911" s="32" t="s">
        <v>16</v>
      </c>
      <c r="G911" s="1"/>
    </row>
    <row r="912" spans="1:7" x14ac:dyDescent="0.25">
      <c r="A912" s="23" t="s">
        <v>15</v>
      </c>
      <c r="D912" s="18" t="s">
        <v>17</v>
      </c>
      <c r="F912" s="26" t="s">
        <v>27</v>
      </c>
      <c r="G912" s="1"/>
    </row>
    <row r="913" spans="1:7" x14ac:dyDescent="0.25">
      <c r="A913" s="17"/>
      <c r="B913" s="24" t="s">
        <v>18</v>
      </c>
      <c r="D913" s="19"/>
      <c r="F913" s="27" t="s">
        <v>28</v>
      </c>
      <c r="G913" s="1"/>
    </row>
    <row r="914" spans="1:7" x14ac:dyDescent="0.25">
      <c r="A914" s="17"/>
      <c r="C914" s="2" t="s">
        <v>31</v>
      </c>
      <c r="D914" s="19">
        <v>4911955.53</v>
      </c>
      <c r="F914" t="s">
        <v>354</v>
      </c>
      <c r="G914" s="1">
        <v>6769000</v>
      </c>
    </row>
    <row r="915" spans="1:7" x14ac:dyDescent="0.25">
      <c r="A915" s="17"/>
      <c r="C915" s="2" t="s">
        <v>32</v>
      </c>
      <c r="D915" s="19">
        <v>61739200.170000002</v>
      </c>
      <c r="F915" t="s">
        <v>122</v>
      </c>
      <c r="G915" s="1">
        <v>258000</v>
      </c>
    </row>
    <row r="916" spans="1:7" x14ac:dyDescent="0.25">
      <c r="A916" s="17"/>
      <c r="C916" s="2" t="s">
        <v>33</v>
      </c>
      <c r="D916" s="19">
        <v>423949083.39999998</v>
      </c>
      <c r="F916" t="s">
        <v>358</v>
      </c>
      <c r="G916" s="1">
        <v>23606</v>
      </c>
    </row>
    <row r="917" spans="1:7" x14ac:dyDescent="0.25">
      <c r="A917" s="17"/>
      <c r="C917" s="2" t="s">
        <v>34</v>
      </c>
      <c r="D917" s="19">
        <v>2684271</v>
      </c>
      <c r="G917" s="30">
        <f>SUM(G914:G916)</f>
        <v>7050606</v>
      </c>
    </row>
    <row r="918" spans="1:7" x14ac:dyDescent="0.25">
      <c r="A918" s="17"/>
      <c r="C918" s="2" t="s">
        <v>35</v>
      </c>
      <c r="D918" s="19">
        <v>745200</v>
      </c>
      <c r="F918" s="28" t="s">
        <v>29</v>
      </c>
      <c r="G918" s="1"/>
    </row>
    <row r="919" spans="1:7" x14ac:dyDescent="0.25">
      <c r="A919" s="17"/>
      <c r="C919" s="2" t="s">
        <v>36</v>
      </c>
      <c r="D919" s="19">
        <v>89648392.599999994</v>
      </c>
      <c r="F919" t="s">
        <v>49</v>
      </c>
      <c r="G919" s="1">
        <v>2500</v>
      </c>
    </row>
    <row r="920" spans="1:7" x14ac:dyDescent="0.25">
      <c r="A920" s="17"/>
      <c r="C920" s="2" t="s">
        <v>37</v>
      </c>
      <c r="D920" s="19">
        <v>248736211</v>
      </c>
      <c r="F920" t="s">
        <v>161</v>
      </c>
      <c r="G920" s="1">
        <v>2500</v>
      </c>
    </row>
    <row r="921" spans="1:7" x14ac:dyDescent="0.25">
      <c r="A921" s="17"/>
      <c r="C921" s="2" t="s">
        <v>51</v>
      </c>
      <c r="D921" s="20">
        <v>130317</v>
      </c>
      <c r="F921" t="s">
        <v>2</v>
      </c>
      <c r="G921" s="1">
        <v>2250000</v>
      </c>
    </row>
    <row r="922" spans="1:7" x14ac:dyDescent="0.25">
      <c r="A922" s="17"/>
      <c r="B922" s="24" t="s">
        <v>19</v>
      </c>
      <c r="D922" s="19">
        <f>SUM(D914:D921)</f>
        <v>832544630.69999993</v>
      </c>
      <c r="F922" t="s">
        <v>247</v>
      </c>
      <c r="G922" s="1">
        <v>41333333</v>
      </c>
    </row>
    <row r="923" spans="1:7" x14ac:dyDescent="0.25">
      <c r="A923" s="17"/>
      <c r="D923" s="19"/>
      <c r="F923" t="s">
        <v>356</v>
      </c>
      <c r="G923" s="1">
        <v>43357585</v>
      </c>
    </row>
    <row r="924" spans="1:7" x14ac:dyDescent="0.25">
      <c r="A924" s="17"/>
      <c r="B924" s="24" t="s">
        <v>20</v>
      </c>
      <c r="D924" s="19"/>
      <c r="F924" t="s">
        <v>248</v>
      </c>
      <c r="G924" s="1">
        <v>720750</v>
      </c>
    </row>
    <row r="925" spans="1:7" x14ac:dyDescent="0.25">
      <c r="A925" s="17"/>
      <c r="C925" t="s">
        <v>7</v>
      </c>
      <c r="D925" s="19">
        <v>2905460024</v>
      </c>
      <c r="F925" t="s">
        <v>248</v>
      </c>
      <c r="G925" s="1">
        <v>2025333</v>
      </c>
    </row>
    <row r="926" spans="1:7" x14ac:dyDescent="0.25">
      <c r="A926" s="17"/>
      <c r="C926" t="s">
        <v>47</v>
      </c>
      <c r="D926" s="19">
        <v>13000000</v>
      </c>
      <c r="F926" t="s">
        <v>318</v>
      </c>
      <c r="G926" s="1">
        <v>5192060</v>
      </c>
    </row>
    <row r="927" spans="1:7" x14ac:dyDescent="0.25">
      <c r="A927" s="17"/>
      <c r="C927" t="s">
        <v>21</v>
      </c>
      <c r="D927" s="19">
        <v>669453500</v>
      </c>
      <c r="F927" t="s">
        <v>357</v>
      </c>
      <c r="G927" s="1">
        <v>10130400</v>
      </c>
    </row>
    <row r="928" spans="1:7" x14ac:dyDescent="0.25">
      <c r="A928" s="17"/>
      <c r="C928" t="s">
        <v>45</v>
      </c>
      <c r="D928" s="19">
        <v>25000000</v>
      </c>
      <c r="G928" s="30">
        <f>SUM(G919:G927)</f>
        <v>105014461</v>
      </c>
    </row>
    <row r="929" spans="1:7" x14ac:dyDescent="0.25">
      <c r="A929" s="17"/>
      <c r="C929" t="s">
        <v>48</v>
      </c>
      <c r="D929" s="19">
        <v>30000000</v>
      </c>
      <c r="G929" s="1"/>
    </row>
    <row r="930" spans="1:7" x14ac:dyDescent="0.25">
      <c r="A930" s="17"/>
      <c r="C930" t="s">
        <v>68</v>
      </c>
      <c r="D930" s="19">
        <v>141000000</v>
      </c>
      <c r="F930" s="28" t="s">
        <v>30</v>
      </c>
      <c r="G930" s="29">
        <f>G917-G928</f>
        <v>-97963855</v>
      </c>
    </row>
    <row r="931" spans="1:7" x14ac:dyDescent="0.25">
      <c r="A931" s="17"/>
      <c r="C931" t="s">
        <v>68</v>
      </c>
      <c r="D931" s="19">
        <v>145000000</v>
      </c>
    </row>
    <row r="932" spans="1:7" x14ac:dyDescent="0.25">
      <c r="A932" s="17"/>
      <c r="C932" t="s">
        <v>345</v>
      </c>
      <c r="D932" s="19">
        <v>33000000</v>
      </c>
    </row>
    <row r="933" spans="1:7" x14ac:dyDescent="0.25">
      <c r="A933" s="17"/>
      <c r="C933" t="s">
        <v>349</v>
      </c>
      <c r="D933" s="19">
        <v>20419500</v>
      </c>
    </row>
    <row r="934" spans="1:7" x14ac:dyDescent="0.25">
      <c r="A934" s="17"/>
      <c r="C934" t="s">
        <v>350</v>
      </c>
      <c r="D934" s="19">
        <v>3500000</v>
      </c>
    </row>
    <row r="935" spans="1:7" x14ac:dyDescent="0.25">
      <c r="A935" s="17"/>
      <c r="C935" t="s">
        <v>267</v>
      </c>
      <c r="D935" s="19">
        <v>400000000</v>
      </c>
    </row>
    <row r="936" spans="1:7" x14ac:dyDescent="0.25">
      <c r="A936" s="17"/>
      <c r="C936" t="s">
        <v>313</v>
      </c>
      <c r="D936" s="20">
        <v>10000000</v>
      </c>
    </row>
    <row r="937" spans="1:7" x14ac:dyDescent="0.25">
      <c r="A937" s="17"/>
      <c r="D937" s="19">
        <f>SUM(D925:D936)</f>
        <v>4395833024</v>
      </c>
    </row>
    <row r="938" spans="1:7" x14ac:dyDescent="0.25">
      <c r="A938" s="17"/>
      <c r="D938" s="19"/>
    </row>
    <row r="939" spans="1:7" x14ac:dyDescent="0.25">
      <c r="A939" s="17"/>
      <c r="B939" s="24" t="s">
        <v>46</v>
      </c>
      <c r="D939" s="19"/>
    </row>
    <row r="940" spans="1:7" x14ac:dyDescent="0.25">
      <c r="A940" s="17"/>
      <c r="C940" t="s">
        <v>352</v>
      </c>
      <c r="D940" s="20">
        <v>118692500</v>
      </c>
    </row>
    <row r="941" spans="1:7" x14ac:dyDescent="0.25">
      <c r="A941" s="17"/>
      <c r="D941" s="19">
        <f>D940</f>
        <v>118692500</v>
      </c>
    </row>
    <row r="942" spans="1:7" x14ac:dyDescent="0.25">
      <c r="A942" s="17"/>
      <c r="D942" s="19"/>
    </row>
    <row r="943" spans="1:7" x14ac:dyDescent="0.25">
      <c r="A943" s="17"/>
      <c r="B943" s="24" t="s">
        <v>43</v>
      </c>
      <c r="D943" s="19"/>
    </row>
    <row r="944" spans="1:7" x14ac:dyDescent="0.25">
      <c r="A944" s="17"/>
      <c r="C944" t="s">
        <v>355</v>
      </c>
      <c r="D944" s="20">
        <v>60900000</v>
      </c>
    </row>
    <row r="945" spans="1:7" x14ac:dyDescent="0.25">
      <c r="A945" s="17"/>
      <c r="D945" s="19">
        <f>D944</f>
        <v>60900000</v>
      </c>
    </row>
    <row r="946" spans="1:7" x14ac:dyDescent="0.25">
      <c r="A946" s="17"/>
      <c r="D946" s="19"/>
    </row>
    <row r="947" spans="1:7" x14ac:dyDescent="0.25">
      <c r="A947" s="23" t="s">
        <v>22</v>
      </c>
      <c r="D947" s="19"/>
    </row>
    <row r="948" spans="1:7" x14ac:dyDescent="0.25">
      <c r="A948" s="17"/>
      <c r="C948" t="s">
        <v>23</v>
      </c>
      <c r="D948" s="19">
        <v>2484800000</v>
      </c>
    </row>
    <row r="949" spans="1:7" x14ac:dyDescent="0.25">
      <c r="A949" s="17"/>
      <c r="C949" t="s">
        <v>24</v>
      </c>
      <c r="D949" s="19">
        <v>1483982500</v>
      </c>
    </row>
    <row r="950" spans="1:7" x14ac:dyDescent="0.25">
      <c r="A950" s="17"/>
      <c r="C950" t="s">
        <v>44</v>
      </c>
      <c r="D950" s="19">
        <v>75150000</v>
      </c>
    </row>
    <row r="951" spans="1:7" x14ac:dyDescent="0.25">
      <c r="A951" s="17"/>
      <c r="C951" t="s">
        <v>190</v>
      </c>
      <c r="D951" s="19">
        <v>79200000</v>
      </c>
    </row>
    <row r="952" spans="1:7" x14ac:dyDescent="0.25">
      <c r="A952" s="17"/>
      <c r="C952" t="s">
        <v>111</v>
      </c>
      <c r="D952" s="20">
        <v>379800000</v>
      </c>
    </row>
    <row r="953" spans="1:7" x14ac:dyDescent="0.25">
      <c r="A953" s="17"/>
      <c r="D953" s="19">
        <f>SUM(D948:D952)</f>
        <v>4502932500</v>
      </c>
      <c r="G953" s="1"/>
    </row>
    <row r="954" spans="1:7" x14ac:dyDescent="0.25">
      <c r="A954" s="17"/>
      <c r="D954" s="19"/>
      <c r="G954" s="1"/>
    </row>
    <row r="955" spans="1:7" x14ac:dyDescent="0.25">
      <c r="A955" s="43" t="s">
        <v>25</v>
      </c>
      <c r="B955" s="44"/>
      <c r="C955" s="44"/>
      <c r="D955" s="25">
        <f>D922+D937+D941+D945-D953</f>
        <v>905037654.69999981</v>
      </c>
      <c r="G955" s="1"/>
    </row>
    <row r="956" spans="1:7" x14ac:dyDescent="0.25">
      <c r="A956" s="21"/>
      <c r="B956" s="22"/>
      <c r="C956" s="22"/>
      <c r="D956" s="20"/>
      <c r="G956" s="1"/>
    </row>
    <row r="958" spans="1:7" x14ac:dyDescent="0.25">
      <c r="A958" s="40" t="s">
        <v>13</v>
      </c>
      <c r="B958" s="40"/>
      <c r="C958" s="40"/>
      <c r="D958" s="40"/>
      <c r="G958" s="1"/>
    </row>
    <row r="959" spans="1:7" x14ac:dyDescent="0.25">
      <c r="A959" s="41" t="s">
        <v>14</v>
      </c>
      <c r="B959" s="41"/>
      <c r="C959" s="41"/>
      <c r="D959" s="41"/>
      <c r="G959" s="1"/>
    </row>
    <row r="960" spans="1:7" x14ac:dyDescent="0.25">
      <c r="A960" s="42">
        <v>45714</v>
      </c>
      <c r="B960" s="42"/>
      <c r="C960" s="42"/>
      <c r="D960" s="42"/>
      <c r="G960" s="1"/>
    </row>
    <row r="961" spans="1:7" x14ac:dyDescent="0.25">
      <c r="A961" s="13"/>
      <c r="B961" s="13"/>
      <c r="C961" s="13"/>
      <c r="D961" s="13"/>
      <c r="G961" s="1"/>
    </row>
    <row r="962" spans="1:7" x14ac:dyDescent="0.25">
      <c r="A962" s="14"/>
      <c r="B962" s="15"/>
      <c r="C962" s="15"/>
      <c r="D962" s="16"/>
      <c r="F962" s="5" t="s">
        <v>26</v>
      </c>
      <c r="G962" s="1">
        <f>D1002-D955</f>
        <v>2517500</v>
      </c>
    </row>
    <row r="963" spans="1:7" x14ac:dyDescent="0.25">
      <c r="A963" s="17"/>
      <c r="D963" s="32" t="s">
        <v>16</v>
      </c>
      <c r="G963" s="1"/>
    </row>
    <row r="964" spans="1:7" x14ac:dyDescent="0.25">
      <c r="A964" s="23" t="s">
        <v>15</v>
      </c>
      <c r="D964" s="18" t="s">
        <v>17</v>
      </c>
      <c r="F964" s="26" t="s">
        <v>27</v>
      </c>
      <c r="G964" s="1"/>
    </row>
    <row r="965" spans="1:7" x14ac:dyDescent="0.25">
      <c r="A965" s="17"/>
      <c r="B965" s="24" t="s">
        <v>18</v>
      </c>
      <c r="D965" s="19"/>
      <c r="F965" s="27" t="s">
        <v>28</v>
      </c>
      <c r="G965" s="1"/>
    </row>
    <row r="966" spans="1:7" x14ac:dyDescent="0.25">
      <c r="A966" s="17"/>
      <c r="C966" s="2" t="s">
        <v>31</v>
      </c>
      <c r="D966" s="19">
        <v>184886955.53</v>
      </c>
      <c r="F966" t="s">
        <v>359</v>
      </c>
      <c r="G966" s="1">
        <v>7420000</v>
      </c>
    </row>
    <row r="967" spans="1:7" x14ac:dyDescent="0.25">
      <c r="A967" s="17"/>
      <c r="C967" s="2" t="s">
        <v>32</v>
      </c>
      <c r="D967" s="19">
        <v>61739200.170000002</v>
      </c>
      <c r="F967" t="s">
        <v>122</v>
      </c>
      <c r="G967" s="1">
        <v>100000</v>
      </c>
    </row>
    <row r="968" spans="1:7" x14ac:dyDescent="0.25">
      <c r="A968" s="17"/>
      <c r="C968" s="2" t="s">
        <v>33</v>
      </c>
      <c r="D968" s="19">
        <v>417626583.39999998</v>
      </c>
      <c r="G968" s="30">
        <f>SUM(G966:G967)</f>
        <v>7520000</v>
      </c>
    </row>
    <row r="969" spans="1:7" x14ac:dyDescent="0.25">
      <c r="A969" s="17"/>
      <c r="C969" s="2" t="s">
        <v>34</v>
      </c>
      <c r="D969" s="19">
        <v>31284271</v>
      </c>
      <c r="F969" s="28" t="s">
        <v>29</v>
      </c>
      <c r="G969" s="1"/>
    </row>
    <row r="970" spans="1:7" x14ac:dyDescent="0.25">
      <c r="A970" s="17"/>
      <c r="C970" s="2" t="s">
        <v>35</v>
      </c>
      <c r="D970" s="19">
        <v>745200</v>
      </c>
      <c r="F970" t="s">
        <v>49</v>
      </c>
      <c r="G970" s="1">
        <v>2500</v>
      </c>
    </row>
    <row r="971" spans="1:7" x14ac:dyDescent="0.25">
      <c r="A971" s="17"/>
      <c r="C971" s="2" t="s">
        <v>36</v>
      </c>
      <c r="D971" s="19">
        <v>89648392.599999994</v>
      </c>
      <c r="F971" t="s">
        <v>112</v>
      </c>
      <c r="G971" s="1">
        <v>5000000</v>
      </c>
    </row>
    <row r="972" spans="1:7" x14ac:dyDescent="0.25">
      <c r="A972" s="17"/>
      <c r="C972" s="2" t="s">
        <v>37</v>
      </c>
      <c r="D972" s="19">
        <v>593517211</v>
      </c>
      <c r="G972" s="30">
        <f>SUM(G970:G971)</f>
        <v>5002500</v>
      </c>
    </row>
    <row r="973" spans="1:7" x14ac:dyDescent="0.25">
      <c r="A973" s="17"/>
      <c r="C973" s="2" t="s">
        <v>51</v>
      </c>
      <c r="D973" s="20">
        <v>130317</v>
      </c>
      <c r="G973" s="1"/>
    </row>
    <row r="974" spans="1:7" x14ac:dyDescent="0.25">
      <c r="A974" s="17"/>
      <c r="B974" s="24" t="s">
        <v>19</v>
      </c>
      <c r="D974" s="19">
        <f>SUM(D966:D973)</f>
        <v>1379578130.6999998</v>
      </c>
      <c r="F974" s="28" t="s">
        <v>30</v>
      </c>
      <c r="G974" s="29">
        <f>G968-G972</f>
        <v>2517500</v>
      </c>
    </row>
    <row r="975" spans="1:7" x14ac:dyDescent="0.25">
      <c r="A975" s="17"/>
      <c r="D975" s="19"/>
    </row>
    <row r="976" spans="1:7" x14ac:dyDescent="0.25">
      <c r="A976" s="17"/>
      <c r="B976" s="24" t="s">
        <v>20</v>
      </c>
      <c r="D976" s="19"/>
    </row>
    <row r="977" spans="1:4" x14ac:dyDescent="0.25">
      <c r="A977" s="17"/>
      <c r="C977" t="s">
        <v>7</v>
      </c>
      <c r="D977" s="19">
        <v>2675560024</v>
      </c>
    </row>
    <row r="978" spans="1:4" x14ac:dyDescent="0.25">
      <c r="A978" s="17"/>
      <c r="C978" t="s">
        <v>47</v>
      </c>
      <c r="D978" s="19">
        <v>13000000</v>
      </c>
    </row>
    <row r="979" spans="1:4" x14ac:dyDescent="0.25">
      <c r="A979" s="17"/>
      <c r="C979" t="s">
        <v>21</v>
      </c>
      <c r="D979" s="19">
        <v>687717500</v>
      </c>
    </row>
    <row r="980" spans="1:4" x14ac:dyDescent="0.25">
      <c r="A980" s="17"/>
      <c r="C980" t="s">
        <v>45</v>
      </c>
      <c r="D980" s="19">
        <v>25000000</v>
      </c>
    </row>
    <row r="981" spans="1:4" x14ac:dyDescent="0.25">
      <c r="A981" s="17"/>
      <c r="C981" t="s">
        <v>48</v>
      </c>
      <c r="D981" s="19">
        <v>30000000</v>
      </c>
    </row>
    <row r="982" spans="1:4" x14ac:dyDescent="0.25">
      <c r="A982" s="17"/>
      <c r="C982" t="s">
        <v>68</v>
      </c>
      <c r="D982" s="19">
        <v>141000000</v>
      </c>
    </row>
    <row r="983" spans="1:4" x14ac:dyDescent="0.25">
      <c r="A983" s="17"/>
      <c r="C983" t="s">
        <v>68</v>
      </c>
      <c r="D983" s="19">
        <v>145000000</v>
      </c>
    </row>
    <row r="984" spans="1:4" x14ac:dyDescent="0.25">
      <c r="A984" s="17"/>
      <c r="C984" t="s">
        <v>349</v>
      </c>
      <c r="D984" s="19">
        <v>20419500</v>
      </c>
    </row>
    <row r="985" spans="1:4" x14ac:dyDescent="0.25">
      <c r="A985" s="17"/>
      <c r="C985" t="s">
        <v>350</v>
      </c>
      <c r="D985" s="19">
        <v>3500000</v>
      </c>
    </row>
    <row r="986" spans="1:4" x14ac:dyDescent="0.25">
      <c r="A986" s="17"/>
      <c r="C986" t="s">
        <v>267</v>
      </c>
      <c r="D986" s="19">
        <v>400000000</v>
      </c>
    </row>
    <row r="987" spans="1:4" x14ac:dyDescent="0.25">
      <c r="A987" s="17"/>
      <c r="C987" t="s">
        <v>341</v>
      </c>
      <c r="D987" s="19">
        <v>300000</v>
      </c>
    </row>
    <row r="988" spans="1:4" x14ac:dyDescent="0.25">
      <c r="A988" s="17"/>
      <c r="C988" t="s">
        <v>313</v>
      </c>
      <c r="D988" s="20">
        <v>10000000</v>
      </c>
    </row>
    <row r="989" spans="1:4" x14ac:dyDescent="0.25">
      <c r="A989" s="17"/>
      <c r="D989" s="19">
        <f>SUM(D977:D988)</f>
        <v>4151497024</v>
      </c>
    </row>
    <row r="990" spans="1:4" x14ac:dyDescent="0.25">
      <c r="A990" s="17"/>
      <c r="D990" s="19"/>
    </row>
    <row r="991" spans="1:4" x14ac:dyDescent="0.25">
      <c r="A991" s="17"/>
      <c r="B991" s="24" t="s">
        <v>46</v>
      </c>
      <c r="D991" s="19"/>
    </row>
    <row r="992" spans="1:4" x14ac:dyDescent="0.25">
      <c r="A992" s="17"/>
      <c r="C992" t="s">
        <v>352</v>
      </c>
      <c r="D992" s="20">
        <v>118692500</v>
      </c>
    </row>
    <row r="993" spans="1:7" x14ac:dyDescent="0.25">
      <c r="A993" s="17"/>
      <c r="D993" s="19">
        <f>D992</f>
        <v>118692500</v>
      </c>
    </row>
    <row r="994" spans="1:7" x14ac:dyDescent="0.25">
      <c r="A994" s="17"/>
      <c r="D994" s="19"/>
    </row>
    <row r="995" spans="1:7" x14ac:dyDescent="0.25">
      <c r="A995" s="23" t="s">
        <v>22</v>
      </c>
      <c r="D995" s="19"/>
    </row>
    <row r="996" spans="1:7" x14ac:dyDescent="0.25">
      <c r="A996" s="17"/>
      <c r="C996" t="s">
        <v>23</v>
      </c>
      <c r="D996" s="19">
        <v>2684600000</v>
      </c>
    </row>
    <row r="997" spans="1:7" x14ac:dyDescent="0.25">
      <c r="A997" s="17"/>
      <c r="C997" t="s">
        <v>24</v>
      </c>
      <c r="D997" s="19">
        <v>1759712500</v>
      </c>
    </row>
    <row r="998" spans="1:7" x14ac:dyDescent="0.25">
      <c r="A998" s="17"/>
      <c r="C998" t="s">
        <v>44</v>
      </c>
      <c r="D998" s="19">
        <v>75150000</v>
      </c>
    </row>
    <row r="999" spans="1:7" x14ac:dyDescent="0.25">
      <c r="A999" s="17"/>
      <c r="C999" t="s">
        <v>111</v>
      </c>
      <c r="D999" s="20">
        <v>222750000</v>
      </c>
    </row>
    <row r="1000" spans="1:7" x14ac:dyDescent="0.25">
      <c r="A1000" s="17"/>
      <c r="D1000" s="19">
        <f>SUM(D996:D999)</f>
        <v>4742212500</v>
      </c>
      <c r="G1000" s="1"/>
    </row>
    <row r="1001" spans="1:7" x14ac:dyDescent="0.25">
      <c r="A1001" s="17"/>
      <c r="D1001" s="19"/>
      <c r="G1001" s="1"/>
    </row>
    <row r="1002" spans="1:7" x14ac:dyDescent="0.25">
      <c r="A1002" s="43" t="s">
        <v>25</v>
      </c>
      <c r="B1002" s="44"/>
      <c r="C1002" s="44"/>
      <c r="D1002" s="25">
        <f>D974+D989+D993-D1000</f>
        <v>907555154.69999981</v>
      </c>
      <c r="G1002" s="1"/>
    </row>
    <row r="1003" spans="1:7" x14ac:dyDescent="0.25">
      <c r="A1003" s="21"/>
      <c r="B1003" s="22"/>
      <c r="C1003" s="22"/>
      <c r="D1003" s="20"/>
      <c r="G1003" s="1"/>
    </row>
    <row r="1005" spans="1:7" x14ac:dyDescent="0.25">
      <c r="A1005" s="40" t="s">
        <v>13</v>
      </c>
      <c r="B1005" s="40"/>
      <c r="C1005" s="40"/>
      <c r="D1005" s="40"/>
      <c r="G1005" s="1"/>
    </row>
    <row r="1006" spans="1:7" x14ac:dyDescent="0.25">
      <c r="A1006" s="41" t="s">
        <v>14</v>
      </c>
      <c r="B1006" s="41"/>
      <c r="C1006" s="41"/>
      <c r="D1006" s="41"/>
      <c r="G1006" s="1"/>
    </row>
    <row r="1007" spans="1:7" x14ac:dyDescent="0.25">
      <c r="A1007" s="42">
        <v>45715</v>
      </c>
      <c r="B1007" s="42"/>
      <c r="C1007" s="42"/>
      <c r="D1007" s="42"/>
      <c r="G1007" s="1"/>
    </row>
    <row r="1008" spans="1:7" x14ac:dyDescent="0.25">
      <c r="A1008" s="13"/>
      <c r="B1008" s="13"/>
      <c r="C1008" s="13"/>
      <c r="D1008" s="13"/>
      <c r="G1008" s="1"/>
    </row>
    <row r="1009" spans="1:7" x14ac:dyDescent="0.25">
      <c r="A1009" s="14"/>
      <c r="B1009" s="15"/>
      <c r="C1009" s="15"/>
      <c r="D1009" s="16"/>
      <c r="F1009" s="5" t="s">
        <v>26</v>
      </c>
      <c r="G1009" s="1">
        <f>D1049-D1002</f>
        <v>5347000</v>
      </c>
    </row>
    <row r="1010" spans="1:7" x14ac:dyDescent="0.25">
      <c r="A1010" s="17"/>
      <c r="D1010" s="32" t="s">
        <v>16</v>
      </c>
      <c r="G1010" s="1"/>
    </row>
    <row r="1011" spans="1:7" x14ac:dyDescent="0.25">
      <c r="A1011" s="23" t="s">
        <v>15</v>
      </c>
      <c r="D1011" s="18" t="s">
        <v>17</v>
      </c>
      <c r="F1011" s="26" t="s">
        <v>27</v>
      </c>
      <c r="G1011" s="1"/>
    </row>
    <row r="1012" spans="1:7" x14ac:dyDescent="0.25">
      <c r="A1012" s="17"/>
      <c r="B1012" s="24" t="s">
        <v>18</v>
      </c>
      <c r="D1012" s="19"/>
      <c r="F1012" s="27" t="s">
        <v>28</v>
      </c>
      <c r="G1012" s="1"/>
    </row>
    <row r="1013" spans="1:7" x14ac:dyDescent="0.25">
      <c r="A1013" s="17"/>
      <c r="C1013" s="2" t="s">
        <v>31</v>
      </c>
      <c r="D1013" s="19">
        <v>159146955.53</v>
      </c>
      <c r="F1013" t="s">
        <v>360</v>
      </c>
      <c r="G1013" s="1">
        <v>7237000</v>
      </c>
    </row>
    <row r="1014" spans="1:7" x14ac:dyDescent="0.25">
      <c r="A1014" s="17"/>
      <c r="C1014" s="2" t="s">
        <v>32</v>
      </c>
      <c r="D1014" s="19">
        <v>61739200.170000002</v>
      </c>
      <c r="F1014" t="s">
        <v>122</v>
      </c>
      <c r="G1014" s="1">
        <v>365000</v>
      </c>
    </row>
    <row r="1015" spans="1:7" x14ac:dyDescent="0.25">
      <c r="A1015" s="17"/>
      <c r="C1015" s="2" t="s">
        <v>33</v>
      </c>
      <c r="D1015" s="19">
        <v>451488583.39999998</v>
      </c>
      <c r="G1015" s="30">
        <f>SUM(G1013:G1014)</f>
        <v>7602000</v>
      </c>
    </row>
    <row r="1016" spans="1:7" x14ac:dyDescent="0.25">
      <c r="A1016" s="17"/>
      <c r="C1016" s="2" t="s">
        <v>34</v>
      </c>
      <c r="D1016" s="19">
        <v>277584271</v>
      </c>
      <c r="F1016" s="28" t="s">
        <v>29</v>
      </c>
      <c r="G1016" s="1"/>
    </row>
    <row r="1017" spans="1:7" x14ac:dyDescent="0.25">
      <c r="A1017" s="17"/>
      <c r="C1017" s="2" t="s">
        <v>35</v>
      </c>
      <c r="D1017" s="19">
        <v>745200</v>
      </c>
      <c r="F1017" t="s">
        <v>161</v>
      </c>
      <c r="G1017" s="1">
        <v>5000</v>
      </c>
    </row>
    <row r="1018" spans="1:7" x14ac:dyDescent="0.25">
      <c r="A1018" s="17"/>
      <c r="C1018" s="2" t="s">
        <v>36</v>
      </c>
      <c r="D1018" s="19">
        <v>89648392.599999994</v>
      </c>
      <c r="F1018" t="s">
        <v>104</v>
      </c>
      <c r="G1018" s="1">
        <v>2250000</v>
      </c>
    </row>
    <row r="1019" spans="1:7" x14ac:dyDescent="0.25">
      <c r="A1019" s="17"/>
      <c r="C1019" s="2" t="s">
        <v>37</v>
      </c>
      <c r="D1019" s="19">
        <v>150712211</v>
      </c>
      <c r="G1019" s="30">
        <f>SUM(G1017:G1018)</f>
        <v>2255000</v>
      </c>
    </row>
    <row r="1020" spans="1:7" x14ac:dyDescent="0.25">
      <c r="A1020" s="17"/>
      <c r="C1020" s="2" t="s">
        <v>51</v>
      </c>
      <c r="D1020" s="20">
        <v>130317</v>
      </c>
      <c r="G1020" s="1"/>
    </row>
    <row r="1021" spans="1:7" x14ac:dyDescent="0.25">
      <c r="A1021" s="17"/>
      <c r="B1021" s="24" t="s">
        <v>19</v>
      </c>
      <c r="D1021" s="19">
        <f>SUM(D1013:D1020)</f>
        <v>1191195130.6999998</v>
      </c>
      <c r="F1021" s="28" t="s">
        <v>30</v>
      </c>
      <c r="G1021" s="29">
        <f>G1015-G1019</f>
        <v>5347000</v>
      </c>
    </row>
    <row r="1022" spans="1:7" x14ac:dyDescent="0.25">
      <c r="A1022" s="17"/>
      <c r="D1022" s="19"/>
    </row>
    <row r="1023" spans="1:7" x14ac:dyDescent="0.25">
      <c r="A1023" s="17"/>
      <c r="B1023" s="24" t="s">
        <v>20</v>
      </c>
      <c r="D1023" s="19"/>
    </row>
    <row r="1024" spans="1:7" x14ac:dyDescent="0.25">
      <c r="A1024" s="17"/>
      <c r="C1024" t="s">
        <v>7</v>
      </c>
      <c r="D1024" s="19">
        <v>2953375024</v>
      </c>
    </row>
    <row r="1025" spans="1:4" x14ac:dyDescent="0.25">
      <c r="A1025" s="17"/>
      <c r="C1025" t="s">
        <v>47</v>
      </c>
      <c r="D1025" s="19">
        <v>13000000</v>
      </c>
    </row>
    <row r="1026" spans="1:4" x14ac:dyDescent="0.25">
      <c r="A1026" s="17"/>
      <c r="C1026" t="s">
        <v>21</v>
      </c>
      <c r="D1026" s="19">
        <v>702867500</v>
      </c>
    </row>
    <row r="1027" spans="1:4" x14ac:dyDescent="0.25">
      <c r="A1027" s="17"/>
      <c r="C1027" t="s">
        <v>45</v>
      </c>
      <c r="D1027" s="19">
        <v>25000000</v>
      </c>
    </row>
    <row r="1028" spans="1:4" x14ac:dyDescent="0.25">
      <c r="A1028" s="17"/>
      <c r="C1028" t="s">
        <v>48</v>
      </c>
      <c r="D1028" s="19">
        <v>30000000</v>
      </c>
    </row>
    <row r="1029" spans="1:4" x14ac:dyDescent="0.25">
      <c r="A1029" s="17"/>
      <c r="C1029" t="s">
        <v>68</v>
      </c>
      <c r="D1029" s="19">
        <v>141000000</v>
      </c>
    </row>
    <row r="1030" spans="1:4" x14ac:dyDescent="0.25">
      <c r="A1030" s="17"/>
      <c r="C1030" t="s">
        <v>68</v>
      </c>
      <c r="D1030" s="19">
        <v>145000000</v>
      </c>
    </row>
    <row r="1031" spans="1:4" x14ac:dyDescent="0.25">
      <c r="A1031" s="17"/>
      <c r="C1031" t="s">
        <v>349</v>
      </c>
      <c r="D1031" s="19">
        <v>20419500</v>
      </c>
    </row>
    <row r="1032" spans="1:4" x14ac:dyDescent="0.25">
      <c r="A1032" s="17"/>
      <c r="C1032" t="s">
        <v>350</v>
      </c>
      <c r="D1032" s="19">
        <v>3500000</v>
      </c>
    </row>
    <row r="1033" spans="1:4" x14ac:dyDescent="0.25">
      <c r="A1033" s="17"/>
      <c r="C1033" t="s">
        <v>267</v>
      </c>
      <c r="D1033" s="19">
        <v>400000000</v>
      </c>
    </row>
    <row r="1034" spans="1:4" x14ac:dyDescent="0.25">
      <c r="A1034" s="17"/>
      <c r="C1034" t="s">
        <v>341</v>
      </c>
      <c r="D1034" s="19">
        <v>300000</v>
      </c>
    </row>
    <row r="1035" spans="1:4" x14ac:dyDescent="0.25">
      <c r="A1035" s="17"/>
      <c r="C1035" t="s">
        <v>313</v>
      </c>
      <c r="D1035" s="20">
        <v>10000000</v>
      </c>
    </row>
    <row r="1036" spans="1:4" x14ac:dyDescent="0.25">
      <c r="A1036" s="17"/>
      <c r="D1036" s="19">
        <f>SUM(D1024:D1035)</f>
        <v>4444462024</v>
      </c>
    </row>
    <row r="1037" spans="1:4" x14ac:dyDescent="0.25">
      <c r="A1037" s="17"/>
      <c r="D1037" s="19"/>
    </row>
    <row r="1038" spans="1:4" x14ac:dyDescent="0.25">
      <c r="A1038" s="17"/>
      <c r="B1038" s="24" t="s">
        <v>46</v>
      </c>
      <c r="D1038" s="19"/>
    </row>
    <row r="1039" spans="1:4" x14ac:dyDescent="0.25">
      <c r="A1039" s="17"/>
      <c r="C1039" t="s">
        <v>352</v>
      </c>
      <c r="D1039" s="20">
        <v>118692500</v>
      </c>
    </row>
    <row r="1040" spans="1:4" x14ac:dyDescent="0.25">
      <c r="A1040" s="17"/>
      <c r="D1040" s="19">
        <f>D1039</f>
        <v>118692500</v>
      </c>
    </row>
    <row r="1041" spans="1:7" x14ac:dyDescent="0.25">
      <c r="A1041" s="17"/>
      <c r="D1041" s="19"/>
    </row>
    <row r="1042" spans="1:7" x14ac:dyDescent="0.25">
      <c r="A1042" s="23" t="s">
        <v>22</v>
      </c>
      <c r="D1042" s="19"/>
    </row>
    <row r="1043" spans="1:7" x14ac:dyDescent="0.25">
      <c r="A1043" s="17"/>
      <c r="C1043" t="s">
        <v>23</v>
      </c>
      <c r="D1043" s="19">
        <v>2807000000</v>
      </c>
    </row>
    <row r="1044" spans="1:7" x14ac:dyDescent="0.25">
      <c r="A1044" s="17"/>
      <c r="C1044" t="s">
        <v>24</v>
      </c>
      <c r="D1044" s="19">
        <v>1736547500</v>
      </c>
    </row>
    <row r="1045" spans="1:7" x14ac:dyDescent="0.25">
      <c r="A1045" s="17"/>
      <c r="C1045" t="s">
        <v>44</v>
      </c>
      <c r="D1045" s="19">
        <v>75150000</v>
      </c>
    </row>
    <row r="1046" spans="1:7" x14ac:dyDescent="0.25">
      <c r="A1046" s="17"/>
      <c r="C1046" t="s">
        <v>111</v>
      </c>
      <c r="D1046" s="20">
        <v>222750000</v>
      </c>
    </row>
    <row r="1047" spans="1:7" x14ac:dyDescent="0.25">
      <c r="A1047" s="17"/>
      <c r="D1047" s="19">
        <f>SUM(D1043:D1046)</f>
        <v>4841447500</v>
      </c>
      <c r="G1047" s="1"/>
    </row>
    <row r="1048" spans="1:7" x14ac:dyDescent="0.25">
      <c r="A1048" s="17"/>
      <c r="D1048" s="19"/>
      <c r="G1048" s="1"/>
    </row>
    <row r="1049" spans="1:7" x14ac:dyDescent="0.25">
      <c r="A1049" s="43" t="s">
        <v>25</v>
      </c>
      <c r="B1049" s="44"/>
      <c r="C1049" s="44"/>
      <c r="D1049" s="25">
        <f>D1021+D1036+D1040-D1047</f>
        <v>912902154.69999981</v>
      </c>
      <c r="G1049" s="1"/>
    </row>
    <row r="1050" spans="1:7" x14ac:dyDescent="0.25">
      <c r="A1050" s="21"/>
      <c r="B1050" s="22"/>
      <c r="C1050" s="22"/>
      <c r="D1050" s="20"/>
      <c r="G1050" s="1"/>
    </row>
    <row r="1052" spans="1:7" x14ac:dyDescent="0.25">
      <c r="A1052" s="40" t="s">
        <v>13</v>
      </c>
      <c r="B1052" s="40"/>
      <c r="C1052" s="40"/>
      <c r="D1052" s="40"/>
      <c r="G1052" s="1"/>
    </row>
    <row r="1053" spans="1:7" x14ac:dyDescent="0.25">
      <c r="A1053" s="41" t="s">
        <v>14</v>
      </c>
      <c r="B1053" s="41"/>
      <c r="C1053" s="41"/>
      <c r="D1053" s="41"/>
      <c r="G1053" s="1"/>
    </row>
    <row r="1054" spans="1:7" x14ac:dyDescent="0.25">
      <c r="A1054" s="42">
        <v>45716</v>
      </c>
      <c r="B1054" s="42"/>
      <c r="C1054" s="42"/>
      <c r="D1054" s="42"/>
      <c r="G1054" s="1"/>
    </row>
    <row r="1055" spans="1:7" x14ac:dyDescent="0.25">
      <c r="A1055" s="13"/>
      <c r="B1055" s="13"/>
      <c r="C1055" s="13"/>
      <c r="D1055" s="13"/>
      <c r="G1055" s="1"/>
    </row>
    <row r="1056" spans="1:7" x14ac:dyDescent="0.25">
      <c r="A1056" s="14"/>
      <c r="B1056" s="15"/>
      <c r="C1056" s="15"/>
      <c r="D1056" s="16"/>
      <c r="F1056" s="5" t="s">
        <v>26</v>
      </c>
      <c r="G1056" s="1">
        <f>D1095-D1049</f>
        <v>2026500</v>
      </c>
    </row>
    <row r="1057" spans="1:7" x14ac:dyDescent="0.25">
      <c r="A1057" s="17"/>
      <c r="D1057" s="32" t="s">
        <v>16</v>
      </c>
      <c r="G1057" s="1"/>
    </row>
    <row r="1058" spans="1:7" x14ac:dyDescent="0.25">
      <c r="A1058" s="23" t="s">
        <v>15</v>
      </c>
      <c r="D1058" s="18" t="s">
        <v>17</v>
      </c>
      <c r="F1058" s="26" t="s">
        <v>27</v>
      </c>
      <c r="G1058" s="1"/>
    </row>
    <row r="1059" spans="1:7" x14ac:dyDescent="0.25">
      <c r="A1059" s="17"/>
      <c r="B1059" s="24" t="s">
        <v>18</v>
      </c>
      <c r="D1059" s="19"/>
      <c r="F1059" s="27" t="s">
        <v>28</v>
      </c>
      <c r="G1059" s="1"/>
    </row>
    <row r="1060" spans="1:7" x14ac:dyDescent="0.25">
      <c r="A1060" s="17"/>
      <c r="C1060" s="2" t="s">
        <v>31</v>
      </c>
      <c r="D1060" s="19">
        <v>6921955.5300000003</v>
      </c>
      <c r="F1060" t="s">
        <v>254</v>
      </c>
      <c r="G1060" s="1">
        <v>-625000</v>
      </c>
    </row>
    <row r="1061" spans="1:7" x14ac:dyDescent="0.25">
      <c r="A1061" s="17"/>
      <c r="C1061" s="2" t="s">
        <v>32</v>
      </c>
      <c r="D1061" s="19">
        <v>65699200.170000002</v>
      </c>
      <c r="F1061" t="s">
        <v>90</v>
      </c>
      <c r="G1061" s="1">
        <v>2562500</v>
      </c>
    </row>
    <row r="1062" spans="1:7" x14ac:dyDescent="0.25">
      <c r="A1062" s="17"/>
      <c r="C1062" s="2" t="s">
        <v>33</v>
      </c>
      <c r="D1062" s="19">
        <v>532741583.39999998</v>
      </c>
      <c r="F1062" t="s">
        <v>364</v>
      </c>
      <c r="G1062" s="1">
        <v>89000</v>
      </c>
    </row>
    <row r="1063" spans="1:7" x14ac:dyDescent="0.25">
      <c r="A1063" s="17"/>
      <c r="C1063" s="2" t="s">
        <v>34</v>
      </c>
      <c r="D1063" s="19">
        <v>100134271</v>
      </c>
      <c r="G1063" s="30">
        <f>SUM(G1060:G1062)</f>
        <v>2026500</v>
      </c>
    </row>
    <row r="1064" spans="1:7" x14ac:dyDescent="0.25">
      <c r="A1064" s="17"/>
      <c r="C1064" s="2" t="s">
        <v>35</v>
      </c>
      <c r="D1064" s="19">
        <v>745200</v>
      </c>
      <c r="F1064" s="28" t="s">
        <v>29</v>
      </c>
      <c r="G1064" s="1"/>
    </row>
    <row r="1065" spans="1:7" x14ac:dyDescent="0.25">
      <c r="A1065" s="17"/>
      <c r="C1065" s="2" t="s">
        <v>36</v>
      </c>
      <c r="D1065" s="19">
        <v>89648392.599999994</v>
      </c>
      <c r="G1065" s="1">
        <v>0</v>
      </c>
    </row>
    <row r="1066" spans="1:7" x14ac:dyDescent="0.25">
      <c r="A1066" s="17"/>
      <c r="C1066" s="2" t="s">
        <v>37</v>
      </c>
      <c r="D1066" s="19">
        <v>550712211</v>
      </c>
      <c r="G1066" s="30">
        <f>SUM(G1065:G1065)</f>
        <v>0</v>
      </c>
    </row>
    <row r="1067" spans="1:7" x14ac:dyDescent="0.25">
      <c r="A1067" s="17"/>
      <c r="C1067" s="2" t="s">
        <v>51</v>
      </c>
      <c r="D1067" s="20">
        <v>130317</v>
      </c>
      <c r="G1067" s="1"/>
    </row>
    <row r="1068" spans="1:7" x14ac:dyDescent="0.25">
      <c r="A1068" s="17"/>
      <c r="B1068" s="24" t="s">
        <v>19</v>
      </c>
      <c r="D1068" s="19">
        <f>SUM(D1060:D1067)</f>
        <v>1346733130.7</v>
      </c>
      <c r="F1068" s="28" t="s">
        <v>30</v>
      </c>
      <c r="G1068" s="29">
        <f>G1063-G1066</f>
        <v>2026500</v>
      </c>
    </row>
    <row r="1069" spans="1:7" x14ac:dyDescent="0.25">
      <c r="A1069" s="17"/>
      <c r="D1069" s="19"/>
    </row>
    <row r="1070" spans="1:7" x14ac:dyDescent="0.25">
      <c r="A1070" s="17"/>
      <c r="B1070" s="24" t="s">
        <v>20</v>
      </c>
      <c r="D1070" s="19"/>
    </row>
    <row r="1071" spans="1:7" x14ac:dyDescent="0.25">
      <c r="A1071" s="17"/>
      <c r="C1071" t="s">
        <v>7</v>
      </c>
      <c r="D1071" s="19">
        <v>2700100024</v>
      </c>
    </row>
    <row r="1072" spans="1:7" x14ac:dyDescent="0.25">
      <c r="A1072" s="17"/>
      <c r="C1072" t="s">
        <v>47</v>
      </c>
      <c r="D1072" s="19">
        <v>66430000</v>
      </c>
    </row>
    <row r="1073" spans="1:4" x14ac:dyDescent="0.25">
      <c r="A1073" s="17"/>
      <c r="C1073" t="s">
        <v>21</v>
      </c>
      <c r="D1073" s="19">
        <v>814867500</v>
      </c>
    </row>
    <row r="1074" spans="1:4" x14ac:dyDescent="0.25">
      <c r="A1074" s="17"/>
      <c r="C1074" t="s">
        <v>45</v>
      </c>
      <c r="D1074" s="19">
        <v>25000000</v>
      </c>
    </row>
    <row r="1075" spans="1:4" x14ac:dyDescent="0.25">
      <c r="A1075" s="17"/>
      <c r="C1075" t="s">
        <v>48</v>
      </c>
      <c r="D1075" s="19">
        <v>30000000</v>
      </c>
    </row>
    <row r="1076" spans="1:4" x14ac:dyDescent="0.25">
      <c r="A1076" s="17"/>
      <c r="C1076" t="s">
        <v>68</v>
      </c>
      <c r="D1076" s="19">
        <v>141000000</v>
      </c>
    </row>
    <row r="1077" spans="1:4" x14ac:dyDescent="0.25">
      <c r="A1077" s="17"/>
      <c r="C1077" t="s">
        <v>68</v>
      </c>
      <c r="D1077" s="19">
        <v>145000000</v>
      </c>
    </row>
    <row r="1078" spans="1:4" x14ac:dyDescent="0.25">
      <c r="A1078" s="17"/>
      <c r="C1078" t="s">
        <v>349</v>
      </c>
      <c r="D1078" s="19">
        <v>20419500</v>
      </c>
    </row>
    <row r="1079" spans="1:4" x14ac:dyDescent="0.25">
      <c r="A1079" s="17"/>
      <c r="C1079" t="s">
        <v>350</v>
      </c>
      <c r="D1079" s="19">
        <v>3500000</v>
      </c>
    </row>
    <row r="1080" spans="1:4" x14ac:dyDescent="0.25">
      <c r="A1080" s="17"/>
      <c r="C1080" t="s">
        <v>341</v>
      </c>
      <c r="D1080" s="19">
        <v>800000</v>
      </c>
    </row>
    <row r="1081" spans="1:4" x14ac:dyDescent="0.25">
      <c r="A1081" s="17"/>
      <c r="C1081" t="s">
        <v>313</v>
      </c>
      <c r="D1081" s="20">
        <v>10000000</v>
      </c>
    </row>
    <row r="1082" spans="1:4" x14ac:dyDescent="0.25">
      <c r="A1082" s="17"/>
      <c r="D1082" s="19">
        <f>SUM(D1071:D1081)</f>
        <v>3957117024</v>
      </c>
    </row>
    <row r="1083" spans="1:4" x14ac:dyDescent="0.25">
      <c r="A1083" s="17"/>
      <c r="D1083" s="19"/>
    </row>
    <row r="1084" spans="1:4" x14ac:dyDescent="0.25">
      <c r="A1084" s="17"/>
      <c r="B1084" s="24" t="s">
        <v>46</v>
      </c>
      <c r="D1084" s="19"/>
    </row>
    <row r="1085" spans="1:4" x14ac:dyDescent="0.25">
      <c r="A1085" s="17"/>
      <c r="C1085" t="s">
        <v>363</v>
      </c>
      <c r="D1085" s="20">
        <v>63865000</v>
      </c>
    </row>
    <row r="1086" spans="1:4" x14ac:dyDescent="0.25">
      <c r="A1086" s="17"/>
      <c r="D1086" s="19">
        <f>D1085</f>
        <v>63865000</v>
      </c>
    </row>
    <row r="1087" spans="1:4" x14ac:dyDescent="0.25">
      <c r="A1087" s="17"/>
      <c r="D1087" s="19"/>
    </row>
    <row r="1088" spans="1:4" x14ac:dyDescent="0.25">
      <c r="A1088" s="23" t="s">
        <v>22</v>
      </c>
      <c r="D1088" s="19"/>
    </row>
    <row r="1089" spans="1:7" x14ac:dyDescent="0.25">
      <c r="A1089" s="17"/>
      <c r="C1089" t="s">
        <v>23</v>
      </c>
      <c r="D1089" s="19">
        <v>2674525000</v>
      </c>
    </row>
    <row r="1090" spans="1:7" x14ac:dyDescent="0.25">
      <c r="A1090" s="17"/>
      <c r="C1090" t="s">
        <v>24</v>
      </c>
      <c r="D1090" s="19">
        <v>1480361500</v>
      </c>
    </row>
    <row r="1091" spans="1:7" x14ac:dyDescent="0.25">
      <c r="A1091" s="17"/>
      <c r="C1091" t="s">
        <v>44</v>
      </c>
      <c r="D1091" s="19">
        <v>75150000</v>
      </c>
    </row>
    <row r="1092" spans="1:7" x14ac:dyDescent="0.25">
      <c r="A1092" s="17"/>
      <c r="C1092" t="s">
        <v>111</v>
      </c>
      <c r="D1092" s="20">
        <v>222750000</v>
      </c>
    </row>
    <row r="1093" spans="1:7" x14ac:dyDescent="0.25">
      <c r="A1093" s="17"/>
      <c r="D1093" s="19">
        <f>SUM(D1089:D1092)</f>
        <v>4452786500</v>
      </c>
      <c r="G1093" s="1"/>
    </row>
    <row r="1094" spans="1:7" x14ac:dyDescent="0.25">
      <c r="A1094" s="17"/>
      <c r="D1094" s="19"/>
      <c r="G1094" s="1"/>
    </row>
    <row r="1095" spans="1:7" x14ac:dyDescent="0.25">
      <c r="A1095" s="43" t="s">
        <v>25</v>
      </c>
      <c r="B1095" s="44"/>
      <c r="C1095" s="44"/>
      <c r="D1095" s="25">
        <f>D1068+D1082+D1086-D1093</f>
        <v>914928654.69999981</v>
      </c>
      <c r="G1095" s="1"/>
    </row>
    <row r="1096" spans="1:7" x14ac:dyDescent="0.25">
      <c r="A1096" s="21"/>
      <c r="B1096" s="22"/>
      <c r="C1096" s="22"/>
      <c r="D1096" s="20"/>
      <c r="G1096" s="1"/>
    </row>
  </sheetData>
  <mergeCells count="96">
    <mergeCell ref="A1052:D1052"/>
    <mergeCell ref="A1053:D1053"/>
    <mergeCell ref="A1054:D1054"/>
    <mergeCell ref="A1095:C1095"/>
    <mergeCell ref="A191:D191"/>
    <mergeCell ref="A411:D411"/>
    <mergeCell ref="A412:D412"/>
    <mergeCell ref="A413:D413"/>
    <mergeCell ref="A454:C454"/>
    <mergeCell ref="A237:D237"/>
    <mergeCell ref="A275:C275"/>
    <mergeCell ref="A278:D278"/>
    <mergeCell ref="A279:D279"/>
    <mergeCell ref="A280:D280"/>
    <mergeCell ref="A319:C319"/>
    <mergeCell ref="A368:D368"/>
    <mergeCell ref="A324:D324"/>
    <mergeCell ref="A322:D322"/>
    <mergeCell ref="A323:D323"/>
    <mergeCell ref="A364:C364"/>
    <mergeCell ref="A51:D51"/>
    <mergeCell ref="A52:D52"/>
    <mergeCell ref="A95:C95"/>
    <mergeCell ref="A235:D235"/>
    <mergeCell ref="A236:D236"/>
    <mergeCell ref="A192:D192"/>
    <mergeCell ref="A193:D193"/>
    <mergeCell ref="A98:D98"/>
    <mergeCell ref="A99:D99"/>
    <mergeCell ref="A100:D100"/>
    <mergeCell ref="A141:C141"/>
    <mergeCell ref="A232:C232"/>
    <mergeCell ref="A144:D144"/>
    <mergeCell ref="A145:D145"/>
    <mergeCell ref="A146:D146"/>
    <mergeCell ref="A188:C188"/>
    <mergeCell ref="A1:D1"/>
    <mergeCell ref="A2:D2"/>
    <mergeCell ref="A3:D3"/>
    <mergeCell ref="A47:C47"/>
    <mergeCell ref="A50:D50"/>
    <mergeCell ref="A367:D367"/>
    <mergeCell ref="A550:D550"/>
    <mergeCell ref="A551:D551"/>
    <mergeCell ref="A552:D552"/>
    <mergeCell ref="A594:C594"/>
    <mergeCell ref="A547:C547"/>
    <mergeCell ref="A504:D504"/>
    <mergeCell ref="A505:D505"/>
    <mergeCell ref="A506:D506"/>
    <mergeCell ref="A369:D369"/>
    <mergeCell ref="A408:C408"/>
    <mergeCell ref="A457:D457"/>
    <mergeCell ref="A458:D458"/>
    <mergeCell ref="A459:D459"/>
    <mergeCell ref="A501:C501"/>
    <mergeCell ref="A597:D597"/>
    <mergeCell ref="A598:D598"/>
    <mergeCell ref="A599:D599"/>
    <mergeCell ref="A637:C637"/>
    <mergeCell ref="A640:D640"/>
    <mergeCell ref="A814:D814"/>
    <mergeCell ref="A815:D815"/>
    <mergeCell ref="A816:D816"/>
    <mergeCell ref="A857:C857"/>
    <mergeCell ref="A683:D683"/>
    <mergeCell ref="A684:D684"/>
    <mergeCell ref="A685:D685"/>
    <mergeCell ref="A723:C723"/>
    <mergeCell ref="A769:D769"/>
    <mergeCell ref="A770:D770"/>
    <mergeCell ref="A771:D771"/>
    <mergeCell ref="A811:C811"/>
    <mergeCell ref="A728:D728"/>
    <mergeCell ref="A766:C766"/>
    <mergeCell ref="A641:D641"/>
    <mergeCell ref="A642:D642"/>
    <mergeCell ref="A680:C680"/>
    <mergeCell ref="A726:D726"/>
    <mergeCell ref="A727:D727"/>
    <mergeCell ref="A906:D906"/>
    <mergeCell ref="A907:D907"/>
    <mergeCell ref="A908:D908"/>
    <mergeCell ref="A955:C955"/>
    <mergeCell ref="A860:D860"/>
    <mergeCell ref="A861:D861"/>
    <mergeCell ref="A862:D862"/>
    <mergeCell ref="A903:C903"/>
    <mergeCell ref="A1005:D1005"/>
    <mergeCell ref="A1006:D1006"/>
    <mergeCell ref="A1007:D1007"/>
    <mergeCell ref="A1049:C1049"/>
    <mergeCell ref="A958:D958"/>
    <mergeCell ref="A959:D959"/>
    <mergeCell ref="A960:D960"/>
    <mergeCell ref="A1002:C100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C93F-8ED2-4F75-94D5-2BE4A29B9888}">
  <dimension ref="A1:I1112"/>
  <sheetViews>
    <sheetView topLeftCell="A1067" zoomScale="80" zoomScaleNormal="80" workbookViewId="0">
      <selection activeCell="G619" sqref="G619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4.42578125" bestFit="1" customWidth="1"/>
    <col min="4" max="4" width="24.7109375" customWidth="1"/>
    <col min="5" max="5" width="5" customWidth="1"/>
    <col min="6" max="6" width="49.5703125" customWidth="1"/>
    <col min="7" max="7" width="20.85546875" customWidth="1"/>
    <col min="9" max="9" width="17.7109375" bestFit="1" customWidth="1"/>
  </cols>
  <sheetData>
    <row r="1" spans="1:7" x14ac:dyDescent="0.25">
      <c r="A1" s="40" t="s">
        <v>13</v>
      </c>
      <c r="B1" s="40"/>
      <c r="C1" s="40"/>
      <c r="D1" s="40"/>
      <c r="G1" s="1"/>
    </row>
    <row r="2" spans="1:7" x14ac:dyDescent="0.25">
      <c r="A2" s="41" t="s">
        <v>14</v>
      </c>
      <c r="B2" s="41"/>
      <c r="C2" s="41"/>
      <c r="D2" s="41"/>
      <c r="G2" s="1"/>
    </row>
    <row r="3" spans="1:7" x14ac:dyDescent="0.25">
      <c r="A3" s="42">
        <v>45717</v>
      </c>
      <c r="B3" s="42"/>
      <c r="C3" s="42"/>
      <c r="D3" s="42"/>
      <c r="G3" s="1"/>
    </row>
    <row r="4" spans="1:7" x14ac:dyDescent="0.25">
      <c r="A4" s="13"/>
      <c r="B4" s="13"/>
      <c r="C4" s="13"/>
      <c r="D4" s="13"/>
      <c r="G4" s="1"/>
    </row>
    <row r="5" spans="1:7" x14ac:dyDescent="0.25">
      <c r="A5" s="14"/>
      <c r="B5" s="15"/>
      <c r="C5" s="15"/>
      <c r="D5" s="16"/>
      <c r="F5" s="5" t="s">
        <v>26</v>
      </c>
      <c r="G5" s="1">
        <f>D41-Feb!D1095</f>
        <v>-34271387.18999958</v>
      </c>
    </row>
    <row r="6" spans="1:7" x14ac:dyDescent="0.25">
      <c r="A6" s="17"/>
      <c r="D6" s="32" t="s">
        <v>16</v>
      </c>
      <c r="G6" s="1"/>
    </row>
    <row r="7" spans="1:7" x14ac:dyDescent="0.25">
      <c r="A7" s="23" t="s">
        <v>15</v>
      </c>
      <c r="D7" s="18" t="s">
        <v>17</v>
      </c>
      <c r="F7" s="26" t="s">
        <v>27</v>
      </c>
      <c r="G7" s="1"/>
    </row>
    <row r="8" spans="1:7" x14ac:dyDescent="0.25">
      <c r="A8" s="17"/>
      <c r="B8" s="24" t="s">
        <v>18</v>
      </c>
      <c r="D8" s="19"/>
      <c r="F8" s="27" t="s">
        <v>28</v>
      </c>
      <c r="G8" s="1"/>
    </row>
    <row r="9" spans="1:7" x14ac:dyDescent="0.25">
      <c r="A9" s="17"/>
      <c r="C9" s="2" t="s">
        <v>31</v>
      </c>
      <c r="D9" s="19">
        <v>78922776.109999999</v>
      </c>
      <c r="F9" t="s">
        <v>279</v>
      </c>
      <c r="G9" s="1">
        <v>8954000</v>
      </c>
    </row>
    <row r="10" spans="1:7" x14ac:dyDescent="0.25">
      <c r="A10" s="17"/>
      <c r="C10" s="2" t="s">
        <v>32</v>
      </c>
      <c r="D10" s="19">
        <v>95869492.400000006</v>
      </c>
      <c r="F10" t="s">
        <v>367</v>
      </c>
      <c r="G10" s="1">
        <v>169000</v>
      </c>
    </row>
    <row r="11" spans="1:7" x14ac:dyDescent="0.25">
      <c r="A11" s="17"/>
      <c r="C11" s="2" t="s">
        <v>33</v>
      </c>
      <c r="D11" s="19">
        <v>375094583.39999998</v>
      </c>
      <c r="F11" t="s">
        <v>368</v>
      </c>
      <c r="G11" s="1">
        <v>1025.73</v>
      </c>
    </row>
    <row r="12" spans="1:7" x14ac:dyDescent="0.25">
      <c r="A12" s="17"/>
      <c r="C12" s="2" t="s">
        <v>34</v>
      </c>
      <c r="D12" s="19">
        <v>1054271</v>
      </c>
      <c r="F12" t="s">
        <v>369</v>
      </c>
      <c r="G12" s="1">
        <v>990.29</v>
      </c>
    </row>
    <row r="13" spans="1:7" x14ac:dyDescent="0.25">
      <c r="A13" s="17"/>
      <c r="C13" s="2" t="s">
        <v>35</v>
      </c>
      <c r="D13" s="19">
        <v>745200</v>
      </c>
      <c r="G13" s="30">
        <f>SUM(G9:G12)</f>
        <v>9125016.0199999996</v>
      </c>
    </row>
    <row r="14" spans="1:7" x14ac:dyDescent="0.25">
      <c r="A14" s="17"/>
      <c r="C14" s="2" t="s">
        <v>36</v>
      </c>
      <c r="D14" s="19">
        <v>89648392.599999994</v>
      </c>
      <c r="F14" s="28" t="s">
        <v>29</v>
      </c>
      <c r="G14" s="1"/>
    </row>
    <row r="15" spans="1:7" x14ac:dyDescent="0.25">
      <c r="A15" s="17"/>
      <c r="C15" s="2" t="s">
        <v>37</v>
      </c>
      <c r="D15" s="19">
        <v>544812211</v>
      </c>
      <c r="F15" t="s">
        <v>49</v>
      </c>
      <c r="G15" s="1">
        <v>7500</v>
      </c>
    </row>
    <row r="16" spans="1:7" x14ac:dyDescent="0.25">
      <c r="A16" s="17"/>
      <c r="C16" s="2" t="s">
        <v>51</v>
      </c>
      <c r="D16" s="20">
        <v>130317</v>
      </c>
      <c r="F16" t="s">
        <v>365</v>
      </c>
      <c r="G16" s="1">
        <v>29850000</v>
      </c>
    </row>
    <row r="17" spans="1:7" x14ac:dyDescent="0.25">
      <c r="A17" s="17"/>
      <c r="B17" s="24" t="s">
        <v>19</v>
      </c>
      <c r="D17" s="19">
        <f>SUM(D9:D16)</f>
        <v>1186277243.51</v>
      </c>
      <c r="F17" t="s">
        <v>366</v>
      </c>
      <c r="G17" s="1">
        <v>13478500</v>
      </c>
    </row>
    <row r="18" spans="1:7" x14ac:dyDescent="0.25">
      <c r="A18" s="17"/>
      <c r="D18" s="19"/>
      <c r="F18" t="s">
        <v>284</v>
      </c>
      <c r="G18" s="1">
        <v>60000</v>
      </c>
    </row>
    <row r="19" spans="1:7" x14ac:dyDescent="0.25">
      <c r="A19" s="17"/>
      <c r="B19" s="24" t="s">
        <v>20</v>
      </c>
      <c r="D19" s="19"/>
      <c r="F19" t="s">
        <v>370</v>
      </c>
      <c r="G19" s="1">
        <v>205.15</v>
      </c>
    </row>
    <row r="20" spans="1:7" x14ac:dyDescent="0.25">
      <c r="A20" s="17"/>
      <c r="C20" t="s">
        <v>7</v>
      </c>
      <c r="D20" s="19">
        <v>2793000024</v>
      </c>
      <c r="F20" t="s">
        <v>371</v>
      </c>
      <c r="G20" s="1">
        <v>198.06</v>
      </c>
    </row>
    <row r="21" spans="1:7" x14ac:dyDescent="0.25">
      <c r="A21" s="17"/>
      <c r="C21" t="s">
        <v>47</v>
      </c>
      <c r="D21" s="19">
        <v>60180000</v>
      </c>
      <c r="G21" s="30">
        <f>SUM(G15:G20)</f>
        <v>43396403.210000001</v>
      </c>
    </row>
    <row r="22" spans="1:7" x14ac:dyDescent="0.25">
      <c r="A22" s="17"/>
      <c r="C22" t="s">
        <v>21</v>
      </c>
      <c r="D22" s="19">
        <v>814867500</v>
      </c>
      <c r="G22" s="1"/>
    </row>
    <row r="23" spans="1:7" x14ac:dyDescent="0.25">
      <c r="A23" s="17"/>
      <c r="C23" t="s">
        <v>45</v>
      </c>
      <c r="D23" s="19">
        <v>25000000</v>
      </c>
      <c r="F23" s="28" t="s">
        <v>30</v>
      </c>
      <c r="G23" s="29">
        <f>G13-G21</f>
        <v>-34271387.189999998</v>
      </c>
    </row>
    <row r="24" spans="1:7" x14ac:dyDescent="0.25">
      <c r="A24" s="17"/>
      <c r="C24" t="s">
        <v>48</v>
      </c>
      <c r="D24" s="19">
        <v>30000000</v>
      </c>
    </row>
    <row r="25" spans="1:7" x14ac:dyDescent="0.25">
      <c r="A25" s="17"/>
      <c r="C25" t="s">
        <v>68</v>
      </c>
      <c r="D25" s="19">
        <v>141000000</v>
      </c>
    </row>
    <row r="26" spans="1:7" x14ac:dyDescent="0.25">
      <c r="A26" s="17"/>
      <c r="C26" t="s">
        <v>68</v>
      </c>
      <c r="D26" s="19">
        <v>145000000</v>
      </c>
    </row>
    <row r="27" spans="1:7" x14ac:dyDescent="0.25">
      <c r="A27" s="17"/>
      <c r="C27" t="s">
        <v>341</v>
      </c>
      <c r="D27" s="19">
        <v>800000</v>
      </c>
    </row>
    <row r="28" spans="1:7" x14ac:dyDescent="0.25">
      <c r="A28" s="17"/>
      <c r="C28" t="s">
        <v>313</v>
      </c>
      <c r="D28" s="20">
        <v>10000000</v>
      </c>
    </row>
    <row r="29" spans="1:7" x14ac:dyDescent="0.25">
      <c r="A29" s="17"/>
      <c r="D29" s="19">
        <f>SUM(D20:D28)</f>
        <v>4019847524</v>
      </c>
    </row>
    <row r="30" spans="1:7" x14ac:dyDescent="0.25">
      <c r="A30" s="17"/>
      <c r="D30" s="19"/>
    </row>
    <row r="31" spans="1:7" x14ac:dyDescent="0.25">
      <c r="A31" s="17"/>
      <c r="B31" s="24" t="s">
        <v>46</v>
      </c>
      <c r="D31" s="19"/>
    </row>
    <row r="32" spans="1:7" x14ac:dyDescent="0.25">
      <c r="A32" s="17"/>
      <c r="C32" t="s">
        <v>363</v>
      </c>
      <c r="D32" s="20">
        <v>63865000</v>
      </c>
    </row>
    <row r="33" spans="1:7" x14ac:dyDescent="0.25">
      <c r="A33" s="17"/>
      <c r="D33" s="19">
        <f>D32</f>
        <v>63865000</v>
      </c>
    </row>
    <row r="34" spans="1:7" x14ac:dyDescent="0.25">
      <c r="A34" s="17"/>
      <c r="D34" s="19"/>
    </row>
    <row r="35" spans="1:7" x14ac:dyDescent="0.25">
      <c r="A35" s="23" t="s">
        <v>22</v>
      </c>
      <c r="D35" s="19"/>
    </row>
    <row r="36" spans="1:7" x14ac:dyDescent="0.25">
      <c r="A36" s="17"/>
      <c r="C36" t="s">
        <v>23</v>
      </c>
      <c r="D36" s="19">
        <v>2674525000</v>
      </c>
    </row>
    <row r="37" spans="1:7" x14ac:dyDescent="0.25">
      <c r="A37" s="17"/>
      <c r="C37" t="s">
        <v>24</v>
      </c>
      <c r="D37" s="19">
        <v>1639657500</v>
      </c>
    </row>
    <row r="38" spans="1:7" x14ac:dyDescent="0.25">
      <c r="A38" s="17"/>
      <c r="C38" t="s">
        <v>44</v>
      </c>
      <c r="D38" s="20">
        <v>75150000</v>
      </c>
    </row>
    <row r="39" spans="1:7" x14ac:dyDescent="0.25">
      <c r="A39" s="17"/>
      <c r="D39" s="19">
        <f>SUM(D36:D38)</f>
        <v>4389332500</v>
      </c>
      <c r="G39" s="1"/>
    </row>
    <row r="40" spans="1:7" x14ac:dyDescent="0.25">
      <c r="A40" s="17"/>
      <c r="D40" s="19"/>
      <c r="G40" s="1"/>
    </row>
    <row r="41" spans="1:7" x14ac:dyDescent="0.25">
      <c r="A41" s="43" t="s">
        <v>25</v>
      </c>
      <c r="B41" s="44"/>
      <c r="C41" s="44"/>
      <c r="D41" s="25">
        <f>D17+D29+D33-D39</f>
        <v>880657267.51000023</v>
      </c>
      <c r="G41" s="1"/>
    </row>
    <row r="42" spans="1:7" x14ac:dyDescent="0.25">
      <c r="A42" s="21"/>
      <c r="B42" s="22"/>
      <c r="C42" s="22"/>
      <c r="D42" s="20"/>
      <c r="G42" s="1"/>
    </row>
    <row r="44" spans="1:7" x14ac:dyDescent="0.25">
      <c r="A44" s="40" t="s">
        <v>13</v>
      </c>
      <c r="B44" s="40"/>
      <c r="C44" s="40"/>
      <c r="D44" s="40"/>
      <c r="G44" s="1"/>
    </row>
    <row r="45" spans="1:7" x14ac:dyDescent="0.25">
      <c r="A45" s="41" t="s">
        <v>14</v>
      </c>
      <c r="B45" s="41"/>
      <c r="C45" s="41"/>
      <c r="D45" s="41"/>
      <c r="G45" s="1"/>
    </row>
    <row r="46" spans="1:7" x14ac:dyDescent="0.25">
      <c r="A46" s="42">
        <v>45719</v>
      </c>
      <c r="B46" s="42"/>
      <c r="C46" s="42"/>
      <c r="D46" s="42"/>
      <c r="G46" s="1"/>
    </row>
    <row r="47" spans="1:7" x14ac:dyDescent="0.25">
      <c r="A47" s="13"/>
      <c r="B47" s="13"/>
      <c r="C47" s="13"/>
      <c r="D47" s="13"/>
      <c r="G47" s="1"/>
    </row>
    <row r="48" spans="1:7" x14ac:dyDescent="0.25">
      <c r="A48" s="14"/>
      <c r="B48" s="15"/>
      <c r="C48" s="15"/>
      <c r="D48" s="16"/>
      <c r="F48" s="5" t="s">
        <v>26</v>
      </c>
      <c r="G48" s="1">
        <f>D86-D41</f>
        <v>-2580500</v>
      </c>
    </row>
    <row r="49" spans="1:7" x14ac:dyDescent="0.25">
      <c r="A49" s="17"/>
      <c r="D49" s="32" t="s">
        <v>16</v>
      </c>
      <c r="G49" s="1"/>
    </row>
    <row r="50" spans="1:7" x14ac:dyDescent="0.25">
      <c r="A50" s="23" t="s">
        <v>15</v>
      </c>
      <c r="D50" s="18" t="s">
        <v>17</v>
      </c>
      <c r="F50" s="26" t="s">
        <v>27</v>
      </c>
      <c r="G50" s="1"/>
    </row>
    <row r="51" spans="1:7" x14ac:dyDescent="0.25">
      <c r="A51" s="17"/>
      <c r="B51" s="24" t="s">
        <v>18</v>
      </c>
      <c r="D51" s="19"/>
      <c r="F51" s="27" t="s">
        <v>28</v>
      </c>
      <c r="G51" s="1"/>
    </row>
    <row r="52" spans="1:7" x14ac:dyDescent="0.25">
      <c r="A52" s="17"/>
      <c r="C52" s="2" t="s">
        <v>31</v>
      </c>
      <c r="D52" s="19">
        <v>172032776.11000001</v>
      </c>
      <c r="F52" t="s">
        <v>292</v>
      </c>
      <c r="G52" s="1">
        <v>6929000</v>
      </c>
    </row>
    <row r="53" spans="1:7" x14ac:dyDescent="0.25">
      <c r="A53" s="17"/>
      <c r="C53" s="2" t="s">
        <v>32</v>
      </c>
      <c r="D53" s="19">
        <v>97849492.400000006</v>
      </c>
      <c r="F53" t="s">
        <v>90</v>
      </c>
      <c r="G53" s="1">
        <v>227500</v>
      </c>
    </row>
    <row r="54" spans="1:7" x14ac:dyDescent="0.25">
      <c r="A54" s="17"/>
      <c r="C54" s="2" t="s">
        <v>33</v>
      </c>
      <c r="D54" s="19">
        <v>609447583.39999998</v>
      </c>
      <c r="F54" t="s">
        <v>373</v>
      </c>
      <c r="G54" s="1">
        <v>174000</v>
      </c>
    </row>
    <row r="55" spans="1:7" x14ac:dyDescent="0.25">
      <c r="A55" s="17"/>
      <c r="C55" s="2" t="s">
        <v>34</v>
      </c>
      <c r="D55" s="19">
        <v>162704271</v>
      </c>
      <c r="F55" t="s">
        <v>374</v>
      </c>
      <c r="G55" s="1">
        <v>20000</v>
      </c>
    </row>
    <row r="56" spans="1:7" x14ac:dyDescent="0.25">
      <c r="A56" s="17"/>
      <c r="C56" s="2" t="s">
        <v>35</v>
      </c>
      <c r="D56" s="19">
        <v>745200</v>
      </c>
      <c r="F56" t="s">
        <v>375</v>
      </c>
      <c r="G56" s="1">
        <v>169000</v>
      </c>
    </row>
    <row r="57" spans="1:7" x14ac:dyDescent="0.25">
      <c r="A57" s="17"/>
      <c r="C57" s="2" t="s">
        <v>36</v>
      </c>
      <c r="D57" s="19">
        <v>89648392.599999994</v>
      </c>
      <c r="G57" s="30">
        <f>SUM(G52:G56)</f>
        <v>7519500</v>
      </c>
    </row>
    <row r="58" spans="1:7" x14ac:dyDescent="0.25">
      <c r="A58" s="17"/>
      <c r="C58" s="2" t="s">
        <v>37</v>
      </c>
      <c r="D58" s="19">
        <v>574812211</v>
      </c>
      <c r="F58" s="28" t="s">
        <v>29</v>
      </c>
      <c r="G58" s="1"/>
    </row>
    <row r="59" spans="1:7" x14ac:dyDescent="0.25">
      <c r="A59" s="17"/>
      <c r="C59" s="2" t="s">
        <v>51</v>
      </c>
      <c r="D59" s="20">
        <v>130317</v>
      </c>
      <c r="F59" t="s">
        <v>112</v>
      </c>
      <c r="G59" s="1">
        <v>10000000</v>
      </c>
    </row>
    <row r="60" spans="1:7" x14ac:dyDescent="0.25">
      <c r="A60" s="17"/>
      <c r="B60" s="24" t="s">
        <v>19</v>
      </c>
      <c r="D60" s="19">
        <f>SUM(D52:D59)</f>
        <v>1707370243.51</v>
      </c>
      <c r="F60" t="s">
        <v>372</v>
      </c>
      <c r="G60" s="1">
        <v>100000</v>
      </c>
    </row>
    <row r="61" spans="1:7" x14ac:dyDescent="0.25">
      <c r="A61" s="17"/>
      <c r="D61" s="19"/>
      <c r="G61" s="30">
        <f>SUM(G59:G60)</f>
        <v>10100000</v>
      </c>
    </row>
    <row r="62" spans="1:7" x14ac:dyDescent="0.25">
      <c r="A62" s="17"/>
      <c r="B62" s="24" t="s">
        <v>20</v>
      </c>
      <c r="D62" s="19"/>
      <c r="G62" s="1"/>
    </row>
    <row r="63" spans="1:7" x14ac:dyDescent="0.25">
      <c r="A63" s="17"/>
      <c r="C63" t="s">
        <v>7</v>
      </c>
      <c r="D63" s="19">
        <v>3014875024</v>
      </c>
      <c r="F63" s="28" t="s">
        <v>30</v>
      </c>
      <c r="G63" s="29">
        <f>G57-G61</f>
        <v>-2580500</v>
      </c>
    </row>
    <row r="64" spans="1:7" x14ac:dyDescent="0.25">
      <c r="A64" s="17"/>
      <c r="C64" t="s">
        <v>47</v>
      </c>
      <c r="D64" s="19">
        <v>62665000</v>
      </c>
    </row>
    <row r="65" spans="1:4" x14ac:dyDescent="0.25">
      <c r="A65" s="17"/>
      <c r="C65" t="s">
        <v>21</v>
      </c>
      <c r="D65" s="19">
        <v>690697500</v>
      </c>
    </row>
    <row r="66" spans="1:4" x14ac:dyDescent="0.25">
      <c r="A66" s="17"/>
      <c r="C66" t="s">
        <v>45</v>
      </c>
      <c r="D66" s="19">
        <v>25000000</v>
      </c>
    </row>
    <row r="67" spans="1:4" x14ac:dyDescent="0.25">
      <c r="A67" s="17"/>
      <c r="C67" t="s">
        <v>48</v>
      </c>
      <c r="D67" s="19">
        <v>30000000</v>
      </c>
    </row>
    <row r="68" spans="1:4" x14ac:dyDescent="0.25">
      <c r="A68" s="17"/>
      <c r="C68" t="s">
        <v>68</v>
      </c>
      <c r="D68" s="19">
        <v>141000000</v>
      </c>
    </row>
    <row r="69" spans="1:4" x14ac:dyDescent="0.25">
      <c r="A69" s="17"/>
      <c r="C69" t="s">
        <v>68</v>
      </c>
      <c r="D69" s="19">
        <v>145000000</v>
      </c>
    </row>
    <row r="70" spans="1:4" x14ac:dyDescent="0.25">
      <c r="A70" s="17"/>
      <c r="C70" t="s">
        <v>341</v>
      </c>
      <c r="D70" s="19">
        <v>800000</v>
      </c>
    </row>
    <row r="71" spans="1:4" x14ac:dyDescent="0.25">
      <c r="A71" s="17"/>
      <c r="C71" t="s">
        <v>313</v>
      </c>
      <c r="D71" s="20">
        <v>10000000</v>
      </c>
    </row>
    <row r="72" spans="1:4" x14ac:dyDescent="0.25">
      <c r="A72" s="17"/>
      <c r="D72" s="19">
        <f>SUM(D63:D71)</f>
        <v>4120037524</v>
      </c>
    </row>
    <row r="73" spans="1:4" x14ac:dyDescent="0.25">
      <c r="A73" s="17"/>
      <c r="D73" s="19"/>
    </row>
    <row r="74" spans="1:4" x14ac:dyDescent="0.25">
      <c r="A74" s="17"/>
      <c r="B74" s="24" t="s">
        <v>46</v>
      </c>
      <c r="D74" s="19"/>
    </row>
    <row r="75" spans="1:4" x14ac:dyDescent="0.25">
      <c r="A75" s="17"/>
      <c r="C75" t="s">
        <v>376</v>
      </c>
      <c r="D75" s="19">
        <v>53020000</v>
      </c>
    </row>
    <row r="76" spans="1:4" x14ac:dyDescent="0.25">
      <c r="A76" s="17"/>
      <c r="C76" t="s">
        <v>120</v>
      </c>
      <c r="D76" s="20">
        <v>6627500</v>
      </c>
    </row>
    <row r="77" spans="1:4" x14ac:dyDescent="0.25">
      <c r="A77" s="17"/>
      <c r="D77" s="19">
        <f>SUM(D75:D76)</f>
        <v>59647500</v>
      </c>
    </row>
    <row r="78" spans="1:4" x14ac:dyDescent="0.25">
      <c r="A78" s="17"/>
      <c r="D78" s="19"/>
    </row>
    <row r="79" spans="1:4" x14ac:dyDescent="0.25">
      <c r="A79" s="23" t="s">
        <v>22</v>
      </c>
      <c r="D79" s="19"/>
    </row>
    <row r="80" spans="1:4" x14ac:dyDescent="0.25">
      <c r="A80" s="17"/>
      <c r="C80" t="s">
        <v>23</v>
      </c>
      <c r="D80" s="19">
        <v>2829075000</v>
      </c>
    </row>
    <row r="81" spans="1:7" x14ac:dyDescent="0.25">
      <c r="A81" s="17"/>
      <c r="C81" t="s">
        <v>24</v>
      </c>
      <c r="D81" s="19">
        <v>1798953500</v>
      </c>
    </row>
    <row r="82" spans="1:7" x14ac:dyDescent="0.25">
      <c r="A82" s="17"/>
      <c r="C82" t="s">
        <v>44</v>
      </c>
      <c r="D82" s="19">
        <v>232450000</v>
      </c>
    </row>
    <row r="83" spans="1:7" x14ac:dyDescent="0.25">
      <c r="A83" s="17"/>
      <c r="C83" t="s">
        <v>111</v>
      </c>
      <c r="D83" s="20">
        <v>148500000</v>
      </c>
    </row>
    <row r="84" spans="1:7" x14ac:dyDescent="0.25">
      <c r="A84" s="17"/>
      <c r="D84" s="19">
        <f>SUM(D80:D83)</f>
        <v>5008978500</v>
      </c>
      <c r="G84" s="1"/>
    </row>
    <row r="85" spans="1:7" x14ac:dyDescent="0.25">
      <c r="A85" s="17"/>
      <c r="D85" s="19"/>
      <c r="G85" s="1"/>
    </row>
    <row r="86" spans="1:7" x14ac:dyDescent="0.25">
      <c r="A86" s="43" t="s">
        <v>25</v>
      </c>
      <c r="B86" s="44"/>
      <c r="C86" s="44"/>
      <c r="D86" s="25">
        <f>D60+D72+D77-D84</f>
        <v>878076767.51000023</v>
      </c>
      <c r="G86" s="1"/>
    </row>
    <row r="87" spans="1:7" x14ac:dyDescent="0.25">
      <c r="A87" s="21"/>
      <c r="B87" s="22"/>
      <c r="C87" s="22"/>
      <c r="D87" s="20"/>
      <c r="G87" s="1"/>
    </row>
    <row r="89" spans="1:7" x14ac:dyDescent="0.25">
      <c r="A89" s="40" t="s">
        <v>13</v>
      </c>
      <c r="B89" s="40"/>
      <c r="C89" s="40"/>
      <c r="D89" s="40"/>
      <c r="G89" s="1"/>
    </row>
    <row r="90" spans="1:7" x14ac:dyDescent="0.25">
      <c r="A90" s="41" t="s">
        <v>14</v>
      </c>
      <c r="B90" s="41"/>
      <c r="C90" s="41"/>
      <c r="D90" s="41"/>
      <c r="G90" s="1"/>
    </row>
    <row r="91" spans="1:7" x14ac:dyDescent="0.25">
      <c r="A91" s="42">
        <v>45720</v>
      </c>
      <c r="B91" s="42"/>
      <c r="C91" s="42"/>
      <c r="D91" s="42"/>
      <c r="G91" s="1"/>
    </row>
    <row r="92" spans="1:7" x14ac:dyDescent="0.25">
      <c r="A92" s="13"/>
      <c r="B92" s="13"/>
      <c r="C92" s="13"/>
      <c r="D92" s="13"/>
      <c r="G92" s="1"/>
    </row>
    <row r="93" spans="1:7" x14ac:dyDescent="0.25">
      <c r="A93" s="14"/>
      <c r="B93" s="15"/>
      <c r="C93" s="15"/>
      <c r="D93" s="16"/>
      <c r="F93" s="5" t="s">
        <v>26</v>
      </c>
      <c r="G93" s="1">
        <f>D131-D86</f>
        <v>5387700</v>
      </c>
    </row>
    <row r="94" spans="1:7" x14ac:dyDescent="0.25">
      <c r="A94" s="17"/>
      <c r="D94" s="32" t="s">
        <v>16</v>
      </c>
      <c r="G94" s="1"/>
    </row>
    <row r="95" spans="1:7" x14ac:dyDescent="0.25">
      <c r="A95" s="23" t="s">
        <v>15</v>
      </c>
      <c r="D95" s="18" t="s">
        <v>17</v>
      </c>
      <c r="F95" s="26" t="s">
        <v>27</v>
      </c>
      <c r="G95" s="1"/>
    </row>
    <row r="96" spans="1:7" x14ac:dyDescent="0.25">
      <c r="A96" s="17"/>
      <c r="B96" s="24" t="s">
        <v>18</v>
      </c>
      <c r="D96" s="19"/>
      <c r="F96" s="27" t="s">
        <v>28</v>
      </c>
      <c r="G96" s="1"/>
    </row>
    <row r="97" spans="1:7" x14ac:dyDescent="0.25">
      <c r="A97" s="17"/>
      <c r="C97" s="2" t="s">
        <v>31</v>
      </c>
      <c r="D97" s="19">
        <v>776076.11</v>
      </c>
      <c r="F97" t="s">
        <v>118</v>
      </c>
      <c r="G97" s="1">
        <v>8364500</v>
      </c>
    </row>
    <row r="98" spans="1:7" x14ac:dyDescent="0.25">
      <c r="A98" s="17"/>
      <c r="C98" s="2" t="s">
        <v>32</v>
      </c>
      <c r="D98" s="19">
        <v>109964492.40000001</v>
      </c>
      <c r="F98" t="s">
        <v>90</v>
      </c>
      <c r="G98" s="1">
        <v>507500</v>
      </c>
    </row>
    <row r="99" spans="1:7" x14ac:dyDescent="0.25">
      <c r="A99" s="17"/>
      <c r="C99" s="2" t="s">
        <v>33</v>
      </c>
      <c r="D99" s="19">
        <v>730073083.39999998</v>
      </c>
      <c r="G99" s="30">
        <f>SUM(G97:G98)</f>
        <v>8872000</v>
      </c>
    </row>
    <row r="100" spans="1:7" x14ac:dyDescent="0.25">
      <c r="A100" s="17"/>
      <c r="C100" s="2" t="s">
        <v>34</v>
      </c>
      <c r="D100" s="19">
        <v>46204271</v>
      </c>
      <c r="F100" s="28" t="s">
        <v>29</v>
      </c>
      <c r="G100" s="1"/>
    </row>
    <row r="101" spans="1:7" x14ac:dyDescent="0.25">
      <c r="A101" s="17"/>
      <c r="C101" s="2" t="s">
        <v>35</v>
      </c>
      <c r="D101" s="19">
        <v>745200</v>
      </c>
      <c r="F101" t="s">
        <v>377</v>
      </c>
      <c r="G101" s="1">
        <v>1000000</v>
      </c>
    </row>
    <row r="102" spans="1:7" x14ac:dyDescent="0.25">
      <c r="A102" s="17"/>
      <c r="C102" s="2" t="s">
        <v>36</v>
      </c>
      <c r="D102" s="19">
        <v>89648392.599999994</v>
      </c>
      <c r="F102" t="s">
        <v>2</v>
      </c>
      <c r="G102" s="1">
        <v>2250000</v>
      </c>
    </row>
    <row r="103" spans="1:7" x14ac:dyDescent="0.25">
      <c r="A103" s="17"/>
      <c r="C103" s="2" t="s">
        <v>37</v>
      </c>
      <c r="D103" s="19">
        <v>273092211</v>
      </c>
      <c r="F103" t="s">
        <v>161</v>
      </c>
      <c r="G103" s="1">
        <v>5000</v>
      </c>
    </row>
    <row r="104" spans="1:7" x14ac:dyDescent="0.25">
      <c r="A104" s="17"/>
      <c r="C104" s="2" t="s">
        <v>51</v>
      </c>
      <c r="D104" s="20">
        <v>130317</v>
      </c>
      <c r="F104" t="s">
        <v>379</v>
      </c>
      <c r="G104" s="1">
        <v>133300</v>
      </c>
    </row>
    <row r="105" spans="1:7" x14ac:dyDescent="0.25">
      <c r="A105" s="17"/>
      <c r="B105" s="24" t="s">
        <v>19</v>
      </c>
      <c r="D105" s="19">
        <f>SUM(D97:D104)</f>
        <v>1250634043.51</v>
      </c>
      <c r="F105" t="s">
        <v>122</v>
      </c>
      <c r="G105" s="1">
        <v>96000</v>
      </c>
    </row>
    <row r="106" spans="1:7" x14ac:dyDescent="0.25">
      <c r="A106" s="17"/>
      <c r="D106" s="19"/>
      <c r="G106" s="30">
        <f>SUM(G101:G105)</f>
        <v>3484300</v>
      </c>
    </row>
    <row r="107" spans="1:7" x14ac:dyDescent="0.25">
      <c r="A107" s="17"/>
      <c r="B107" s="24" t="s">
        <v>20</v>
      </c>
      <c r="D107" s="19"/>
      <c r="G107" s="1"/>
    </row>
    <row r="108" spans="1:7" x14ac:dyDescent="0.25">
      <c r="A108" s="17"/>
      <c r="C108" t="s">
        <v>7</v>
      </c>
      <c r="D108" s="19">
        <v>3179623424</v>
      </c>
      <c r="F108" s="28" t="s">
        <v>30</v>
      </c>
      <c r="G108" s="29">
        <f>G99-G106</f>
        <v>5387700</v>
      </c>
    </row>
    <row r="109" spans="1:7" x14ac:dyDescent="0.25">
      <c r="A109" s="17"/>
      <c r="C109" t="s">
        <v>47</v>
      </c>
      <c r="D109" s="19">
        <v>60095000</v>
      </c>
    </row>
    <row r="110" spans="1:7" x14ac:dyDescent="0.25">
      <c r="A110" s="17"/>
      <c r="C110" t="s">
        <v>21</v>
      </c>
      <c r="D110" s="19">
        <v>748247500</v>
      </c>
    </row>
    <row r="111" spans="1:7" x14ac:dyDescent="0.25">
      <c r="A111" s="17"/>
      <c r="C111" t="s">
        <v>45</v>
      </c>
      <c r="D111" s="19">
        <v>25000000</v>
      </c>
    </row>
    <row r="112" spans="1:7" x14ac:dyDescent="0.25">
      <c r="A112" s="17"/>
      <c r="C112" t="s">
        <v>48</v>
      </c>
      <c r="D112" s="19">
        <v>30000000</v>
      </c>
    </row>
    <row r="113" spans="1:4" x14ac:dyDescent="0.25">
      <c r="A113" s="17"/>
      <c r="C113" t="s">
        <v>68</v>
      </c>
      <c r="D113" s="19">
        <v>141000000</v>
      </c>
    </row>
    <row r="114" spans="1:4" x14ac:dyDescent="0.25">
      <c r="A114" s="17"/>
      <c r="C114" t="s">
        <v>68</v>
      </c>
      <c r="D114" s="19">
        <v>145000000</v>
      </c>
    </row>
    <row r="115" spans="1:4" x14ac:dyDescent="0.25">
      <c r="A115" s="17"/>
      <c r="C115" t="s">
        <v>341</v>
      </c>
      <c r="D115" s="19">
        <v>800000</v>
      </c>
    </row>
    <row r="116" spans="1:4" x14ac:dyDescent="0.25">
      <c r="A116" s="17"/>
      <c r="C116" t="s">
        <v>313</v>
      </c>
      <c r="D116" s="20">
        <v>10000000</v>
      </c>
    </row>
    <row r="117" spans="1:4" x14ac:dyDescent="0.25">
      <c r="A117" s="17"/>
      <c r="D117" s="19">
        <f>SUM(D108:D116)</f>
        <v>4339765924</v>
      </c>
    </row>
    <row r="118" spans="1:4" x14ac:dyDescent="0.25">
      <c r="A118" s="17"/>
      <c r="D118" s="19"/>
    </row>
    <row r="119" spans="1:4" x14ac:dyDescent="0.25">
      <c r="A119" s="17"/>
      <c r="B119" s="24" t="s">
        <v>46</v>
      </c>
      <c r="D119" s="19"/>
    </row>
    <row r="120" spans="1:4" x14ac:dyDescent="0.25">
      <c r="A120" s="17"/>
      <c r="C120" t="s">
        <v>226</v>
      </c>
      <c r="D120" s="19">
        <v>43982500</v>
      </c>
    </row>
    <row r="121" spans="1:4" x14ac:dyDescent="0.25">
      <c r="A121" s="17"/>
      <c r="C121" t="s">
        <v>120</v>
      </c>
      <c r="D121" s="20">
        <v>6627500</v>
      </c>
    </row>
    <row r="122" spans="1:4" x14ac:dyDescent="0.25">
      <c r="A122" s="17"/>
      <c r="D122" s="19">
        <f>SUM(D120:D121)</f>
        <v>50610000</v>
      </c>
    </row>
    <row r="123" spans="1:4" x14ac:dyDescent="0.25">
      <c r="A123" s="17"/>
      <c r="D123" s="19"/>
    </row>
    <row r="124" spans="1:4" x14ac:dyDescent="0.25">
      <c r="A124" s="23" t="s">
        <v>22</v>
      </c>
      <c r="D124" s="19"/>
    </row>
    <row r="125" spans="1:4" x14ac:dyDescent="0.25">
      <c r="A125" s="17"/>
      <c r="C125" t="s">
        <v>23</v>
      </c>
      <c r="D125" s="19">
        <v>2444575000</v>
      </c>
    </row>
    <row r="126" spans="1:4" x14ac:dyDescent="0.25">
      <c r="A126" s="17"/>
      <c r="C126" t="s">
        <v>24</v>
      </c>
      <c r="D126" s="19">
        <v>1709270500</v>
      </c>
    </row>
    <row r="127" spans="1:4" x14ac:dyDescent="0.25">
      <c r="A127" s="17"/>
      <c r="C127" t="s">
        <v>44</v>
      </c>
      <c r="D127" s="19">
        <v>306700000</v>
      </c>
    </row>
    <row r="128" spans="1:4" x14ac:dyDescent="0.25">
      <c r="A128" s="17"/>
      <c r="C128" t="s">
        <v>111</v>
      </c>
      <c r="D128" s="20">
        <v>297000000</v>
      </c>
    </row>
    <row r="129" spans="1:7" x14ac:dyDescent="0.25">
      <c r="A129" s="17"/>
      <c r="D129" s="19">
        <f>SUM(D125:D128)</f>
        <v>4757545500</v>
      </c>
      <c r="G129" s="1"/>
    </row>
    <row r="130" spans="1:7" x14ac:dyDescent="0.25">
      <c r="A130" s="17"/>
      <c r="D130" s="19"/>
      <c r="G130" s="1"/>
    </row>
    <row r="131" spans="1:7" x14ac:dyDescent="0.25">
      <c r="A131" s="43" t="s">
        <v>25</v>
      </c>
      <c r="B131" s="44"/>
      <c r="C131" s="44"/>
      <c r="D131" s="25">
        <f>D105+D117+D122-D129</f>
        <v>883464467.51000023</v>
      </c>
      <c r="G131" s="1"/>
    </row>
    <row r="132" spans="1:7" x14ac:dyDescent="0.25">
      <c r="A132" s="21"/>
      <c r="B132" s="22"/>
      <c r="C132" s="22"/>
      <c r="D132" s="20"/>
      <c r="G132" s="1"/>
    </row>
    <row r="134" spans="1:7" x14ac:dyDescent="0.25">
      <c r="A134" s="40" t="s">
        <v>13</v>
      </c>
      <c r="B134" s="40"/>
      <c r="C134" s="40"/>
      <c r="D134" s="40"/>
      <c r="G134" s="1"/>
    </row>
    <row r="135" spans="1:7" x14ac:dyDescent="0.25">
      <c r="A135" s="41" t="s">
        <v>14</v>
      </c>
      <c r="B135" s="41"/>
      <c r="C135" s="41"/>
      <c r="D135" s="41"/>
      <c r="G135" s="1"/>
    </row>
    <row r="136" spans="1:7" x14ac:dyDescent="0.25">
      <c r="A136" s="42">
        <v>45721</v>
      </c>
      <c r="B136" s="42"/>
      <c r="C136" s="42"/>
      <c r="D136" s="42"/>
      <c r="G136" s="1"/>
    </row>
    <row r="137" spans="1:7" x14ac:dyDescent="0.25">
      <c r="A137" s="13"/>
      <c r="B137" s="13"/>
      <c r="C137" s="13"/>
      <c r="D137" s="13"/>
      <c r="G137" s="1"/>
    </row>
    <row r="138" spans="1:7" x14ac:dyDescent="0.25">
      <c r="A138" s="14"/>
      <c r="B138" s="15"/>
      <c r="C138" s="15"/>
      <c r="D138" s="16"/>
      <c r="F138" s="5" t="s">
        <v>26</v>
      </c>
      <c r="G138" s="1">
        <f>D177-D131</f>
        <v>-5131500</v>
      </c>
    </row>
    <row r="139" spans="1:7" x14ac:dyDescent="0.25">
      <c r="A139" s="17"/>
      <c r="D139" s="32" t="s">
        <v>16</v>
      </c>
      <c r="G139" s="1"/>
    </row>
    <row r="140" spans="1:7" x14ac:dyDescent="0.25">
      <c r="A140" s="23" t="s">
        <v>15</v>
      </c>
      <c r="D140" s="18" t="s">
        <v>17</v>
      </c>
      <c r="F140" s="26" t="s">
        <v>27</v>
      </c>
      <c r="G140" s="1"/>
    </row>
    <row r="141" spans="1:7" x14ac:dyDescent="0.25">
      <c r="A141" s="17"/>
      <c r="B141" s="24" t="s">
        <v>18</v>
      </c>
      <c r="D141" s="19"/>
      <c r="F141" s="27" t="s">
        <v>28</v>
      </c>
      <c r="G141" s="1"/>
    </row>
    <row r="142" spans="1:7" x14ac:dyDescent="0.25">
      <c r="A142" s="17"/>
      <c r="C142" s="2" t="s">
        <v>31</v>
      </c>
      <c r="D142" s="19">
        <v>148622076.11000001</v>
      </c>
      <c r="F142" t="s">
        <v>299</v>
      </c>
      <c r="G142" s="1">
        <v>6025000</v>
      </c>
    </row>
    <row r="143" spans="1:7" x14ac:dyDescent="0.25">
      <c r="A143" s="17"/>
      <c r="C143" s="2" t="s">
        <v>32</v>
      </c>
      <c r="D143" s="19">
        <v>113804492.40000001</v>
      </c>
      <c r="F143" t="s">
        <v>90</v>
      </c>
      <c r="G143" s="1">
        <v>397500</v>
      </c>
    </row>
    <row r="144" spans="1:7" x14ac:dyDescent="0.25">
      <c r="A144" s="17"/>
      <c r="C144" s="2" t="s">
        <v>33</v>
      </c>
      <c r="D144" s="19">
        <v>593869083.39999998</v>
      </c>
      <c r="G144" s="30">
        <f>SUM(G142:G143)</f>
        <v>6422500</v>
      </c>
    </row>
    <row r="145" spans="1:7" x14ac:dyDescent="0.25">
      <c r="A145" s="17"/>
      <c r="C145" s="2" t="s">
        <v>34</v>
      </c>
      <c r="D145" s="19">
        <v>221204271</v>
      </c>
      <c r="F145" s="28" t="s">
        <v>29</v>
      </c>
      <c r="G145" s="1"/>
    </row>
    <row r="146" spans="1:7" x14ac:dyDescent="0.25">
      <c r="A146" s="17"/>
      <c r="C146" s="2" t="s">
        <v>35</v>
      </c>
      <c r="D146" s="19">
        <v>745200</v>
      </c>
      <c r="F146" t="s">
        <v>112</v>
      </c>
      <c r="G146" s="1">
        <v>10000000</v>
      </c>
    </row>
    <row r="147" spans="1:7" x14ac:dyDescent="0.25">
      <c r="A147" s="17"/>
      <c r="C147" s="2" t="s">
        <v>36</v>
      </c>
      <c r="D147" s="19">
        <v>89648392.599999994</v>
      </c>
      <c r="F147" t="s">
        <v>298</v>
      </c>
      <c r="G147" s="1">
        <v>1554000</v>
      </c>
    </row>
    <row r="148" spans="1:7" x14ac:dyDescent="0.25">
      <c r="A148" s="17"/>
      <c r="C148" s="2" t="s">
        <v>37</v>
      </c>
      <c r="D148" s="19">
        <v>329492211</v>
      </c>
      <c r="G148" s="30">
        <f>SUM(G146:G147)</f>
        <v>11554000</v>
      </c>
    </row>
    <row r="149" spans="1:7" x14ac:dyDescent="0.25">
      <c r="A149" s="17"/>
      <c r="C149" s="2" t="s">
        <v>51</v>
      </c>
      <c r="D149" s="20">
        <v>130317</v>
      </c>
      <c r="G149" s="1"/>
    </row>
    <row r="150" spans="1:7" x14ac:dyDescent="0.25">
      <c r="A150" s="17"/>
      <c r="B150" s="24" t="s">
        <v>19</v>
      </c>
      <c r="D150" s="19">
        <f>SUM(D142:D149)</f>
        <v>1497516043.5099998</v>
      </c>
      <c r="F150" s="28" t="s">
        <v>30</v>
      </c>
      <c r="G150" s="29">
        <f>G144-G148</f>
        <v>-5131500</v>
      </c>
    </row>
    <row r="151" spans="1:7" x14ac:dyDescent="0.25">
      <c r="A151" s="17"/>
      <c r="D151" s="19"/>
    </row>
    <row r="152" spans="1:7" x14ac:dyDescent="0.25">
      <c r="A152" s="17"/>
      <c r="B152" s="24" t="s">
        <v>20</v>
      </c>
      <c r="D152" s="19"/>
    </row>
    <row r="153" spans="1:7" x14ac:dyDescent="0.25">
      <c r="A153" s="17"/>
      <c r="C153" t="s">
        <v>7</v>
      </c>
      <c r="D153" s="19">
        <v>2749097424</v>
      </c>
    </row>
    <row r="154" spans="1:7" x14ac:dyDescent="0.25">
      <c r="A154" s="17"/>
      <c r="C154" t="s">
        <v>47</v>
      </c>
      <c r="D154" s="19">
        <v>62075000</v>
      </c>
    </row>
    <row r="155" spans="1:7" x14ac:dyDescent="0.25">
      <c r="A155" s="17"/>
      <c r="C155" t="s">
        <v>21</v>
      </c>
      <c r="D155" s="19">
        <v>738247500</v>
      </c>
    </row>
    <row r="156" spans="1:7" x14ac:dyDescent="0.25">
      <c r="A156" s="17"/>
      <c r="C156" t="s">
        <v>45</v>
      </c>
      <c r="D156" s="19">
        <v>25000000</v>
      </c>
    </row>
    <row r="157" spans="1:7" x14ac:dyDescent="0.25">
      <c r="A157" s="17"/>
      <c r="C157" t="s">
        <v>48</v>
      </c>
      <c r="D157" s="19">
        <v>30000000</v>
      </c>
    </row>
    <row r="158" spans="1:7" x14ac:dyDescent="0.25">
      <c r="A158" s="17"/>
      <c r="C158" t="s">
        <v>68</v>
      </c>
      <c r="D158" s="19">
        <v>141000000</v>
      </c>
    </row>
    <row r="159" spans="1:7" x14ac:dyDescent="0.25">
      <c r="A159" s="17"/>
      <c r="C159" t="s">
        <v>68</v>
      </c>
      <c r="D159" s="19">
        <v>145000000</v>
      </c>
    </row>
    <row r="160" spans="1:7" x14ac:dyDescent="0.25">
      <c r="A160" s="17"/>
      <c r="C160" t="s">
        <v>341</v>
      </c>
      <c r="D160" s="19">
        <v>800000</v>
      </c>
    </row>
    <row r="161" spans="1:7" x14ac:dyDescent="0.25">
      <c r="A161" s="17"/>
      <c r="C161" t="s">
        <v>382</v>
      </c>
      <c r="D161" s="19">
        <v>100000</v>
      </c>
    </row>
    <row r="162" spans="1:7" x14ac:dyDescent="0.25">
      <c r="A162" s="17"/>
      <c r="C162" t="s">
        <v>313</v>
      </c>
      <c r="D162" s="20">
        <v>10000000</v>
      </c>
    </row>
    <row r="163" spans="1:7" x14ac:dyDescent="0.25">
      <c r="A163" s="17"/>
      <c r="D163" s="19">
        <f>SUM(D153:D162)</f>
        <v>3901319924</v>
      </c>
    </row>
    <row r="164" spans="1:7" x14ac:dyDescent="0.25">
      <c r="A164" s="17"/>
      <c r="D164" s="19"/>
    </row>
    <row r="165" spans="1:7" x14ac:dyDescent="0.25">
      <c r="A165" s="17"/>
      <c r="B165" s="24" t="s">
        <v>46</v>
      </c>
      <c r="D165" s="19"/>
    </row>
    <row r="166" spans="1:7" x14ac:dyDescent="0.25">
      <c r="A166" s="17"/>
      <c r="C166" t="s">
        <v>381</v>
      </c>
      <c r="D166" s="19">
        <v>42175000</v>
      </c>
    </row>
    <row r="167" spans="1:7" x14ac:dyDescent="0.25">
      <c r="A167" s="17"/>
      <c r="C167" t="s">
        <v>266</v>
      </c>
      <c r="D167" s="20">
        <v>3012500</v>
      </c>
    </row>
    <row r="168" spans="1:7" x14ac:dyDescent="0.25">
      <c r="A168" s="17"/>
      <c r="D168" s="19">
        <f>SUM(D166:D167)</f>
        <v>45187500</v>
      </c>
    </row>
    <row r="169" spans="1:7" x14ac:dyDescent="0.25">
      <c r="A169" s="17"/>
      <c r="D169" s="19"/>
    </row>
    <row r="170" spans="1:7" x14ac:dyDescent="0.25">
      <c r="A170" s="23" t="s">
        <v>22</v>
      </c>
      <c r="D170" s="19"/>
    </row>
    <row r="171" spans="1:7" x14ac:dyDescent="0.25">
      <c r="A171" s="17"/>
      <c r="C171" t="s">
        <v>23</v>
      </c>
      <c r="D171" s="19">
        <v>2144575000</v>
      </c>
    </row>
    <row r="172" spans="1:7" x14ac:dyDescent="0.25">
      <c r="A172" s="17"/>
      <c r="C172" t="s">
        <v>24</v>
      </c>
      <c r="D172" s="19">
        <v>1855990500</v>
      </c>
    </row>
    <row r="173" spans="1:7" x14ac:dyDescent="0.25">
      <c r="A173" s="17"/>
      <c r="C173" t="s">
        <v>44</v>
      </c>
      <c r="D173" s="19">
        <v>342375000</v>
      </c>
    </row>
    <row r="174" spans="1:7" x14ac:dyDescent="0.25">
      <c r="A174" s="17"/>
      <c r="C174" t="s">
        <v>111</v>
      </c>
      <c r="D174" s="20">
        <v>222750000</v>
      </c>
    </row>
    <row r="175" spans="1:7" x14ac:dyDescent="0.25">
      <c r="A175" s="17"/>
      <c r="D175" s="19">
        <f>SUM(D171:D174)</f>
        <v>4565690500</v>
      </c>
      <c r="G175" s="1"/>
    </row>
    <row r="176" spans="1:7" x14ac:dyDescent="0.25">
      <c r="A176" s="17"/>
      <c r="D176" s="19"/>
      <c r="G176" s="1"/>
    </row>
    <row r="177" spans="1:7" x14ac:dyDescent="0.25">
      <c r="A177" s="43" t="s">
        <v>25</v>
      </c>
      <c r="B177" s="44"/>
      <c r="C177" s="44"/>
      <c r="D177" s="25">
        <f>D150+D163+D168-D175</f>
        <v>878332967.51000023</v>
      </c>
      <c r="G177" s="1"/>
    </row>
    <row r="178" spans="1:7" x14ac:dyDescent="0.25">
      <c r="A178" s="21"/>
      <c r="B178" s="22"/>
      <c r="C178" s="22"/>
      <c r="D178" s="20"/>
      <c r="G178" s="1"/>
    </row>
    <row r="180" spans="1:7" x14ac:dyDescent="0.25">
      <c r="A180" s="40" t="s">
        <v>13</v>
      </c>
      <c r="B180" s="40"/>
      <c r="C180" s="40"/>
      <c r="D180" s="40"/>
      <c r="G180" s="1"/>
    </row>
    <row r="181" spans="1:7" x14ac:dyDescent="0.25">
      <c r="A181" s="41" t="s">
        <v>14</v>
      </c>
      <c r="B181" s="41"/>
      <c r="C181" s="41"/>
      <c r="D181" s="41"/>
      <c r="G181" s="1"/>
    </row>
    <row r="182" spans="1:7" x14ac:dyDescent="0.25">
      <c r="A182" s="42">
        <v>45722</v>
      </c>
      <c r="B182" s="42"/>
      <c r="C182" s="42"/>
      <c r="D182" s="42"/>
      <c r="G182" s="1"/>
    </row>
    <row r="183" spans="1:7" x14ac:dyDescent="0.25">
      <c r="A183" s="13"/>
      <c r="B183" s="13"/>
      <c r="C183" s="13"/>
      <c r="D183" s="13"/>
      <c r="G183" s="1"/>
    </row>
    <row r="184" spans="1:7" x14ac:dyDescent="0.25">
      <c r="A184" s="14"/>
      <c r="B184" s="15"/>
      <c r="C184" s="15"/>
      <c r="D184" s="16"/>
      <c r="F184" s="5" t="s">
        <v>26</v>
      </c>
      <c r="G184" s="1">
        <f>D223-D177</f>
        <v>-10772000</v>
      </c>
    </row>
    <row r="185" spans="1:7" x14ac:dyDescent="0.25">
      <c r="A185" s="17"/>
      <c r="D185" s="32" t="s">
        <v>16</v>
      </c>
      <c r="G185" s="1"/>
    </row>
    <row r="186" spans="1:7" x14ac:dyDescent="0.25">
      <c r="A186" s="23" t="s">
        <v>15</v>
      </c>
      <c r="D186" s="18" t="s">
        <v>17</v>
      </c>
      <c r="F186" s="26" t="s">
        <v>27</v>
      </c>
      <c r="G186" s="1"/>
    </row>
    <row r="187" spans="1:7" x14ac:dyDescent="0.25">
      <c r="A187" s="17"/>
      <c r="B187" s="24" t="s">
        <v>18</v>
      </c>
      <c r="D187" s="19"/>
      <c r="F187" s="27" t="s">
        <v>28</v>
      </c>
      <c r="G187" s="1"/>
    </row>
    <row r="188" spans="1:7" x14ac:dyDescent="0.25">
      <c r="A188" s="17"/>
      <c r="C188" s="2" t="s">
        <v>31</v>
      </c>
      <c r="D188" s="19">
        <v>4452076.1100000003</v>
      </c>
      <c r="F188" t="s">
        <v>124</v>
      </c>
      <c r="G188" s="1">
        <v>4648000</v>
      </c>
    </row>
    <row r="189" spans="1:7" x14ac:dyDescent="0.25">
      <c r="A189" s="17"/>
      <c r="C189" s="2" t="s">
        <v>32</v>
      </c>
      <c r="D189" s="19">
        <v>163694492.40000001</v>
      </c>
      <c r="G189" s="30">
        <f>SUM(G188:G188)</f>
        <v>4648000</v>
      </c>
    </row>
    <row r="190" spans="1:7" x14ac:dyDescent="0.25">
      <c r="A190" s="17"/>
      <c r="C190" s="2" t="s">
        <v>33</v>
      </c>
      <c r="D190" s="19">
        <v>372591683.39999998</v>
      </c>
      <c r="F190" s="28" t="s">
        <v>29</v>
      </c>
      <c r="G190" s="1"/>
    </row>
    <row r="191" spans="1:7" x14ac:dyDescent="0.25">
      <c r="A191" s="17"/>
      <c r="C191" s="2" t="s">
        <v>34</v>
      </c>
      <c r="D191" s="19">
        <v>282729271</v>
      </c>
      <c r="F191" t="s">
        <v>298</v>
      </c>
      <c r="G191" s="1">
        <v>3170000</v>
      </c>
    </row>
    <row r="192" spans="1:7" x14ac:dyDescent="0.25">
      <c r="A192" s="17"/>
      <c r="C192" s="2" t="s">
        <v>35</v>
      </c>
      <c r="D192" s="19">
        <v>745200</v>
      </c>
      <c r="F192" t="s">
        <v>104</v>
      </c>
      <c r="G192" s="1">
        <v>2250000</v>
      </c>
    </row>
    <row r="193" spans="1:7" x14ac:dyDescent="0.25">
      <c r="A193" s="17"/>
      <c r="C193" s="2" t="s">
        <v>36</v>
      </c>
      <c r="D193" s="19">
        <v>89648392.599999994</v>
      </c>
      <c r="F193" t="s">
        <v>112</v>
      </c>
      <c r="G193" s="1">
        <v>10000000</v>
      </c>
    </row>
    <row r="194" spans="1:7" x14ac:dyDescent="0.25">
      <c r="A194" s="17"/>
      <c r="C194" s="2" t="s">
        <v>37</v>
      </c>
      <c r="D194" s="19">
        <v>366537211</v>
      </c>
      <c r="G194" s="30">
        <f>SUM(G191:G193)</f>
        <v>15420000</v>
      </c>
    </row>
    <row r="195" spans="1:7" x14ac:dyDescent="0.25">
      <c r="A195" s="17"/>
      <c r="C195" s="2" t="s">
        <v>51</v>
      </c>
      <c r="D195" s="20">
        <v>130317</v>
      </c>
      <c r="G195" s="1"/>
    </row>
    <row r="196" spans="1:7" x14ac:dyDescent="0.25">
      <c r="A196" s="17"/>
      <c r="B196" s="24" t="s">
        <v>19</v>
      </c>
      <c r="D196" s="19">
        <f>SUM(D188:D195)</f>
        <v>1280528643.51</v>
      </c>
      <c r="F196" s="28" t="s">
        <v>30</v>
      </c>
      <c r="G196" s="29">
        <f>G189-G194</f>
        <v>-10772000</v>
      </c>
    </row>
    <row r="197" spans="1:7" x14ac:dyDescent="0.25">
      <c r="A197" s="17"/>
      <c r="D197" s="19"/>
    </row>
    <row r="198" spans="1:7" x14ac:dyDescent="0.25">
      <c r="A198" s="17"/>
      <c r="B198" s="24" t="s">
        <v>20</v>
      </c>
      <c r="D198" s="19"/>
    </row>
    <row r="199" spans="1:7" x14ac:dyDescent="0.25">
      <c r="A199" s="17"/>
      <c r="C199" t="s">
        <v>7</v>
      </c>
      <c r="D199" s="19">
        <v>2755147424</v>
      </c>
    </row>
    <row r="200" spans="1:7" x14ac:dyDescent="0.25">
      <c r="A200" s="17"/>
      <c r="C200" t="s">
        <v>47</v>
      </c>
      <c r="D200" s="19">
        <v>12185000</v>
      </c>
    </row>
    <row r="201" spans="1:7" x14ac:dyDescent="0.25">
      <c r="A201" s="17"/>
      <c r="C201" t="s">
        <v>21</v>
      </c>
      <c r="D201" s="19">
        <v>692247500</v>
      </c>
    </row>
    <row r="202" spans="1:7" x14ac:dyDescent="0.25">
      <c r="A202" s="17"/>
      <c r="C202" t="s">
        <v>45</v>
      </c>
      <c r="D202" s="19">
        <v>25000000</v>
      </c>
    </row>
    <row r="203" spans="1:7" x14ac:dyDescent="0.25">
      <c r="A203" s="17"/>
      <c r="C203" t="s">
        <v>48</v>
      </c>
      <c r="D203" s="19">
        <v>30000000</v>
      </c>
    </row>
    <row r="204" spans="1:7" x14ac:dyDescent="0.25">
      <c r="A204" s="17"/>
      <c r="C204" t="s">
        <v>68</v>
      </c>
      <c r="D204" s="19">
        <v>141000000</v>
      </c>
    </row>
    <row r="205" spans="1:7" x14ac:dyDescent="0.25">
      <c r="A205" s="17"/>
      <c r="C205" t="s">
        <v>68</v>
      </c>
      <c r="D205" s="19">
        <v>145000000</v>
      </c>
    </row>
    <row r="206" spans="1:7" x14ac:dyDescent="0.25">
      <c r="A206" s="17"/>
      <c r="C206" t="s">
        <v>341</v>
      </c>
      <c r="D206" s="19">
        <v>800000</v>
      </c>
    </row>
    <row r="207" spans="1:7" x14ac:dyDescent="0.25">
      <c r="A207" s="17"/>
      <c r="C207" t="s">
        <v>382</v>
      </c>
      <c r="D207" s="19">
        <v>100000</v>
      </c>
    </row>
    <row r="208" spans="1:7" x14ac:dyDescent="0.25">
      <c r="A208" s="17"/>
      <c r="C208" t="s">
        <v>313</v>
      </c>
      <c r="D208" s="20">
        <v>10000000</v>
      </c>
    </row>
    <row r="209" spans="1:7" x14ac:dyDescent="0.25">
      <c r="A209" s="17"/>
      <c r="D209" s="19">
        <f>SUM(D199:D208)</f>
        <v>3811479924</v>
      </c>
    </row>
    <row r="210" spans="1:7" x14ac:dyDescent="0.25">
      <c r="A210" s="17"/>
      <c r="D210" s="19"/>
    </row>
    <row r="211" spans="1:7" x14ac:dyDescent="0.25">
      <c r="A211" s="17"/>
      <c r="B211" s="24" t="s">
        <v>46</v>
      </c>
      <c r="D211" s="19"/>
    </row>
    <row r="212" spans="1:7" x14ac:dyDescent="0.25">
      <c r="A212" s="17"/>
      <c r="C212" t="s">
        <v>381</v>
      </c>
      <c r="D212" s="19">
        <v>42175000</v>
      </c>
    </row>
    <row r="213" spans="1:7" x14ac:dyDescent="0.25">
      <c r="A213" s="17"/>
      <c r="C213" t="s">
        <v>266</v>
      </c>
      <c r="D213" s="20">
        <v>3012500</v>
      </c>
    </row>
    <row r="214" spans="1:7" x14ac:dyDescent="0.25">
      <c r="A214" s="17"/>
      <c r="D214" s="19">
        <f>SUM(D212:D213)</f>
        <v>45187500</v>
      </c>
    </row>
    <row r="215" spans="1:7" x14ac:dyDescent="0.25">
      <c r="A215" s="17"/>
      <c r="D215" s="19"/>
    </row>
    <row r="216" spans="1:7" x14ac:dyDescent="0.25">
      <c r="A216" s="23" t="s">
        <v>22</v>
      </c>
      <c r="D216" s="19"/>
    </row>
    <row r="217" spans="1:7" x14ac:dyDescent="0.25">
      <c r="A217" s="17"/>
      <c r="C217" t="s">
        <v>23</v>
      </c>
      <c r="D217" s="19">
        <v>2173875000</v>
      </c>
    </row>
    <row r="218" spans="1:7" x14ac:dyDescent="0.25">
      <c r="A218" s="17"/>
      <c r="C218" t="s">
        <v>24</v>
      </c>
      <c r="D218" s="19">
        <v>1604885100</v>
      </c>
    </row>
    <row r="219" spans="1:7" x14ac:dyDescent="0.25">
      <c r="A219" s="17"/>
      <c r="C219" t="s">
        <v>44</v>
      </c>
      <c r="D219" s="19">
        <v>342375000</v>
      </c>
    </row>
    <row r="220" spans="1:7" x14ac:dyDescent="0.25">
      <c r="A220" s="17"/>
      <c r="C220" t="s">
        <v>111</v>
      </c>
      <c r="D220" s="20">
        <v>148500000</v>
      </c>
    </row>
    <row r="221" spans="1:7" x14ac:dyDescent="0.25">
      <c r="A221" s="17"/>
      <c r="D221" s="19">
        <f>SUM(D217:D220)</f>
        <v>4269635100</v>
      </c>
      <c r="G221" s="1"/>
    </row>
    <row r="222" spans="1:7" x14ac:dyDescent="0.25">
      <c r="A222" s="17"/>
      <c r="D222" s="19"/>
      <c r="G222" s="1"/>
    </row>
    <row r="223" spans="1:7" x14ac:dyDescent="0.25">
      <c r="A223" s="43" t="s">
        <v>25</v>
      </c>
      <c r="B223" s="44"/>
      <c r="C223" s="44"/>
      <c r="D223" s="25">
        <f>D196+D209+D214-D221</f>
        <v>867560967.51000023</v>
      </c>
      <c r="G223" s="1"/>
    </row>
    <row r="224" spans="1:7" x14ac:dyDescent="0.25">
      <c r="A224" s="21"/>
      <c r="B224" s="22"/>
      <c r="C224" s="22"/>
      <c r="D224" s="20"/>
      <c r="G224" s="1"/>
    </row>
    <row r="226" spans="1:7" x14ac:dyDescent="0.25">
      <c r="A226" s="40" t="s">
        <v>13</v>
      </c>
      <c r="B226" s="40"/>
      <c r="C226" s="40"/>
      <c r="D226" s="40"/>
      <c r="G226" s="1"/>
    </row>
    <row r="227" spans="1:7" x14ac:dyDescent="0.25">
      <c r="A227" s="41" t="s">
        <v>14</v>
      </c>
      <c r="B227" s="41"/>
      <c r="C227" s="41"/>
      <c r="D227" s="41"/>
      <c r="G227" s="1"/>
    </row>
    <row r="228" spans="1:7" x14ac:dyDescent="0.25">
      <c r="A228" s="42">
        <v>45723</v>
      </c>
      <c r="B228" s="42"/>
      <c r="C228" s="42"/>
      <c r="D228" s="42"/>
      <c r="G228" s="1"/>
    </row>
    <row r="229" spans="1:7" x14ac:dyDescent="0.25">
      <c r="A229" s="13"/>
      <c r="B229" s="13"/>
      <c r="C229" s="13"/>
      <c r="D229" s="13"/>
      <c r="G229" s="1"/>
    </row>
    <row r="230" spans="1:7" x14ac:dyDescent="0.25">
      <c r="A230" s="14"/>
      <c r="B230" s="15"/>
      <c r="C230" s="15"/>
      <c r="D230" s="16"/>
      <c r="F230" s="5" t="s">
        <v>26</v>
      </c>
      <c r="G230" s="1">
        <f>D269-D223</f>
        <v>-2631000</v>
      </c>
    </row>
    <row r="231" spans="1:7" x14ac:dyDescent="0.25">
      <c r="A231" s="17"/>
      <c r="D231" s="32" t="s">
        <v>16</v>
      </c>
      <c r="G231" s="1"/>
    </row>
    <row r="232" spans="1:7" x14ac:dyDescent="0.25">
      <c r="A232" s="23" t="s">
        <v>15</v>
      </c>
      <c r="D232" s="18" t="s">
        <v>17</v>
      </c>
      <c r="F232" s="26" t="s">
        <v>27</v>
      </c>
      <c r="G232" s="1"/>
    </row>
    <row r="233" spans="1:7" x14ac:dyDescent="0.25">
      <c r="A233" s="17"/>
      <c r="B233" s="24" t="s">
        <v>18</v>
      </c>
      <c r="D233" s="19"/>
      <c r="F233" s="27" t="s">
        <v>28</v>
      </c>
      <c r="G233" s="1"/>
    </row>
    <row r="234" spans="1:7" x14ac:dyDescent="0.25">
      <c r="A234" s="17"/>
      <c r="C234" s="2" t="s">
        <v>31</v>
      </c>
      <c r="D234" s="19">
        <v>19852076.109999999</v>
      </c>
      <c r="F234" t="s">
        <v>303</v>
      </c>
      <c r="G234" s="1">
        <v>-2781000</v>
      </c>
    </row>
    <row r="235" spans="1:7" x14ac:dyDescent="0.25">
      <c r="A235" s="17"/>
      <c r="C235" s="2" t="s">
        <v>32</v>
      </c>
      <c r="D235" s="19">
        <v>167504492.40000001</v>
      </c>
      <c r="F235" t="s">
        <v>90</v>
      </c>
      <c r="G235" s="1">
        <v>150000</v>
      </c>
    </row>
    <row r="236" spans="1:7" x14ac:dyDescent="0.25">
      <c r="A236" s="17"/>
      <c r="C236" s="2" t="s">
        <v>33</v>
      </c>
      <c r="D236" s="19">
        <v>544231683.39999998</v>
      </c>
      <c r="G236" s="30">
        <f>SUM(G234:G235)</f>
        <v>-2631000</v>
      </c>
    </row>
    <row r="237" spans="1:7" x14ac:dyDescent="0.25">
      <c r="A237" s="17"/>
      <c r="C237" s="2" t="s">
        <v>34</v>
      </c>
      <c r="D237" s="19">
        <v>9291771</v>
      </c>
      <c r="F237" s="28" t="s">
        <v>29</v>
      </c>
      <c r="G237" s="1"/>
    </row>
    <row r="238" spans="1:7" x14ac:dyDescent="0.25">
      <c r="A238" s="17"/>
      <c r="C238" s="2" t="s">
        <v>35</v>
      </c>
      <c r="D238" s="19">
        <v>745200</v>
      </c>
      <c r="G238" s="1">
        <v>0</v>
      </c>
    </row>
    <row r="239" spans="1:7" x14ac:dyDescent="0.25">
      <c r="A239" s="17"/>
      <c r="C239" s="2" t="s">
        <v>36</v>
      </c>
      <c r="D239" s="19">
        <v>89648392.599999994</v>
      </c>
      <c r="G239" s="30">
        <f>SUM(G238:G238)</f>
        <v>0</v>
      </c>
    </row>
    <row r="240" spans="1:7" x14ac:dyDescent="0.25">
      <c r="A240" s="17"/>
      <c r="C240" s="2" t="s">
        <v>37</v>
      </c>
      <c r="D240" s="19">
        <v>500009211</v>
      </c>
      <c r="G240" s="1"/>
    </row>
    <row r="241" spans="1:7" x14ac:dyDescent="0.25">
      <c r="A241" s="17"/>
      <c r="C241" s="2" t="s">
        <v>51</v>
      </c>
      <c r="D241" s="20">
        <v>130317</v>
      </c>
      <c r="F241" s="28" t="s">
        <v>30</v>
      </c>
      <c r="G241" s="29">
        <f>G236-G239</f>
        <v>-2631000</v>
      </c>
    </row>
    <row r="242" spans="1:7" x14ac:dyDescent="0.25">
      <c r="A242" s="17"/>
      <c r="B242" s="24" t="s">
        <v>19</v>
      </c>
      <c r="D242" s="19">
        <f>SUM(D234:D241)</f>
        <v>1331413143.51</v>
      </c>
    </row>
    <row r="243" spans="1:7" x14ac:dyDescent="0.25">
      <c r="A243" s="17"/>
      <c r="D243" s="19"/>
    </row>
    <row r="244" spans="1:7" x14ac:dyDescent="0.25">
      <c r="A244" s="17"/>
      <c r="B244" s="24" t="s">
        <v>20</v>
      </c>
      <c r="D244" s="19"/>
    </row>
    <row r="245" spans="1:7" x14ac:dyDescent="0.25">
      <c r="A245" s="17"/>
      <c r="C245" t="s">
        <v>7</v>
      </c>
      <c r="D245" s="19">
        <v>2677834924</v>
      </c>
    </row>
    <row r="246" spans="1:7" x14ac:dyDescent="0.25">
      <c r="A246" s="17"/>
      <c r="C246" t="s">
        <v>47</v>
      </c>
      <c r="D246" s="19">
        <v>10935000</v>
      </c>
    </row>
    <row r="247" spans="1:7" x14ac:dyDescent="0.25">
      <c r="A247" s="17"/>
      <c r="C247" t="s">
        <v>21</v>
      </c>
      <c r="D247" s="19">
        <v>639085500</v>
      </c>
    </row>
    <row r="248" spans="1:7" x14ac:dyDescent="0.25">
      <c r="A248" s="17"/>
      <c r="C248" t="s">
        <v>45</v>
      </c>
      <c r="D248" s="19">
        <v>25000000</v>
      </c>
    </row>
    <row r="249" spans="1:7" x14ac:dyDescent="0.25">
      <c r="A249" s="17"/>
      <c r="C249" t="s">
        <v>48</v>
      </c>
      <c r="D249" s="19">
        <v>30000000</v>
      </c>
    </row>
    <row r="250" spans="1:7" x14ac:dyDescent="0.25">
      <c r="A250" s="17"/>
      <c r="C250" t="s">
        <v>68</v>
      </c>
      <c r="D250" s="19">
        <v>141000000</v>
      </c>
    </row>
    <row r="251" spans="1:7" x14ac:dyDescent="0.25">
      <c r="A251" s="17"/>
      <c r="C251" t="s">
        <v>68</v>
      </c>
      <c r="D251" s="19">
        <v>145000000</v>
      </c>
    </row>
    <row r="252" spans="1:7" x14ac:dyDescent="0.25">
      <c r="A252" s="17"/>
      <c r="C252" t="s">
        <v>341</v>
      </c>
      <c r="D252" s="19">
        <v>800000</v>
      </c>
    </row>
    <row r="253" spans="1:7" x14ac:dyDescent="0.25">
      <c r="A253" s="17"/>
      <c r="C253" t="s">
        <v>382</v>
      </c>
      <c r="D253" s="19">
        <v>100000</v>
      </c>
    </row>
    <row r="254" spans="1:7" x14ac:dyDescent="0.25">
      <c r="A254" s="17"/>
      <c r="C254" t="s">
        <v>313</v>
      </c>
      <c r="D254" s="20">
        <v>10000000</v>
      </c>
    </row>
    <row r="255" spans="1:7" x14ac:dyDescent="0.25">
      <c r="A255" s="17"/>
      <c r="D255" s="19">
        <f>SUM(D245:D254)</f>
        <v>3679755424</v>
      </c>
    </row>
    <row r="256" spans="1:7" x14ac:dyDescent="0.25">
      <c r="A256" s="17"/>
      <c r="D256" s="19"/>
    </row>
    <row r="257" spans="1:7" x14ac:dyDescent="0.25">
      <c r="A257" s="17"/>
      <c r="B257" s="24" t="s">
        <v>46</v>
      </c>
      <c r="D257" s="19"/>
    </row>
    <row r="258" spans="1:7" x14ac:dyDescent="0.25">
      <c r="A258" s="17"/>
      <c r="C258" t="s">
        <v>383</v>
      </c>
      <c r="D258" s="19">
        <v>39765000</v>
      </c>
    </row>
    <row r="259" spans="1:7" x14ac:dyDescent="0.25">
      <c r="A259" s="17"/>
      <c r="C259" t="s">
        <v>266</v>
      </c>
      <c r="D259" s="20">
        <v>3012500</v>
      </c>
    </row>
    <row r="260" spans="1:7" x14ac:dyDescent="0.25">
      <c r="A260" s="17"/>
      <c r="D260" s="19">
        <f>SUM(D258:D259)</f>
        <v>42777500</v>
      </c>
    </row>
    <row r="261" spans="1:7" x14ac:dyDescent="0.25">
      <c r="A261" s="17"/>
      <c r="D261" s="19"/>
    </row>
    <row r="262" spans="1:7" x14ac:dyDescent="0.25">
      <c r="A262" s="23" t="s">
        <v>22</v>
      </c>
      <c r="D262" s="19"/>
    </row>
    <row r="263" spans="1:7" x14ac:dyDescent="0.25">
      <c r="A263" s="17"/>
      <c r="C263" t="s">
        <v>23</v>
      </c>
      <c r="D263" s="19">
        <v>2001075000</v>
      </c>
    </row>
    <row r="264" spans="1:7" x14ac:dyDescent="0.25">
      <c r="A264" s="17"/>
      <c r="C264" t="s">
        <v>24</v>
      </c>
      <c r="D264" s="19">
        <v>1680566100</v>
      </c>
    </row>
    <row r="265" spans="1:7" x14ac:dyDescent="0.25">
      <c r="A265" s="17"/>
      <c r="C265" t="s">
        <v>44</v>
      </c>
      <c r="D265" s="19">
        <v>342375000</v>
      </c>
    </row>
    <row r="266" spans="1:7" x14ac:dyDescent="0.25">
      <c r="A266" s="17"/>
      <c r="C266" t="s">
        <v>111</v>
      </c>
      <c r="D266" s="20">
        <v>165000000</v>
      </c>
    </row>
    <row r="267" spans="1:7" x14ac:dyDescent="0.25">
      <c r="A267" s="17"/>
      <c r="D267" s="19">
        <f>SUM(D263:D266)</f>
        <v>4189016100</v>
      </c>
      <c r="G267" s="1"/>
    </row>
    <row r="268" spans="1:7" x14ac:dyDescent="0.25">
      <c r="A268" s="17"/>
      <c r="D268" s="19"/>
      <c r="G268" s="1"/>
    </row>
    <row r="269" spans="1:7" x14ac:dyDescent="0.25">
      <c r="A269" s="43" t="s">
        <v>25</v>
      </c>
      <c r="B269" s="44"/>
      <c r="C269" s="44"/>
      <c r="D269" s="25">
        <f>D242+D255+D260-D267</f>
        <v>864929967.51000023</v>
      </c>
      <c r="G269" s="1"/>
    </row>
    <row r="270" spans="1:7" x14ac:dyDescent="0.25">
      <c r="A270" s="21"/>
      <c r="B270" s="22"/>
      <c r="C270" s="22"/>
      <c r="D270" s="20"/>
      <c r="G270" s="1"/>
    </row>
    <row r="272" spans="1:7" x14ac:dyDescent="0.25">
      <c r="A272" s="40" t="s">
        <v>13</v>
      </c>
      <c r="B272" s="40"/>
      <c r="C272" s="40"/>
      <c r="D272" s="40"/>
      <c r="G272" s="1"/>
    </row>
    <row r="273" spans="1:7" x14ac:dyDescent="0.25">
      <c r="A273" s="41" t="s">
        <v>14</v>
      </c>
      <c r="B273" s="41"/>
      <c r="C273" s="41"/>
      <c r="D273" s="41"/>
      <c r="G273" s="1"/>
    </row>
    <row r="274" spans="1:7" x14ac:dyDescent="0.25">
      <c r="A274" s="42">
        <v>45724</v>
      </c>
      <c r="B274" s="42"/>
      <c r="C274" s="42"/>
      <c r="D274" s="42"/>
      <c r="G274" s="1"/>
    </row>
    <row r="275" spans="1:7" x14ac:dyDescent="0.25">
      <c r="A275" s="13"/>
      <c r="B275" s="13"/>
      <c r="C275" s="13"/>
      <c r="D275" s="13"/>
      <c r="G275" s="1"/>
    </row>
    <row r="276" spans="1:7" x14ac:dyDescent="0.25">
      <c r="A276" s="14"/>
      <c r="B276" s="15"/>
      <c r="C276" s="15"/>
      <c r="D276" s="16"/>
      <c r="F276" s="5" t="s">
        <v>26</v>
      </c>
      <c r="G276" s="1">
        <f>D316-D269</f>
        <v>-11266150</v>
      </c>
    </row>
    <row r="277" spans="1:7" x14ac:dyDescent="0.25">
      <c r="A277" s="17"/>
      <c r="D277" s="32" t="s">
        <v>16</v>
      </c>
      <c r="G277" s="1"/>
    </row>
    <row r="278" spans="1:7" x14ac:dyDescent="0.25">
      <c r="A278" s="23" t="s">
        <v>15</v>
      </c>
      <c r="D278" s="18" t="s">
        <v>17</v>
      </c>
      <c r="F278" s="26" t="s">
        <v>27</v>
      </c>
      <c r="G278" s="1"/>
    </row>
    <row r="279" spans="1:7" x14ac:dyDescent="0.25">
      <c r="A279" s="17"/>
      <c r="B279" s="24" t="s">
        <v>18</v>
      </c>
      <c r="D279" s="19"/>
      <c r="F279" s="27" t="s">
        <v>28</v>
      </c>
      <c r="G279" s="1"/>
    </row>
    <row r="280" spans="1:7" x14ac:dyDescent="0.25">
      <c r="A280" s="17"/>
      <c r="C280" s="2" t="s">
        <v>31</v>
      </c>
      <c r="D280" s="19">
        <v>14689176.109999999</v>
      </c>
      <c r="F280" t="s">
        <v>305</v>
      </c>
      <c r="G280" s="1">
        <v>1400000</v>
      </c>
    </row>
    <row r="281" spans="1:7" x14ac:dyDescent="0.25">
      <c r="A281" s="17"/>
      <c r="C281" s="2" t="s">
        <v>32</v>
      </c>
      <c r="D281" s="19">
        <v>130064492.40000001</v>
      </c>
      <c r="G281" s="30">
        <f>SUM(G280:G280)</f>
        <v>1400000</v>
      </c>
    </row>
    <row r="282" spans="1:7" x14ac:dyDescent="0.25">
      <c r="A282" s="17"/>
      <c r="C282" s="2" t="s">
        <v>33</v>
      </c>
      <c r="D282" s="19">
        <v>257706683.40000001</v>
      </c>
      <c r="F282" s="28" t="s">
        <v>29</v>
      </c>
      <c r="G282" s="1"/>
    </row>
    <row r="283" spans="1:7" x14ac:dyDescent="0.25">
      <c r="A283" s="17"/>
      <c r="C283" s="2" t="s">
        <v>34</v>
      </c>
      <c r="D283" s="19">
        <v>165454271</v>
      </c>
      <c r="F283" t="s">
        <v>230</v>
      </c>
      <c r="G283" s="1">
        <v>2500</v>
      </c>
    </row>
    <row r="284" spans="1:7" x14ac:dyDescent="0.25">
      <c r="A284" s="17"/>
      <c r="C284" s="2" t="s">
        <v>35</v>
      </c>
      <c r="D284" s="19">
        <v>11744450</v>
      </c>
      <c r="F284" t="s">
        <v>302</v>
      </c>
      <c r="G284" s="1">
        <v>750</v>
      </c>
    </row>
    <row r="285" spans="1:7" x14ac:dyDescent="0.25">
      <c r="A285" s="17"/>
      <c r="C285" s="2" t="s">
        <v>36</v>
      </c>
      <c r="D285" s="19">
        <v>5895892.5999999996</v>
      </c>
      <c r="F285" t="s">
        <v>298</v>
      </c>
      <c r="G285" s="1">
        <v>7500000</v>
      </c>
    </row>
    <row r="286" spans="1:7" x14ac:dyDescent="0.25">
      <c r="A286" s="17"/>
      <c r="C286" s="2" t="s">
        <v>37</v>
      </c>
      <c r="D286" s="19">
        <v>509659211</v>
      </c>
      <c r="F286" t="s">
        <v>298</v>
      </c>
      <c r="G286" s="1">
        <v>5162900</v>
      </c>
    </row>
    <row r="287" spans="1:7" x14ac:dyDescent="0.25">
      <c r="A287" s="17"/>
      <c r="C287" s="2" t="s">
        <v>51</v>
      </c>
      <c r="D287" s="20">
        <v>130317</v>
      </c>
      <c r="G287" s="30">
        <f>SUM(G283:G286)</f>
        <v>12666150</v>
      </c>
    </row>
    <row r="288" spans="1:7" x14ac:dyDescent="0.25">
      <c r="A288" s="17"/>
      <c r="B288" s="24" t="s">
        <v>19</v>
      </c>
      <c r="D288" s="19">
        <f>SUM(D280:D287)</f>
        <v>1095344493.51</v>
      </c>
      <c r="G288" s="1"/>
    </row>
    <row r="289" spans="1:7" x14ac:dyDescent="0.25">
      <c r="A289" s="17"/>
      <c r="D289" s="19"/>
      <c r="F289" s="28" t="s">
        <v>30</v>
      </c>
      <c r="G289" s="29">
        <f>G281-G287</f>
        <v>-11266150</v>
      </c>
    </row>
    <row r="290" spans="1:7" x14ac:dyDescent="0.25">
      <c r="A290" s="17"/>
      <c r="B290" s="24" t="s">
        <v>20</v>
      </c>
      <c r="D290" s="19"/>
    </row>
    <row r="291" spans="1:7" x14ac:dyDescent="0.25">
      <c r="A291" s="17"/>
      <c r="C291" t="s">
        <v>7</v>
      </c>
      <c r="D291" s="19">
        <v>2770247424</v>
      </c>
    </row>
    <row r="292" spans="1:7" x14ac:dyDescent="0.25">
      <c r="A292" s="17"/>
      <c r="C292" t="s">
        <v>47</v>
      </c>
      <c r="D292" s="19">
        <v>8375000</v>
      </c>
    </row>
    <row r="293" spans="1:7" x14ac:dyDescent="0.25">
      <c r="A293" s="17"/>
      <c r="C293" t="s">
        <v>21</v>
      </c>
      <c r="D293" s="19">
        <v>705160500</v>
      </c>
    </row>
    <row r="294" spans="1:7" x14ac:dyDescent="0.25">
      <c r="A294" s="17"/>
      <c r="C294" t="s">
        <v>45</v>
      </c>
      <c r="D294" s="19">
        <v>25000000</v>
      </c>
    </row>
    <row r="295" spans="1:7" x14ac:dyDescent="0.25">
      <c r="A295" s="17"/>
      <c r="C295" t="s">
        <v>48</v>
      </c>
      <c r="D295" s="19">
        <v>30000000</v>
      </c>
    </row>
    <row r="296" spans="1:7" x14ac:dyDescent="0.25">
      <c r="A296" s="17"/>
      <c r="C296" t="s">
        <v>68</v>
      </c>
      <c r="D296" s="19">
        <v>141000000</v>
      </c>
    </row>
    <row r="297" spans="1:7" x14ac:dyDescent="0.25">
      <c r="A297" s="17"/>
      <c r="C297" t="s">
        <v>68</v>
      </c>
      <c r="D297" s="19">
        <v>145000000</v>
      </c>
    </row>
    <row r="298" spans="1:7" x14ac:dyDescent="0.25">
      <c r="A298" s="17"/>
      <c r="C298" t="s">
        <v>341</v>
      </c>
      <c r="D298" s="19">
        <v>800000</v>
      </c>
    </row>
    <row r="299" spans="1:7" x14ac:dyDescent="0.25">
      <c r="A299" s="17"/>
      <c r="C299" t="s">
        <v>382</v>
      </c>
      <c r="D299" s="19">
        <v>100000</v>
      </c>
    </row>
    <row r="300" spans="1:7" x14ac:dyDescent="0.25">
      <c r="A300" s="17"/>
      <c r="C300" t="s">
        <v>384</v>
      </c>
      <c r="D300" s="19">
        <v>40000000</v>
      </c>
    </row>
    <row r="301" spans="1:7" x14ac:dyDescent="0.25">
      <c r="A301" s="17"/>
      <c r="C301" t="s">
        <v>313</v>
      </c>
      <c r="D301" s="20">
        <v>10000000</v>
      </c>
    </row>
    <row r="302" spans="1:7" x14ac:dyDescent="0.25">
      <c r="A302" s="17"/>
      <c r="D302" s="19">
        <f>SUM(D291:D301)</f>
        <v>3875682924</v>
      </c>
    </row>
    <row r="303" spans="1:7" x14ac:dyDescent="0.25">
      <c r="A303" s="17"/>
      <c r="D303" s="19"/>
    </row>
    <row r="304" spans="1:7" x14ac:dyDescent="0.25">
      <c r="A304" s="17"/>
      <c r="B304" s="24" t="s">
        <v>46</v>
      </c>
      <c r="D304" s="19"/>
    </row>
    <row r="305" spans="1:7" x14ac:dyDescent="0.25">
      <c r="A305" s="17"/>
      <c r="C305" t="s">
        <v>383</v>
      </c>
      <c r="D305" s="19">
        <v>39765000</v>
      </c>
    </row>
    <row r="306" spans="1:7" x14ac:dyDescent="0.25">
      <c r="A306" s="17"/>
      <c r="C306" t="s">
        <v>266</v>
      </c>
      <c r="D306" s="20">
        <v>3012500</v>
      </c>
    </row>
    <row r="307" spans="1:7" x14ac:dyDescent="0.25">
      <c r="A307" s="17"/>
      <c r="D307" s="19">
        <f>SUM(D305:D306)</f>
        <v>42777500</v>
      </c>
    </row>
    <row r="308" spans="1:7" x14ac:dyDescent="0.25">
      <c r="A308" s="17"/>
      <c r="D308" s="19"/>
    </row>
    <row r="309" spans="1:7" x14ac:dyDescent="0.25">
      <c r="A309" s="23" t="s">
        <v>22</v>
      </c>
      <c r="D309" s="19"/>
    </row>
    <row r="310" spans="1:7" x14ac:dyDescent="0.25">
      <c r="A310" s="17"/>
      <c r="C310" t="s">
        <v>23</v>
      </c>
      <c r="D310" s="19">
        <v>2001075000</v>
      </c>
    </row>
    <row r="311" spans="1:7" x14ac:dyDescent="0.25">
      <c r="A311" s="17"/>
      <c r="C311" t="s">
        <v>24</v>
      </c>
      <c r="D311" s="19">
        <v>1680566100</v>
      </c>
    </row>
    <row r="312" spans="1:7" x14ac:dyDescent="0.25">
      <c r="A312" s="17"/>
      <c r="C312" t="s">
        <v>44</v>
      </c>
      <c r="D312" s="19">
        <v>313500000</v>
      </c>
    </row>
    <row r="313" spans="1:7" x14ac:dyDescent="0.25">
      <c r="A313" s="17"/>
      <c r="C313" t="s">
        <v>111</v>
      </c>
      <c r="D313" s="20">
        <v>165000000</v>
      </c>
    </row>
    <row r="314" spans="1:7" x14ac:dyDescent="0.25">
      <c r="A314" s="17"/>
      <c r="D314" s="19">
        <f>SUM(D310:D313)</f>
        <v>4160141100</v>
      </c>
      <c r="G314" s="1"/>
    </row>
    <row r="315" spans="1:7" x14ac:dyDescent="0.25">
      <c r="A315" s="17"/>
      <c r="D315" s="19"/>
      <c r="G315" s="1"/>
    </row>
    <row r="316" spans="1:7" x14ac:dyDescent="0.25">
      <c r="A316" s="43" t="s">
        <v>25</v>
      </c>
      <c r="B316" s="44"/>
      <c r="C316" s="44"/>
      <c r="D316" s="25">
        <f>D288+D302+D307-D314</f>
        <v>853663817.51000023</v>
      </c>
      <c r="G316" s="1"/>
    </row>
    <row r="317" spans="1:7" x14ac:dyDescent="0.25">
      <c r="A317" s="21"/>
      <c r="B317" s="22"/>
      <c r="C317" s="22"/>
      <c r="D317" s="20"/>
      <c r="G317" s="1"/>
    </row>
    <row r="319" spans="1:7" x14ac:dyDescent="0.25">
      <c r="A319" s="40" t="s">
        <v>13</v>
      </c>
      <c r="B319" s="40"/>
      <c r="C319" s="40"/>
      <c r="D319" s="40"/>
      <c r="G319" s="1"/>
    </row>
    <row r="320" spans="1:7" x14ac:dyDescent="0.25">
      <c r="A320" s="41" t="s">
        <v>14</v>
      </c>
      <c r="B320" s="41"/>
      <c r="C320" s="41"/>
      <c r="D320" s="41"/>
      <c r="G320" s="1"/>
    </row>
    <row r="321" spans="1:7" x14ac:dyDescent="0.25">
      <c r="A321" s="42">
        <v>45726</v>
      </c>
      <c r="B321" s="42"/>
      <c r="C321" s="42"/>
      <c r="D321" s="42"/>
      <c r="G321" s="1"/>
    </row>
    <row r="322" spans="1:7" x14ac:dyDescent="0.25">
      <c r="A322" s="13"/>
      <c r="B322" s="13"/>
      <c r="C322" s="13"/>
      <c r="D322" s="13"/>
      <c r="G322" s="1"/>
    </row>
    <row r="323" spans="1:7" x14ac:dyDescent="0.25">
      <c r="A323" s="14"/>
      <c r="B323" s="15"/>
      <c r="C323" s="15"/>
      <c r="D323" s="16"/>
      <c r="F323" s="5" t="s">
        <v>26</v>
      </c>
      <c r="G323" s="1">
        <f>D363-D316</f>
        <v>-9587500</v>
      </c>
    </row>
    <row r="324" spans="1:7" x14ac:dyDescent="0.25">
      <c r="A324" s="17"/>
      <c r="D324" s="32" t="s">
        <v>16</v>
      </c>
      <c r="G324" s="1"/>
    </row>
    <row r="325" spans="1:7" x14ac:dyDescent="0.25">
      <c r="A325" s="23" t="s">
        <v>15</v>
      </c>
      <c r="D325" s="18" t="s">
        <v>17</v>
      </c>
      <c r="F325" s="26" t="s">
        <v>27</v>
      </c>
      <c r="G325" s="1"/>
    </row>
    <row r="326" spans="1:7" x14ac:dyDescent="0.25">
      <c r="A326" s="17"/>
      <c r="B326" s="24" t="s">
        <v>18</v>
      </c>
      <c r="D326" s="19"/>
      <c r="F326" s="27" t="s">
        <v>28</v>
      </c>
      <c r="G326" s="1"/>
    </row>
    <row r="327" spans="1:7" x14ac:dyDescent="0.25">
      <c r="A327" s="17"/>
      <c r="C327" s="2" t="s">
        <v>31</v>
      </c>
      <c r="D327" s="19">
        <v>98689176.109999999</v>
      </c>
      <c r="F327" t="s">
        <v>148</v>
      </c>
      <c r="G327" s="1">
        <v>9887500</v>
      </c>
    </row>
    <row r="328" spans="1:7" x14ac:dyDescent="0.25">
      <c r="A328" s="17"/>
      <c r="C328" s="2" t="s">
        <v>32</v>
      </c>
      <c r="D328" s="19">
        <v>16414492.4</v>
      </c>
      <c r="F328" t="s">
        <v>90</v>
      </c>
      <c r="G328" s="1">
        <v>325000</v>
      </c>
    </row>
    <row r="329" spans="1:7" x14ac:dyDescent="0.25">
      <c r="A329" s="17"/>
      <c r="C329" s="2" t="s">
        <v>33</v>
      </c>
      <c r="D329" s="19">
        <v>176511083.40000001</v>
      </c>
      <c r="F329" t="s">
        <v>386</v>
      </c>
      <c r="G329" s="1">
        <v>200000</v>
      </c>
    </row>
    <row r="330" spans="1:7" x14ac:dyDescent="0.25">
      <c r="A330" s="17"/>
      <c r="C330" s="2" t="s">
        <v>34</v>
      </c>
      <c r="D330" s="19">
        <v>172229271</v>
      </c>
      <c r="G330" s="30">
        <f>SUM(G327:G329)</f>
        <v>10412500</v>
      </c>
    </row>
    <row r="331" spans="1:7" x14ac:dyDescent="0.25">
      <c r="A331" s="17"/>
      <c r="C331" s="2" t="s">
        <v>35</v>
      </c>
      <c r="D331" s="19">
        <v>11744450</v>
      </c>
      <c r="F331" s="28" t="s">
        <v>29</v>
      </c>
      <c r="G331" s="1"/>
    </row>
    <row r="332" spans="1:7" x14ac:dyDescent="0.25">
      <c r="A332" s="17"/>
      <c r="C332" s="2" t="s">
        <v>36</v>
      </c>
      <c r="D332" s="19">
        <v>5895892.5999999996</v>
      </c>
      <c r="F332" t="s">
        <v>112</v>
      </c>
      <c r="G332" s="1">
        <v>20000000</v>
      </c>
    </row>
    <row r="333" spans="1:7" x14ac:dyDescent="0.25">
      <c r="A333" s="17"/>
      <c r="C333" s="2" t="s">
        <v>37</v>
      </c>
      <c r="D333" s="19">
        <v>289484211</v>
      </c>
      <c r="G333" s="30">
        <f>SUM(G332:G332)</f>
        <v>20000000</v>
      </c>
    </row>
    <row r="334" spans="1:7" x14ac:dyDescent="0.25">
      <c r="A334" s="17"/>
      <c r="C334" s="2" t="s">
        <v>51</v>
      </c>
      <c r="D334" s="20">
        <v>130317</v>
      </c>
      <c r="G334" s="1"/>
    </row>
    <row r="335" spans="1:7" x14ac:dyDescent="0.25">
      <c r="A335" s="17"/>
      <c r="B335" s="24" t="s">
        <v>19</v>
      </c>
      <c r="D335" s="19">
        <f>SUM(D327:D334)</f>
        <v>771098893.50999999</v>
      </c>
      <c r="F335" s="28" t="s">
        <v>30</v>
      </c>
      <c r="G335" s="29">
        <f>G330-G333</f>
        <v>-9587500</v>
      </c>
    </row>
    <row r="336" spans="1:7" x14ac:dyDescent="0.25">
      <c r="A336" s="17"/>
      <c r="D336" s="19"/>
    </row>
    <row r="337" spans="1:4" x14ac:dyDescent="0.25">
      <c r="A337" s="17"/>
      <c r="B337" s="24" t="s">
        <v>20</v>
      </c>
      <c r="D337" s="19"/>
    </row>
    <row r="338" spans="1:4" x14ac:dyDescent="0.25">
      <c r="A338" s="17"/>
      <c r="C338" t="s">
        <v>7</v>
      </c>
      <c r="D338" s="19">
        <v>3178222424</v>
      </c>
    </row>
    <row r="339" spans="1:4" x14ac:dyDescent="0.25">
      <c r="A339" s="17"/>
      <c r="C339" t="s">
        <v>47</v>
      </c>
      <c r="D339" s="19">
        <v>8375000</v>
      </c>
    </row>
    <row r="340" spans="1:4" x14ac:dyDescent="0.25">
      <c r="A340" s="17"/>
      <c r="C340" t="s">
        <v>21</v>
      </c>
      <c r="D340" s="19">
        <v>692610500</v>
      </c>
    </row>
    <row r="341" spans="1:4" x14ac:dyDescent="0.25">
      <c r="A341" s="17"/>
      <c r="C341" t="s">
        <v>45</v>
      </c>
      <c r="D341" s="19">
        <v>25000000</v>
      </c>
    </row>
    <row r="342" spans="1:4" x14ac:dyDescent="0.25">
      <c r="A342" s="17"/>
      <c r="C342" t="s">
        <v>48</v>
      </c>
      <c r="D342" s="19">
        <v>30000000</v>
      </c>
    </row>
    <row r="343" spans="1:4" x14ac:dyDescent="0.25">
      <c r="A343" s="17"/>
      <c r="C343" t="s">
        <v>68</v>
      </c>
      <c r="D343" s="19">
        <v>141000000</v>
      </c>
    </row>
    <row r="344" spans="1:4" x14ac:dyDescent="0.25">
      <c r="A344" s="17"/>
      <c r="C344" t="s">
        <v>68</v>
      </c>
      <c r="D344" s="19">
        <v>145000000</v>
      </c>
    </row>
    <row r="345" spans="1:4" x14ac:dyDescent="0.25">
      <c r="A345" s="17"/>
      <c r="C345" t="s">
        <v>341</v>
      </c>
      <c r="D345" s="19">
        <v>800000</v>
      </c>
    </row>
    <row r="346" spans="1:4" x14ac:dyDescent="0.25">
      <c r="A346" s="17"/>
      <c r="C346" t="s">
        <v>382</v>
      </c>
      <c r="D346" s="19">
        <v>100000</v>
      </c>
    </row>
    <row r="347" spans="1:4" x14ac:dyDescent="0.25">
      <c r="A347" s="17"/>
      <c r="C347" t="s">
        <v>387</v>
      </c>
      <c r="D347" s="19">
        <v>160000000</v>
      </c>
    </row>
    <row r="348" spans="1:4" x14ac:dyDescent="0.25">
      <c r="A348" s="17"/>
      <c r="C348" t="s">
        <v>313</v>
      </c>
      <c r="D348" s="20">
        <v>10000000</v>
      </c>
    </row>
    <row r="349" spans="1:4" x14ac:dyDescent="0.25">
      <c r="A349" s="17"/>
      <c r="D349" s="19">
        <f>SUM(D338:D348)</f>
        <v>4391107924</v>
      </c>
    </row>
    <row r="350" spans="1:4" x14ac:dyDescent="0.25">
      <c r="A350" s="17"/>
      <c r="D350" s="19"/>
    </row>
    <row r="351" spans="1:4" x14ac:dyDescent="0.25">
      <c r="A351" s="17"/>
      <c r="B351" s="24" t="s">
        <v>46</v>
      </c>
      <c r="D351" s="19"/>
    </row>
    <row r="352" spans="1:4" x14ac:dyDescent="0.25">
      <c r="A352" s="17"/>
      <c r="C352" t="s">
        <v>385</v>
      </c>
      <c r="D352" s="19">
        <v>33740000</v>
      </c>
    </row>
    <row r="353" spans="1:7" x14ac:dyDescent="0.25">
      <c r="A353" s="17"/>
      <c r="C353" t="s">
        <v>266</v>
      </c>
      <c r="D353" s="20">
        <v>3012500</v>
      </c>
    </row>
    <row r="354" spans="1:7" x14ac:dyDescent="0.25">
      <c r="A354" s="17"/>
      <c r="D354" s="19">
        <f>SUM(D352:D353)</f>
        <v>36752500</v>
      </c>
    </row>
    <row r="355" spans="1:7" x14ac:dyDescent="0.25">
      <c r="A355" s="17"/>
      <c r="D355" s="19"/>
    </row>
    <row r="356" spans="1:7" x14ac:dyDescent="0.25">
      <c r="A356" s="23" t="s">
        <v>22</v>
      </c>
      <c r="D356" s="19"/>
    </row>
    <row r="357" spans="1:7" x14ac:dyDescent="0.25">
      <c r="A357" s="17"/>
      <c r="C357" t="s">
        <v>23</v>
      </c>
      <c r="D357" s="19">
        <v>2075775000</v>
      </c>
    </row>
    <row r="358" spans="1:7" x14ac:dyDescent="0.25">
      <c r="A358" s="17"/>
      <c r="C358" t="s">
        <v>24</v>
      </c>
      <c r="D358" s="19">
        <v>1726358000</v>
      </c>
    </row>
    <row r="359" spans="1:7" x14ac:dyDescent="0.25">
      <c r="A359" s="17"/>
      <c r="C359" t="s">
        <v>44</v>
      </c>
      <c r="D359" s="19">
        <v>313500000</v>
      </c>
    </row>
    <row r="360" spans="1:7" x14ac:dyDescent="0.25">
      <c r="A360" s="17"/>
      <c r="C360" t="s">
        <v>111</v>
      </c>
      <c r="D360" s="20">
        <v>239250000</v>
      </c>
    </row>
    <row r="361" spans="1:7" x14ac:dyDescent="0.25">
      <c r="A361" s="17"/>
      <c r="D361" s="19">
        <f>SUM(D357:D360)</f>
        <v>4354883000</v>
      </c>
      <c r="G361" s="1"/>
    </row>
    <row r="362" spans="1:7" x14ac:dyDescent="0.25">
      <c r="A362" s="17"/>
      <c r="D362" s="19"/>
      <c r="G362" s="1"/>
    </row>
    <row r="363" spans="1:7" x14ac:dyDescent="0.25">
      <c r="A363" s="43" t="s">
        <v>25</v>
      </c>
      <c r="B363" s="44"/>
      <c r="C363" s="44"/>
      <c r="D363" s="25">
        <f>D335+D349+D354-D361</f>
        <v>844076317.51000023</v>
      </c>
      <c r="G363" s="1"/>
    </row>
    <row r="364" spans="1:7" x14ac:dyDescent="0.25">
      <c r="A364" s="21"/>
      <c r="B364" s="22"/>
      <c r="C364" s="22"/>
      <c r="D364" s="20"/>
      <c r="G364" s="1"/>
    </row>
    <row r="366" spans="1:7" x14ac:dyDescent="0.25">
      <c r="A366" s="40" t="s">
        <v>13</v>
      </c>
      <c r="B366" s="40"/>
      <c r="C366" s="40"/>
      <c r="D366" s="40"/>
      <c r="G366" s="1"/>
    </row>
    <row r="367" spans="1:7" x14ac:dyDescent="0.25">
      <c r="A367" s="41" t="s">
        <v>14</v>
      </c>
      <c r="B367" s="41"/>
      <c r="C367" s="41"/>
      <c r="D367" s="41"/>
      <c r="G367" s="1"/>
    </row>
    <row r="368" spans="1:7" x14ac:dyDescent="0.25">
      <c r="A368" s="42">
        <v>45727</v>
      </c>
      <c r="B368" s="42"/>
      <c r="C368" s="42"/>
      <c r="D368" s="42"/>
      <c r="G368" s="1"/>
    </row>
    <row r="369" spans="1:7" x14ac:dyDescent="0.25">
      <c r="A369" s="13"/>
      <c r="B369" s="13"/>
      <c r="C369" s="13"/>
      <c r="D369" s="13"/>
      <c r="G369" s="1"/>
    </row>
    <row r="370" spans="1:7" x14ac:dyDescent="0.25">
      <c r="A370" s="14"/>
      <c r="B370" s="15"/>
      <c r="C370" s="15"/>
      <c r="D370" s="16"/>
      <c r="F370" s="5" t="s">
        <v>26</v>
      </c>
      <c r="G370" s="1">
        <f>D410-D363</f>
        <v>2965000</v>
      </c>
    </row>
    <row r="371" spans="1:7" x14ac:dyDescent="0.25">
      <c r="A371" s="17"/>
      <c r="D371" s="32" t="s">
        <v>16</v>
      </c>
      <c r="G371" s="1"/>
    </row>
    <row r="372" spans="1:7" x14ac:dyDescent="0.25">
      <c r="A372" s="23" t="s">
        <v>15</v>
      </c>
      <c r="D372" s="18" t="s">
        <v>17</v>
      </c>
      <c r="F372" s="26" t="s">
        <v>27</v>
      </c>
      <c r="G372" s="1"/>
    </row>
    <row r="373" spans="1:7" x14ac:dyDescent="0.25">
      <c r="A373" s="17"/>
      <c r="B373" s="24" t="s">
        <v>18</v>
      </c>
      <c r="D373" s="19"/>
      <c r="F373" s="27" t="s">
        <v>28</v>
      </c>
      <c r="G373" s="1"/>
    </row>
    <row r="374" spans="1:7" x14ac:dyDescent="0.25">
      <c r="A374" s="17"/>
      <c r="C374" s="2" t="s">
        <v>31</v>
      </c>
      <c r="D374" s="19">
        <v>143139176.11000001</v>
      </c>
      <c r="F374" t="s">
        <v>151</v>
      </c>
      <c r="G374" s="1">
        <v>4017000</v>
      </c>
    </row>
    <row r="375" spans="1:7" x14ac:dyDescent="0.25">
      <c r="A375" s="17"/>
      <c r="C375" s="2" t="s">
        <v>32</v>
      </c>
      <c r="D375" s="19">
        <v>23014492.399999999</v>
      </c>
      <c r="F375" t="s">
        <v>90</v>
      </c>
      <c r="G375" s="1">
        <v>755000</v>
      </c>
    </row>
    <row r="376" spans="1:7" x14ac:dyDescent="0.25">
      <c r="A376" s="17"/>
      <c r="C376" s="2" t="s">
        <v>33</v>
      </c>
      <c r="D376" s="19">
        <v>109715083.40000001</v>
      </c>
      <c r="F376" t="s">
        <v>389</v>
      </c>
      <c r="G376" s="1">
        <v>90500</v>
      </c>
    </row>
    <row r="377" spans="1:7" x14ac:dyDescent="0.25">
      <c r="A377" s="17"/>
      <c r="C377" s="2" t="s">
        <v>34</v>
      </c>
      <c r="D377" s="19">
        <v>169929271</v>
      </c>
      <c r="F377" t="s">
        <v>390</v>
      </c>
      <c r="G377" s="1">
        <v>89000</v>
      </c>
    </row>
    <row r="378" spans="1:7" x14ac:dyDescent="0.25">
      <c r="A378" s="17"/>
      <c r="C378" s="2" t="s">
        <v>35</v>
      </c>
      <c r="D378" s="19">
        <v>11744450</v>
      </c>
      <c r="F378" t="s">
        <v>391</v>
      </c>
      <c r="G378" s="1">
        <v>178000</v>
      </c>
    </row>
    <row r="379" spans="1:7" x14ac:dyDescent="0.25">
      <c r="A379" s="17"/>
      <c r="C379" s="2" t="s">
        <v>36</v>
      </c>
      <c r="D379" s="19">
        <v>5895892.5999999996</v>
      </c>
      <c r="F379" t="s">
        <v>392</v>
      </c>
      <c r="G379" s="1">
        <v>85500</v>
      </c>
    </row>
    <row r="380" spans="1:7" x14ac:dyDescent="0.25">
      <c r="A380" s="17"/>
      <c r="C380" s="2" t="s">
        <v>37</v>
      </c>
      <c r="D380" s="19">
        <v>228652211</v>
      </c>
      <c r="G380" s="30">
        <f>SUM(G374:G379)</f>
        <v>5215000</v>
      </c>
    </row>
    <row r="381" spans="1:7" x14ac:dyDescent="0.25">
      <c r="A381" s="17"/>
      <c r="C381" s="2" t="s">
        <v>51</v>
      </c>
      <c r="D381" s="20">
        <v>130317</v>
      </c>
      <c r="F381" s="28" t="s">
        <v>29</v>
      </c>
      <c r="G381" s="1"/>
    </row>
    <row r="382" spans="1:7" x14ac:dyDescent="0.25">
      <c r="A382" s="17"/>
      <c r="B382" s="24" t="s">
        <v>19</v>
      </c>
      <c r="D382" s="19">
        <f>SUM(D374:D381)</f>
        <v>692220893.50999999</v>
      </c>
      <c r="F382" t="s">
        <v>2</v>
      </c>
      <c r="G382" s="1">
        <v>2250000</v>
      </c>
    </row>
    <row r="383" spans="1:7" x14ac:dyDescent="0.25">
      <c r="A383" s="17"/>
      <c r="D383" s="19"/>
      <c r="G383" s="30">
        <f>SUM(G382:G382)</f>
        <v>2250000</v>
      </c>
    </row>
    <row r="384" spans="1:7" x14ac:dyDescent="0.25">
      <c r="A384" s="17"/>
      <c r="B384" s="24" t="s">
        <v>20</v>
      </c>
      <c r="D384" s="19"/>
      <c r="G384" s="1"/>
    </row>
    <row r="385" spans="1:7" x14ac:dyDescent="0.25">
      <c r="A385" s="17"/>
      <c r="C385" t="s">
        <v>7</v>
      </c>
      <c r="D385" s="19">
        <v>2863647424</v>
      </c>
      <c r="F385" s="28" t="s">
        <v>30</v>
      </c>
      <c r="G385" s="29">
        <f>G380-G383</f>
        <v>2965000</v>
      </c>
    </row>
    <row r="386" spans="1:7" x14ac:dyDescent="0.25">
      <c r="A386" s="17"/>
      <c r="C386" t="s">
        <v>47</v>
      </c>
      <c r="D386" s="19">
        <v>10965000</v>
      </c>
    </row>
    <row r="387" spans="1:7" x14ac:dyDescent="0.25">
      <c r="A387" s="17"/>
      <c r="C387" t="s">
        <v>21</v>
      </c>
      <c r="D387" s="19">
        <v>742560500</v>
      </c>
    </row>
    <row r="388" spans="1:7" x14ac:dyDescent="0.25">
      <c r="A388" s="17"/>
      <c r="C388" t="s">
        <v>45</v>
      </c>
      <c r="D388" s="19">
        <v>25000000</v>
      </c>
    </row>
    <row r="389" spans="1:7" x14ac:dyDescent="0.25">
      <c r="A389" s="17"/>
      <c r="C389" t="s">
        <v>48</v>
      </c>
      <c r="D389" s="19">
        <v>30000000</v>
      </c>
    </row>
    <row r="390" spans="1:7" x14ac:dyDescent="0.25">
      <c r="A390" s="17"/>
      <c r="C390" t="s">
        <v>68</v>
      </c>
      <c r="D390" s="19">
        <v>141000000</v>
      </c>
    </row>
    <row r="391" spans="1:7" x14ac:dyDescent="0.25">
      <c r="A391" s="17"/>
      <c r="C391" t="s">
        <v>68</v>
      </c>
      <c r="D391" s="19">
        <v>145000000</v>
      </c>
    </row>
    <row r="392" spans="1:7" x14ac:dyDescent="0.25">
      <c r="A392" s="17"/>
      <c r="C392" t="s">
        <v>341</v>
      </c>
      <c r="D392" s="19">
        <v>800000</v>
      </c>
    </row>
    <row r="393" spans="1:7" x14ac:dyDescent="0.25">
      <c r="A393" s="17"/>
      <c r="C393" t="s">
        <v>382</v>
      </c>
      <c r="D393" s="19">
        <v>100000</v>
      </c>
    </row>
    <row r="394" spans="1:7" x14ac:dyDescent="0.25">
      <c r="A394" s="17"/>
      <c r="C394" t="s">
        <v>387</v>
      </c>
      <c r="D394" s="19">
        <v>160000000</v>
      </c>
    </row>
    <row r="395" spans="1:7" x14ac:dyDescent="0.25">
      <c r="A395" s="17"/>
      <c r="C395" t="s">
        <v>313</v>
      </c>
      <c r="D395" s="20">
        <v>10000000</v>
      </c>
    </row>
    <row r="396" spans="1:7" x14ac:dyDescent="0.25">
      <c r="A396" s="17"/>
      <c r="D396" s="19">
        <f>SUM(D385:D395)</f>
        <v>4129072924</v>
      </c>
    </row>
    <row r="397" spans="1:7" x14ac:dyDescent="0.25">
      <c r="A397" s="17"/>
      <c r="D397" s="19"/>
    </row>
    <row r="398" spans="1:7" x14ac:dyDescent="0.25">
      <c r="A398" s="17"/>
      <c r="B398" s="24" t="s">
        <v>46</v>
      </c>
      <c r="D398" s="19"/>
    </row>
    <row r="399" spans="1:7" x14ac:dyDescent="0.25">
      <c r="A399" s="17"/>
      <c r="C399" t="s">
        <v>388</v>
      </c>
      <c r="D399" s="19">
        <v>26510000</v>
      </c>
    </row>
    <row r="400" spans="1:7" x14ac:dyDescent="0.25">
      <c r="A400" s="17"/>
      <c r="C400" t="s">
        <v>295</v>
      </c>
      <c r="D400" s="20">
        <v>1807500</v>
      </c>
    </row>
    <row r="401" spans="1:7" x14ac:dyDescent="0.25">
      <c r="A401" s="17"/>
      <c r="D401" s="19">
        <f>SUM(D399:D400)</f>
        <v>28317500</v>
      </c>
    </row>
    <row r="402" spans="1:7" x14ac:dyDescent="0.25">
      <c r="A402" s="17"/>
      <c r="D402" s="19"/>
    </row>
    <row r="403" spans="1:7" x14ac:dyDescent="0.25">
      <c r="A403" s="23" t="s">
        <v>22</v>
      </c>
      <c r="D403" s="19"/>
    </row>
    <row r="404" spans="1:7" x14ac:dyDescent="0.25">
      <c r="A404" s="17"/>
      <c r="C404" t="s">
        <v>23</v>
      </c>
      <c r="D404" s="19">
        <v>1571625000</v>
      </c>
    </row>
    <row r="405" spans="1:7" x14ac:dyDescent="0.25">
      <c r="A405" s="17"/>
      <c r="C405" t="s">
        <v>24</v>
      </c>
      <c r="D405" s="19">
        <v>1878195000</v>
      </c>
    </row>
    <row r="406" spans="1:7" x14ac:dyDescent="0.25">
      <c r="A406" s="17"/>
      <c r="C406" t="s">
        <v>44</v>
      </c>
      <c r="D406" s="19">
        <v>313500000</v>
      </c>
    </row>
    <row r="407" spans="1:7" x14ac:dyDescent="0.25">
      <c r="A407" s="17"/>
      <c r="C407" t="s">
        <v>111</v>
      </c>
      <c r="D407" s="20">
        <v>239250000</v>
      </c>
    </row>
    <row r="408" spans="1:7" x14ac:dyDescent="0.25">
      <c r="A408" s="17"/>
      <c r="D408" s="19">
        <f>SUM(D404:D407)</f>
        <v>4002570000</v>
      </c>
      <c r="G408" s="1"/>
    </row>
    <row r="409" spans="1:7" x14ac:dyDescent="0.25">
      <c r="A409" s="17"/>
      <c r="D409" s="19"/>
      <c r="G409" s="1"/>
    </row>
    <row r="410" spans="1:7" x14ac:dyDescent="0.25">
      <c r="A410" s="43" t="s">
        <v>25</v>
      </c>
      <c r="B410" s="44"/>
      <c r="C410" s="44"/>
      <c r="D410" s="25">
        <f>D382+D396+D401-D408</f>
        <v>847041317.51000023</v>
      </c>
      <c r="G410" s="1"/>
    </row>
    <row r="411" spans="1:7" x14ac:dyDescent="0.25">
      <c r="A411" s="21"/>
      <c r="B411" s="22"/>
      <c r="C411" s="22"/>
      <c r="D411" s="20"/>
      <c r="G411" s="1"/>
    </row>
    <row r="413" spans="1:7" x14ac:dyDescent="0.25">
      <c r="A413" s="40" t="s">
        <v>13</v>
      </c>
      <c r="B413" s="40"/>
      <c r="C413" s="40"/>
      <c r="D413" s="40"/>
      <c r="G413" s="1"/>
    </row>
    <row r="414" spans="1:7" x14ac:dyDescent="0.25">
      <c r="A414" s="41" t="s">
        <v>14</v>
      </c>
      <c r="B414" s="41"/>
      <c r="C414" s="41"/>
      <c r="D414" s="41"/>
      <c r="G414" s="1"/>
    </row>
    <row r="415" spans="1:7" x14ac:dyDescent="0.25">
      <c r="A415" s="42">
        <v>45728</v>
      </c>
      <c r="B415" s="42"/>
      <c r="C415" s="42"/>
      <c r="D415" s="42"/>
      <c r="G415" s="1"/>
    </row>
    <row r="416" spans="1:7" x14ac:dyDescent="0.25">
      <c r="A416" s="13"/>
      <c r="B416" s="13"/>
      <c r="C416" s="13"/>
      <c r="D416" s="13"/>
      <c r="G416" s="1"/>
    </row>
    <row r="417" spans="1:7" x14ac:dyDescent="0.25">
      <c r="A417" s="14"/>
      <c r="B417" s="15"/>
      <c r="C417" s="15"/>
      <c r="D417" s="16"/>
      <c r="F417" s="5" t="s">
        <v>26</v>
      </c>
      <c r="G417" s="1">
        <f>D457-D410</f>
        <v>5643135</v>
      </c>
    </row>
    <row r="418" spans="1:7" x14ac:dyDescent="0.25">
      <c r="A418" s="17"/>
      <c r="D418" s="32" t="s">
        <v>16</v>
      </c>
      <c r="G418" s="1"/>
    </row>
    <row r="419" spans="1:7" x14ac:dyDescent="0.25">
      <c r="A419" s="23" t="s">
        <v>15</v>
      </c>
      <c r="D419" s="18" t="s">
        <v>17</v>
      </c>
      <c r="F419" s="26" t="s">
        <v>27</v>
      </c>
      <c r="G419" s="1"/>
    </row>
    <row r="420" spans="1:7" x14ac:dyDescent="0.25">
      <c r="A420" s="17"/>
      <c r="B420" s="24" t="s">
        <v>18</v>
      </c>
      <c r="D420" s="19"/>
      <c r="F420" s="27" t="s">
        <v>28</v>
      </c>
      <c r="G420" s="1"/>
    </row>
    <row r="421" spans="1:7" x14ac:dyDescent="0.25">
      <c r="A421" s="17"/>
      <c r="C421" s="2" t="s">
        <v>31</v>
      </c>
      <c r="D421" s="19">
        <v>80348926.109999999</v>
      </c>
      <c r="F421" t="s">
        <v>317</v>
      </c>
      <c r="G421" s="1">
        <v>5519000</v>
      </c>
    </row>
    <row r="422" spans="1:7" x14ac:dyDescent="0.25">
      <c r="A422" s="17"/>
      <c r="C422" s="2" t="s">
        <v>32</v>
      </c>
      <c r="D422" s="19">
        <v>26834492.399999999</v>
      </c>
      <c r="F422" t="s">
        <v>90</v>
      </c>
      <c r="G422" s="1">
        <v>90000</v>
      </c>
    </row>
    <row r="423" spans="1:7" x14ac:dyDescent="0.25">
      <c r="A423" s="17"/>
      <c r="C423" s="2" t="s">
        <v>33</v>
      </c>
      <c r="D423" s="19">
        <v>395363083.39999998</v>
      </c>
      <c r="F423" t="s">
        <v>394</v>
      </c>
      <c r="G423" s="1">
        <v>169000</v>
      </c>
    </row>
    <row r="424" spans="1:7" x14ac:dyDescent="0.25">
      <c r="A424" s="17"/>
      <c r="C424" s="2" t="s">
        <v>34</v>
      </c>
      <c r="D424" s="19">
        <v>105904271</v>
      </c>
      <c r="F424" t="s">
        <v>395</v>
      </c>
      <c r="G424" s="1">
        <v>10</v>
      </c>
    </row>
    <row r="425" spans="1:7" x14ac:dyDescent="0.25">
      <c r="A425" s="17"/>
      <c r="C425" s="2" t="s">
        <v>35</v>
      </c>
      <c r="D425" s="19">
        <v>11744450</v>
      </c>
      <c r="G425" s="30">
        <f>SUM(G421:G424)</f>
        <v>5778010</v>
      </c>
    </row>
    <row r="426" spans="1:7" x14ac:dyDescent="0.25">
      <c r="A426" s="17"/>
      <c r="C426" s="2" t="s">
        <v>36</v>
      </c>
      <c r="D426" s="19">
        <v>5895892.5999999996</v>
      </c>
      <c r="F426" s="28" t="s">
        <v>29</v>
      </c>
      <c r="G426" s="1"/>
    </row>
    <row r="427" spans="1:7" x14ac:dyDescent="0.25">
      <c r="A427" s="17"/>
      <c r="C427" s="2" t="s">
        <v>37</v>
      </c>
      <c r="D427" s="19">
        <v>288931020</v>
      </c>
      <c r="F427" t="s">
        <v>396</v>
      </c>
      <c r="G427" s="1">
        <v>83000</v>
      </c>
    </row>
    <row r="428" spans="1:7" x14ac:dyDescent="0.25">
      <c r="A428" s="17"/>
      <c r="C428" s="2" t="s">
        <v>51</v>
      </c>
      <c r="D428" s="20">
        <v>130317</v>
      </c>
      <c r="F428" t="s">
        <v>397</v>
      </c>
      <c r="G428" s="1">
        <v>51875</v>
      </c>
    </row>
    <row r="429" spans="1:7" x14ac:dyDescent="0.25">
      <c r="A429" s="17"/>
      <c r="B429" s="24" t="s">
        <v>19</v>
      </c>
      <c r="D429" s="19">
        <f>SUM(D421:D428)</f>
        <v>915152452.50999999</v>
      </c>
      <c r="G429" s="30">
        <f>SUM(G427:G428)</f>
        <v>134875</v>
      </c>
    </row>
    <row r="430" spans="1:7" x14ac:dyDescent="0.25">
      <c r="A430" s="17"/>
      <c r="D430" s="19"/>
      <c r="G430" s="1"/>
    </row>
    <row r="431" spans="1:7" x14ac:dyDescent="0.25">
      <c r="A431" s="17"/>
      <c r="B431" s="24" t="s">
        <v>20</v>
      </c>
      <c r="D431" s="19"/>
      <c r="F431" s="28" t="s">
        <v>30</v>
      </c>
      <c r="G431" s="29">
        <f>G425-G429</f>
        <v>5643135</v>
      </c>
    </row>
    <row r="432" spans="1:7" x14ac:dyDescent="0.25">
      <c r="A432" s="17"/>
      <c r="C432" t="s">
        <v>7</v>
      </c>
      <c r="D432" s="19">
        <v>2403024000</v>
      </c>
    </row>
    <row r="433" spans="1:4" x14ac:dyDescent="0.25">
      <c r="A433" s="17"/>
      <c r="C433" t="s">
        <v>47</v>
      </c>
      <c r="D433" s="19">
        <v>9645000</v>
      </c>
    </row>
    <row r="434" spans="1:4" x14ac:dyDescent="0.25">
      <c r="A434" s="17"/>
      <c r="C434" t="s">
        <v>21</v>
      </c>
      <c r="D434" s="19">
        <v>738660500</v>
      </c>
    </row>
    <row r="435" spans="1:4" x14ac:dyDescent="0.25">
      <c r="A435" s="17"/>
      <c r="C435" t="s">
        <v>45</v>
      </c>
      <c r="D435" s="19">
        <v>25000000</v>
      </c>
    </row>
    <row r="436" spans="1:4" x14ac:dyDescent="0.25">
      <c r="A436" s="17"/>
      <c r="C436" t="s">
        <v>48</v>
      </c>
      <c r="D436" s="19">
        <v>30000000</v>
      </c>
    </row>
    <row r="437" spans="1:4" x14ac:dyDescent="0.25">
      <c r="A437" s="17"/>
      <c r="C437" t="s">
        <v>68</v>
      </c>
      <c r="D437" s="19">
        <v>141000000</v>
      </c>
    </row>
    <row r="438" spans="1:4" x14ac:dyDescent="0.25">
      <c r="A438" s="17"/>
      <c r="C438" t="s">
        <v>68</v>
      </c>
      <c r="D438" s="19">
        <v>145000000</v>
      </c>
    </row>
    <row r="439" spans="1:4" x14ac:dyDescent="0.25">
      <c r="A439" s="17"/>
      <c r="C439" t="s">
        <v>341</v>
      </c>
      <c r="D439" s="19">
        <v>800000</v>
      </c>
    </row>
    <row r="440" spans="1:4" x14ac:dyDescent="0.25">
      <c r="A440" s="17"/>
      <c r="C440" t="s">
        <v>382</v>
      </c>
      <c r="D440" s="19">
        <v>100000</v>
      </c>
    </row>
    <row r="441" spans="1:4" x14ac:dyDescent="0.25">
      <c r="A441" s="17"/>
      <c r="C441" t="s">
        <v>387</v>
      </c>
      <c r="D441" s="19">
        <v>160000000</v>
      </c>
    </row>
    <row r="442" spans="1:4" x14ac:dyDescent="0.25">
      <c r="A442" s="17"/>
      <c r="C442" t="s">
        <v>313</v>
      </c>
      <c r="D442" s="20">
        <v>10000000</v>
      </c>
    </row>
    <row r="443" spans="1:4" x14ac:dyDescent="0.25">
      <c r="A443" s="17"/>
      <c r="D443" s="19">
        <f>SUM(D432:D442)</f>
        <v>3663229500</v>
      </c>
    </row>
    <row r="444" spans="1:4" x14ac:dyDescent="0.25">
      <c r="A444" s="17"/>
      <c r="D444" s="19"/>
    </row>
    <row r="445" spans="1:4" x14ac:dyDescent="0.25">
      <c r="A445" s="17"/>
      <c r="B445" s="24" t="s">
        <v>46</v>
      </c>
      <c r="D445" s="19"/>
    </row>
    <row r="446" spans="1:4" x14ac:dyDescent="0.25">
      <c r="A446" s="17"/>
      <c r="C446" t="s">
        <v>393</v>
      </c>
      <c r="D446" s="19">
        <v>24100000</v>
      </c>
    </row>
    <row r="447" spans="1:4" x14ac:dyDescent="0.25">
      <c r="A447" s="17"/>
      <c r="C447" t="s">
        <v>295</v>
      </c>
      <c r="D447" s="20">
        <v>1807500</v>
      </c>
    </row>
    <row r="448" spans="1:4" x14ac:dyDescent="0.25">
      <c r="A448" s="17"/>
      <c r="D448" s="19">
        <f>SUM(D446:D447)</f>
        <v>25907500</v>
      </c>
    </row>
    <row r="449" spans="1:7" x14ac:dyDescent="0.25">
      <c r="A449" s="17"/>
      <c r="D449" s="19"/>
    </row>
    <row r="450" spans="1:7" x14ac:dyDescent="0.25">
      <c r="A450" s="23" t="s">
        <v>22</v>
      </c>
      <c r="D450" s="19"/>
    </row>
    <row r="451" spans="1:7" x14ac:dyDescent="0.25">
      <c r="A451" s="17"/>
      <c r="C451" t="s">
        <v>23</v>
      </c>
      <c r="D451" s="19">
        <v>1330025000</v>
      </c>
    </row>
    <row r="452" spans="1:7" x14ac:dyDescent="0.25">
      <c r="A452" s="17"/>
      <c r="C452" t="s">
        <v>24</v>
      </c>
      <c r="D452" s="19">
        <v>1794580000</v>
      </c>
    </row>
    <row r="453" spans="1:7" x14ac:dyDescent="0.25">
      <c r="A453" s="17"/>
      <c r="C453" t="s">
        <v>44</v>
      </c>
      <c r="D453" s="19">
        <v>313500000</v>
      </c>
    </row>
    <row r="454" spans="1:7" x14ac:dyDescent="0.25">
      <c r="A454" s="17"/>
      <c r="C454" t="s">
        <v>111</v>
      </c>
      <c r="D454" s="20">
        <v>313500000</v>
      </c>
    </row>
    <row r="455" spans="1:7" x14ac:dyDescent="0.25">
      <c r="A455" s="17"/>
      <c r="D455" s="19">
        <f>SUM(D451:D454)</f>
        <v>3751605000</v>
      </c>
      <c r="G455" s="1"/>
    </row>
    <row r="456" spans="1:7" x14ac:dyDescent="0.25">
      <c r="A456" s="17"/>
      <c r="D456" s="19"/>
      <c r="G456" s="1"/>
    </row>
    <row r="457" spans="1:7" x14ac:dyDescent="0.25">
      <c r="A457" s="43" t="s">
        <v>25</v>
      </c>
      <c r="B457" s="44"/>
      <c r="C457" s="44"/>
      <c r="D457" s="25">
        <f>D429+D443+D448-D455</f>
        <v>852684452.51000023</v>
      </c>
      <c r="G457" s="1"/>
    </row>
    <row r="458" spans="1:7" x14ac:dyDescent="0.25">
      <c r="A458" s="21"/>
      <c r="B458" s="22"/>
      <c r="C458" s="22"/>
      <c r="D458" s="20"/>
      <c r="G458" s="1"/>
    </row>
    <row r="460" spans="1:7" x14ac:dyDescent="0.25">
      <c r="A460" s="40" t="s">
        <v>13</v>
      </c>
      <c r="B460" s="40"/>
      <c r="C460" s="40"/>
      <c r="D460" s="40"/>
      <c r="G460" s="1"/>
    </row>
    <row r="461" spans="1:7" x14ac:dyDescent="0.25">
      <c r="A461" s="41" t="s">
        <v>14</v>
      </c>
      <c r="B461" s="41"/>
      <c r="C461" s="41"/>
      <c r="D461" s="41"/>
      <c r="G461" s="1"/>
    </row>
    <row r="462" spans="1:7" x14ac:dyDescent="0.25">
      <c r="A462" s="42">
        <v>45729</v>
      </c>
      <c r="B462" s="42"/>
      <c r="C462" s="42"/>
      <c r="D462" s="42"/>
      <c r="G462" s="1"/>
    </row>
    <row r="463" spans="1:7" x14ac:dyDescent="0.25">
      <c r="A463" s="13"/>
      <c r="B463" s="13"/>
      <c r="C463" s="13"/>
      <c r="D463" s="13"/>
      <c r="G463" s="1"/>
    </row>
    <row r="464" spans="1:7" x14ac:dyDescent="0.25">
      <c r="A464" s="14"/>
      <c r="B464" s="15"/>
      <c r="C464" s="15"/>
      <c r="D464" s="16"/>
      <c r="F464" s="5" t="s">
        <v>26</v>
      </c>
      <c r="G464" s="1">
        <f>D504-D457</f>
        <v>-215750</v>
      </c>
    </row>
    <row r="465" spans="1:7" x14ac:dyDescent="0.25">
      <c r="A465" s="17"/>
      <c r="D465" s="32" t="s">
        <v>16</v>
      </c>
      <c r="G465" s="1"/>
    </row>
    <row r="466" spans="1:7" x14ac:dyDescent="0.25">
      <c r="A466" s="23" t="s">
        <v>15</v>
      </c>
      <c r="D466" s="18" t="s">
        <v>17</v>
      </c>
      <c r="F466" s="26" t="s">
        <v>27</v>
      </c>
      <c r="G466" s="1"/>
    </row>
    <row r="467" spans="1:7" x14ac:dyDescent="0.25">
      <c r="A467" s="17"/>
      <c r="B467" s="24" t="s">
        <v>18</v>
      </c>
      <c r="D467" s="19"/>
      <c r="F467" s="27" t="s">
        <v>28</v>
      </c>
      <c r="G467" s="1"/>
    </row>
    <row r="468" spans="1:7" x14ac:dyDescent="0.25">
      <c r="A468" s="17"/>
      <c r="C468" s="2" t="s">
        <v>31</v>
      </c>
      <c r="D468" s="19">
        <v>80348926.109999999</v>
      </c>
      <c r="F468" t="s">
        <v>154</v>
      </c>
      <c r="G468" s="1">
        <v>1954000</v>
      </c>
    </row>
    <row r="469" spans="1:7" x14ac:dyDescent="0.25">
      <c r="A469" s="17"/>
      <c r="C469" s="2" t="s">
        <v>32</v>
      </c>
      <c r="D469" s="19">
        <v>26834492.399999999</v>
      </c>
      <c r="F469" t="s">
        <v>122</v>
      </c>
      <c r="G469" s="1">
        <v>80250</v>
      </c>
    </row>
    <row r="470" spans="1:7" x14ac:dyDescent="0.25">
      <c r="A470" s="17"/>
      <c r="C470" s="2" t="s">
        <v>33</v>
      </c>
      <c r="D470" s="19">
        <v>132893643.40000001</v>
      </c>
      <c r="G470" s="30">
        <f>SUM(G468:G469)</f>
        <v>2034250</v>
      </c>
    </row>
    <row r="471" spans="1:7" x14ac:dyDescent="0.25">
      <c r="A471" s="17"/>
      <c r="C471" s="2" t="s">
        <v>34</v>
      </c>
      <c r="D471" s="19">
        <v>99054271</v>
      </c>
      <c r="F471" s="28" t="s">
        <v>29</v>
      </c>
      <c r="G471" s="1"/>
    </row>
    <row r="472" spans="1:7" x14ac:dyDescent="0.25">
      <c r="A472" s="17"/>
      <c r="C472" s="2" t="s">
        <v>35</v>
      </c>
      <c r="D472" s="19">
        <v>11744450</v>
      </c>
      <c r="F472" t="s">
        <v>129</v>
      </c>
      <c r="G472" s="1">
        <v>2250000</v>
      </c>
    </row>
    <row r="473" spans="1:7" x14ac:dyDescent="0.25">
      <c r="A473" s="17"/>
      <c r="C473" s="2" t="s">
        <v>36</v>
      </c>
      <c r="D473" s="19">
        <v>5895892.5999999996</v>
      </c>
      <c r="G473" s="30">
        <f>SUM(G472:G472)</f>
        <v>2250000</v>
      </c>
    </row>
    <row r="474" spans="1:7" x14ac:dyDescent="0.25">
      <c r="A474" s="17"/>
      <c r="C474" s="2" t="s">
        <v>37</v>
      </c>
      <c r="D474" s="19">
        <v>271326020</v>
      </c>
      <c r="G474" s="1"/>
    </row>
    <row r="475" spans="1:7" x14ac:dyDescent="0.25">
      <c r="A475" s="17"/>
      <c r="C475" s="2" t="s">
        <v>51</v>
      </c>
      <c r="D475" s="20">
        <v>130317</v>
      </c>
      <c r="F475" s="28" t="s">
        <v>30</v>
      </c>
      <c r="G475" s="29">
        <f>G470-G473</f>
        <v>-215750</v>
      </c>
    </row>
    <row r="476" spans="1:7" x14ac:dyDescent="0.25">
      <c r="A476" s="17"/>
      <c r="B476" s="24" t="s">
        <v>19</v>
      </c>
      <c r="D476" s="19">
        <f>SUM(D468:D475)</f>
        <v>628228012.50999999</v>
      </c>
    </row>
    <row r="477" spans="1:7" x14ac:dyDescent="0.25">
      <c r="A477" s="17"/>
      <c r="D477" s="19"/>
    </row>
    <row r="478" spans="1:7" x14ac:dyDescent="0.25">
      <c r="A478" s="17"/>
      <c r="B478" s="24" t="s">
        <v>20</v>
      </c>
      <c r="D478" s="19"/>
    </row>
    <row r="479" spans="1:7" x14ac:dyDescent="0.25">
      <c r="A479" s="17"/>
      <c r="C479" t="s">
        <v>7</v>
      </c>
      <c r="D479" s="19">
        <v>2676749000</v>
      </c>
    </row>
    <row r="480" spans="1:7" x14ac:dyDescent="0.25">
      <c r="A480" s="17"/>
      <c r="C480" t="s">
        <v>47</v>
      </c>
      <c r="D480" s="19">
        <v>9645000</v>
      </c>
    </row>
    <row r="481" spans="1:4" x14ac:dyDescent="0.25">
      <c r="A481" s="17"/>
      <c r="C481" t="s">
        <v>21</v>
      </c>
      <c r="D481" s="19">
        <v>679315500</v>
      </c>
    </row>
    <row r="482" spans="1:4" x14ac:dyDescent="0.25">
      <c r="A482" s="17"/>
      <c r="C482" t="s">
        <v>45</v>
      </c>
      <c r="D482" s="19">
        <v>25000000</v>
      </c>
    </row>
    <row r="483" spans="1:4" x14ac:dyDescent="0.25">
      <c r="A483" s="17"/>
      <c r="C483" t="s">
        <v>48</v>
      </c>
      <c r="D483" s="19">
        <v>30000000</v>
      </c>
    </row>
    <row r="484" spans="1:4" x14ac:dyDescent="0.25">
      <c r="A484" s="17"/>
      <c r="C484" t="s">
        <v>68</v>
      </c>
      <c r="D484" s="19">
        <v>141000000</v>
      </c>
    </row>
    <row r="485" spans="1:4" x14ac:dyDescent="0.25">
      <c r="A485" s="17"/>
      <c r="C485" t="s">
        <v>68</v>
      </c>
      <c r="D485" s="19">
        <v>145000000</v>
      </c>
    </row>
    <row r="486" spans="1:4" x14ac:dyDescent="0.25">
      <c r="A486" s="17"/>
      <c r="C486" t="s">
        <v>341</v>
      </c>
      <c r="D486" s="19">
        <v>800000</v>
      </c>
    </row>
    <row r="487" spans="1:4" x14ac:dyDescent="0.25">
      <c r="A487" s="17"/>
      <c r="C487" t="s">
        <v>382</v>
      </c>
      <c r="D487" s="19">
        <v>100000</v>
      </c>
    </row>
    <row r="488" spans="1:4" x14ac:dyDescent="0.25">
      <c r="A488" s="17"/>
      <c r="C488" t="s">
        <v>387</v>
      </c>
      <c r="D488" s="19">
        <v>160000000</v>
      </c>
    </row>
    <row r="489" spans="1:4" x14ac:dyDescent="0.25">
      <c r="A489" s="17"/>
      <c r="C489" t="s">
        <v>313</v>
      </c>
      <c r="D489" s="20">
        <v>10000000</v>
      </c>
    </row>
    <row r="490" spans="1:4" x14ac:dyDescent="0.25">
      <c r="A490" s="17"/>
      <c r="D490" s="19">
        <f>SUM(D479:D489)</f>
        <v>3877609500</v>
      </c>
    </row>
    <row r="491" spans="1:4" x14ac:dyDescent="0.25">
      <c r="A491" s="17"/>
      <c r="D491" s="19"/>
    </row>
    <row r="492" spans="1:4" x14ac:dyDescent="0.25">
      <c r="A492" s="17"/>
      <c r="B492" s="24" t="s">
        <v>46</v>
      </c>
      <c r="D492" s="19"/>
    </row>
    <row r="493" spans="1:4" x14ac:dyDescent="0.25">
      <c r="A493" s="17"/>
      <c r="C493" t="s">
        <v>393</v>
      </c>
      <c r="D493" s="19">
        <v>24100000</v>
      </c>
    </row>
    <row r="494" spans="1:4" x14ac:dyDescent="0.25">
      <c r="A494" s="17"/>
      <c r="C494" t="s">
        <v>295</v>
      </c>
      <c r="D494" s="20">
        <v>1807500</v>
      </c>
    </row>
    <row r="495" spans="1:4" x14ac:dyDescent="0.25">
      <c r="A495" s="17"/>
      <c r="D495" s="19">
        <f>SUM(D493:D494)</f>
        <v>25907500</v>
      </c>
    </row>
    <row r="496" spans="1:4" x14ac:dyDescent="0.25">
      <c r="A496" s="17"/>
      <c r="D496" s="19"/>
    </row>
    <row r="497" spans="1:7" x14ac:dyDescent="0.25">
      <c r="A497" s="23" t="s">
        <v>22</v>
      </c>
      <c r="D497" s="19"/>
    </row>
    <row r="498" spans="1:7" x14ac:dyDescent="0.25">
      <c r="A498" s="17"/>
      <c r="C498" t="s">
        <v>23</v>
      </c>
      <c r="D498" s="19">
        <v>1354925000</v>
      </c>
    </row>
    <row r="499" spans="1:7" x14ac:dyDescent="0.25">
      <c r="A499" s="17"/>
      <c r="C499" t="s">
        <v>24</v>
      </c>
      <c r="D499" s="19">
        <v>1705601310</v>
      </c>
    </row>
    <row r="500" spans="1:7" x14ac:dyDescent="0.25">
      <c r="A500" s="17"/>
      <c r="C500" t="s">
        <v>44</v>
      </c>
      <c r="D500" s="19">
        <v>313500000</v>
      </c>
    </row>
    <row r="501" spans="1:7" x14ac:dyDescent="0.25">
      <c r="A501" s="17"/>
      <c r="C501" t="s">
        <v>111</v>
      </c>
      <c r="D501" s="20">
        <v>305250000</v>
      </c>
    </row>
    <row r="502" spans="1:7" x14ac:dyDescent="0.25">
      <c r="A502" s="17"/>
      <c r="D502" s="19">
        <f>SUM(D498:D501)</f>
        <v>3679276310</v>
      </c>
      <c r="G502" s="1"/>
    </row>
    <row r="503" spans="1:7" x14ac:dyDescent="0.25">
      <c r="A503" s="17"/>
      <c r="D503" s="19"/>
      <c r="G503" s="1"/>
    </row>
    <row r="504" spans="1:7" x14ac:dyDescent="0.25">
      <c r="A504" s="43" t="s">
        <v>25</v>
      </c>
      <c r="B504" s="44"/>
      <c r="C504" s="44"/>
      <c r="D504" s="25">
        <f>D476+D490+D495-D502</f>
        <v>852468702.51000023</v>
      </c>
      <c r="G504" s="1"/>
    </row>
    <row r="505" spans="1:7" x14ac:dyDescent="0.25">
      <c r="A505" s="21"/>
      <c r="B505" s="22"/>
      <c r="C505" s="22"/>
      <c r="D505" s="20"/>
      <c r="G505" s="1"/>
    </row>
    <row r="507" spans="1:7" x14ac:dyDescent="0.25">
      <c r="A507" s="40" t="s">
        <v>13</v>
      </c>
      <c r="B507" s="40"/>
      <c r="C507" s="40"/>
      <c r="D507" s="40"/>
      <c r="G507" s="1"/>
    </row>
    <row r="508" spans="1:7" x14ac:dyDescent="0.25">
      <c r="A508" s="41" t="s">
        <v>14</v>
      </c>
      <c r="B508" s="41"/>
      <c r="C508" s="41"/>
      <c r="D508" s="41"/>
      <c r="G508" s="1"/>
    </row>
    <row r="509" spans="1:7" x14ac:dyDescent="0.25">
      <c r="A509" s="42">
        <v>45730</v>
      </c>
      <c r="B509" s="42"/>
      <c r="C509" s="42"/>
      <c r="D509" s="42"/>
      <c r="G509" s="1"/>
    </row>
    <row r="510" spans="1:7" x14ac:dyDescent="0.25">
      <c r="A510" s="13"/>
      <c r="B510" s="13"/>
      <c r="C510" s="13"/>
      <c r="D510" s="13"/>
      <c r="G510" s="1"/>
    </row>
    <row r="511" spans="1:7" x14ac:dyDescent="0.25">
      <c r="A511" s="14"/>
      <c r="B511" s="15"/>
      <c r="C511" s="15"/>
      <c r="D511" s="16"/>
      <c r="F511" s="5" t="s">
        <v>26</v>
      </c>
      <c r="G511" s="1">
        <f>D551-D504</f>
        <v>1939500</v>
      </c>
    </row>
    <row r="512" spans="1:7" x14ac:dyDescent="0.25">
      <c r="A512" s="17"/>
      <c r="D512" s="32" t="s">
        <v>16</v>
      </c>
      <c r="G512" s="1"/>
    </row>
    <row r="513" spans="1:7" x14ac:dyDescent="0.25">
      <c r="A513" s="23" t="s">
        <v>15</v>
      </c>
      <c r="D513" s="18" t="s">
        <v>17</v>
      </c>
      <c r="F513" s="26" t="s">
        <v>27</v>
      </c>
      <c r="G513" s="1"/>
    </row>
    <row r="514" spans="1:7" x14ac:dyDescent="0.25">
      <c r="A514" s="17"/>
      <c r="B514" s="24" t="s">
        <v>18</v>
      </c>
      <c r="D514" s="19"/>
      <c r="F514" s="27" t="s">
        <v>28</v>
      </c>
      <c r="G514" s="1"/>
    </row>
    <row r="515" spans="1:7" x14ac:dyDescent="0.25">
      <c r="A515" s="17"/>
      <c r="C515" s="2" t="s">
        <v>31</v>
      </c>
      <c r="D515" s="19">
        <v>548926.11</v>
      </c>
      <c r="F515" t="s">
        <v>160</v>
      </c>
      <c r="G515" s="1">
        <v>6364500</v>
      </c>
    </row>
    <row r="516" spans="1:7" x14ac:dyDescent="0.25">
      <c r="A516" s="17"/>
      <c r="C516" s="2" t="s">
        <v>32</v>
      </c>
      <c r="D516" s="19">
        <v>35059492.399999999</v>
      </c>
      <c r="F516" t="s">
        <v>90</v>
      </c>
      <c r="G516" s="1">
        <v>555000</v>
      </c>
    </row>
    <row r="517" spans="1:7" x14ac:dyDescent="0.25">
      <c r="A517" s="17"/>
      <c r="C517" s="2" t="s">
        <v>33</v>
      </c>
      <c r="D517" s="19">
        <v>232202583.40000001</v>
      </c>
      <c r="F517" t="s">
        <v>122</v>
      </c>
      <c r="G517" s="1">
        <v>25000</v>
      </c>
    </row>
    <row r="518" spans="1:7" x14ac:dyDescent="0.25">
      <c r="A518" s="17"/>
      <c r="C518" s="2" t="s">
        <v>34</v>
      </c>
      <c r="D518" s="19">
        <v>29066771</v>
      </c>
      <c r="G518" s="30">
        <f>SUM(G515:G517)</f>
        <v>6944500</v>
      </c>
    </row>
    <row r="519" spans="1:7" x14ac:dyDescent="0.25">
      <c r="A519" s="17"/>
      <c r="C519" s="2" t="s">
        <v>35</v>
      </c>
      <c r="D519" s="19">
        <v>11744450</v>
      </c>
      <c r="F519" s="28" t="s">
        <v>29</v>
      </c>
      <c r="G519" s="1"/>
    </row>
    <row r="520" spans="1:7" x14ac:dyDescent="0.25">
      <c r="A520" s="17"/>
      <c r="C520" s="2" t="s">
        <v>36</v>
      </c>
      <c r="D520" s="19">
        <v>5895892.5999999996</v>
      </c>
      <c r="F520" t="s">
        <v>161</v>
      </c>
      <c r="G520" s="1">
        <v>5000</v>
      </c>
    </row>
    <row r="521" spans="1:7" x14ac:dyDescent="0.25">
      <c r="A521" s="17"/>
      <c r="C521" s="2" t="s">
        <v>37</v>
      </c>
      <c r="D521" s="19">
        <v>42741020</v>
      </c>
      <c r="F521" t="s">
        <v>112</v>
      </c>
      <c r="G521" s="1">
        <v>5000000</v>
      </c>
    </row>
    <row r="522" spans="1:7" x14ac:dyDescent="0.25">
      <c r="A522" s="17"/>
      <c r="C522" s="2" t="s">
        <v>51</v>
      </c>
      <c r="D522" s="20">
        <v>130317</v>
      </c>
      <c r="G522" s="30">
        <f>SUM(G520:G521)</f>
        <v>5005000</v>
      </c>
    </row>
    <row r="523" spans="1:7" x14ac:dyDescent="0.25">
      <c r="A523" s="17"/>
      <c r="B523" s="24" t="s">
        <v>19</v>
      </c>
      <c r="D523" s="19">
        <f>SUM(D515:D522)</f>
        <v>357389452.50999999</v>
      </c>
      <c r="G523" s="1"/>
    </row>
    <row r="524" spans="1:7" x14ac:dyDescent="0.25">
      <c r="A524" s="17"/>
      <c r="D524" s="19"/>
      <c r="F524" s="28" t="s">
        <v>30</v>
      </c>
      <c r="G524" s="29">
        <f>G518-G522</f>
        <v>1939500</v>
      </c>
    </row>
    <row r="525" spans="1:7" x14ac:dyDescent="0.25">
      <c r="A525" s="17"/>
      <c r="B525" s="24" t="s">
        <v>20</v>
      </c>
      <c r="D525" s="19"/>
    </row>
    <row r="526" spans="1:7" x14ac:dyDescent="0.25">
      <c r="A526" s="17"/>
      <c r="C526" t="s">
        <v>7</v>
      </c>
      <c r="D526" s="19">
        <v>2725999000</v>
      </c>
    </row>
    <row r="527" spans="1:7" x14ac:dyDescent="0.25">
      <c r="A527" s="17"/>
      <c r="C527" t="s">
        <v>47</v>
      </c>
      <c r="D527" s="19">
        <v>10410000</v>
      </c>
    </row>
    <row r="528" spans="1:7" x14ac:dyDescent="0.25">
      <c r="A528" s="17"/>
      <c r="C528" t="s">
        <v>21</v>
      </c>
      <c r="D528" s="19">
        <v>646835500</v>
      </c>
    </row>
    <row r="529" spans="1:4" x14ac:dyDescent="0.25">
      <c r="A529" s="17"/>
      <c r="C529" t="s">
        <v>45</v>
      </c>
      <c r="D529" s="19">
        <v>25000000</v>
      </c>
    </row>
    <row r="530" spans="1:4" x14ac:dyDescent="0.25">
      <c r="A530" s="17"/>
      <c r="C530" t="s">
        <v>48</v>
      </c>
      <c r="D530" s="19">
        <v>30000000</v>
      </c>
    </row>
    <row r="531" spans="1:4" x14ac:dyDescent="0.25">
      <c r="A531" s="17"/>
      <c r="C531" t="s">
        <v>68</v>
      </c>
      <c r="D531" s="19">
        <v>141000000</v>
      </c>
    </row>
    <row r="532" spans="1:4" x14ac:dyDescent="0.25">
      <c r="A532" s="17"/>
      <c r="C532" t="s">
        <v>68</v>
      </c>
      <c r="D532" s="19">
        <v>145000000</v>
      </c>
    </row>
    <row r="533" spans="1:4" x14ac:dyDescent="0.25">
      <c r="A533" s="17"/>
      <c r="C533" t="s">
        <v>341</v>
      </c>
      <c r="D533" s="19">
        <v>800000</v>
      </c>
    </row>
    <row r="534" spans="1:4" x14ac:dyDescent="0.25">
      <c r="A534" s="17"/>
      <c r="C534" t="s">
        <v>382</v>
      </c>
      <c r="D534" s="19">
        <v>100000</v>
      </c>
    </row>
    <row r="535" spans="1:4" x14ac:dyDescent="0.25">
      <c r="A535" s="17"/>
      <c r="C535" t="s">
        <v>387</v>
      </c>
      <c r="D535" s="19">
        <v>160000000</v>
      </c>
    </row>
    <row r="536" spans="1:4" x14ac:dyDescent="0.25">
      <c r="A536" s="17"/>
      <c r="C536" t="s">
        <v>313</v>
      </c>
      <c r="D536" s="20">
        <v>10000000</v>
      </c>
    </row>
    <row r="537" spans="1:4" x14ac:dyDescent="0.25">
      <c r="A537" s="17"/>
      <c r="D537" s="19">
        <f>SUM(D526:D536)</f>
        <v>3895144500</v>
      </c>
    </row>
    <row r="538" spans="1:4" x14ac:dyDescent="0.25">
      <c r="A538" s="17"/>
      <c r="D538" s="19"/>
    </row>
    <row r="539" spans="1:4" x14ac:dyDescent="0.25">
      <c r="A539" s="17"/>
      <c r="B539" s="24" t="s">
        <v>46</v>
      </c>
      <c r="D539" s="19"/>
    </row>
    <row r="540" spans="1:4" x14ac:dyDescent="0.25">
      <c r="A540" s="17"/>
      <c r="C540" t="s">
        <v>398</v>
      </c>
      <c r="D540" s="19">
        <v>15665000</v>
      </c>
    </row>
    <row r="541" spans="1:4" x14ac:dyDescent="0.25">
      <c r="A541" s="17"/>
      <c r="C541" t="s">
        <v>295</v>
      </c>
      <c r="D541" s="20">
        <v>1807500</v>
      </c>
    </row>
    <row r="542" spans="1:4" x14ac:dyDescent="0.25">
      <c r="A542" s="17"/>
      <c r="D542" s="19">
        <f>SUM(D540:D541)</f>
        <v>17472500</v>
      </c>
    </row>
    <row r="543" spans="1:4" x14ac:dyDescent="0.25">
      <c r="A543" s="17"/>
      <c r="D543" s="19"/>
    </row>
    <row r="544" spans="1:4" x14ac:dyDescent="0.25">
      <c r="A544" s="23" t="s">
        <v>22</v>
      </c>
      <c r="D544" s="19"/>
    </row>
    <row r="545" spans="1:7" x14ac:dyDescent="0.25">
      <c r="A545" s="17"/>
      <c r="C545" t="s">
        <v>23</v>
      </c>
      <c r="D545" s="19">
        <v>1229825000</v>
      </c>
    </row>
    <row r="546" spans="1:7" x14ac:dyDescent="0.25">
      <c r="A546" s="17"/>
      <c r="C546" t="s">
        <v>24</v>
      </c>
      <c r="D546" s="19">
        <v>1567023250</v>
      </c>
    </row>
    <row r="547" spans="1:7" x14ac:dyDescent="0.25">
      <c r="A547" s="17"/>
      <c r="C547" t="s">
        <v>44</v>
      </c>
      <c r="D547" s="19">
        <v>313500000</v>
      </c>
    </row>
    <row r="548" spans="1:7" x14ac:dyDescent="0.25">
      <c r="A548" s="17"/>
      <c r="C548" t="s">
        <v>111</v>
      </c>
      <c r="D548" s="20">
        <v>305250000</v>
      </c>
    </row>
    <row r="549" spans="1:7" x14ac:dyDescent="0.25">
      <c r="A549" s="17"/>
      <c r="D549" s="19">
        <f>SUM(D545:D548)</f>
        <v>3415598250</v>
      </c>
      <c r="G549" s="1"/>
    </row>
    <row r="550" spans="1:7" x14ac:dyDescent="0.25">
      <c r="A550" s="17"/>
      <c r="D550" s="19"/>
      <c r="G550" s="1"/>
    </row>
    <row r="551" spans="1:7" x14ac:dyDescent="0.25">
      <c r="A551" s="43" t="s">
        <v>25</v>
      </c>
      <c r="B551" s="44"/>
      <c r="C551" s="44"/>
      <c r="D551" s="25">
        <f>D523+D537+D542-D549</f>
        <v>854408202.51000023</v>
      </c>
      <c r="G551" s="1"/>
    </row>
    <row r="552" spans="1:7" x14ac:dyDescent="0.25">
      <c r="A552" s="21"/>
      <c r="B552" s="22"/>
      <c r="C552" s="22"/>
      <c r="D552" s="20"/>
      <c r="G552" s="1"/>
    </row>
    <row r="554" spans="1:7" x14ac:dyDescent="0.25">
      <c r="A554" s="40" t="s">
        <v>13</v>
      </c>
      <c r="B554" s="40"/>
      <c r="C554" s="40"/>
      <c r="D554" s="40"/>
      <c r="G554" s="1"/>
    </row>
    <row r="555" spans="1:7" x14ac:dyDescent="0.25">
      <c r="A555" s="41" t="s">
        <v>14</v>
      </c>
      <c r="B555" s="41"/>
      <c r="C555" s="41"/>
      <c r="D555" s="41"/>
      <c r="G555" s="1"/>
    </row>
    <row r="556" spans="1:7" x14ac:dyDescent="0.25">
      <c r="A556" s="42">
        <v>45731</v>
      </c>
      <c r="B556" s="42"/>
      <c r="C556" s="42"/>
      <c r="D556" s="42"/>
      <c r="G556" s="1"/>
    </row>
    <row r="557" spans="1:7" x14ac:dyDescent="0.25">
      <c r="A557" s="13"/>
      <c r="B557" s="13"/>
      <c r="C557" s="13"/>
      <c r="D557" s="13"/>
      <c r="G557" s="1"/>
    </row>
    <row r="558" spans="1:7" x14ac:dyDescent="0.25">
      <c r="A558" s="14"/>
      <c r="B558" s="15"/>
      <c r="C558" s="15"/>
      <c r="D558" s="16"/>
      <c r="F558" s="5" t="s">
        <v>26</v>
      </c>
      <c r="G558" s="1">
        <f>D598-D551</f>
        <v>3649750</v>
      </c>
    </row>
    <row r="559" spans="1:7" x14ac:dyDescent="0.25">
      <c r="A559" s="17"/>
      <c r="D559" s="32" t="s">
        <v>16</v>
      </c>
      <c r="G559" s="1"/>
    </row>
    <row r="560" spans="1:7" x14ac:dyDescent="0.25">
      <c r="A560" s="23" t="s">
        <v>15</v>
      </c>
      <c r="D560" s="18" t="s">
        <v>17</v>
      </c>
      <c r="F560" s="26" t="s">
        <v>27</v>
      </c>
      <c r="G560" s="1"/>
    </row>
    <row r="561" spans="1:7" x14ac:dyDescent="0.25">
      <c r="A561" s="17"/>
      <c r="B561" s="24" t="s">
        <v>18</v>
      </c>
      <c r="D561" s="19"/>
      <c r="F561" s="27" t="s">
        <v>28</v>
      </c>
      <c r="G561" s="1"/>
    </row>
    <row r="562" spans="1:7" x14ac:dyDescent="0.25">
      <c r="A562" s="17"/>
      <c r="C562" s="2" t="s">
        <v>31</v>
      </c>
      <c r="D562" s="19">
        <v>75248926.109999999</v>
      </c>
      <c r="F562" t="s">
        <v>328</v>
      </c>
      <c r="G562" s="1">
        <v>8416000</v>
      </c>
    </row>
    <row r="563" spans="1:7" x14ac:dyDescent="0.25">
      <c r="A563" s="17"/>
      <c r="C563" s="2" t="s">
        <v>32</v>
      </c>
      <c r="D563" s="19">
        <v>35059492.399999999</v>
      </c>
      <c r="F563" t="s">
        <v>90</v>
      </c>
      <c r="G563" s="1">
        <v>65000</v>
      </c>
    </row>
    <row r="564" spans="1:7" x14ac:dyDescent="0.25">
      <c r="A564" s="17"/>
      <c r="C564" s="2" t="s">
        <v>33</v>
      </c>
      <c r="D564" s="19">
        <v>54747083.399999999</v>
      </c>
      <c r="F564" t="s">
        <v>400</v>
      </c>
      <c r="G564" s="1">
        <v>172000</v>
      </c>
    </row>
    <row r="565" spans="1:7" x14ac:dyDescent="0.25">
      <c r="A565" s="17"/>
      <c r="C565" s="2" t="s">
        <v>34</v>
      </c>
      <c r="D565" s="19">
        <v>50515771</v>
      </c>
      <c r="G565" s="30">
        <f>SUM(G562:G564)</f>
        <v>8653000</v>
      </c>
    </row>
    <row r="566" spans="1:7" x14ac:dyDescent="0.25">
      <c r="A566" s="17"/>
      <c r="C566" s="2" t="s">
        <v>35</v>
      </c>
      <c r="D566" s="19">
        <v>11743700</v>
      </c>
      <c r="F566" s="28" t="s">
        <v>29</v>
      </c>
      <c r="G566" s="1"/>
    </row>
    <row r="567" spans="1:7" x14ac:dyDescent="0.25">
      <c r="A567" s="17"/>
      <c r="C567" s="2" t="s">
        <v>36</v>
      </c>
      <c r="D567" s="19">
        <v>12895892.6</v>
      </c>
      <c r="F567" t="s">
        <v>49</v>
      </c>
      <c r="G567" s="1">
        <v>2500</v>
      </c>
    </row>
    <row r="568" spans="1:7" x14ac:dyDescent="0.25">
      <c r="A568" s="17"/>
      <c r="C568" s="2" t="s">
        <v>37</v>
      </c>
      <c r="D568" s="19">
        <v>89416020</v>
      </c>
      <c r="F568" t="s">
        <v>302</v>
      </c>
      <c r="G568" s="1">
        <v>750</v>
      </c>
    </row>
    <row r="569" spans="1:7" x14ac:dyDescent="0.25">
      <c r="A569" s="17"/>
      <c r="C569" s="2" t="s">
        <v>51</v>
      </c>
      <c r="D569" s="20">
        <v>130317</v>
      </c>
      <c r="F569" t="s">
        <v>112</v>
      </c>
      <c r="G569" s="1">
        <v>5000000</v>
      </c>
    </row>
    <row r="570" spans="1:7" x14ac:dyDescent="0.25">
      <c r="A570" s="17"/>
      <c r="B570" s="24" t="s">
        <v>19</v>
      </c>
      <c r="D570" s="19">
        <f>SUM(D562:D569)</f>
        <v>329757202.50999999</v>
      </c>
      <c r="G570" s="30">
        <f>SUM(G567:G569)</f>
        <v>5003250</v>
      </c>
    </row>
    <row r="571" spans="1:7" x14ac:dyDescent="0.25">
      <c r="A571" s="17"/>
      <c r="D571" s="19"/>
      <c r="G571" s="1"/>
    </row>
    <row r="572" spans="1:7" x14ac:dyDescent="0.25">
      <c r="A572" s="17"/>
      <c r="B572" s="24" t="s">
        <v>20</v>
      </c>
      <c r="D572" s="19"/>
      <c r="F572" s="28" t="s">
        <v>30</v>
      </c>
      <c r="G572" s="29">
        <f>G565-G570</f>
        <v>3649750</v>
      </c>
    </row>
    <row r="573" spans="1:7" x14ac:dyDescent="0.25">
      <c r="A573" s="17"/>
      <c r="C573" t="s">
        <v>7</v>
      </c>
      <c r="D573" s="19">
        <v>3138250000</v>
      </c>
    </row>
    <row r="574" spans="1:7" x14ac:dyDescent="0.25">
      <c r="A574" s="17"/>
      <c r="C574" t="s">
        <v>47</v>
      </c>
      <c r="D574" s="19">
        <v>11680000</v>
      </c>
    </row>
    <row r="575" spans="1:7" x14ac:dyDescent="0.25">
      <c r="A575" s="17"/>
      <c r="C575" t="s">
        <v>21</v>
      </c>
      <c r="D575" s="19">
        <v>667935500</v>
      </c>
    </row>
    <row r="576" spans="1:7" x14ac:dyDescent="0.25">
      <c r="A576" s="17"/>
      <c r="C576" t="s">
        <v>45</v>
      </c>
      <c r="D576" s="19">
        <v>25000000</v>
      </c>
    </row>
    <row r="577" spans="1:4" x14ac:dyDescent="0.25">
      <c r="A577" s="17"/>
      <c r="C577" t="s">
        <v>48</v>
      </c>
      <c r="D577" s="19">
        <v>30000000</v>
      </c>
    </row>
    <row r="578" spans="1:4" x14ac:dyDescent="0.25">
      <c r="A578" s="17"/>
      <c r="C578" t="s">
        <v>68</v>
      </c>
      <c r="D578" s="19">
        <v>141000000</v>
      </c>
    </row>
    <row r="579" spans="1:4" x14ac:dyDescent="0.25">
      <c r="A579" s="17"/>
      <c r="C579" t="s">
        <v>68</v>
      </c>
      <c r="D579" s="19">
        <v>145000000</v>
      </c>
    </row>
    <row r="580" spans="1:4" x14ac:dyDescent="0.25">
      <c r="A580" s="17"/>
      <c r="C580" t="s">
        <v>341</v>
      </c>
      <c r="D580" s="19">
        <v>800000</v>
      </c>
    </row>
    <row r="581" spans="1:4" x14ac:dyDescent="0.25">
      <c r="A581" s="17"/>
      <c r="C581" t="s">
        <v>382</v>
      </c>
      <c r="D581" s="19">
        <v>100000</v>
      </c>
    </row>
    <row r="582" spans="1:4" x14ac:dyDescent="0.25">
      <c r="A582" s="17"/>
      <c r="C582" t="s">
        <v>387</v>
      </c>
      <c r="D582" s="19">
        <v>160000000</v>
      </c>
    </row>
    <row r="583" spans="1:4" x14ac:dyDescent="0.25">
      <c r="A583" s="17"/>
      <c r="C583" t="s">
        <v>313</v>
      </c>
      <c r="D583" s="20">
        <v>10000000</v>
      </c>
    </row>
    <row r="584" spans="1:4" x14ac:dyDescent="0.25">
      <c r="A584" s="17"/>
      <c r="D584" s="19">
        <f>SUM(D573:D583)</f>
        <v>4329765500</v>
      </c>
    </row>
    <row r="585" spans="1:4" x14ac:dyDescent="0.25">
      <c r="A585" s="17"/>
      <c r="D585" s="19"/>
    </row>
    <row r="586" spans="1:4" x14ac:dyDescent="0.25">
      <c r="A586" s="17"/>
      <c r="B586" s="24" t="s">
        <v>46</v>
      </c>
      <c r="D586" s="19"/>
    </row>
    <row r="587" spans="1:4" x14ac:dyDescent="0.25">
      <c r="A587" s="17"/>
      <c r="C587" t="s">
        <v>402</v>
      </c>
      <c r="D587" s="19">
        <v>14460000</v>
      </c>
    </row>
    <row r="588" spans="1:4" x14ac:dyDescent="0.25">
      <c r="A588" s="17"/>
      <c r="C588" t="s">
        <v>295</v>
      </c>
      <c r="D588" s="20">
        <v>1807500</v>
      </c>
    </row>
    <row r="589" spans="1:4" x14ac:dyDescent="0.25">
      <c r="A589" s="17"/>
      <c r="D589" s="19">
        <f>SUM(D587:D588)</f>
        <v>16267500</v>
      </c>
    </row>
    <row r="590" spans="1:4" x14ac:dyDescent="0.25">
      <c r="A590" s="17"/>
      <c r="D590" s="19"/>
    </row>
    <row r="591" spans="1:4" x14ac:dyDescent="0.25">
      <c r="A591" s="23" t="s">
        <v>22</v>
      </c>
      <c r="D591" s="19"/>
    </row>
    <row r="592" spans="1:4" x14ac:dyDescent="0.25">
      <c r="A592" s="17"/>
      <c r="C592" t="s">
        <v>23</v>
      </c>
      <c r="D592" s="19">
        <v>1300925000</v>
      </c>
    </row>
    <row r="593" spans="1:7" x14ac:dyDescent="0.25">
      <c r="A593" s="17"/>
      <c r="C593" t="s">
        <v>24</v>
      </c>
      <c r="D593" s="19">
        <v>1889807250</v>
      </c>
    </row>
    <row r="594" spans="1:7" x14ac:dyDescent="0.25">
      <c r="A594" s="17"/>
      <c r="C594" t="s">
        <v>44</v>
      </c>
      <c r="D594" s="19">
        <v>321750000</v>
      </c>
    </row>
    <row r="595" spans="1:7" x14ac:dyDescent="0.25">
      <c r="A595" s="17"/>
      <c r="C595" t="s">
        <v>111</v>
      </c>
      <c r="D595" s="20">
        <v>305250000</v>
      </c>
    </row>
    <row r="596" spans="1:7" x14ac:dyDescent="0.25">
      <c r="A596" s="17"/>
      <c r="D596" s="19">
        <f>SUM(D592:D595)</f>
        <v>3817732250</v>
      </c>
      <c r="G596" s="1"/>
    </row>
    <row r="597" spans="1:7" x14ac:dyDescent="0.25">
      <c r="A597" s="17"/>
      <c r="D597" s="19"/>
      <c r="G597" s="1"/>
    </row>
    <row r="598" spans="1:7" x14ac:dyDescent="0.25">
      <c r="A598" s="43" t="s">
        <v>25</v>
      </c>
      <c r="B598" s="44"/>
      <c r="C598" s="44"/>
      <c r="D598" s="25">
        <f>D570+D584+D589-D596</f>
        <v>858057952.51000023</v>
      </c>
      <c r="G598" s="1"/>
    </row>
    <row r="599" spans="1:7" x14ac:dyDescent="0.25">
      <c r="A599" s="21"/>
      <c r="B599" s="22"/>
      <c r="C599" s="22"/>
      <c r="D599" s="20"/>
      <c r="G599" s="1"/>
    </row>
    <row r="601" spans="1:7" x14ac:dyDescent="0.25">
      <c r="A601" s="40" t="s">
        <v>13</v>
      </c>
      <c r="B601" s="40"/>
      <c r="C601" s="40"/>
      <c r="D601" s="40"/>
      <c r="G601" s="1"/>
    </row>
    <row r="602" spans="1:7" x14ac:dyDescent="0.25">
      <c r="A602" s="41" t="s">
        <v>14</v>
      </c>
      <c r="B602" s="41"/>
      <c r="C602" s="41"/>
      <c r="D602" s="41"/>
      <c r="G602" s="1"/>
    </row>
    <row r="603" spans="1:7" x14ac:dyDescent="0.25">
      <c r="A603" s="42">
        <v>45733</v>
      </c>
      <c r="B603" s="42"/>
      <c r="C603" s="42"/>
      <c r="D603" s="42"/>
      <c r="G603" s="1"/>
    </row>
    <row r="604" spans="1:7" x14ac:dyDescent="0.25">
      <c r="A604" s="13"/>
      <c r="B604" s="13"/>
      <c r="C604" s="13"/>
      <c r="D604" s="13"/>
      <c r="G604" s="1"/>
    </row>
    <row r="605" spans="1:7" x14ac:dyDescent="0.25">
      <c r="A605" s="14"/>
      <c r="B605" s="15"/>
      <c r="C605" s="15"/>
      <c r="D605" s="16"/>
      <c r="F605" s="5" t="s">
        <v>26</v>
      </c>
      <c r="G605" s="1">
        <f>D644-D598</f>
        <v>3516160</v>
      </c>
    </row>
    <row r="606" spans="1:7" x14ac:dyDescent="0.25">
      <c r="A606" s="17"/>
      <c r="D606" s="32" t="s">
        <v>16</v>
      </c>
      <c r="G606" s="1"/>
    </row>
    <row r="607" spans="1:7" x14ac:dyDescent="0.25">
      <c r="A607" s="23" t="s">
        <v>15</v>
      </c>
      <c r="D607" s="18" t="s">
        <v>17</v>
      </c>
      <c r="F607" s="26" t="s">
        <v>27</v>
      </c>
      <c r="G607" s="1"/>
    </row>
    <row r="608" spans="1:7" x14ac:dyDescent="0.25">
      <c r="A608" s="17"/>
      <c r="B608" s="24" t="s">
        <v>18</v>
      </c>
      <c r="D608" s="19"/>
      <c r="F608" s="27" t="s">
        <v>28</v>
      </c>
      <c r="G608" s="1"/>
    </row>
    <row r="609" spans="1:7" x14ac:dyDescent="0.25">
      <c r="A609" s="17"/>
      <c r="C609" s="2" t="s">
        <v>31</v>
      </c>
      <c r="D609" s="19">
        <v>22417226.109999999</v>
      </c>
      <c r="F609" t="s">
        <v>185</v>
      </c>
      <c r="G609" s="1">
        <v>6007000</v>
      </c>
    </row>
    <row r="610" spans="1:7" x14ac:dyDescent="0.25">
      <c r="A610" s="17"/>
      <c r="C610" s="2" t="s">
        <v>32</v>
      </c>
      <c r="D610" s="19">
        <v>35059492.399999999</v>
      </c>
      <c r="F610" t="s">
        <v>90</v>
      </c>
      <c r="G610" s="1">
        <v>170000</v>
      </c>
    </row>
    <row r="611" spans="1:7" x14ac:dyDescent="0.25">
      <c r="A611" s="17"/>
      <c r="C611" s="2" t="s">
        <v>33</v>
      </c>
      <c r="D611" s="19">
        <v>263364083.40000001</v>
      </c>
      <c r="G611" s="30">
        <f>SUM(G609:G610)</f>
        <v>6177000</v>
      </c>
    </row>
    <row r="612" spans="1:7" x14ac:dyDescent="0.25">
      <c r="A612" s="17"/>
      <c r="C612" s="2" t="s">
        <v>34</v>
      </c>
      <c r="D612" s="19">
        <v>47688081</v>
      </c>
      <c r="F612" s="28" t="s">
        <v>29</v>
      </c>
      <c r="G612" s="1"/>
    </row>
    <row r="613" spans="1:7" x14ac:dyDescent="0.25">
      <c r="A613" s="17"/>
      <c r="C613" s="2" t="s">
        <v>35</v>
      </c>
      <c r="D613" s="19">
        <v>11743700</v>
      </c>
      <c r="F613" t="s">
        <v>161</v>
      </c>
      <c r="G613" s="1">
        <v>2500</v>
      </c>
    </row>
    <row r="614" spans="1:7" x14ac:dyDescent="0.25">
      <c r="A614" s="17"/>
      <c r="C614" s="2" t="s">
        <v>36</v>
      </c>
      <c r="D614" s="19">
        <v>12895892.6</v>
      </c>
      <c r="F614" t="s">
        <v>407</v>
      </c>
      <c r="G614" s="1">
        <v>45650</v>
      </c>
    </row>
    <row r="615" spans="1:7" x14ac:dyDescent="0.25">
      <c r="A615" s="17"/>
      <c r="C615" s="2" t="s">
        <v>37</v>
      </c>
      <c r="D615" s="19">
        <v>-16976480</v>
      </c>
      <c r="F615" t="s">
        <v>171</v>
      </c>
      <c r="G615" s="1">
        <v>1335000</v>
      </c>
    </row>
    <row r="616" spans="1:7" x14ac:dyDescent="0.25">
      <c r="A616" s="17"/>
      <c r="C616" s="2" t="s">
        <v>51</v>
      </c>
      <c r="D616" s="20">
        <v>130317</v>
      </c>
      <c r="F616" t="s">
        <v>172</v>
      </c>
      <c r="G616" s="1">
        <v>1277690</v>
      </c>
    </row>
    <row r="617" spans="1:7" x14ac:dyDescent="0.25">
      <c r="A617" s="17"/>
      <c r="B617" s="24" t="s">
        <v>19</v>
      </c>
      <c r="D617" s="19">
        <f>SUM(D609:D616)</f>
        <v>376322312.51000005</v>
      </c>
      <c r="G617" s="30">
        <f>SUM(G613:G616)</f>
        <v>2660840</v>
      </c>
    </row>
    <row r="618" spans="1:7" x14ac:dyDescent="0.25">
      <c r="A618" s="17"/>
      <c r="D618" s="19"/>
      <c r="G618" s="1"/>
    </row>
    <row r="619" spans="1:7" x14ac:dyDescent="0.25">
      <c r="A619" s="17"/>
      <c r="B619" s="24" t="s">
        <v>20</v>
      </c>
      <c r="D619" s="19"/>
      <c r="F619" s="28" t="s">
        <v>30</v>
      </c>
      <c r="G619" s="29">
        <f>G611-G617</f>
        <v>3516160</v>
      </c>
    </row>
    <row r="620" spans="1:7" x14ac:dyDescent="0.25">
      <c r="A620" s="17"/>
      <c r="C620" t="s">
        <v>7</v>
      </c>
      <c r="D620" s="19">
        <v>2830576050</v>
      </c>
    </row>
    <row r="621" spans="1:7" x14ac:dyDescent="0.25">
      <c r="A621" s="17"/>
      <c r="C621" t="s">
        <v>47</v>
      </c>
      <c r="D621" s="19">
        <v>15465000</v>
      </c>
    </row>
    <row r="622" spans="1:7" x14ac:dyDescent="0.25">
      <c r="A622" s="17"/>
      <c r="C622" t="s">
        <v>21</v>
      </c>
      <c r="D622" s="19">
        <v>659825500</v>
      </c>
    </row>
    <row r="623" spans="1:7" x14ac:dyDescent="0.25">
      <c r="A623" s="17"/>
      <c r="C623" t="s">
        <v>45</v>
      </c>
      <c r="D623" s="19">
        <v>25000000</v>
      </c>
    </row>
    <row r="624" spans="1:7" x14ac:dyDescent="0.25">
      <c r="A624" s="17"/>
      <c r="C624" t="s">
        <v>48</v>
      </c>
      <c r="D624" s="19">
        <v>30000000</v>
      </c>
    </row>
    <row r="625" spans="1:4" x14ac:dyDescent="0.25">
      <c r="A625" s="17"/>
      <c r="C625" t="s">
        <v>68</v>
      </c>
      <c r="D625" s="19">
        <v>141000000</v>
      </c>
    </row>
    <row r="626" spans="1:4" x14ac:dyDescent="0.25">
      <c r="A626" s="17"/>
      <c r="C626" t="s">
        <v>68</v>
      </c>
      <c r="D626" s="19">
        <v>145000000</v>
      </c>
    </row>
    <row r="627" spans="1:4" x14ac:dyDescent="0.25">
      <c r="A627" s="17"/>
      <c r="C627" t="s">
        <v>403</v>
      </c>
      <c r="D627" s="19">
        <v>20000000</v>
      </c>
    </row>
    <row r="628" spans="1:4" x14ac:dyDescent="0.25">
      <c r="A628" s="17"/>
      <c r="C628" t="s">
        <v>387</v>
      </c>
      <c r="D628" s="19">
        <v>160000000</v>
      </c>
    </row>
    <row r="629" spans="1:4" x14ac:dyDescent="0.25">
      <c r="A629" s="17"/>
      <c r="C629" t="s">
        <v>313</v>
      </c>
      <c r="D629" s="20">
        <v>10000000</v>
      </c>
    </row>
    <row r="630" spans="1:4" x14ac:dyDescent="0.25">
      <c r="A630" s="17"/>
      <c r="D630" s="19">
        <f>SUM(D620:D629)</f>
        <v>4036866550</v>
      </c>
    </row>
    <row r="631" spans="1:4" x14ac:dyDescent="0.25">
      <c r="A631" s="17"/>
      <c r="D631" s="19"/>
    </row>
    <row r="632" spans="1:4" x14ac:dyDescent="0.25">
      <c r="A632" s="17"/>
      <c r="B632" s="24" t="s">
        <v>46</v>
      </c>
      <c r="D632" s="19"/>
    </row>
    <row r="633" spans="1:4" x14ac:dyDescent="0.25">
      <c r="A633" s="17"/>
      <c r="C633" t="s">
        <v>406</v>
      </c>
      <c r="D633" s="19">
        <v>179545000</v>
      </c>
    </row>
    <row r="634" spans="1:4" x14ac:dyDescent="0.25">
      <c r="A634" s="17"/>
      <c r="C634" t="s">
        <v>295</v>
      </c>
      <c r="D634" s="20">
        <v>1807500</v>
      </c>
    </row>
    <row r="635" spans="1:4" x14ac:dyDescent="0.25">
      <c r="A635" s="17"/>
      <c r="D635" s="19">
        <f>SUM(D633:D634)</f>
        <v>181352500</v>
      </c>
    </row>
    <row r="636" spans="1:4" x14ac:dyDescent="0.25">
      <c r="A636" s="17"/>
      <c r="D636" s="19"/>
    </row>
    <row r="637" spans="1:4" x14ac:dyDescent="0.25">
      <c r="A637" s="23" t="s">
        <v>22</v>
      </c>
      <c r="D637" s="19"/>
    </row>
    <row r="638" spans="1:4" x14ac:dyDescent="0.25">
      <c r="A638" s="17"/>
      <c r="C638" t="s">
        <v>23</v>
      </c>
      <c r="D638" s="19">
        <v>1300925000</v>
      </c>
    </row>
    <row r="639" spans="1:4" x14ac:dyDescent="0.25">
      <c r="A639" s="17"/>
      <c r="C639" t="s">
        <v>24</v>
      </c>
      <c r="D639" s="19">
        <v>1805042250</v>
      </c>
    </row>
    <row r="640" spans="1:4" x14ac:dyDescent="0.25">
      <c r="A640" s="17"/>
      <c r="C640" t="s">
        <v>44</v>
      </c>
      <c r="D640" s="19">
        <v>321750000</v>
      </c>
    </row>
    <row r="641" spans="1:7" x14ac:dyDescent="0.25">
      <c r="A641" s="17"/>
      <c r="C641" t="s">
        <v>111</v>
      </c>
      <c r="D641" s="20">
        <v>305250000</v>
      </c>
    </row>
    <row r="642" spans="1:7" x14ac:dyDescent="0.25">
      <c r="A642" s="17"/>
      <c r="D642" s="19">
        <f>SUM(D638:D641)</f>
        <v>3732967250</v>
      </c>
      <c r="G642" s="1"/>
    </row>
    <row r="643" spans="1:7" x14ac:dyDescent="0.25">
      <c r="A643" s="17"/>
      <c r="D643" s="19"/>
      <c r="G643" s="1"/>
    </row>
    <row r="644" spans="1:7" x14ac:dyDescent="0.25">
      <c r="A644" s="43" t="s">
        <v>25</v>
      </c>
      <c r="B644" s="44"/>
      <c r="C644" s="44"/>
      <c r="D644" s="25">
        <f>D617+D630+D635-D642</f>
        <v>861574112.51000023</v>
      </c>
      <c r="G644" s="1"/>
    </row>
    <row r="645" spans="1:7" x14ac:dyDescent="0.25">
      <c r="A645" s="21"/>
      <c r="B645" s="22"/>
      <c r="C645" s="22"/>
      <c r="D645" s="20"/>
      <c r="G645" s="1"/>
    </row>
    <row r="647" spans="1:7" x14ac:dyDescent="0.25">
      <c r="A647" s="40" t="s">
        <v>13</v>
      </c>
      <c r="B647" s="40"/>
      <c r="C647" s="40"/>
      <c r="D647" s="40"/>
      <c r="G647" s="1"/>
    </row>
    <row r="648" spans="1:7" x14ac:dyDescent="0.25">
      <c r="A648" s="41" t="s">
        <v>14</v>
      </c>
      <c r="B648" s="41"/>
      <c r="C648" s="41"/>
      <c r="D648" s="41"/>
      <c r="G648" s="1"/>
    </row>
    <row r="649" spans="1:7" x14ac:dyDescent="0.25">
      <c r="A649" s="42">
        <v>45734</v>
      </c>
      <c r="B649" s="42"/>
      <c r="C649" s="42"/>
      <c r="D649" s="42"/>
      <c r="G649" s="1"/>
    </row>
    <row r="650" spans="1:7" x14ac:dyDescent="0.25">
      <c r="A650" s="13"/>
      <c r="B650" s="13"/>
      <c r="C650" s="13"/>
      <c r="D650" s="13"/>
      <c r="G650" s="1"/>
    </row>
    <row r="651" spans="1:7" x14ac:dyDescent="0.25">
      <c r="A651" s="14"/>
      <c r="B651" s="15"/>
      <c r="C651" s="15"/>
      <c r="D651" s="16"/>
      <c r="F651" s="5" t="s">
        <v>26</v>
      </c>
      <c r="G651" s="1">
        <f>D690-D644</f>
        <v>-3030170</v>
      </c>
    </row>
    <row r="652" spans="1:7" x14ac:dyDescent="0.25">
      <c r="A652" s="17"/>
      <c r="D652" s="32" t="s">
        <v>16</v>
      </c>
      <c r="G652" s="1"/>
    </row>
    <row r="653" spans="1:7" x14ac:dyDescent="0.25">
      <c r="A653" s="23" t="s">
        <v>15</v>
      </c>
      <c r="D653" s="18" t="s">
        <v>17</v>
      </c>
      <c r="F653" s="26" t="s">
        <v>27</v>
      </c>
      <c r="G653" s="1"/>
    </row>
    <row r="654" spans="1:7" x14ac:dyDescent="0.25">
      <c r="A654" s="17"/>
      <c r="B654" s="24" t="s">
        <v>18</v>
      </c>
      <c r="D654" s="19"/>
      <c r="F654" s="27" t="s">
        <v>28</v>
      </c>
      <c r="G654" s="1"/>
    </row>
    <row r="655" spans="1:7" x14ac:dyDescent="0.25">
      <c r="A655" s="17"/>
      <c r="C655" s="2" t="s">
        <v>31</v>
      </c>
      <c r="D655" s="19">
        <v>792226.11</v>
      </c>
      <c r="F655" t="s">
        <v>191</v>
      </c>
      <c r="G655" s="1">
        <v>3982000</v>
      </c>
    </row>
    <row r="656" spans="1:7" x14ac:dyDescent="0.25">
      <c r="A656" s="17"/>
      <c r="C656" s="2" t="s">
        <v>32</v>
      </c>
      <c r="D656" s="19">
        <v>50784492.399999999</v>
      </c>
      <c r="F656" t="s">
        <v>90</v>
      </c>
      <c r="G656" s="1">
        <v>550000</v>
      </c>
    </row>
    <row r="657" spans="1:7" x14ac:dyDescent="0.25">
      <c r="A657" s="17"/>
      <c r="C657" s="2" t="s">
        <v>33</v>
      </c>
      <c r="D657" s="19">
        <v>3874413.4</v>
      </c>
      <c r="F657" t="s">
        <v>410</v>
      </c>
      <c r="G657" s="1">
        <v>86000</v>
      </c>
    </row>
    <row r="658" spans="1:7" x14ac:dyDescent="0.25">
      <c r="A658" s="17"/>
      <c r="C658" s="2" t="s">
        <v>34</v>
      </c>
      <c r="D658" s="19">
        <v>150900581</v>
      </c>
      <c r="G658" s="30">
        <f>SUM(G655:G657)</f>
        <v>4618000</v>
      </c>
    </row>
    <row r="659" spans="1:7" x14ac:dyDescent="0.25">
      <c r="A659" s="17"/>
      <c r="C659" s="2" t="s">
        <v>35</v>
      </c>
      <c r="D659" s="19">
        <v>11743700</v>
      </c>
      <c r="F659" s="28" t="s">
        <v>29</v>
      </c>
      <c r="G659" s="1"/>
    </row>
    <row r="660" spans="1:7" x14ac:dyDescent="0.25">
      <c r="A660" s="17"/>
      <c r="C660" s="2" t="s">
        <v>36</v>
      </c>
      <c r="D660" s="19">
        <v>12895892.6</v>
      </c>
      <c r="F660" t="s">
        <v>318</v>
      </c>
      <c r="G660" s="1">
        <v>5298170</v>
      </c>
    </row>
    <row r="661" spans="1:7" x14ac:dyDescent="0.25">
      <c r="A661" s="17"/>
      <c r="C661" s="2" t="s">
        <v>37</v>
      </c>
      <c r="D661" s="19">
        <v>69498520</v>
      </c>
      <c r="F661" t="s">
        <v>2</v>
      </c>
      <c r="G661" s="1">
        <v>2250000</v>
      </c>
    </row>
    <row r="662" spans="1:7" x14ac:dyDescent="0.25">
      <c r="A662" s="17"/>
      <c r="C662" s="2" t="s">
        <v>51</v>
      </c>
      <c r="D662" s="20">
        <v>130317</v>
      </c>
      <c r="F662" t="s">
        <v>311</v>
      </c>
      <c r="G662" s="1">
        <v>100000</v>
      </c>
    </row>
    <row r="663" spans="1:7" x14ac:dyDescent="0.25">
      <c r="A663" s="17"/>
      <c r="B663" s="24" t="s">
        <v>19</v>
      </c>
      <c r="D663" s="19">
        <f>SUM(D655:D662)</f>
        <v>300620142.50999999</v>
      </c>
      <c r="G663" s="30">
        <f>SUM(G660:G662)</f>
        <v>7648170</v>
      </c>
    </row>
    <row r="664" spans="1:7" x14ac:dyDescent="0.25">
      <c r="A664" s="17"/>
      <c r="D664" s="19"/>
      <c r="G664" s="1"/>
    </row>
    <row r="665" spans="1:7" x14ac:dyDescent="0.25">
      <c r="A665" s="17"/>
      <c r="B665" s="24" t="s">
        <v>20</v>
      </c>
      <c r="D665" s="19"/>
      <c r="F665" s="28" t="s">
        <v>30</v>
      </c>
      <c r="G665" s="29">
        <f>G658-G663</f>
        <v>-3030170</v>
      </c>
    </row>
    <row r="666" spans="1:7" x14ac:dyDescent="0.25">
      <c r="A666" s="17"/>
      <c r="C666" t="s">
        <v>7</v>
      </c>
      <c r="D666" s="19">
        <v>2607266550</v>
      </c>
    </row>
    <row r="667" spans="1:7" x14ac:dyDescent="0.25">
      <c r="A667" s="17"/>
      <c r="C667" t="s">
        <v>47</v>
      </c>
      <c r="D667" s="19">
        <v>12340000</v>
      </c>
    </row>
    <row r="668" spans="1:7" x14ac:dyDescent="0.25">
      <c r="A668" s="17"/>
      <c r="C668" t="s">
        <v>21</v>
      </c>
      <c r="D668" s="19">
        <v>710975500</v>
      </c>
    </row>
    <row r="669" spans="1:7" x14ac:dyDescent="0.25">
      <c r="A669" s="17"/>
      <c r="C669" t="s">
        <v>45</v>
      </c>
      <c r="D669" s="19">
        <v>25000000</v>
      </c>
    </row>
    <row r="670" spans="1:7" x14ac:dyDescent="0.25">
      <c r="A670" s="17"/>
      <c r="C670" t="s">
        <v>48</v>
      </c>
      <c r="D670" s="19">
        <v>30000000</v>
      </c>
    </row>
    <row r="671" spans="1:7" x14ac:dyDescent="0.25">
      <c r="A671" s="17"/>
      <c r="C671" t="s">
        <v>68</v>
      </c>
      <c r="D671" s="19">
        <v>141000000</v>
      </c>
    </row>
    <row r="672" spans="1:7" x14ac:dyDescent="0.25">
      <c r="A672" s="17"/>
      <c r="C672" t="s">
        <v>68</v>
      </c>
      <c r="D672" s="19">
        <v>145000000</v>
      </c>
    </row>
    <row r="673" spans="1:7" x14ac:dyDescent="0.25">
      <c r="A673" s="17"/>
      <c r="C673" t="s">
        <v>403</v>
      </c>
      <c r="D673" s="19">
        <v>20000000</v>
      </c>
    </row>
    <row r="674" spans="1:7" x14ac:dyDescent="0.25">
      <c r="A674" s="17"/>
      <c r="C674" t="s">
        <v>387</v>
      </c>
      <c r="D674" s="19">
        <v>160000000</v>
      </c>
    </row>
    <row r="675" spans="1:7" x14ac:dyDescent="0.25">
      <c r="A675" s="17"/>
      <c r="C675" t="s">
        <v>313</v>
      </c>
      <c r="D675" s="20">
        <v>10000000</v>
      </c>
    </row>
    <row r="676" spans="1:7" x14ac:dyDescent="0.25">
      <c r="A676" s="17"/>
      <c r="D676" s="19">
        <f>SUM(D666:D675)</f>
        <v>3861582050</v>
      </c>
    </row>
    <row r="677" spans="1:7" x14ac:dyDescent="0.25">
      <c r="A677" s="17"/>
      <c r="D677" s="19"/>
    </row>
    <row r="678" spans="1:7" x14ac:dyDescent="0.25">
      <c r="A678" s="17"/>
      <c r="B678" s="24" t="s">
        <v>46</v>
      </c>
      <c r="D678" s="19"/>
    </row>
    <row r="679" spans="1:7" x14ac:dyDescent="0.25">
      <c r="A679" s="17"/>
      <c r="C679" t="s">
        <v>409</v>
      </c>
      <c r="D679" s="19">
        <v>168700000</v>
      </c>
    </row>
    <row r="680" spans="1:7" x14ac:dyDescent="0.25">
      <c r="A680" s="17"/>
      <c r="C680" t="s">
        <v>408</v>
      </c>
      <c r="D680" s="20">
        <v>602500</v>
      </c>
    </row>
    <row r="681" spans="1:7" x14ac:dyDescent="0.25">
      <c r="A681" s="17"/>
      <c r="D681" s="19">
        <f>SUM(D679:D680)</f>
        <v>169302500</v>
      </c>
    </row>
    <row r="682" spans="1:7" x14ac:dyDescent="0.25">
      <c r="A682" s="17"/>
      <c r="D682" s="19"/>
    </row>
    <row r="683" spans="1:7" x14ac:dyDescent="0.25">
      <c r="A683" s="23" t="s">
        <v>22</v>
      </c>
      <c r="D683" s="19"/>
    </row>
    <row r="684" spans="1:7" x14ac:dyDescent="0.25">
      <c r="A684" s="17"/>
      <c r="C684" t="s">
        <v>23</v>
      </c>
      <c r="D684" s="19">
        <v>966400000</v>
      </c>
    </row>
    <row r="685" spans="1:7" x14ac:dyDescent="0.25">
      <c r="A685" s="17"/>
      <c r="C685" t="s">
        <v>24</v>
      </c>
      <c r="D685" s="19">
        <v>1879560750</v>
      </c>
    </row>
    <row r="686" spans="1:7" x14ac:dyDescent="0.25">
      <c r="A686" s="17"/>
      <c r="C686" t="s">
        <v>44</v>
      </c>
      <c r="D686" s="19">
        <v>321750000</v>
      </c>
    </row>
    <row r="687" spans="1:7" x14ac:dyDescent="0.25">
      <c r="A687" s="17"/>
      <c r="C687" t="s">
        <v>111</v>
      </c>
      <c r="D687" s="20">
        <v>305250000</v>
      </c>
    </row>
    <row r="688" spans="1:7" x14ac:dyDescent="0.25">
      <c r="A688" s="17"/>
      <c r="D688" s="19">
        <f>SUM(D684:D687)</f>
        <v>3472960750</v>
      </c>
      <c r="G688" s="1"/>
    </row>
    <row r="689" spans="1:7" x14ac:dyDescent="0.25">
      <c r="A689" s="17"/>
      <c r="D689" s="19"/>
      <c r="G689" s="1"/>
    </row>
    <row r="690" spans="1:7" x14ac:dyDescent="0.25">
      <c r="A690" s="43" t="s">
        <v>25</v>
      </c>
      <c r="B690" s="44"/>
      <c r="C690" s="44"/>
      <c r="D690" s="25">
        <f>D663+D676+D681-D688</f>
        <v>858543942.51000023</v>
      </c>
      <c r="G690" s="1"/>
    </row>
    <row r="691" spans="1:7" x14ac:dyDescent="0.25">
      <c r="A691" s="21"/>
      <c r="B691" s="22"/>
      <c r="C691" s="22"/>
      <c r="D691" s="20"/>
      <c r="G691" s="1"/>
    </row>
    <row r="693" spans="1:7" x14ac:dyDescent="0.25">
      <c r="A693" s="40" t="s">
        <v>13</v>
      </c>
      <c r="B693" s="40"/>
      <c r="C693" s="40"/>
      <c r="D693" s="40"/>
      <c r="G693" s="1"/>
    </row>
    <row r="694" spans="1:7" x14ac:dyDescent="0.25">
      <c r="A694" s="41" t="s">
        <v>14</v>
      </c>
      <c r="B694" s="41"/>
      <c r="C694" s="41"/>
      <c r="D694" s="41"/>
      <c r="G694" s="1"/>
    </row>
    <row r="695" spans="1:7" x14ac:dyDescent="0.25">
      <c r="A695" s="42">
        <v>45735</v>
      </c>
      <c r="B695" s="42"/>
      <c r="C695" s="42"/>
      <c r="D695" s="42"/>
      <c r="G695" s="1"/>
    </row>
    <row r="696" spans="1:7" x14ac:dyDescent="0.25">
      <c r="A696" s="13"/>
      <c r="B696" s="13"/>
      <c r="C696" s="13"/>
      <c r="D696" s="13"/>
      <c r="G696" s="1"/>
    </row>
    <row r="697" spans="1:7" x14ac:dyDescent="0.25">
      <c r="A697" s="14"/>
      <c r="B697" s="15"/>
      <c r="C697" s="15"/>
      <c r="D697" s="16"/>
      <c r="F697" s="5" t="s">
        <v>26</v>
      </c>
      <c r="G697" s="1">
        <f>D735-D690</f>
        <v>-9729500</v>
      </c>
    </row>
    <row r="698" spans="1:7" x14ac:dyDescent="0.25">
      <c r="A698" s="17"/>
      <c r="D698" s="32" t="s">
        <v>16</v>
      </c>
      <c r="G698" s="1"/>
    </row>
    <row r="699" spans="1:7" x14ac:dyDescent="0.25">
      <c r="A699" s="23" t="s">
        <v>15</v>
      </c>
      <c r="D699" s="18" t="s">
        <v>17</v>
      </c>
      <c r="F699" s="26" t="s">
        <v>27</v>
      </c>
      <c r="G699" s="1"/>
    </row>
    <row r="700" spans="1:7" x14ac:dyDescent="0.25">
      <c r="A700" s="17"/>
      <c r="B700" s="24" t="s">
        <v>18</v>
      </c>
      <c r="D700" s="19"/>
      <c r="F700" s="27" t="s">
        <v>28</v>
      </c>
      <c r="G700" s="1"/>
    </row>
    <row r="701" spans="1:7" x14ac:dyDescent="0.25">
      <c r="A701" s="17"/>
      <c r="C701" s="2" t="s">
        <v>31</v>
      </c>
      <c r="D701" s="19">
        <v>792226.11</v>
      </c>
      <c r="F701" t="s">
        <v>336</v>
      </c>
      <c r="G701" s="1">
        <v>2288000</v>
      </c>
    </row>
    <row r="702" spans="1:7" x14ac:dyDescent="0.25">
      <c r="A702" s="17"/>
      <c r="C702" s="2" t="s">
        <v>32</v>
      </c>
      <c r="D702" s="19">
        <v>66734492.399999999</v>
      </c>
      <c r="F702" t="s">
        <v>90</v>
      </c>
      <c r="G702" s="1">
        <v>537500</v>
      </c>
    </row>
    <row r="703" spans="1:7" x14ac:dyDescent="0.25">
      <c r="A703" s="17"/>
      <c r="C703" s="2" t="s">
        <v>33</v>
      </c>
      <c r="D703" s="19">
        <v>-36671086.600000001</v>
      </c>
      <c r="F703" t="s">
        <v>412</v>
      </c>
      <c r="G703" s="1">
        <v>900000</v>
      </c>
    </row>
    <row r="704" spans="1:7" x14ac:dyDescent="0.25">
      <c r="A704" s="17"/>
      <c r="C704" s="2" t="s">
        <v>34</v>
      </c>
      <c r="D704" s="19">
        <v>2988081</v>
      </c>
      <c r="G704" s="30">
        <f>SUM(G701:G703)</f>
        <v>3725500</v>
      </c>
    </row>
    <row r="705" spans="1:7" x14ac:dyDescent="0.25">
      <c r="A705" s="17"/>
      <c r="C705" s="2" t="s">
        <v>35</v>
      </c>
      <c r="D705" s="19">
        <v>11743700</v>
      </c>
      <c r="F705" s="28" t="s">
        <v>29</v>
      </c>
      <c r="G705" s="1"/>
    </row>
    <row r="706" spans="1:7" x14ac:dyDescent="0.25">
      <c r="A706" s="17"/>
      <c r="C706" s="2" t="s">
        <v>36</v>
      </c>
      <c r="D706" s="19">
        <v>12895892.6</v>
      </c>
      <c r="F706" t="s">
        <v>411</v>
      </c>
      <c r="G706" s="1">
        <v>5000</v>
      </c>
    </row>
    <row r="707" spans="1:7" x14ac:dyDescent="0.25">
      <c r="A707" s="17"/>
      <c r="C707" s="2" t="s">
        <v>37</v>
      </c>
      <c r="D707" s="19">
        <v>-14899980</v>
      </c>
      <c r="F707" t="s">
        <v>414</v>
      </c>
      <c r="G707" s="1">
        <v>100000</v>
      </c>
    </row>
    <row r="708" spans="1:7" x14ac:dyDescent="0.25">
      <c r="A708" s="17"/>
      <c r="C708" s="2" t="s">
        <v>51</v>
      </c>
      <c r="D708" s="20">
        <v>130317</v>
      </c>
      <c r="F708" t="s">
        <v>112</v>
      </c>
      <c r="G708" s="1">
        <v>13350000</v>
      </c>
    </row>
    <row r="709" spans="1:7" x14ac:dyDescent="0.25">
      <c r="A709" s="17"/>
      <c r="B709" s="24" t="s">
        <v>19</v>
      </c>
      <c r="D709" s="19">
        <f>SUM(D701:D708)</f>
        <v>43713642.510000005</v>
      </c>
      <c r="G709" s="30">
        <f>SUM(G706:G708)</f>
        <v>13455000</v>
      </c>
    </row>
    <row r="710" spans="1:7" x14ac:dyDescent="0.25">
      <c r="A710" s="17"/>
      <c r="D710" s="19"/>
      <c r="G710" s="1"/>
    </row>
    <row r="711" spans="1:7" x14ac:dyDescent="0.25">
      <c r="A711" s="17"/>
      <c r="B711" s="24" t="s">
        <v>20</v>
      </c>
      <c r="D711" s="19"/>
      <c r="F711" s="28" t="s">
        <v>30</v>
      </c>
      <c r="G711" s="29">
        <f>G704-G709</f>
        <v>-9729500</v>
      </c>
    </row>
    <row r="712" spans="1:7" x14ac:dyDescent="0.25">
      <c r="A712" s="17"/>
      <c r="C712" t="s">
        <v>7</v>
      </c>
      <c r="D712" s="19">
        <v>2473229050</v>
      </c>
    </row>
    <row r="713" spans="1:7" x14ac:dyDescent="0.25">
      <c r="A713" s="17"/>
      <c r="C713" t="s">
        <v>47</v>
      </c>
      <c r="D713" s="19">
        <v>7170000</v>
      </c>
    </row>
    <row r="714" spans="1:7" x14ac:dyDescent="0.25">
      <c r="A714" s="17"/>
      <c r="C714" t="s">
        <v>21</v>
      </c>
      <c r="D714" s="19">
        <v>642131500</v>
      </c>
    </row>
    <row r="715" spans="1:7" x14ac:dyDescent="0.25">
      <c r="A715" s="17"/>
      <c r="C715" t="s">
        <v>45</v>
      </c>
      <c r="D715" s="19">
        <v>25000000</v>
      </c>
    </row>
    <row r="716" spans="1:7" x14ac:dyDescent="0.25">
      <c r="A716" s="17"/>
      <c r="C716" t="s">
        <v>48</v>
      </c>
      <c r="D716" s="19">
        <v>30000000</v>
      </c>
    </row>
    <row r="717" spans="1:7" x14ac:dyDescent="0.25">
      <c r="A717" s="17"/>
      <c r="C717" t="s">
        <v>68</v>
      </c>
      <c r="D717" s="19">
        <v>141000000</v>
      </c>
    </row>
    <row r="718" spans="1:7" x14ac:dyDescent="0.25">
      <c r="A718" s="17"/>
      <c r="C718" t="s">
        <v>68</v>
      </c>
      <c r="D718" s="19">
        <v>145000000</v>
      </c>
    </row>
    <row r="719" spans="1:7" x14ac:dyDescent="0.25">
      <c r="A719" s="17"/>
      <c r="C719" t="s">
        <v>403</v>
      </c>
      <c r="D719" s="19">
        <v>20000000</v>
      </c>
    </row>
    <row r="720" spans="1:7" x14ac:dyDescent="0.25">
      <c r="A720" s="17"/>
      <c r="C720" t="s">
        <v>387</v>
      </c>
      <c r="D720" s="19">
        <v>160000000</v>
      </c>
    </row>
    <row r="721" spans="1:7" x14ac:dyDescent="0.25">
      <c r="A721" s="17"/>
      <c r="C721" t="s">
        <v>313</v>
      </c>
      <c r="D721" s="20">
        <v>10000000</v>
      </c>
    </row>
    <row r="722" spans="1:7" x14ac:dyDescent="0.25">
      <c r="A722" s="17"/>
      <c r="D722" s="19">
        <f>SUM(D712:D721)</f>
        <v>3653530550</v>
      </c>
    </row>
    <row r="723" spans="1:7" x14ac:dyDescent="0.25">
      <c r="A723" s="17"/>
      <c r="D723" s="19"/>
    </row>
    <row r="724" spans="1:7" x14ac:dyDescent="0.25">
      <c r="A724" s="17"/>
      <c r="B724" s="24" t="s">
        <v>46</v>
      </c>
      <c r="D724" s="19"/>
    </row>
    <row r="725" spans="1:7" x14ac:dyDescent="0.25">
      <c r="A725" s="17"/>
      <c r="C725" t="s">
        <v>413</v>
      </c>
      <c r="D725" s="19">
        <v>155445000</v>
      </c>
    </row>
    <row r="726" spans="1:7" x14ac:dyDescent="0.25">
      <c r="A726" s="17"/>
      <c r="C726" t="s">
        <v>126</v>
      </c>
      <c r="D726" s="20">
        <v>3615000</v>
      </c>
    </row>
    <row r="727" spans="1:7" x14ac:dyDescent="0.25">
      <c r="A727" s="17"/>
      <c r="D727" s="19">
        <f>SUM(D725:D726)</f>
        <v>159060000</v>
      </c>
    </row>
    <row r="728" spans="1:7" x14ac:dyDescent="0.25">
      <c r="A728" s="17"/>
      <c r="D728" s="19"/>
    </row>
    <row r="729" spans="1:7" x14ac:dyDescent="0.25">
      <c r="A729" s="23" t="s">
        <v>22</v>
      </c>
      <c r="D729" s="19"/>
    </row>
    <row r="730" spans="1:7" x14ac:dyDescent="0.25">
      <c r="A730" s="17"/>
      <c r="C730" t="s">
        <v>23</v>
      </c>
      <c r="D730" s="19">
        <v>966400000</v>
      </c>
    </row>
    <row r="731" spans="1:7" x14ac:dyDescent="0.25">
      <c r="A731" s="17"/>
      <c r="C731" t="s">
        <v>24</v>
      </c>
      <c r="D731" s="19">
        <v>1719339750</v>
      </c>
    </row>
    <row r="732" spans="1:7" x14ac:dyDescent="0.25">
      <c r="A732" s="17"/>
      <c r="C732" t="s">
        <v>44</v>
      </c>
      <c r="D732" s="20">
        <v>321750000</v>
      </c>
    </row>
    <row r="733" spans="1:7" x14ac:dyDescent="0.25">
      <c r="A733" s="17"/>
      <c r="D733" s="19">
        <f>SUM(D730:D732)</f>
        <v>3007489750</v>
      </c>
      <c r="G733" s="1"/>
    </row>
    <row r="734" spans="1:7" x14ac:dyDescent="0.25">
      <c r="A734" s="17"/>
      <c r="D734" s="19"/>
      <c r="G734" s="1"/>
    </row>
    <row r="735" spans="1:7" x14ac:dyDescent="0.25">
      <c r="A735" s="43" t="s">
        <v>25</v>
      </c>
      <c r="B735" s="44"/>
      <c r="C735" s="44"/>
      <c r="D735" s="25">
        <f>D709+D722+D727-D733</f>
        <v>848814442.51000023</v>
      </c>
      <c r="G735" s="1"/>
    </row>
    <row r="736" spans="1:7" x14ac:dyDescent="0.25">
      <c r="A736" s="21"/>
      <c r="B736" s="22"/>
      <c r="C736" s="22"/>
      <c r="D736" s="20"/>
      <c r="G736" s="1"/>
    </row>
    <row r="738" spans="1:7" x14ac:dyDescent="0.25">
      <c r="A738" s="40" t="s">
        <v>13</v>
      </c>
      <c r="B738" s="40"/>
      <c r="C738" s="40"/>
      <c r="D738" s="40"/>
      <c r="G738" s="1"/>
    </row>
    <row r="739" spans="1:7" x14ac:dyDescent="0.25">
      <c r="A739" s="41" t="s">
        <v>14</v>
      </c>
      <c r="B739" s="41"/>
      <c r="C739" s="41"/>
      <c r="D739" s="41"/>
      <c r="G739" s="1"/>
    </row>
    <row r="740" spans="1:7" x14ac:dyDescent="0.25">
      <c r="A740" s="42">
        <v>45736</v>
      </c>
      <c r="B740" s="42"/>
      <c r="C740" s="42"/>
      <c r="D740" s="42"/>
      <c r="G740" s="1"/>
    </row>
    <row r="741" spans="1:7" x14ac:dyDescent="0.25">
      <c r="A741" s="13"/>
      <c r="B741" s="13"/>
      <c r="C741" s="13"/>
      <c r="D741" s="13"/>
      <c r="G741" s="1"/>
    </row>
    <row r="742" spans="1:7" x14ac:dyDescent="0.25">
      <c r="A742" s="14"/>
      <c r="B742" s="15"/>
      <c r="C742" s="15"/>
      <c r="D742" s="16"/>
      <c r="F742" s="5" t="s">
        <v>26</v>
      </c>
      <c r="G742" s="1">
        <f>D781-D735</f>
        <v>-14725900</v>
      </c>
    </row>
    <row r="743" spans="1:7" x14ac:dyDescent="0.25">
      <c r="A743" s="17"/>
      <c r="D743" s="32" t="s">
        <v>16</v>
      </c>
      <c r="G743" s="1"/>
    </row>
    <row r="744" spans="1:7" x14ac:dyDescent="0.25">
      <c r="A744" s="23" t="s">
        <v>15</v>
      </c>
      <c r="D744" s="18" t="s">
        <v>17</v>
      </c>
      <c r="F744" s="26" t="s">
        <v>27</v>
      </c>
      <c r="G744" s="1"/>
    </row>
    <row r="745" spans="1:7" x14ac:dyDescent="0.25">
      <c r="A745" s="17"/>
      <c r="B745" s="24" t="s">
        <v>18</v>
      </c>
      <c r="D745" s="19"/>
      <c r="F745" s="27" t="s">
        <v>28</v>
      </c>
      <c r="G745" s="1"/>
    </row>
    <row r="746" spans="1:7" x14ac:dyDescent="0.25">
      <c r="A746" s="17"/>
      <c r="C746" s="2" t="s">
        <v>31</v>
      </c>
      <c r="D746" s="19">
        <v>19142226.109999999</v>
      </c>
      <c r="F746" t="s">
        <v>203</v>
      </c>
      <c r="G746" s="1">
        <v>3162500</v>
      </c>
    </row>
    <row r="747" spans="1:7" x14ac:dyDescent="0.25">
      <c r="A747" s="17"/>
      <c r="C747" s="2" t="s">
        <v>32</v>
      </c>
      <c r="D747" s="19">
        <v>66734492.399999999</v>
      </c>
      <c r="G747" s="30">
        <f>SUM(G746:G746)</f>
        <v>3162500</v>
      </c>
    </row>
    <row r="748" spans="1:7" x14ac:dyDescent="0.25">
      <c r="A748" s="17"/>
      <c r="C748" s="2" t="s">
        <v>33</v>
      </c>
      <c r="D748" s="19">
        <v>-254458586.59999999</v>
      </c>
      <c r="F748" s="28" t="s">
        <v>29</v>
      </c>
      <c r="G748" s="1"/>
    </row>
    <row r="749" spans="1:7" x14ac:dyDescent="0.25">
      <c r="A749" s="17"/>
      <c r="C749" s="2" t="s">
        <v>34</v>
      </c>
      <c r="D749" s="19">
        <v>2688081</v>
      </c>
      <c r="F749" t="s">
        <v>112</v>
      </c>
      <c r="G749" s="1">
        <v>5000000</v>
      </c>
    </row>
    <row r="750" spans="1:7" x14ac:dyDescent="0.25">
      <c r="A750" s="17"/>
      <c r="C750" s="2" t="s">
        <v>35</v>
      </c>
      <c r="D750" s="19">
        <v>1605300</v>
      </c>
      <c r="F750" t="s">
        <v>104</v>
      </c>
      <c r="G750" s="1">
        <v>2250000</v>
      </c>
    </row>
    <row r="751" spans="1:7" x14ac:dyDescent="0.25">
      <c r="A751" s="17"/>
      <c r="C751" s="2" t="s">
        <v>36</v>
      </c>
      <c r="D751" s="19">
        <v>12895892.6</v>
      </c>
      <c r="F751" t="s">
        <v>357</v>
      </c>
      <c r="G751" s="1">
        <v>10138400</v>
      </c>
    </row>
    <row r="752" spans="1:7" x14ac:dyDescent="0.25">
      <c r="A752" s="17"/>
      <c r="C752" s="2" t="s">
        <v>37</v>
      </c>
      <c r="D752" s="19">
        <v>58975020</v>
      </c>
      <c r="F752" t="s">
        <v>416</v>
      </c>
      <c r="G752" s="1">
        <v>500000</v>
      </c>
    </row>
    <row r="753" spans="1:7" x14ac:dyDescent="0.25">
      <c r="A753" s="17"/>
      <c r="C753" s="2" t="s">
        <v>51</v>
      </c>
      <c r="D753" s="20">
        <v>130317</v>
      </c>
      <c r="G753" s="30">
        <f>SUM(G749:G752)</f>
        <v>17888400</v>
      </c>
    </row>
    <row r="754" spans="1:7" x14ac:dyDescent="0.25">
      <c r="A754" s="17"/>
      <c r="B754" s="24" t="s">
        <v>19</v>
      </c>
      <c r="D754" s="19">
        <f>SUM(D746:D753)</f>
        <v>-92287257.49000001</v>
      </c>
      <c r="G754" s="1"/>
    </row>
    <row r="755" spans="1:7" x14ac:dyDescent="0.25">
      <c r="A755" s="17"/>
      <c r="D755" s="19"/>
      <c r="F755" s="28" t="s">
        <v>30</v>
      </c>
      <c r="G755" s="29">
        <f>G747-G753</f>
        <v>-14725900</v>
      </c>
    </row>
    <row r="756" spans="1:7" x14ac:dyDescent="0.25">
      <c r="A756" s="17"/>
      <c r="B756" s="24" t="s">
        <v>20</v>
      </c>
      <c r="D756" s="19"/>
    </row>
    <row r="757" spans="1:7" x14ac:dyDescent="0.25">
      <c r="A757" s="17"/>
      <c r="C757" t="s">
        <v>7</v>
      </c>
      <c r="D757" s="19">
        <v>2201404050</v>
      </c>
    </row>
    <row r="758" spans="1:7" x14ac:dyDescent="0.25">
      <c r="A758" s="17"/>
      <c r="C758" t="s">
        <v>47</v>
      </c>
      <c r="D758" s="19">
        <v>7170000</v>
      </c>
    </row>
    <row r="759" spans="1:7" x14ac:dyDescent="0.25">
      <c r="A759" s="17"/>
      <c r="C759" t="s">
        <v>21</v>
      </c>
      <c r="D759" s="19">
        <v>608456500</v>
      </c>
    </row>
    <row r="760" spans="1:7" x14ac:dyDescent="0.25">
      <c r="A760" s="17"/>
      <c r="C760" t="s">
        <v>45</v>
      </c>
      <c r="D760" s="19">
        <v>25000000</v>
      </c>
    </row>
    <row r="761" spans="1:7" x14ac:dyDescent="0.25">
      <c r="A761" s="17"/>
      <c r="C761" t="s">
        <v>48</v>
      </c>
      <c r="D761" s="19">
        <v>30000000</v>
      </c>
    </row>
    <row r="762" spans="1:7" x14ac:dyDescent="0.25">
      <c r="A762" s="17"/>
      <c r="C762" t="s">
        <v>68</v>
      </c>
      <c r="D762" s="19">
        <v>141000000</v>
      </c>
    </row>
    <row r="763" spans="1:7" x14ac:dyDescent="0.25">
      <c r="A763" s="17"/>
      <c r="C763" t="s">
        <v>68</v>
      </c>
      <c r="D763" s="19">
        <v>145000000</v>
      </c>
    </row>
    <row r="764" spans="1:7" x14ac:dyDescent="0.25">
      <c r="A764" s="17"/>
      <c r="C764" t="s">
        <v>403</v>
      </c>
      <c r="D764" s="19">
        <v>20000000</v>
      </c>
    </row>
    <row r="765" spans="1:7" x14ac:dyDescent="0.25">
      <c r="A765" s="17"/>
      <c r="C765" t="s">
        <v>387</v>
      </c>
      <c r="D765" s="19">
        <v>160000000</v>
      </c>
    </row>
    <row r="766" spans="1:7" x14ac:dyDescent="0.25">
      <c r="A766" s="17"/>
      <c r="C766" t="s">
        <v>313</v>
      </c>
      <c r="D766" s="20">
        <v>10000000</v>
      </c>
    </row>
    <row r="767" spans="1:7" x14ac:dyDescent="0.25">
      <c r="A767" s="17"/>
      <c r="D767" s="19">
        <f>SUM(D757:D766)</f>
        <v>3348030550</v>
      </c>
    </row>
    <row r="768" spans="1:7" x14ac:dyDescent="0.25">
      <c r="A768" s="17"/>
      <c r="D768" s="19"/>
    </row>
    <row r="769" spans="1:7" x14ac:dyDescent="0.25">
      <c r="A769" s="17"/>
      <c r="B769" s="24" t="s">
        <v>46</v>
      </c>
      <c r="D769" s="19"/>
    </row>
    <row r="770" spans="1:7" x14ac:dyDescent="0.25">
      <c r="A770" s="17"/>
      <c r="C770" t="s">
        <v>413</v>
      </c>
      <c r="D770" s="19">
        <v>155445000</v>
      </c>
    </row>
    <row r="771" spans="1:7" x14ac:dyDescent="0.25">
      <c r="A771" s="17"/>
      <c r="C771" t="s">
        <v>126</v>
      </c>
      <c r="D771" s="20">
        <v>3615000</v>
      </c>
    </row>
    <row r="772" spans="1:7" x14ac:dyDescent="0.25">
      <c r="A772" s="17"/>
      <c r="D772" s="19">
        <f>SUM(D770:D771)</f>
        <v>159060000</v>
      </c>
    </row>
    <row r="773" spans="1:7" x14ac:dyDescent="0.25">
      <c r="A773" s="17"/>
      <c r="D773" s="19"/>
    </row>
    <row r="774" spans="1:7" x14ac:dyDescent="0.25">
      <c r="A774" s="23" t="s">
        <v>22</v>
      </c>
      <c r="D774" s="19"/>
    </row>
    <row r="775" spans="1:7" x14ac:dyDescent="0.25">
      <c r="A775" s="17"/>
      <c r="C775" t="s">
        <v>23</v>
      </c>
      <c r="D775" s="19">
        <v>576750000</v>
      </c>
    </row>
    <row r="776" spans="1:7" x14ac:dyDescent="0.25">
      <c r="A776" s="17"/>
      <c r="C776" t="s">
        <v>24</v>
      </c>
      <c r="D776" s="19">
        <v>1719339750</v>
      </c>
    </row>
    <row r="777" spans="1:7" x14ac:dyDescent="0.25">
      <c r="A777" s="17"/>
      <c r="C777" t="s">
        <v>44</v>
      </c>
      <c r="D777" s="19">
        <v>202125000</v>
      </c>
    </row>
    <row r="778" spans="1:7" x14ac:dyDescent="0.25">
      <c r="A778" s="17"/>
      <c r="C778" t="s">
        <v>111</v>
      </c>
      <c r="D778" s="20">
        <v>82500000</v>
      </c>
    </row>
    <row r="779" spans="1:7" x14ac:dyDescent="0.25">
      <c r="A779" s="17"/>
      <c r="D779" s="19">
        <f>SUM(D775:D778)</f>
        <v>2580714750</v>
      </c>
      <c r="G779" s="1"/>
    </row>
    <row r="780" spans="1:7" x14ac:dyDescent="0.25">
      <c r="A780" s="17"/>
      <c r="D780" s="19"/>
      <c r="G780" s="1"/>
    </row>
    <row r="781" spans="1:7" x14ac:dyDescent="0.25">
      <c r="A781" s="43" t="s">
        <v>25</v>
      </c>
      <c r="B781" s="44"/>
      <c r="C781" s="44"/>
      <c r="D781" s="25">
        <f>D754+D767+D772-D779</f>
        <v>834088542.51000023</v>
      </c>
      <c r="G781" s="1"/>
    </row>
    <row r="782" spans="1:7" x14ac:dyDescent="0.25">
      <c r="A782" s="21"/>
      <c r="B782" s="22"/>
      <c r="C782" s="22"/>
      <c r="D782" s="20"/>
      <c r="G782" s="1"/>
    </row>
    <row r="784" spans="1:7" x14ac:dyDescent="0.25">
      <c r="A784" s="40" t="s">
        <v>13</v>
      </c>
      <c r="B784" s="40"/>
      <c r="C784" s="40"/>
      <c r="D784" s="40"/>
      <c r="G784" s="1"/>
    </row>
    <row r="785" spans="1:9" x14ac:dyDescent="0.25">
      <c r="A785" s="41" t="s">
        <v>14</v>
      </c>
      <c r="B785" s="41"/>
      <c r="C785" s="41"/>
      <c r="D785" s="41"/>
      <c r="G785" s="1"/>
    </row>
    <row r="786" spans="1:9" x14ac:dyDescent="0.25">
      <c r="A786" s="42">
        <v>45737</v>
      </c>
      <c r="B786" s="42"/>
      <c r="C786" s="42"/>
      <c r="D786" s="42"/>
      <c r="G786" s="1"/>
    </row>
    <row r="787" spans="1:9" x14ac:dyDescent="0.25">
      <c r="A787" s="13"/>
      <c r="B787" s="13"/>
      <c r="C787" s="13"/>
      <c r="D787" s="13"/>
      <c r="G787" s="1"/>
    </row>
    <row r="788" spans="1:9" x14ac:dyDescent="0.25">
      <c r="A788" s="14"/>
      <c r="B788" s="15"/>
      <c r="C788" s="15"/>
      <c r="D788" s="16"/>
      <c r="F788" s="5" t="s">
        <v>26</v>
      </c>
      <c r="G788" s="1">
        <f>D827-D781</f>
        <v>7203882</v>
      </c>
    </row>
    <row r="789" spans="1:9" x14ac:dyDescent="0.25">
      <c r="A789" s="17"/>
      <c r="D789" s="32" t="s">
        <v>16</v>
      </c>
      <c r="G789" s="1"/>
    </row>
    <row r="790" spans="1:9" x14ac:dyDescent="0.25">
      <c r="A790" s="23" t="s">
        <v>15</v>
      </c>
      <c r="D790" s="18" t="s">
        <v>17</v>
      </c>
      <c r="F790" s="26" t="s">
        <v>27</v>
      </c>
      <c r="G790" s="1"/>
    </row>
    <row r="791" spans="1:9" x14ac:dyDescent="0.25">
      <c r="A791" s="17"/>
      <c r="B791" s="24" t="s">
        <v>18</v>
      </c>
      <c r="D791" s="19"/>
      <c r="F791" s="27" t="s">
        <v>28</v>
      </c>
      <c r="G791" s="1"/>
    </row>
    <row r="792" spans="1:9" x14ac:dyDescent="0.25">
      <c r="A792" s="17"/>
      <c r="C792" s="2" t="s">
        <v>31</v>
      </c>
      <c r="D792" s="19">
        <v>135342226.11000001</v>
      </c>
      <c r="F792" t="s">
        <v>204</v>
      </c>
      <c r="G792" s="1">
        <v>5400000</v>
      </c>
    </row>
    <row r="793" spans="1:9" x14ac:dyDescent="0.25">
      <c r="A793" s="17"/>
      <c r="C793" s="2" t="s">
        <v>32</v>
      </c>
      <c r="D793" s="19">
        <v>68054492.400000006</v>
      </c>
      <c r="F793" t="s">
        <v>90</v>
      </c>
      <c r="G793" s="1">
        <v>115000</v>
      </c>
    </row>
    <row r="794" spans="1:9" x14ac:dyDescent="0.25">
      <c r="A794" s="17"/>
      <c r="C794" s="2" t="s">
        <v>33</v>
      </c>
      <c r="D794" s="19">
        <v>-40873586.600000001</v>
      </c>
      <c r="F794" t="s">
        <v>343</v>
      </c>
      <c r="G794" s="1">
        <v>2111103</v>
      </c>
    </row>
    <row r="795" spans="1:9" x14ac:dyDescent="0.25">
      <c r="A795" s="17"/>
      <c r="C795" s="2" t="s">
        <v>34</v>
      </c>
      <c r="D795" s="19">
        <v>89788081</v>
      </c>
      <c r="G795" s="30">
        <f>SUM(G792:G794)</f>
        <v>7626103</v>
      </c>
      <c r="I795" s="38"/>
    </row>
    <row r="796" spans="1:9" x14ac:dyDescent="0.25">
      <c r="A796" s="17"/>
      <c r="C796" s="2" t="s">
        <v>35</v>
      </c>
      <c r="D796" s="19">
        <v>1605300</v>
      </c>
      <c r="F796" s="28" t="s">
        <v>29</v>
      </c>
      <c r="G796" s="1"/>
    </row>
    <row r="797" spans="1:9" x14ac:dyDescent="0.25">
      <c r="A797" s="17"/>
      <c r="C797" s="2" t="s">
        <v>36</v>
      </c>
      <c r="D797" s="19">
        <v>12895892.6</v>
      </c>
      <c r="F797" t="s">
        <v>344</v>
      </c>
      <c r="G797" s="1">
        <v>422221</v>
      </c>
    </row>
    <row r="798" spans="1:9" x14ac:dyDescent="0.25">
      <c r="A798" s="17"/>
      <c r="C798" s="2" t="s">
        <v>37</v>
      </c>
      <c r="D798" s="19">
        <v>92163902</v>
      </c>
      <c r="G798" s="30">
        <f>SUM(G797:G797)</f>
        <v>422221</v>
      </c>
    </row>
    <row r="799" spans="1:9" x14ac:dyDescent="0.25">
      <c r="A799" s="17"/>
      <c r="C799" s="2" t="s">
        <v>51</v>
      </c>
      <c r="D799" s="20">
        <v>130317</v>
      </c>
      <c r="G799" s="1"/>
    </row>
    <row r="800" spans="1:9" x14ac:dyDescent="0.25">
      <c r="A800" s="17"/>
      <c r="B800" s="24" t="s">
        <v>19</v>
      </c>
      <c r="D800" s="19">
        <f>SUM(D792:D799)</f>
        <v>359106624.50999999</v>
      </c>
      <c r="F800" s="28" t="s">
        <v>30</v>
      </c>
      <c r="G800" s="29">
        <f>G795-G798</f>
        <v>7203882</v>
      </c>
    </row>
    <row r="801" spans="1:4" x14ac:dyDescent="0.25">
      <c r="A801" s="17"/>
      <c r="D801" s="19"/>
    </row>
    <row r="802" spans="1:4" x14ac:dyDescent="0.25">
      <c r="A802" s="17"/>
      <c r="B802" s="24" t="s">
        <v>20</v>
      </c>
      <c r="D802" s="19"/>
    </row>
    <row r="803" spans="1:4" x14ac:dyDescent="0.25">
      <c r="A803" s="17"/>
      <c r="C803" t="s">
        <v>7</v>
      </c>
      <c r="D803" s="19">
        <v>2055444050</v>
      </c>
    </row>
    <row r="804" spans="1:4" x14ac:dyDescent="0.25">
      <c r="A804" s="17"/>
      <c r="C804" t="s">
        <v>47</v>
      </c>
      <c r="D804" s="19">
        <v>7170000</v>
      </c>
    </row>
    <row r="805" spans="1:4" x14ac:dyDescent="0.25">
      <c r="A805" s="17"/>
      <c r="C805" t="s">
        <v>21</v>
      </c>
      <c r="D805" s="19">
        <v>633506500</v>
      </c>
    </row>
    <row r="806" spans="1:4" x14ac:dyDescent="0.25">
      <c r="A806" s="17"/>
      <c r="C806" t="s">
        <v>45</v>
      </c>
      <c r="D806" s="19">
        <v>25000000</v>
      </c>
    </row>
    <row r="807" spans="1:4" x14ac:dyDescent="0.25">
      <c r="A807" s="17"/>
      <c r="C807" t="s">
        <v>48</v>
      </c>
      <c r="D807" s="19">
        <v>30000000</v>
      </c>
    </row>
    <row r="808" spans="1:4" x14ac:dyDescent="0.25">
      <c r="A808" s="17"/>
      <c r="C808" t="s">
        <v>68</v>
      </c>
      <c r="D808" s="19">
        <v>141000000</v>
      </c>
    </row>
    <row r="809" spans="1:4" x14ac:dyDescent="0.25">
      <c r="A809" s="17"/>
      <c r="C809" t="s">
        <v>68</v>
      </c>
      <c r="D809" s="19">
        <v>145000000</v>
      </c>
    </row>
    <row r="810" spans="1:4" x14ac:dyDescent="0.25">
      <c r="A810" s="17"/>
      <c r="C810" t="s">
        <v>403</v>
      </c>
      <c r="D810" s="19">
        <v>17000000</v>
      </c>
    </row>
    <row r="811" spans="1:4" x14ac:dyDescent="0.25">
      <c r="A811" s="17"/>
      <c r="C811" t="s">
        <v>387</v>
      </c>
      <c r="D811" s="19">
        <v>160000000</v>
      </c>
    </row>
    <row r="812" spans="1:4" x14ac:dyDescent="0.25">
      <c r="A812" s="17"/>
      <c r="C812" t="s">
        <v>313</v>
      </c>
      <c r="D812" s="20">
        <v>10000000</v>
      </c>
    </row>
    <row r="813" spans="1:4" x14ac:dyDescent="0.25">
      <c r="A813" s="17"/>
      <c r="D813" s="19">
        <f>SUM(D803:D812)</f>
        <v>3224120550</v>
      </c>
    </row>
    <row r="814" spans="1:4" x14ac:dyDescent="0.25">
      <c r="A814" s="17"/>
      <c r="D814" s="19"/>
    </row>
    <row r="815" spans="1:4" x14ac:dyDescent="0.25">
      <c r="A815" s="17"/>
      <c r="B815" s="24" t="s">
        <v>46</v>
      </c>
      <c r="D815" s="19"/>
    </row>
    <row r="816" spans="1:4" x14ac:dyDescent="0.25">
      <c r="A816" s="17"/>
      <c r="C816" t="s">
        <v>421</v>
      </c>
      <c r="D816" s="19">
        <v>154240000</v>
      </c>
    </row>
    <row r="817" spans="1:7" x14ac:dyDescent="0.25">
      <c r="A817" s="17"/>
      <c r="C817" t="s">
        <v>126</v>
      </c>
      <c r="D817" s="20">
        <v>3615000</v>
      </c>
    </row>
    <row r="818" spans="1:7" x14ac:dyDescent="0.25">
      <c r="A818" s="17"/>
      <c r="D818" s="19">
        <f>SUM(D816:D817)</f>
        <v>157855000</v>
      </c>
    </row>
    <row r="819" spans="1:7" x14ac:dyDescent="0.25">
      <c r="A819" s="17"/>
      <c r="D819" s="19"/>
    </row>
    <row r="820" spans="1:7" x14ac:dyDescent="0.25">
      <c r="A820" s="23" t="s">
        <v>22</v>
      </c>
      <c r="D820" s="19"/>
    </row>
    <row r="821" spans="1:7" x14ac:dyDescent="0.25">
      <c r="A821" s="17"/>
      <c r="C821" t="s">
        <v>23</v>
      </c>
      <c r="D821" s="19">
        <v>751050000</v>
      </c>
    </row>
    <row r="822" spans="1:7" x14ac:dyDescent="0.25">
      <c r="A822" s="17"/>
      <c r="C822" t="s">
        <v>24</v>
      </c>
      <c r="D822" s="19">
        <v>1719339750</v>
      </c>
    </row>
    <row r="823" spans="1:7" x14ac:dyDescent="0.25">
      <c r="A823" s="17"/>
      <c r="C823" t="s">
        <v>44</v>
      </c>
      <c r="D823" s="19">
        <v>272650000</v>
      </c>
    </row>
    <row r="824" spans="1:7" x14ac:dyDescent="0.25">
      <c r="A824" s="17"/>
      <c r="C824" t="s">
        <v>111</v>
      </c>
      <c r="D824" s="20">
        <v>156750000</v>
      </c>
    </row>
    <row r="825" spans="1:7" x14ac:dyDescent="0.25">
      <c r="A825" s="17"/>
      <c r="D825" s="19">
        <f>SUM(D821:D824)</f>
        <v>2899789750</v>
      </c>
      <c r="G825" s="1"/>
    </row>
    <row r="826" spans="1:7" x14ac:dyDescent="0.25">
      <c r="A826" s="17"/>
      <c r="D826" s="19"/>
      <c r="G826" s="1"/>
    </row>
    <row r="827" spans="1:7" x14ac:dyDescent="0.25">
      <c r="A827" s="43" t="s">
        <v>25</v>
      </c>
      <c r="B827" s="44"/>
      <c r="C827" s="44"/>
      <c r="D827" s="25">
        <f>D800+D813+D818-D825</f>
        <v>841292424.51000023</v>
      </c>
      <c r="G827" s="1"/>
    </row>
    <row r="828" spans="1:7" x14ac:dyDescent="0.25">
      <c r="A828" s="21"/>
      <c r="B828" s="22"/>
      <c r="C828" s="22"/>
      <c r="D828" s="20"/>
      <c r="G828" s="1"/>
    </row>
    <row r="830" spans="1:7" x14ac:dyDescent="0.25">
      <c r="A830" s="40" t="s">
        <v>13</v>
      </c>
      <c r="B830" s="40"/>
      <c r="C830" s="40"/>
      <c r="D830" s="40"/>
      <c r="G830" s="1"/>
    </row>
    <row r="831" spans="1:7" x14ac:dyDescent="0.25">
      <c r="A831" s="41" t="s">
        <v>14</v>
      </c>
      <c r="B831" s="41"/>
      <c r="C831" s="41"/>
      <c r="D831" s="41"/>
      <c r="G831" s="1"/>
    </row>
    <row r="832" spans="1:7" x14ac:dyDescent="0.25">
      <c r="A832" s="42">
        <v>45738</v>
      </c>
      <c r="B832" s="42"/>
      <c r="C832" s="42"/>
      <c r="D832" s="42"/>
      <c r="G832" s="1"/>
    </row>
    <row r="833" spans="1:7" x14ac:dyDescent="0.25">
      <c r="A833" s="13"/>
      <c r="B833" s="13"/>
      <c r="C833" s="13"/>
      <c r="D833" s="13"/>
      <c r="G833" s="1"/>
    </row>
    <row r="834" spans="1:7" x14ac:dyDescent="0.25">
      <c r="A834" s="14"/>
      <c r="B834" s="15"/>
      <c r="C834" s="15"/>
      <c r="D834" s="16"/>
      <c r="F834" s="5" t="s">
        <v>26</v>
      </c>
      <c r="G834" s="1">
        <f>D874-D827</f>
        <v>-18140000</v>
      </c>
    </row>
    <row r="835" spans="1:7" x14ac:dyDescent="0.25">
      <c r="A835" s="17"/>
      <c r="D835" s="32" t="s">
        <v>16</v>
      </c>
      <c r="G835" s="1"/>
    </row>
    <row r="836" spans="1:7" x14ac:dyDescent="0.25">
      <c r="A836" s="23" t="s">
        <v>15</v>
      </c>
      <c r="D836" s="18" t="s">
        <v>17</v>
      </c>
      <c r="F836" s="26" t="s">
        <v>27</v>
      </c>
      <c r="G836" s="1"/>
    </row>
    <row r="837" spans="1:7" x14ac:dyDescent="0.25">
      <c r="A837" s="17"/>
      <c r="B837" s="24" t="s">
        <v>18</v>
      </c>
      <c r="D837" s="19"/>
      <c r="F837" s="27" t="s">
        <v>28</v>
      </c>
      <c r="G837" s="1"/>
    </row>
    <row r="838" spans="1:7" x14ac:dyDescent="0.25">
      <c r="A838" s="17"/>
      <c r="C838" s="2" t="s">
        <v>31</v>
      </c>
      <c r="D838" s="19">
        <v>100642226.11</v>
      </c>
      <c r="F838" t="s">
        <v>216</v>
      </c>
      <c r="G838" s="1">
        <v>2310000</v>
      </c>
    </row>
    <row r="839" spans="1:7" x14ac:dyDescent="0.25">
      <c r="A839" s="17"/>
      <c r="C839" s="2" t="s">
        <v>32</v>
      </c>
      <c r="D839" s="19">
        <v>68054492.400000006</v>
      </c>
      <c r="G839" s="30">
        <f>SUM(G838:G838)</f>
        <v>2310000</v>
      </c>
    </row>
    <row r="840" spans="1:7" x14ac:dyDescent="0.25">
      <c r="A840" s="17"/>
      <c r="C840" s="2" t="s">
        <v>33</v>
      </c>
      <c r="D840" s="19">
        <v>61101413.399999999</v>
      </c>
      <c r="F840" s="28" t="s">
        <v>29</v>
      </c>
      <c r="G840" s="1"/>
    </row>
    <row r="841" spans="1:7" x14ac:dyDescent="0.25">
      <c r="A841" s="17"/>
      <c r="C841" s="2" t="s">
        <v>34</v>
      </c>
      <c r="D841" s="19">
        <v>72413081</v>
      </c>
      <c r="F841" t="s">
        <v>112</v>
      </c>
      <c r="G841" s="1">
        <v>20000000</v>
      </c>
    </row>
    <row r="842" spans="1:7" x14ac:dyDescent="0.25">
      <c r="A842" s="17"/>
      <c r="C842" s="2" t="s">
        <v>35</v>
      </c>
      <c r="D842" s="19">
        <v>1605300</v>
      </c>
      <c r="F842" t="s">
        <v>424</v>
      </c>
      <c r="G842" s="1">
        <v>450000</v>
      </c>
    </row>
    <row r="843" spans="1:7" x14ac:dyDescent="0.25">
      <c r="A843" s="17"/>
      <c r="C843" s="2" t="s">
        <v>36</v>
      </c>
      <c r="D843" s="19">
        <v>12895892.6</v>
      </c>
      <c r="G843" s="30">
        <f>SUM(G841:G842)</f>
        <v>20450000</v>
      </c>
    </row>
    <row r="844" spans="1:7" x14ac:dyDescent="0.25">
      <c r="A844" s="17"/>
      <c r="C844" s="2" t="s">
        <v>37</v>
      </c>
      <c r="D844" s="19">
        <v>177843902</v>
      </c>
      <c r="G844" s="1"/>
    </row>
    <row r="845" spans="1:7" x14ac:dyDescent="0.25">
      <c r="A845" s="17"/>
      <c r="C845" s="2" t="s">
        <v>51</v>
      </c>
      <c r="D845" s="20">
        <v>130317</v>
      </c>
      <c r="F845" s="28" t="s">
        <v>30</v>
      </c>
      <c r="G845" s="29">
        <f>G839-G843</f>
        <v>-18140000</v>
      </c>
    </row>
    <row r="846" spans="1:7" x14ac:dyDescent="0.25">
      <c r="A846" s="17"/>
      <c r="B846" s="24" t="s">
        <v>19</v>
      </c>
      <c r="D846" s="19">
        <f>SUM(D838:D845)</f>
        <v>494686624.50999999</v>
      </c>
    </row>
    <row r="847" spans="1:7" x14ac:dyDescent="0.25">
      <c r="A847" s="17"/>
      <c r="D847" s="19"/>
    </row>
    <row r="848" spans="1:7" x14ac:dyDescent="0.25">
      <c r="A848" s="17"/>
      <c r="B848" s="24" t="s">
        <v>20</v>
      </c>
      <c r="D848" s="19"/>
    </row>
    <row r="849" spans="1:4" x14ac:dyDescent="0.25">
      <c r="A849" s="17"/>
      <c r="C849" t="s">
        <v>7</v>
      </c>
      <c r="D849" s="19">
        <v>2114794050</v>
      </c>
    </row>
    <row r="850" spans="1:4" x14ac:dyDescent="0.25">
      <c r="A850" s="17"/>
      <c r="C850" t="s">
        <v>47</v>
      </c>
      <c r="D850" s="19">
        <v>7170000</v>
      </c>
    </row>
    <row r="851" spans="1:4" x14ac:dyDescent="0.25">
      <c r="A851" s="17"/>
      <c r="C851" t="s">
        <v>21</v>
      </c>
      <c r="D851" s="19">
        <v>688226500</v>
      </c>
    </row>
    <row r="852" spans="1:4" x14ac:dyDescent="0.25">
      <c r="A852" s="17"/>
      <c r="C852" t="s">
        <v>45</v>
      </c>
      <c r="D852" s="19">
        <v>25000000</v>
      </c>
    </row>
    <row r="853" spans="1:4" x14ac:dyDescent="0.25">
      <c r="A853" s="17"/>
      <c r="C853" t="s">
        <v>48</v>
      </c>
      <c r="D853" s="19">
        <v>30000000</v>
      </c>
    </row>
    <row r="854" spans="1:4" x14ac:dyDescent="0.25">
      <c r="A854" s="17"/>
      <c r="C854" t="s">
        <v>68</v>
      </c>
      <c r="D854" s="19">
        <v>141000000</v>
      </c>
    </row>
    <row r="855" spans="1:4" x14ac:dyDescent="0.25">
      <c r="A855" s="17"/>
      <c r="C855" t="s">
        <v>68</v>
      </c>
      <c r="D855" s="19">
        <v>145000000</v>
      </c>
    </row>
    <row r="856" spans="1:4" x14ac:dyDescent="0.25">
      <c r="A856" s="17"/>
      <c r="C856" t="s">
        <v>403</v>
      </c>
      <c r="D856" s="19">
        <v>17000000</v>
      </c>
    </row>
    <row r="857" spans="1:4" x14ac:dyDescent="0.25">
      <c r="A857" s="17"/>
      <c r="C857" t="s">
        <v>387</v>
      </c>
      <c r="D857" s="19">
        <v>160000000</v>
      </c>
    </row>
    <row r="858" spans="1:4" x14ac:dyDescent="0.25">
      <c r="A858" s="17"/>
      <c r="C858" t="s">
        <v>423</v>
      </c>
      <c r="D858" s="19">
        <v>78075000</v>
      </c>
    </row>
    <row r="859" spans="1:4" x14ac:dyDescent="0.25">
      <c r="A859" s="17"/>
      <c r="C859" t="s">
        <v>313</v>
      </c>
      <c r="D859" s="20">
        <v>10000000</v>
      </c>
    </row>
    <row r="860" spans="1:4" x14ac:dyDescent="0.25">
      <c r="A860" s="17"/>
      <c r="D860" s="19">
        <f>SUM(D849:D859)</f>
        <v>3416265550</v>
      </c>
    </row>
    <row r="861" spans="1:4" x14ac:dyDescent="0.25">
      <c r="A861" s="17"/>
      <c r="D861" s="19"/>
    </row>
    <row r="862" spans="1:4" x14ac:dyDescent="0.25">
      <c r="A862" s="17"/>
      <c r="B862" s="24" t="s">
        <v>46</v>
      </c>
      <c r="D862" s="19"/>
    </row>
    <row r="863" spans="1:4" x14ac:dyDescent="0.25">
      <c r="A863" s="17"/>
      <c r="C863" t="s">
        <v>421</v>
      </c>
      <c r="D863" s="19">
        <v>154240000</v>
      </c>
    </row>
    <row r="864" spans="1:4" x14ac:dyDescent="0.25">
      <c r="A864" s="17"/>
      <c r="C864" t="s">
        <v>126</v>
      </c>
      <c r="D864" s="20">
        <v>3615000</v>
      </c>
    </row>
    <row r="865" spans="1:7" x14ac:dyDescent="0.25">
      <c r="A865" s="17"/>
      <c r="D865" s="19">
        <f>SUM(D863:D864)</f>
        <v>157855000</v>
      </c>
    </row>
    <row r="866" spans="1:7" x14ac:dyDescent="0.25">
      <c r="A866" s="17"/>
      <c r="D866" s="19"/>
    </row>
    <row r="867" spans="1:7" x14ac:dyDescent="0.25">
      <c r="A867" s="23" t="s">
        <v>22</v>
      </c>
      <c r="D867" s="19"/>
    </row>
    <row r="868" spans="1:7" x14ac:dyDescent="0.25">
      <c r="A868" s="17"/>
      <c r="C868" t="s">
        <v>23</v>
      </c>
      <c r="D868" s="19">
        <v>900450000</v>
      </c>
    </row>
    <row r="869" spans="1:7" x14ac:dyDescent="0.25">
      <c r="A869" s="17"/>
      <c r="C869" t="s">
        <v>24</v>
      </c>
      <c r="D869" s="19">
        <v>1803179750</v>
      </c>
    </row>
    <row r="870" spans="1:7" x14ac:dyDescent="0.25">
      <c r="A870" s="17"/>
      <c r="C870" t="s">
        <v>44</v>
      </c>
      <c r="D870" s="19">
        <v>310225000</v>
      </c>
    </row>
    <row r="871" spans="1:7" x14ac:dyDescent="0.25">
      <c r="A871" s="17"/>
      <c r="C871" t="s">
        <v>111</v>
      </c>
      <c r="D871" s="20">
        <v>231800000</v>
      </c>
    </row>
    <row r="872" spans="1:7" x14ac:dyDescent="0.25">
      <c r="A872" s="17"/>
      <c r="D872" s="19">
        <f>SUM(D868:D871)</f>
        <v>3245654750</v>
      </c>
      <c r="G872" s="1"/>
    </row>
    <row r="873" spans="1:7" x14ac:dyDescent="0.25">
      <c r="A873" s="17"/>
      <c r="D873" s="19"/>
      <c r="G873" s="1"/>
    </row>
    <row r="874" spans="1:7" x14ac:dyDescent="0.25">
      <c r="A874" s="43" t="s">
        <v>25</v>
      </c>
      <c r="B874" s="44"/>
      <c r="C874" s="44"/>
      <c r="D874" s="25">
        <f>D846+D860+D865-D872</f>
        <v>823152424.51000023</v>
      </c>
      <c r="G874" s="1"/>
    </row>
    <row r="875" spans="1:7" x14ac:dyDescent="0.25">
      <c r="A875" s="21"/>
      <c r="B875" s="22"/>
      <c r="C875" s="22"/>
      <c r="D875" s="20"/>
      <c r="G875" s="1"/>
    </row>
    <row r="877" spans="1:7" x14ac:dyDescent="0.25">
      <c r="A877" s="40" t="s">
        <v>13</v>
      </c>
      <c r="B877" s="40"/>
      <c r="C877" s="40"/>
      <c r="D877" s="40"/>
      <c r="G877" s="1"/>
    </row>
    <row r="878" spans="1:7" x14ac:dyDescent="0.25">
      <c r="A878" s="41" t="s">
        <v>14</v>
      </c>
      <c r="B878" s="41"/>
      <c r="C878" s="41"/>
      <c r="D878" s="41"/>
      <c r="G878" s="1"/>
    </row>
    <row r="879" spans="1:7" x14ac:dyDescent="0.25">
      <c r="A879" s="42">
        <v>45740</v>
      </c>
      <c r="B879" s="42"/>
      <c r="C879" s="42"/>
      <c r="D879" s="42"/>
      <c r="G879" s="1"/>
    </row>
    <row r="880" spans="1:7" x14ac:dyDescent="0.25">
      <c r="A880" s="13"/>
      <c r="B880" s="13"/>
      <c r="C880" s="13"/>
      <c r="D880" s="13"/>
      <c r="G880" s="1"/>
    </row>
    <row r="881" spans="1:9" x14ac:dyDescent="0.25">
      <c r="A881" s="14"/>
      <c r="B881" s="15"/>
      <c r="C881" s="15"/>
      <c r="D881" s="16"/>
      <c r="F881" s="5" t="s">
        <v>26</v>
      </c>
      <c r="G881" s="1">
        <f>D922-D874</f>
        <v>9245000</v>
      </c>
    </row>
    <row r="882" spans="1:9" x14ac:dyDescent="0.25">
      <c r="A882" s="17"/>
      <c r="D882" s="32" t="s">
        <v>16</v>
      </c>
      <c r="G882" s="1"/>
    </row>
    <row r="883" spans="1:9" x14ac:dyDescent="0.25">
      <c r="A883" s="23" t="s">
        <v>15</v>
      </c>
      <c r="D883" s="18" t="s">
        <v>17</v>
      </c>
      <c r="F883" s="26" t="s">
        <v>27</v>
      </c>
      <c r="G883" s="1"/>
    </row>
    <row r="884" spans="1:9" x14ac:dyDescent="0.25">
      <c r="A884" s="17"/>
      <c r="B884" s="24" t="s">
        <v>18</v>
      </c>
      <c r="D884" s="19"/>
      <c r="F884" s="27" t="s">
        <v>28</v>
      </c>
      <c r="G884" s="1"/>
    </row>
    <row r="885" spans="1:9" x14ac:dyDescent="0.25">
      <c r="A885" s="17"/>
      <c r="C885" s="2" t="s">
        <v>31</v>
      </c>
      <c r="D885" s="19">
        <v>6616726.1100000003</v>
      </c>
      <c r="F885" t="s">
        <v>348</v>
      </c>
      <c r="G885" s="1">
        <v>9770000</v>
      </c>
    </row>
    <row r="886" spans="1:9" x14ac:dyDescent="0.25">
      <c r="A886" s="17"/>
      <c r="C886" s="2" t="s">
        <v>32</v>
      </c>
      <c r="D886" s="19">
        <v>72439492.400000006</v>
      </c>
      <c r="F886" t="s">
        <v>90</v>
      </c>
      <c r="G886" s="1">
        <v>292500</v>
      </c>
    </row>
    <row r="887" spans="1:9" x14ac:dyDescent="0.25">
      <c r="A887" s="17"/>
      <c r="C887" s="2" t="s">
        <v>33</v>
      </c>
      <c r="D887" s="19">
        <v>3051663.4</v>
      </c>
      <c r="F887" t="s">
        <v>122</v>
      </c>
      <c r="G887" s="1">
        <v>230500</v>
      </c>
    </row>
    <row r="888" spans="1:9" x14ac:dyDescent="0.25">
      <c r="A888" s="17"/>
      <c r="C888" s="2" t="s">
        <v>34</v>
      </c>
      <c r="D888" s="19">
        <v>1530581</v>
      </c>
      <c r="G888" s="30">
        <f>SUM(G885:G887)</f>
        <v>10293000</v>
      </c>
    </row>
    <row r="889" spans="1:9" x14ac:dyDescent="0.25">
      <c r="A889" s="17"/>
      <c r="C889" s="2" t="s">
        <v>35</v>
      </c>
      <c r="D889" s="19">
        <v>1605300</v>
      </c>
      <c r="F889" s="28" t="s">
        <v>29</v>
      </c>
      <c r="G889" s="1"/>
      <c r="I889" s="38"/>
    </row>
    <row r="890" spans="1:9" x14ac:dyDescent="0.25">
      <c r="A890" s="17"/>
      <c r="C890" s="2" t="s">
        <v>36</v>
      </c>
      <c r="D890" s="19">
        <v>12895892.6</v>
      </c>
      <c r="F890" t="s">
        <v>428</v>
      </c>
      <c r="G890" s="1">
        <v>5000</v>
      </c>
    </row>
    <row r="891" spans="1:9" x14ac:dyDescent="0.25">
      <c r="A891" s="17"/>
      <c r="C891" s="2" t="s">
        <v>37</v>
      </c>
      <c r="D891" s="19">
        <v>154119402</v>
      </c>
      <c r="F891" t="s">
        <v>429</v>
      </c>
      <c r="G891" s="1">
        <v>40000</v>
      </c>
    </row>
    <row r="892" spans="1:9" x14ac:dyDescent="0.25">
      <c r="A892" s="17"/>
      <c r="C892" s="2" t="s">
        <v>51</v>
      </c>
      <c r="D892" s="20">
        <v>130317</v>
      </c>
      <c r="F892" t="s">
        <v>298</v>
      </c>
      <c r="G892" s="1">
        <v>1003000</v>
      </c>
    </row>
    <row r="893" spans="1:9" x14ac:dyDescent="0.25">
      <c r="A893" s="17"/>
      <c r="B893" s="24" t="s">
        <v>19</v>
      </c>
      <c r="D893" s="19">
        <f>SUM(D885:D892)</f>
        <v>252389374.50999999</v>
      </c>
      <c r="G893" s="30">
        <f>SUM(G890:G892)</f>
        <v>1048000</v>
      </c>
    </row>
    <row r="894" spans="1:9" x14ac:dyDescent="0.25">
      <c r="A894" s="17"/>
      <c r="D894" s="19"/>
      <c r="G894" s="1"/>
    </row>
    <row r="895" spans="1:9" x14ac:dyDescent="0.25">
      <c r="A895" s="17"/>
      <c r="B895" s="24" t="s">
        <v>20</v>
      </c>
      <c r="D895" s="19"/>
      <c r="F895" s="28" t="s">
        <v>30</v>
      </c>
      <c r="G895" s="29">
        <f>G888-G893</f>
        <v>9245000</v>
      </c>
    </row>
    <row r="896" spans="1:9" x14ac:dyDescent="0.25">
      <c r="A896" s="17"/>
      <c r="C896" t="s">
        <v>7</v>
      </c>
      <c r="D896" s="19">
        <v>2235416550</v>
      </c>
    </row>
    <row r="897" spans="1:4" x14ac:dyDescent="0.25">
      <c r="A897" s="17"/>
      <c r="C897" t="s">
        <v>47</v>
      </c>
      <c r="D897" s="19">
        <v>8480000</v>
      </c>
    </row>
    <row r="898" spans="1:4" x14ac:dyDescent="0.25">
      <c r="A898" s="17"/>
      <c r="C898" t="s">
        <v>21</v>
      </c>
      <c r="D898" s="19">
        <v>669738500</v>
      </c>
    </row>
    <row r="899" spans="1:4" x14ac:dyDescent="0.25">
      <c r="A899" s="17"/>
      <c r="C899" t="s">
        <v>45</v>
      </c>
      <c r="D899" s="19">
        <v>25000000</v>
      </c>
    </row>
    <row r="900" spans="1:4" x14ac:dyDescent="0.25">
      <c r="A900" s="17"/>
      <c r="C900" t="s">
        <v>48</v>
      </c>
      <c r="D900" s="19">
        <v>30000000</v>
      </c>
    </row>
    <row r="901" spans="1:4" x14ac:dyDescent="0.25">
      <c r="A901" s="17"/>
      <c r="C901" t="s">
        <v>68</v>
      </c>
      <c r="D901" s="19">
        <v>141000000</v>
      </c>
    </row>
    <row r="902" spans="1:4" x14ac:dyDescent="0.25">
      <c r="A902" s="17"/>
      <c r="C902" t="s">
        <v>68</v>
      </c>
      <c r="D902" s="19">
        <v>145000000</v>
      </c>
    </row>
    <row r="903" spans="1:4" x14ac:dyDescent="0.25">
      <c r="A903" s="17"/>
      <c r="C903" t="s">
        <v>403</v>
      </c>
      <c r="D903" s="19">
        <v>17000000</v>
      </c>
    </row>
    <row r="904" spans="1:4" x14ac:dyDescent="0.25">
      <c r="A904" s="17"/>
      <c r="C904" t="s">
        <v>387</v>
      </c>
      <c r="D904" s="19">
        <v>160000000</v>
      </c>
    </row>
    <row r="905" spans="1:4" x14ac:dyDescent="0.25">
      <c r="A905" s="17"/>
      <c r="C905" t="s">
        <v>313</v>
      </c>
      <c r="D905" s="20">
        <v>10000000</v>
      </c>
    </row>
    <row r="906" spans="1:4" x14ac:dyDescent="0.25">
      <c r="A906" s="17"/>
      <c r="D906" s="19">
        <f>SUM(D896:D905)</f>
        <v>3441635050</v>
      </c>
    </row>
    <row r="907" spans="1:4" x14ac:dyDescent="0.25">
      <c r="A907" s="17"/>
      <c r="D907" s="19"/>
    </row>
    <row r="908" spans="1:4" x14ac:dyDescent="0.25">
      <c r="A908" s="17"/>
      <c r="B908" s="24" t="s">
        <v>46</v>
      </c>
      <c r="D908" s="19"/>
    </row>
    <row r="909" spans="1:4" x14ac:dyDescent="0.25">
      <c r="A909" s="17"/>
      <c r="C909" t="s">
        <v>427</v>
      </c>
      <c r="D909" s="19">
        <v>147612500</v>
      </c>
    </row>
    <row r="910" spans="1:4" x14ac:dyDescent="0.25">
      <c r="A910" s="17"/>
      <c r="C910" t="s">
        <v>126</v>
      </c>
      <c r="D910" s="19">
        <v>3615000</v>
      </c>
    </row>
    <row r="911" spans="1:4" x14ac:dyDescent="0.25">
      <c r="A911" s="17"/>
      <c r="C911" t="s">
        <v>426</v>
      </c>
      <c r="D911" s="20">
        <v>1205000</v>
      </c>
    </row>
    <row r="912" spans="1:4" x14ac:dyDescent="0.25">
      <c r="A912" s="17"/>
      <c r="D912" s="19">
        <f>SUM(D909:D911)</f>
        <v>152432500</v>
      </c>
    </row>
    <row r="913" spans="1:7" x14ac:dyDescent="0.25">
      <c r="A913" s="17"/>
      <c r="D913" s="19"/>
    </row>
    <row r="914" spans="1:7" x14ac:dyDescent="0.25">
      <c r="A914" s="23" t="s">
        <v>22</v>
      </c>
      <c r="D914" s="19"/>
    </row>
    <row r="915" spans="1:7" x14ac:dyDescent="0.25">
      <c r="A915" s="17"/>
      <c r="C915" t="s">
        <v>23</v>
      </c>
      <c r="D915" s="19">
        <v>900450000</v>
      </c>
    </row>
    <row r="916" spans="1:7" x14ac:dyDescent="0.25">
      <c r="A916" s="17"/>
      <c r="C916" t="s">
        <v>24</v>
      </c>
      <c r="D916" s="19">
        <v>1549259500</v>
      </c>
    </row>
    <row r="917" spans="1:7" x14ac:dyDescent="0.25">
      <c r="A917" s="17"/>
      <c r="C917" t="s">
        <v>44</v>
      </c>
      <c r="D917" s="19">
        <v>310225000</v>
      </c>
    </row>
    <row r="918" spans="1:7" x14ac:dyDescent="0.25">
      <c r="A918" s="17"/>
      <c r="C918" t="s">
        <v>430</v>
      </c>
      <c r="D918" s="19">
        <v>22325000</v>
      </c>
    </row>
    <row r="919" spans="1:7" x14ac:dyDescent="0.25">
      <c r="A919" s="17"/>
      <c r="C919" t="s">
        <v>111</v>
      </c>
      <c r="D919" s="20">
        <v>231800000</v>
      </c>
    </row>
    <row r="920" spans="1:7" x14ac:dyDescent="0.25">
      <c r="A920" s="17"/>
      <c r="D920" s="19">
        <f>SUM(D915:D919)</f>
        <v>3014059500</v>
      </c>
      <c r="G920" s="1"/>
    </row>
    <row r="921" spans="1:7" x14ac:dyDescent="0.25">
      <c r="A921" s="17"/>
      <c r="D921" s="19"/>
      <c r="G921" s="1"/>
    </row>
    <row r="922" spans="1:7" x14ac:dyDescent="0.25">
      <c r="A922" s="43" t="s">
        <v>25</v>
      </c>
      <c r="B922" s="44"/>
      <c r="C922" s="44"/>
      <c r="D922" s="25">
        <f>D893+D906+D912-D920</f>
        <v>832397424.51000023</v>
      </c>
      <c r="G922" s="1"/>
    </row>
    <row r="923" spans="1:7" x14ac:dyDescent="0.25">
      <c r="A923" s="21"/>
      <c r="B923" s="22"/>
      <c r="C923" s="22"/>
      <c r="D923" s="20"/>
      <c r="G923" s="1"/>
    </row>
    <row r="925" spans="1:7" x14ac:dyDescent="0.25">
      <c r="A925" s="40" t="s">
        <v>13</v>
      </c>
      <c r="B925" s="40"/>
      <c r="C925" s="40"/>
      <c r="D925" s="40"/>
      <c r="G925" s="1"/>
    </row>
    <row r="926" spans="1:7" x14ac:dyDescent="0.25">
      <c r="A926" s="41" t="s">
        <v>14</v>
      </c>
      <c r="B926" s="41"/>
      <c r="C926" s="41"/>
      <c r="D926" s="41"/>
      <c r="G926" s="1"/>
    </row>
    <row r="927" spans="1:7" x14ac:dyDescent="0.25">
      <c r="A927" s="42">
        <v>45741</v>
      </c>
      <c r="B927" s="42"/>
      <c r="C927" s="42"/>
      <c r="D927" s="42"/>
      <c r="G927" s="1"/>
    </row>
    <row r="928" spans="1:7" x14ac:dyDescent="0.25">
      <c r="A928" s="13"/>
      <c r="B928" s="13"/>
      <c r="C928" s="13"/>
      <c r="D928" s="13"/>
      <c r="G928" s="1"/>
    </row>
    <row r="929" spans="1:7" x14ac:dyDescent="0.25">
      <c r="A929" s="14"/>
      <c r="B929" s="15"/>
      <c r="C929" s="15"/>
      <c r="D929" s="16"/>
      <c r="F929" s="5" t="s">
        <v>26</v>
      </c>
      <c r="G929" s="1">
        <f>D970-D922</f>
        <v>-76589464.000000477</v>
      </c>
    </row>
    <row r="930" spans="1:7" x14ac:dyDescent="0.25">
      <c r="A930" s="17"/>
      <c r="D930" s="32" t="s">
        <v>16</v>
      </c>
      <c r="G930" s="1"/>
    </row>
    <row r="931" spans="1:7" x14ac:dyDescent="0.25">
      <c r="A931" s="23" t="s">
        <v>15</v>
      </c>
      <c r="D931" s="18" t="s">
        <v>17</v>
      </c>
      <c r="F931" s="26" t="s">
        <v>27</v>
      </c>
      <c r="G931" s="1"/>
    </row>
    <row r="932" spans="1:7" x14ac:dyDescent="0.25">
      <c r="A932" s="17"/>
      <c r="B932" s="24" t="s">
        <v>18</v>
      </c>
      <c r="D932" s="19"/>
      <c r="F932" s="27" t="s">
        <v>28</v>
      </c>
      <c r="G932" s="1"/>
    </row>
    <row r="933" spans="1:7" x14ac:dyDescent="0.25">
      <c r="A933" s="17"/>
      <c r="C933" s="2" t="s">
        <v>31</v>
      </c>
      <c r="D933" s="19">
        <v>226626726.11000001</v>
      </c>
      <c r="F933" t="s">
        <v>354</v>
      </c>
      <c r="G933" s="1">
        <v>8270000</v>
      </c>
    </row>
    <row r="934" spans="1:7" x14ac:dyDescent="0.25">
      <c r="A934" s="17"/>
      <c r="C934" s="2" t="s">
        <v>32</v>
      </c>
      <c r="D934" s="19">
        <v>72439492.400000006</v>
      </c>
      <c r="G934" s="30">
        <f>SUM(G933:G933)</f>
        <v>8270000</v>
      </c>
    </row>
    <row r="935" spans="1:7" x14ac:dyDescent="0.25">
      <c r="A935" s="17"/>
      <c r="C935" s="2" t="s">
        <v>33</v>
      </c>
      <c r="D935" s="19">
        <v>-298138336.60000002</v>
      </c>
      <c r="F935" s="28" t="s">
        <v>29</v>
      </c>
      <c r="G935" s="1"/>
    </row>
    <row r="936" spans="1:7" x14ac:dyDescent="0.25">
      <c r="A936" s="17"/>
      <c r="C936" s="2" t="s">
        <v>34</v>
      </c>
      <c r="D936" s="19">
        <v>905581</v>
      </c>
      <c r="F936" t="s">
        <v>2</v>
      </c>
      <c r="G936" s="1">
        <v>2250000</v>
      </c>
    </row>
    <row r="937" spans="1:7" x14ac:dyDescent="0.25">
      <c r="A937" s="17"/>
      <c r="C937" s="2" t="s">
        <v>35</v>
      </c>
      <c r="D937" s="19">
        <v>1605300</v>
      </c>
      <c r="F937" t="s">
        <v>247</v>
      </c>
      <c r="G937" s="1">
        <v>37333334</v>
      </c>
    </row>
    <row r="938" spans="1:7" x14ac:dyDescent="0.25">
      <c r="A938" s="17"/>
      <c r="C938" s="2" t="s">
        <v>36</v>
      </c>
      <c r="D938" s="19">
        <v>12895892.6</v>
      </c>
      <c r="F938" t="s">
        <v>356</v>
      </c>
      <c r="G938" s="1">
        <v>42795796</v>
      </c>
    </row>
    <row r="939" spans="1:7" x14ac:dyDescent="0.25">
      <c r="A939" s="17"/>
      <c r="C939" s="2" t="s">
        <v>37</v>
      </c>
      <c r="D939" s="19">
        <v>74299938</v>
      </c>
      <c r="F939" t="s">
        <v>248</v>
      </c>
      <c r="G939" s="1">
        <v>651000</v>
      </c>
    </row>
    <row r="940" spans="1:7" x14ac:dyDescent="0.25">
      <c r="A940" s="17"/>
      <c r="C940" s="2" t="s">
        <v>51</v>
      </c>
      <c r="D940" s="20">
        <v>130317</v>
      </c>
      <c r="F940" t="s">
        <v>248</v>
      </c>
      <c r="G940" s="1">
        <v>1829334</v>
      </c>
    </row>
    <row r="941" spans="1:7" x14ac:dyDescent="0.25">
      <c r="A941" s="17"/>
      <c r="B941" s="24" t="s">
        <v>19</v>
      </c>
      <c r="D941" s="19">
        <f>SUM(D933:D940)</f>
        <v>90764910.509999961</v>
      </c>
      <c r="G941" s="30">
        <f>SUM(G936:G940)</f>
        <v>84859464</v>
      </c>
    </row>
    <row r="942" spans="1:7" x14ac:dyDescent="0.25">
      <c r="A942" s="17"/>
      <c r="D942" s="19"/>
      <c r="G942" s="1"/>
    </row>
    <row r="943" spans="1:7" x14ac:dyDescent="0.25">
      <c r="A943" s="17"/>
      <c r="B943" s="24" t="s">
        <v>20</v>
      </c>
      <c r="D943" s="19"/>
      <c r="F943" s="28" t="s">
        <v>30</v>
      </c>
      <c r="G943" s="29">
        <f>G934-G941</f>
        <v>-76589464</v>
      </c>
    </row>
    <row r="944" spans="1:7" x14ac:dyDescent="0.25">
      <c r="A944" s="17"/>
      <c r="C944" t="s">
        <v>7</v>
      </c>
      <c r="D944" s="19">
        <v>2200776550</v>
      </c>
    </row>
    <row r="945" spans="1:4" x14ac:dyDescent="0.25">
      <c r="A945" s="17"/>
      <c r="C945" t="s">
        <v>47</v>
      </c>
      <c r="D945" s="19">
        <v>8480000</v>
      </c>
    </row>
    <row r="946" spans="1:4" x14ac:dyDescent="0.25">
      <c r="A946" s="17"/>
      <c r="C946" t="s">
        <v>21</v>
      </c>
      <c r="D946" s="19">
        <v>748838500</v>
      </c>
    </row>
    <row r="947" spans="1:4" x14ac:dyDescent="0.25">
      <c r="A947" s="17"/>
      <c r="C947" t="s">
        <v>45</v>
      </c>
      <c r="D947" s="19">
        <v>25000000</v>
      </c>
    </row>
    <row r="948" spans="1:4" x14ac:dyDescent="0.25">
      <c r="A948" s="17"/>
      <c r="C948" t="s">
        <v>48</v>
      </c>
      <c r="D948" s="19">
        <v>30000000</v>
      </c>
    </row>
    <row r="949" spans="1:4" x14ac:dyDescent="0.25">
      <c r="A949" s="17"/>
      <c r="C949" t="s">
        <v>68</v>
      </c>
      <c r="D949" s="19">
        <v>141000000</v>
      </c>
    </row>
    <row r="950" spans="1:4" x14ac:dyDescent="0.25">
      <c r="A950" s="17"/>
      <c r="C950" t="s">
        <v>68</v>
      </c>
      <c r="D950" s="19">
        <v>145000000</v>
      </c>
    </row>
    <row r="951" spans="1:4" x14ac:dyDescent="0.25">
      <c r="A951" s="17"/>
      <c r="C951" t="s">
        <v>403</v>
      </c>
      <c r="D951" s="19">
        <v>17000000</v>
      </c>
    </row>
    <row r="952" spans="1:4" x14ac:dyDescent="0.25">
      <c r="A952" s="17"/>
      <c r="C952" t="s">
        <v>387</v>
      </c>
      <c r="D952" s="19">
        <v>160000000</v>
      </c>
    </row>
    <row r="953" spans="1:4" x14ac:dyDescent="0.25">
      <c r="A953" s="17"/>
      <c r="C953" t="s">
        <v>313</v>
      </c>
      <c r="D953" s="20">
        <v>10000000</v>
      </c>
    </row>
    <row r="954" spans="1:4" x14ac:dyDescent="0.25">
      <c r="A954" s="17"/>
      <c r="D954" s="19">
        <f>SUM(D944:D953)</f>
        <v>3486095050</v>
      </c>
    </row>
    <row r="955" spans="1:4" x14ac:dyDescent="0.25">
      <c r="A955" s="17"/>
      <c r="D955" s="19"/>
    </row>
    <row r="956" spans="1:4" x14ac:dyDescent="0.25">
      <c r="A956" s="17"/>
      <c r="B956" s="24" t="s">
        <v>46</v>
      </c>
      <c r="D956" s="19"/>
    </row>
    <row r="957" spans="1:4" x14ac:dyDescent="0.25">
      <c r="A957" s="17"/>
      <c r="C957" t="s">
        <v>427</v>
      </c>
      <c r="D957" s="19">
        <v>147612500</v>
      </c>
    </row>
    <row r="958" spans="1:4" x14ac:dyDescent="0.25">
      <c r="A958" s="17"/>
      <c r="C958" t="s">
        <v>126</v>
      </c>
      <c r="D958" s="19">
        <v>3615000</v>
      </c>
    </row>
    <row r="959" spans="1:4" x14ac:dyDescent="0.25">
      <c r="A959" s="17"/>
      <c r="C959" t="s">
        <v>426</v>
      </c>
      <c r="D959" s="20">
        <v>1205000</v>
      </c>
    </row>
    <row r="960" spans="1:4" x14ac:dyDescent="0.25">
      <c r="A960" s="17"/>
      <c r="D960" s="19">
        <f>SUM(D957:D959)</f>
        <v>152432500</v>
      </c>
    </row>
    <row r="961" spans="1:7" x14ac:dyDescent="0.25">
      <c r="A961" s="17"/>
      <c r="D961" s="19"/>
    </row>
    <row r="962" spans="1:7" x14ac:dyDescent="0.25">
      <c r="A962" s="23" t="s">
        <v>22</v>
      </c>
      <c r="D962" s="19"/>
    </row>
    <row r="963" spans="1:7" x14ac:dyDescent="0.25">
      <c r="A963" s="17"/>
      <c r="C963" t="s">
        <v>23</v>
      </c>
      <c r="D963" s="19">
        <v>880900000</v>
      </c>
    </row>
    <row r="964" spans="1:7" x14ac:dyDescent="0.25">
      <c r="A964" s="17"/>
      <c r="C964" t="s">
        <v>24</v>
      </c>
      <c r="D964" s="19">
        <v>1549259500</v>
      </c>
    </row>
    <row r="965" spans="1:7" x14ac:dyDescent="0.25">
      <c r="A965" s="17"/>
      <c r="C965" t="s">
        <v>44</v>
      </c>
      <c r="D965" s="19">
        <v>215850000</v>
      </c>
    </row>
    <row r="966" spans="1:7" x14ac:dyDescent="0.25">
      <c r="A966" s="17"/>
      <c r="C966" t="s">
        <v>432</v>
      </c>
      <c r="D966" s="19">
        <v>95675000</v>
      </c>
    </row>
    <row r="967" spans="1:7" x14ac:dyDescent="0.25">
      <c r="A967" s="17"/>
      <c r="C967" t="s">
        <v>111</v>
      </c>
      <c r="D967" s="20">
        <v>231800000</v>
      </c>
    </row>
    <row r="968" spans="1:7" x14ac:dyDescent="0.25">
      <c r="A968" s="17"/>
      <c r="D968" s="19">
        <f>SUM(D963:D967)</f>
        <v>2973484500</v>
      </c>
      <c r="G968" s="1"/>
    </row>
    <row r="969" spans="1:7" x14ac:dyDescent="0.25">
      <c r="A969" s="17"/>
      <c r="D969" s="19"/>
      <c r="G969" s="1"/>
    </row>
    <row r="970" spans="1:7" x14ac:dyDescent="0.25">
      <c r="A970" s="43" t="s">
        <v>25</v>
      </c>
      <c r="B970" s="44"/>
      <c r="C970" s="44"/>
      <c r="D970" s="25">
        <f>D941+D954+D960-D968</f>
        <v>755807960.50999975</v>
      </c>
      <c r="G970" s="1"/>
    </row>
    <row r="971" spans="1:7" x14ac:dyDescent="0.25">
      <c r="A971" s="21"/>
      <c r="B971" s="22"/>
      <c r="C971" s="22"/>
      <c r="D971" s="20"/>
      <c r="G971" s="1"/>
    </row>
    <row r="973" spans="1:7" x14ac:dyDescent="0.25">
      <c r="A973" s="40" t="s">
        <v>13</v>
      </c>
      <c r="B973" s="40"/>
      <c r="C973" s="40"/>
      <c r="D973" s="40"/>
      <c r="G973" s="1"/>
    </row>
    <row r="974" spans="1:7" x14ac:dyDescent="0.25">
      <c r="A974" s="41" t="s">
        <v>14</v>
      </c>
      <c r="B974" s="41"/>
      <c r="C974" s="41"/>
      <c r="D974" s="41"/>
      <c r="G974" s="1"/>
    </row>
    <row r="975" spans="1:7" x14ac:dyDescent="0.25">
      <c r="A975" s="42">
        <v>45742</v>
      </c>
      <c r="B975" s="42"/>
      <c r="C975" s="42"/>
      <c r="D975" s="42"/>
      <c r="G975" s="1"/>
    </row>
    <row r="976" spans="1:7" x14ac:dyDescent="0.25">
      <c r="A976" s="13"/>
      <c r="B976" s="13"/>
      <c r="C976" s="13"/>
      <c r="D976" s="13"/>
      <c r="G976" s="1"/>
    </row>
    <row r="977" spans="1:7" x14ac:dyDescent="0.25">
      <c r="A977" s="14"/>
      <c r="B977" s="15"/>
      <c r="C977" s="15"/>
      <c r="D977" s="16"/>
      <c r="F977" s="5" t="s">
        <v>26</v>
      </c>
      <c r="G977" s="1">
        <f>D1018-D970</f>
        <v>-3848199.9999995232</v>
      </c>
    </row>
    <row r="978" spans="1:7" x14ac:dyDescent="0.25">
      <c r="A978" s="17"/>
      <c r="D978" s="32" t="s">
        <v>16</v>
      </c>
      <c r="G978" s="1"/>
    </row>
    <row r="979" spans="1:7" x14ac:dyDescent="0.25">
      <c r="A979" s="23" t="s">
        <v>15</v>
      </c>
      <c r="D979" s="18" t="s">
        <v>17</v>
      </c>
      <c r="F979" s="26" t="s">
        <v>27</v>
      </c>
      <c r="G979" s="1"/>
    </row>
    <row r="980" spans="1:7" x14ac:dyDescent="0.25">
      <c r="A980" s="17"/>
      <c r="B980" s="24" t="s">
        <v>18</v>
      </c>
      <c r="D980" s="19"/>
      <c r="F980" s="27" t="s">
        <v>28</v>
      </c>
      <c r="G980" s="1"/>
    </row>
    <row r="981" spans="1:7" x14ac:dyDescent="0.25">
      <c r="A981" s="17"/>
      <c r="C981" s="2" t="s">
        <v>31</v>
      </c>
      <c r="D981" s="19">
        <v>297244126.11000001</v>
      </c>
      <c r="F981" t="s">
        <v>359</v>
      </c>
      <c r="G981" s="1">
        <v>11306500</v>
      </c>
    </row>
    <row r="982" spans="1:7" x14ac:dyDescent="0.25">
      <c r="A982" s="17"/>
      <c r="C982" s="2" t="s">
        <v>32</v>
      </c>
      <c r="D982" s="19">
        <v>72439492.400000006</v>
      </c>
      <c r="F982" t="s">
        <v>433</v>
      </c>
      <c r="G982" s="1">
        <v>86000</v>
      </c>
    </row>
    <row r="983" spans="1:7" x14ac:dyDescent="0.25">
      <c r="A983" s="17"/>
      <c r="C983" s="2" t="s">
        <v>33</v>
      </c>
      <c r="D983" s="19">
        <v>-156402336.59999999</v>
      </c>
      <c r="F983" t="s">
        <v>407</v>
      </c>
      <c r="G983" s="1">
        <v>26975</v>
      </c>
    </row>
    <row r="984" spans="1:7" x14ac:dyDescent="0.25">
      <c r="A984" s="17"/>
      <c r="C984" s="2" t="s">
        <v>34</v>
      </c>
      <c r="D984" s="19">
        <v>643081</v>
      </c>
      <c r="G984" s="30">
        <f>SUM(G981:G983)</f>
        <v>11419475</v>
      </c>
    </row>
    <row r="985" spans="1:7" x14ac:dyDescent="0.25">
      <c r="A985" s="17"/>
      <c r="C985" s="2" t="s">
        <v>35</v>
      </c>
      <c r="D985" s="19">
        <v>1605300</v>
      </c>
      <c r="F985" s="28" t="s">
        <v>29</v>
      </c>
      <c r="G985" s="1"/>
    </row>
    <row r="986" spans="1:7" x14ac:dyDescent="0.25">
      <c r="A986" s="17"/>
      <c r="C986" s="2" t="s">
        <v>36</v>
      </c>
      <c r="D986" s="19">
        <v>12895892.6</v>
      </c>
      <c r="F986" t="s">
        <v>112</v>
      </c>
      <c r="G986" s="1">
        <v>15000000</v>
      </c>
    </row>
    <row r="987" spans="1:7" x14ac:dyDescent="0.25">
      <c r="A987" s="17"/>
      <c r="C987" s="2" t="s">
        <v>37</v>
      </c>
      <c r="D987" s="19">
        <v>157434938</v>
      </c>
      <c r="F987" t="s">
        <v>436</v>
      </c>
      <c r="G987" s="1">
        <v>178450</v>
      </c>
    </row>
    <row r="988" spans="1:7" x14ac:dyDescent="0.25">
      <c r="A988" s="17"/>
      <c r="C988" s="2" t="s">
        <v>51</v>
      </c>
      <c r="D988" s="20">
        <v>130317</v>
      </c>
      <c r="F988" t="s">
        <v>436</v>
      </c>
      <c r="G988" s="1">
        <v>89225</v>
      </c>
    </row>
    <row r="989" spans="1:7" x14ac:dyDescent="0.25">
      <c r="A989" s="17"/>
      <c r="B989" s="24" t="s">
        <v>19</v>
      </c>
      <c r="D989" s="19">
        <f>SUM(D981:D988)</f>
        <v>385990810.50999999</v>
      </c>
      <c r="G989" s="30">
        <f>SUM(G986:G988)</f>
        <v>15267675</v>
      </c>
    </row>
    <row r="990" spans="1:7" x14ac:dyDescent="0.25">
      <c r="A990" s="17"/>
      <c r="D990" s="19"/>
      <c r="G990" s="1"/>
    </row>
    <row r="991" spans="1:7" x14ac:dyDescent="0.25">
      <c r="A991" s="17"/>
      <c r="B991" s="24" t="s">
        <v>20</v>
      </c>
      <c r="D991" s="19"/>
      <c r="F991" s="28" t="s">
        <v>30</v>
      </c>
      <c r="G991" s="29">
        <f>G984-G989</f>
        <v>-3848200</v>
      </c>
    </row>
    <row r="992" spans="1:7" x14ac:dyDescent="0.25">
      <c r="A992" s="17"/>
      <c r="C992" t="s">
        <v>7</v>
      </c>
      <c r="D992" s="19">
        <v>2263318450</v>
      </c>
    </row>
    <row r="993" spans="1:4" x14ac:dyDescent="0.25">
      <c r="A993" s="17"/>
      <c r="C993" t="s">
        <v>47</v>
      </c>
      <c r="D993" s="19">
        <v>8480000</v>
      </c>
    </row>
    <row r="994" spans="1:4" x14ac:dyDescent="0.25">
      <c r="A994" s="17"/>
      <c r="C994" t="s">
        <v>21</v>
      </c>
      <c r="D994" s="19">
        <v>870428500</v>
      </c>
    </row>
    <row r="995" spans="1:4" x14ac:dyDescent="0.25">
      <c r="A995" s="17"/>
      <c r="C995" t="s">
        <v>45</v>
      </c>
      <c r="D995" s="19">
        <v>25000000</v>
      </c>
    </row>
    <row r="996" spans="1:4" x14ac:dyDescent="0.25">
      <c r="A996" s="17"/>
      <c r="C996" t="s">
        <v>48</v>
      </c>
      <c r="D996" s="19">
        <v>30000000</v>
      </c>
    </row>
    <row r="997" spans="1:4" x14ac:dyDescent="0.25">
      <c r="A997" s="17"/>
      <c r="C997" t="s">
        <v>68</v>
      </c>
      <c r="D997" s="19">
        <v>141000000</v>
      </c>
    </row>
    <row r="998" spans="1:4" x14ac:dyDescent="0.25">
      <c r="A998" s="17"/>
      <c r="C998" t="s">
        <v>68</v>
      </c>
      <c r="D998" s="19">
        <v>145000000</v>
      </c>
    </row>
    <row r="999" spans="1:4" x14ac:dyDescent="0.25">
      <c r="A999" s="17"/>
      <c r="C999" t="s">
        <v>403</v>
      </c>
      <c r="D999" s="19">
        <v>17000000</v>
      </c>
    </row>
    <row r="1000" spans="1:4" x14ac:dyDescent="0.25">
      <c r="A1000" s="17"/>
      <c r="C1000" t="s">
        <v>387</v>
      </c>
      <c r="D1000" s="19">
        <v>160000000</v>
      </c>
    </row>
    <row r="1001" spans="1:4" x14ac:dyDescent="0.25">
      <c r="A1001" s="17"/>
      <c r="C1001" t="s">
        <v>313</v>
      </c>
      <c r="D1001" s="20">
        <v>10000000</v>
      </c>
    </row>
    <row r="1002" spans="1:4" x14ac:dyDescent="0.25">
      <c r="A1002" s="17"/>
      <c r="D1002" s="19">
        <f>SUM(D992:D1001)</f>
        <v>3670226950</v>
      </c>
    </row>
    <row r="1003" spans="1:4" x14ac:dyDescent="0.25">
      <c r="A1003" s="17"/>
      <c r="D1003" s="19"/>
    </row>
    <row r="1004" spans="1:4" x14ac:dyDescent="0.25">
      <c r="A1004" s="17"/>
      <c r="B1004" s="24" t="s">
        <v>46</v>
      </c>
      <c r="D1004" s="19"/>
    </row>
    <row r="1005" spans="1:4" x14ac:dyDescent="0.25">
      <c r="A1005" s="17"/>
      <c r="C1005" t="s">
        <v>427</v>
      </c>
      <c r="D1005" s="19">
        <v>147612500</v>
      </c>
    </row>
    <row r="1006" spans="1:4" x14ac:dyDescent="0.25">
      <c r="A1006" s="17"/>
      <c r="C1006" t="s">
        <v>126</v>
      </c>
      <c r="D1006" s="19">
        <v>3615000</v>
      </c>
    </row>
    <row r="1007" spans="1:4" x14ac:dyDescent="0.25">
      <c r="A1007" s="17"/>
      <c r="C1007" t="s">
        <v>426</v>
      </c>
      <c r="D1007" s="20">
        <v>1205000</v>
      </c>
    </row>
    <row r="1008" spans="1:4" x14ac:dyDescent="0.25">
      <c r="A1008" s="17"/>
      <c r="D1008" s="19">
        <f>SUM(D1005:D1007)</f>
        <v>152432500</v>
      </c>
    </row>
    <row r="1009" spans="1:7" x14ac:dyDescent="0.25">
      <c r="A1009" s="17"/>
      <c r="D1009" s="19"/>
    </row>
    <row r="1010" spans="1:7" x14ac:dyDescent="0.25">
      <c r="A1010" s="23" t="s">
        <v>22</v>
      </c>
      <c r="D1010" s="19"/>
    </row>
    <row r="1011" spans="1:7" x14ac:dyDescent="0.25">
      <c r="A1011" s="17"/>
      <c r="C1011" t="s">
        <v>23</v>
      </c>
      <c r="D1011" s="19">
        <v>955600000</v>
      </c>
    </row>
    <row r="1012" spans="1:7" x14ac:dyDescent="0.25">
      <c r="A1012" s="17"/>
      <c r="C1012" t="s">
        <v>24</v>
      </c>
      <c r="D1012" s="19">
        <v>1832615500</v>
      </c>
    </row>
    <row r="1013" spans="1:7" x14ac:dyDescent="0.25">
      <c r="A1013" s="17"/>
      <c r="C1013" t="s">
        <v>44</v>
      </c>
      <c r="D1013" s="19">
        <v>361975000</v>
      </c>
    </row>
    <row r="1014" spans="1:7" x14ac:dyDescent="0.25">
      <c r="A1014" s="17"/>
      <c r="C1014" t="s">
        <v>435</v>
      </c>
      <c r="D1014" s="19">
        <v>74700000</v>
      </c>
    </row>
    <row r="1015" spans="1:7" x14ac:dyDescent="0.25">
      <c r="A1015" s="17"/>
      <c r="C1015" t="s">
        <v>111</v>
      </c>
      <c r="D1015" s="20">
        <v>231800000</v>
      </c>
    </row>
    <row r="1016" spans="1:7" x14ac:dyDescent="0.25">
      <c r="A1016" s="17"/>
      <c r="D1016" s="19">
        <f>SUM(D1011:D1015)</f>
        <v>3456690500</v>
      </c>
      <c r="G1016" s="1"/>
    </row>
    <row r="1017" spans="1:7" x14ac:dyDescent="0.25">
      <c r="A1017" s="17"/>
      <c r="D1017" s="19"/>
      <c r="G1017" s="1"/>
    </row>
    <row r="1018" spans="1:7" x14ac:dyDescent="0.25">
      <c r="A1018" s="43" t="s">
        <v>25</v>
      </c>
      <c r="B1018" s="44"/>
      <c r="C1018" s="44"/>
      <c r="D1018" s="25">
        <f>D989+D1002+D1008-D1016</f>
        <v>751959760.51000023</v>
      </c>
      <c r="G1018" s="1"/>
    </row>
    <row r="1019" spans="1:7" x14ac:dyDescent="0.25">
      <c r="A1019" s="21"/>
      <c r="B1019" s="22"/>
      <c r="C1019" s="22"/>
      <c r="D1019" s="20"/>
      <c r="G1019" s="1"/>
    </row>
    <row r="1021" spans="1:7" x14ac:dyDescent="0.25">
      <c r="A1021" s="40" t="s">
        <v>13</v>
      </c>
      <c r="B1021" s="40"/>
      <c r="C1021" s="40"/>
      <c r="D1021" s="40"/>
      <c r="G1021" s="1"/>
    </row>
    <row r="1022" spans="1:7" x14ac:dyDescent="0.25">
      <c r="A1022" s="41" t="s">
        <v>14</v>
      </c>
      <c r="B1022" s="41"/>
      <c r="C1022" s="41"/>
      <c r="D1022" s="41"/>
      <c r="G1022" s="1"/>
    </row>
    <row r="1023" spans="1:7" x14ac:dyDescent="0.25">
      <c r="A1023" s="42">
        <v>45743</v>
      </c>
      <c r="B1023" s="42"/>
      <c r="C1023" s="42"/>
      <c r="D1023" s="42"/>
      <c r="G1023" s="1"/>
    </row>
    <row r="1024" spans="1:7" x14ac:dyDescent="0.25">
      <c r="A1024" s="13"/>
      <c r="B1024" s="13"/>
      <c r="C1024" s="13"/>
      <c r="D1024" s="13"/>
      <c r="G1024" s="1"/>
    </row>
    <row r="1025" spans="1:7" x14ac:dyDescent="0.25">
      <c r="A1025" s="14"/>
      <c r="B1025" s="15"/>
      <c r="C1025" s="15"/>
      <c r="D1025" s="16"/>
      <c r="F1025" s="5" t="s">
        <v>26</v>
      </c>
      <c r="G1025" s="1">
        <f>D1065-D1018</f>
        <v>-41723500.000000477</v>
      </c>
    </row>
    <row r="1026" spans="1:7" x14ac:dyDescent="0.25">
      <c r="A1026" s="17"/>
      <c r="D1026" s="32" t="s">
        <v>16</v>
      </c>
      <c r="G1026" s="1"/>
    </row>
    <row r="1027" spans="1:7" x14ac:dyDescent="0.25">
      <c r="A1027" s="23" t="s">
        <v>15</v>
      </c>
      <c r="D1027" s="18" t="s">
        <v>17</v>
      </c>
      <c r="F1027" s="26" t="s">
        <v>27</v>
      </c>
      <c r="G1027" s="1"/>
    </row>
    <row r="1028" spans="1:7" x14ac:dyDescent="0.25">
      <c r="A1028" s="17"/>
      <c r="B1028" s="24" t="s">
        <v>18</v>
      </c>
      <c r="D1028" s="19"/>
      <c r="F1028" s="27" t="s">
        <v>28</v>
      </c>
      <c r="G1028" s="1"/>
    </row>
    <row r="1029" spans="1:7" x14ac:dyDescent="0.25">
      <c r="A1029" s="17"/>
      <c r="C1029" s="2" t="s">
        <v>31</v>
      </c>
      <c r="D1029" s="19">
        <v>76244126.109999999</v>
      </c>
      <c r="F1029" t="s">
        <v>360</v>
      </c>
      <c r="G1029" s="1">
        <v>8656500</v>
      </c>
    </row>
    <row r="1030" spans="1:7" x14ac:dyDescent="0.25">
      <c r="A1030" s="17"/>
      <c r="C1030" s="2" t="s">
        <v>32</v>
      </c>
      <c r="D1030" s="19">
        <v>78809492.400000006</v>
      </c>
      <c r="F1030" t="s">
        <v>90</v>
      </c>
      <c r="G1030" s="1">
        <v>280000</v>
      </c>
    </row>
    <row r="1031" spans="1:7" x14ac:dyDescent="0.25">
      <c r="A1031" s="17"/>
      <c r="C1031" s="2" t="s">
        <v>33</v>
      </c>
      <c r="D1031" s="19">
        <v>-337833836.60000002</v>
      </c>
      <c r="G1031" s="30">
        <f>SUM(G1029:G1030)</f>
        <v>8936500</v>
      </c>
    </row>
    <row r="1032" spans="1:7" x14ac:dyDescent="0.25">
      <c r="A1032" s="17"/>
      <c r="C1032" s="2" t="s">
        <v>34</v>
      </c>
      <c r="D1032" s="19">
        <v>638081</v>
      </c>
      <c r="F1032" s="28" t="s">
        <v>29</v>
      </c>
      <c r="G1032" s="1"/>
    </row>
    <row r="1033" spans="1:7" x14ac:dyDescent="0.25">
      <c r="A1033" s="17"/>
      <c r="C1033" s="2" t="s">
        <v>35</v>
      </c>
      <c r="D1033" s="19">
        <v>1605300</v>
      </c>
      <c r="F1033" t="s">
        <v>161</v>
      </c>
      <c r="G1033" s="1">
        <v>2500</v>
      </c>
    </row>
    <row r="1034" spans="1:7" x14ac:dyDescent="0.25">
      <c r="A1034" s="17"/>
      <c r="C1034" s="2" t="s">
        <v>36</v>
      </c>
      <c r="D1034" s="19">
        <v>12895892.6</v>
      </c>
      <c r="F1034" t="s">
        <v>49</v>
      </c>
      <c r="G1034" s="1">
        <v>7500</v>
      </c>
    </row>
    <row r="1035" spans="1:7" x14ac:dyDescent="0.25">
      <c r="A1035" s="17"/>
      <c r="C1035" s="2" t="s">
        <v>37</v>
      </c>
      <c r="D1035" s="19">
        <v>-36562562</v>
      </c>
      <c r="F1035" t="s">
        <v>438</v>
      </c>
      <c r="G1035" s="1">
        <v>28100000</v>
      </c>
    </row>
    <row r="1036" spans="1:7" x14ac:dyDescent="0.25">
      <c r="A1036" s="17"/>
      <c r="C1036" s="2" t="s">
        <v>51</v>
      </c>
      <c r="D1036" s="20">
        <v>130317</v>
      </c>
      <c r="F1036" t="s">
        <v>439</v>
      </c>
      <c r="G1036" s="1">
        <v>2300000</v>
      </c>
    </row>
    <row r="1037" spans="1:7" x14ac:dyDescent="0.25">
      <c r="A1037" s="17"/>
      <c r="B1037" s="24" t="s">
        <v>19</v>
      </c>
      <c r="D1037" s="19">
        <f>SUM(D1029:D1036)</f>
        <v>-204073189.49000004</v>
      </c>
      <c r="F1037" t="s">
        <v>440</v>
      </c>
      <c r="G1037" s="1">
        <v>18000000</v>
      </c>
    </row>
    <row r="1038" spans="1:7" x14ac:dyDescent="0.25">
      <c r="A1038" s="17"/>
      <c r="D1038" s="19"/>
      <c r="F1038" t="s">
        <v>104</v>
      </c>
      <c r="G1038" s="1">
        <v>2250000</v>
      </c>
    </row>
    <row r="1039" spans="1:7" x14ac:dyDescent="0.25">
      <c r="A1039" s="17"/>
      <c r="B1039" s="24" t="s">
        <v>20</v>
      </c>
      <c r="D1039" s="19"/>
      <c r="G1039" s="30">
        <f>SUM(G1033:G1038)</f>
        <v>50660000</v>
      </c>
    </row>
    <row r="1040" spans="1:7" x14ac:dyDescent="0.25">
      <c r="A1040" s="17"/>
      <c r="C1040" t="s">
        <v>7</v>
      </c>
      <c r="D1040" s="19">
        <v>2482580950</v>
      </c>
      <c r="G1040" s="1"/>
    </row>
    <row r="1041" spans="1:7" x14ac:dyDescent="0.25">
      <c r="A1041" s="17"/>
      <c r="C1041" t="s">
        <v>47</v>
      </c>
      <c r="D1041" s="19">
        <v>7210000</v>
      </c>
      <c r="F1041" s="28" t="s">
        <v>30</v>
      </c>
      <c r="G1041" s="29">
        <f>G1031-G1039</f>
        <v>-41723500</v>
      </c>
    </row>
    <row r="1042" spans="1:7" x14ac:dyDescent="0.25">
      <c r="A1042" s="17"/>
      <c r="C1042" t="s">
        <v>21</v>
      </c>
      <c r="D1042" s="19">
        <v>838493500</v>
      </c>
    </row>
    <row r="1043" spans="1:7" x14ac:dyDescent="0.25">
      <c r="A1043" s="17"/>
      <c r="C1043" t="s">
        <v>45</v>
      </c>
      <c r="D1043" s="19">
        <v>25000000</v>
      </c>
    </row>
    <row r="1044" spans="1:7" x14ac:dyDescent="0.25">
      <c r="A1044" s="17"/>
      <c r="C1044" t="s">
        <v>48</v>
      </c>
      <c r="D1044" s="19">
        <v>30000000</v>
      </c>
    </row>
    <row r="1045" spans="1:7" x14ac:dyDescent="0.25">
      <c r="A1045" s="17"/>
      <c r="C1045" t="s">
        <v>68</v>
      </c>
      <c r="D1045" s="19">
        <v>141000000</v>
      </c>
    </row>
    <row r="1046" spans="1:7" x14ac:dyDescent="0.25">
      <c r="A1046" s="17"/>
      <c r="C1046" t="s">
        <v>68</v>
      </c>
      <c r="D1046" s="19">
        <v>145000000</v>
      </c>
    </row>
    <row r="1047" spans="1:7" x14ac:dyDescent="0.25">
      <c r="A1047" s="17"/>
      <c r="C1047" t="s">
        <v>403</v>
      </c>
      <c r="D1047" s="19">
        <v>17000000</v>
      </c>
    </row>
    <row r="1048" spans="1:7" x14ac:dyDescent="0.25">
      <c r="A1048" s="17"/>
      <c r="C1048" t="s">
        <v>387</v>
      </c>
      <c r="D1048" s="19">
        <v>160000000</v>
      </c>
    </row>
    <row r="1049" spans="1:7" x14ac:dyDescent="0.25">
      <c r="A1049" s="17"/>
      <c r="C1049" t="s">
        <v>313</v>
      </c>
      <c r="D1049" s="20">
        <v>10000000</v>
      </c>
    </row>
    <row r="1050" spans="1:7" x14ac:dyDescent="0.25">
      <c r="A1050" s="17"/>
      <c r="D1050" s="19">
        <f>SUM(D1040:D1049)</f>
        <v>3856284450</v>
      </c>
    </row>
    <row r="1051" spans="1:7" x14ac:dyDescent="0.25">
      <c r="A1051" s="17"/>
      <c r="D1051" s="19"/>
    </row>
    <row r="1052" spans="1:7" x14ac:dyDescent="0.25">
      <c r="A1052" s="17"/>
      <c r="B1052" s="24" t="s">
        <v>46</v>
      </c>
      <c r="D1052" s="19"/>
    </row>
    <row r="1053" spans="1:7" x14ac:dyDescent="0.25">
      <c r="A1053" s="17"/>
      <c r="C1053" t="s">
        <v>437</v>
      </c>
      <c r="D1053" s="19">
        <v>146407500</v>
      </c>
    </row>
    <row r="1054" spans="1:7" x14ac:dyDescent="0.25">
      <c r="A1054" s="17"/>
      <c r="C1054" t="s">
        <v>426</v>
      </c>
      <c r="D1054" s="20">
        <v>1205000</v>
      </c>
    </row>
    <row r="1055" spans="1:7" x14ac:dyDescent="0.25">
      <c r="A1055" s="17"/>
      <c r="D1055" s="19">
        <f>SUM(D1053:D1054)</f>
        <v>147612500</v>
      </c>
    </row>
    <row r="1056" spans="1:7" x14ac:dyDescent="0.25">
      <c r="A1056" s="17"/>
      <c r="D1056" s="19"/>
    </row>
    <row r="1057" spans="1:7" x14ac:dyDescent="0.25">
      <c r="A1057" s="23" t="s">
        <v>22</v>
      </c>
      <c r="D1057" s="19"/>
    </row>
    <row r="1058" spans="1:7" x14ac:dyDescent="0.25">
      <c r="A1058" s="17"/>
      <c r="C1058" t="s">
        <v>23</v>
      </c>
      <c r="D1058" s="19">
        <v>884500000</v>
      </c>
    </row>
    <row r="1059" spans="1:7" x14ac:dyDescent="0.25">
      <c r="A1059" s="17"/>
      <c r="C1059" t="s">
        <v>24</v>
      </c>
      <c r="D1059" s="19">
        <v>1584837500</v>
      </c>
    </row>
    <row r="1060" spans="1:7" x14ac:dyDescent="0.25">
      <c r="A1060" s="17"/>
      <c r="C1060" t="s">
        <v>44</v>
      </c>
      <c r="D1060" s="19">
        <v>313750000</v>
      </c>
    </row>
    <row r="1061" spans="1:7" x14ac:dyDescent="0.25">
      <c r="A1061" s="17"/>
      <c r="C1061" t="s">
        <v>435</v>
      </c>
      <c r="D1061" s="19">
        <v>74700000</v>
      </c>
    </row>
    <row r="1062" spans="1:7" x14ac:dyDescent="0.25">
      <c r="A1062" s="17"/>
      <c r="C1062" t="s">
        <v>111</v>
      </c>
      <c r="D1062" s="20">
        <v>231800000</v>
      </c>
    </row>
    <row r="1063" spans="1:7" x14ac:dyDescent="0.25">
      <c r="A1063" s="17"/>
      <c r="D1063" s="19">
        <f>SUM(D1058:D1062)</f>
        <v>3089587500</v>
      </c>
      <c r="G1063" s="1"/>
    </row>
    <row r="1064" spans="1:7" x14ac:dyDescent="0.25">
      <c r="A1064" s="17"/>
      <c r="D1064" s="19"/>
      <c r="G1064" s="1"/>
    </row>
    <row r="1065" spans="1:7" x14ac:dyDescent="0.25">
      <c r="A1065" s="43" t="s">
        <v>25</v>
      </c>
      <c r="B1065" s="44"/>
      <c r="C1065" s="44"/>
      <c r="D1065" s="25">
        <f>D1037+D1050+D1055-D1063</f>
        <v>710236260.50999975</v>
      </c>
      <c r="G1065" s="1"/>
    </row>
    <row r="1066" spans="1:7" x14ac:dyDescent="0.25">
      <c r="A1066" s="21"/>
      <c r="B1066" s="22"/>
      <c r="C1066" s="22"/>
      <c r="D1066" s="20"/>
      <c r="G1066" s="1"/>
    </row>
    <row r="1068" spans="1:7" x14ac:dyDescent="0.25">
      <c r="A1068" s="40" t="s">
        <v>13</v>
      </c>
      <c r="B1068" s="40"/>
      <c r="C1068" s="40"/>
      <c r="D1068" s="40"/>
      <c r="G1068" s="1"/>
    </row>
    <row r="1069" spans="1:7" x14ac:dyDescent="0.25">
      <c r="A1069" s="41" t="s">
        <v>14</v>
      </c>
      <c r="B1069" s="41"/>
      <c r="C1069" s="41"/>
      <c r="D1069" s="41"/>
      <c r="G1069" s="1"/>
    </row>
    <row r="1070" spans="1:7" x14ac:dyDescent="0.25">
      <c r="A1070" s="42">
        <v>45744</v>
      </c>
      <c r="B1070" s="42"/>
      <c r="C1070" s="42"/>
      <c r="D1070" s="42"/>
      <c r="G1070" s="1"/>
    </row>
    <row r="1071" spans="1:7" x14ac:dyDescent="0.25">
      <c r="A1071" s="13"/>
      <c r="B1071" s="13"/>
      <c r="C1071" s="13"/>
      <c r="D1071" s="13"/>
      <c r="G1071" s="1"/>
    </row>
    <row r="1072" spans="1:7" x14ac:dyDescent="0.25">
      <c r="A1072" s="14"/>
      <c r="B1072" s="15"/>
      <c r="C1072" s="15"/>
      <c r="D1072" s="16"/>
      <c r="F1072" s="5" t="s">
        <v>26</v>
      </c>
      <c r="G1072" s="1">
        <f>D1111-D1065</f>
        <v>-5990704</v>
      </c>
    </row>
    <row r="1073" spans="1:7" x14ac:dyDescent="0.25">
      <c r="A1073" s="17"/>
      <c r="D1073" s="32" t="s">
        <v>16</v>
      </c>
      <c r="G1073" s="1"/>
    </row>
    <row r="1074" spans="1:7" x14ac:dyDescent="0.25">
      <c r="A1074" s="23" t="s">
        <v>15</v>
      </c>
      <c r="D1074" s="18" t="s">
        <v>17</v>
      </c>
      <c r="F1074" s="26" t="s">
        <v>27</v>
      </c>
      <c r="G1074" s="1"/>
    </row>
    <row r="1075" spans="1:7" x14ac:dyDescent="0.25">
      <c r="A1075" s="17"/>
      <c r="B1075" s="24" t="s">
        <v>18</v>
      </c>
      <c r="D1075" s="19"/>
      <c r="F1075" s="27" t="s">
        <v>28</v>
      </c>
      <c r="G1075" s="1"/>
    </row>
    <row r="1076" spans="1:7" x14ac:dyDescent="0.25">
      <c r="A1076" s="17"/>
      <c r="C1076" s="2" t="s">
        <v>31</v>
      </c>
      <c r="D1076" s="19">
        <v>72704922.109999999</v>
      </c>
      <c r="F1076" t="s">
        <v>254</v>
      </c>
      <c r="G1076" s="1">
        <v>7551000</v>
      </c>
    </row>
    <row r="1077" spans="1:7" x14ac:dyDescent="0.25">
      <c r="A1077" s="17"/>
      <c r="C1077" s="2" t="s">
        <v>32</v>
      </c>
      <c r="D1077" s="19">
        <v>80129492.400000006</v>
      </c>
      <c r="G1077" s="30">
        <f>SUM(G1076:G1076)</f>
        <v>7551000</v>
      </c>
    </row>
    <row r="1078" spans="1:7" x14ac:dyDescent="0.25">
      <c r="A1078" s="17"/>
      <c r="C1078" s="2" t="s">
        <v>33</v>
      </c>
      <c r="D1078" s="19">
        <v>-362011336.60000002</v>
      </c>
      <c r="F1078" s="28" t="s">
        <v>29</v>
      </c>
      <c r="G1078" s="1"/>
    </row>
    <row r="1079" spans="1:7" x14ac:dyDescent="0.25">
      <c r="A1079" s="17"/>
      <c r="C1079" s="2" t="s">
        <v>34</v>
      </c>
      <c r="D1079" s="19">
        <v>146325581</v>
      </c>
      <c r="F1079" t="s">
        <v>112</v>
      </c>
      <c r="G1079" s="1">
        <v>10000000</v>
      </c>
    </row>
    <row r="1080" spans="1:7" x14ac:dyDescent="0.25">
      <c r="A1080" s="17"/>
      <c r="C1080" s="2" t="s">
        <v>35</v>
      </c>
      <c r="D1080" s="19">
        <v>1605300</v>
      </c>
      <c r="F1080" t="s">
        <v>442</v>
      </c>
      <c r="G1080" s="1">
        <v>2670354</v>
      </c>
    </row>
    <row r="1081" spans="1:7" x14ac:dyDescent="0.25">
      <c r="A1081" s="17"/>
      <c r="C1081" s="2" t="s">
        <v>36</v>
      </c>
      <c r="D1081" s="19">
        <v>12895892.6</v>
      </c>
      <c r="F1081" t="s">
        <v>443</v>
      </c>
      <c r="G1081" s="1">
        <v>868850</v>
      </c>
    </row>
    <row r="1082" spans="1:7" x14ac:dyDescent="0.25">
      <c r="A1082" s="17"/>
      <c r="C1082" s="2" t="s">
        <v>37</v>
      </c>
      <c r="D1082" s="19">
        <v>-75062562</v>
      </c>
      <c r="F1082" t="s">
        <v>49</v>
      </c>
      <c r="G1082" s="1">
        <v>2500</v>
      </c>
    </row>
    <row r="1083" spans="1:7" x14ac:dyDescent="0.25">
      <c r="A1083" s="17"/>
      <c r="C1083" s="2" t="s">
        <v>51</v>
      </c>
      <c r="D1083" s="20">
        <v>130317</v>
      </c>
      <c r="G1083" s="30">
        <f>SUM(G1079:G1082)</f>
        <v>13541704</v>
      </c>
    </row>
    <row r="1084" spans="1:7" x14ac:dyDescent="0.25">
      <c r="A1084" s="17"/>
      <c r="B1084" s="24" t="s">
        <v>19</v>
      </c>
      <c r="D1084" s="19">
        <f>SUM(D1076:D1083)</f>
        <v>-123282393.49000004</v>
      </c>
      <c r="G1084" s="1"/>
    </row>
    <row r="1085" spans="1:7" x14ac:dyDescent="0.25">
      <c r="A1085" s="17"/>
      <c r="D1085" s="19"/>
      <c r="F1085" s="28" t="s">
        <v>30</v>
      </c>
      <c r="G1085" s="29">
        <f>G1077-G1083</f>
        <v>-5990704</v>
      </c>
    </row>
    <row r="1086" spans="1:7" x14ac:dyDescent="0.25">
      <c r="A1086" s="17"/>
      <c r="B1086" s="24" t="s">
        <v>20</v>
      </c>
      <c r="D1086" s="19"/>
    </row>
    <row r="1087" spans="1:7" x14ac:dyDescent="0.25">
      <c r="A1087" s="17"/>
      <c r="C1087" t="s">
        <v>7</v>
      </c>
      <c r="D1087" s="19">
        <v>2475343450</v>
      </c>
    </row>
    <row r="1088" spans="1:7" x14ac:dyDescent="0.25">
      <c r="A1088" s="17"/>
      <c r="C1088" t="s">
        <v>47</v>
      </c>
      <c r="D1088" s="19">
        <v>5890000</v>
      </c>
    </row>
    <row r="1089" spans="1:4" x14ac:dyDescent="0.25">
      <c r="A1089" s="17"/>
      <c r="C1089" t="s">
        <v>21</v>
      </c>
      <c r="D1089" s="19">
        <v>828493500</v>
      </c>
    </row>
    <row r="1090" spans="1:4" x14ac:dyDescent="0.25">
      <c r="A1090" s="17"/>
      <c r="C1090" t="s">
        <v>45</v>
      </c>
      <c r="D1090" s="19">
        <v>25000000</v>
      </c>
    </row>
    <row r="1091" spans="1:4" x14ac:dyDescent="0.25">
      <c r="A1091" s="17"/>
      <c r="C1091" t="s">
        <v>48</v>
      </c>
      <c r="D1091" s="19">
        <v>30000000</v>
      </c>
    </row>
    <row r="1092" spans="1:4" x14ac:dyDescent="0.25">
      <c r="A1092" s="17"/>
      <c r="C1092" t="s">
        <v>68</v>
      </c>
      <c r="D1092" s="19">
        <v>141000000</v>
      </c>
    </row>
    <row r="1093" spans="1:4" x14ac:dyDescent="0.25">
      <c r="A1093" s="17"/>
      <c r="C1093" t="s">
        <v>68</v>
      </c>
      <c r="D1093" s="19">
        <v>145000000</v>
      </c>
    </row>
    <row r="1094" spans="1:4" x14ac:dyDescent="0.25">
      <c r="A1094" s="17"/>
      <c r="C1094" t="s">
        <v>403</v>
      </c>
      <c r="D1094" s="19">
        <v>17000000</v>
      </c>
    </row>
    <row r="1095" spans="1:4" x14ac:dyDescent="0.25">
      <c r="A1095" s="17"/>
      <c r="C1095" t="s">
        <v>387</v>
      </c>
      <c r="D1095" s="19">
        <v>160000000</v>
      </c>
    </row>
    <row r="1096" spans="1:4" x14ac:dyDescent="0.25">
      <c r="A1096" s="17"/>
      <c r="C1096" t="s">
        <v>313</v>
      </c>
      <c r="D1096" s="20">
        <v>10000000</v>
      </c>
    </row>
    <row r="1097" spans="1:4" x14ac:dyDescent="0.25">
      <c r="A1097" s="17"/>
      <c r="D1097" s="19">
        <f>SUM(D1087:D1096)</f>
        <v>3837726950</v>
      </c>
    </row>
    <row r="1098" spans="1:4" x14ac:dyDescent="0.25">
      <c r="A1098" s="17"/>
      <c r="D1098" s="19"/>
    </row>
    <row r="1099" spans="1:4" x14ac:dyDescent="0.25">
      <c r="A1099" s="17"/>
      <c r="B1099" s="24" t="s">
        <v>46</v>
      </c>
      <c r="D1099" s="19"/>
    </row>
    <row r="1100" spans="1:4" x14ac:dyDescent="0.25">
      <c r="A1100" s="17"/>
      <c r="C1100" t="s">
        <v>437</v>
      </c>
      <c r="D1100" s="19">
        <v>146407500</v>
      </c>
    </row>
    <row r="1101" spans="1:4" x14ac:dyDescent="0.25">
      <c r="A1101" s="17"/>
      <c r="C1101" t="s">
        <v>426</v>
      </c>
      <c r="D1101" s="20">
        <v>1205000</v>
      </c>
    </row>
    <row r="1102" spans="1:4" x14ac:dyDescent="0.25">
      <c r="A1102" s="17"/>
      <c r="D1102" s="19">
        <f>SUM(D1100:D1101)</f>
        <v>147612500</v>
      </c>
    </row>
    <row r="1103" spans="1:4" x14ac:dyDescent="0.25">
      <c r="A1103" s="17"/>
      <c r="D1103" s="19"/>
    </row>
    <row r="1104" spans="1:4" x14ac:dyDescent="0.25">
      <c r="A1104" s="23" t="s">
        <v>22</v>
      </c>
      <c r="D1104" s="19"/>
    </row>
    <row r="1105" spans="1:7" x14ac:dyDescent="0.25">
      <c r="A1105" s="17"/>
      <c r="C1105" t="s">
        <v>23</v>
      </c>
      <c r="D1105" s="19">
        <v>884500000</v>
      </c>
    </row>
    <row r="1106" spans="1:7" x14ac:dyDescent="0.25">
      <c r="A1106" s="17"/>
      <c r="C1106" t="s">
        <v>24</v>
      </c>
      <c r="D1106" s="19">
        <v>1884861500</v>
      </c>
    </row>
    <row r="1107" spans="1:7" x14ac:dyDescent="0.25">
      <c r="A1107" s="17"/>
      <c r="C1107" t="s">
        <v>44</v>
      </c>
      <c r="D1107" s="19">
        <v>313750000</v>
      </c>
    </row>
    <row r="1108" spans="1:7" x14ac:dyDescent="0.25">
      <c r="A1108" s="17"/>
      <c r="C1108" t="s">
        <v>435</v>
      </c>
      <c r="D1108" s="20">
        <v>74700000</v>
      </c>
    </row>
    <row r="1109" spans="1:7" x14ac:dyDescent="0.25">
      <c r="A1109" s="17"/>
      <c r="D1109" s="19">
        <f>SUM(D1105:D1108)</f>
        <v>3157811500</v>
      </c>
      <c r="G1109" s="1"/>
    </row>
    <row r="1110" spans="1:7" x14ac:dyDescent="0.25">
      <c r="A1110" s="17"/>
      <c r="D1110" s="19"/>
      <c r="G1110" s="1"/>
    </row>
    <row r="1111" spans="1:7" x14ac:dyDescent="0.25">
      <c r="A1111" s="43" t="s">
        <v>25</v>
      </c>
      <c r="B1111" s="44"/>
      <c r="C1111" s="44"/>
      <c r="D1111" s="25">
        <f>D1084+D1097+D1102-D1109</f>
        <v>704245556.50999975</v>
      </c>
      <c r="G1111" s="1"/>
    </row>
    <row r="1112" spans="1:7" x14ac:dyDescent="0.25">
      <c r="A1112" s="21"/>
      <c r="B1112" s="22"/>
      <c r="C1112" s="22"/>
      <c r="D1112" s="20"/>
      <c r="G1112" s="1"/>
    </row>
  </sheetData>
  <mergeCells count="96">
    <mergeCell ref="A1068:D1068"/>
    <mergeCell ref="A1069:D1069"/>
    <mergeCell ref="A1070:D1070"/>
    <mergeCell ref="A1111:C1111"/>
    <mergeCell ref="A1021:D1021"/>
    <mergeCell ref="A1022:D1022"/>
    <mergeCell ref="A1023:D1023"/>
    <mergeCell ref="A1065:C1065"/>
    <mergeCell ref="A922:C922"/>
    <mergeCell ref="A784:D784"/>
    <mergeCell ref="A785:D785"/>
    <mergeCell ref="A786:D786"/>
    <mergeCell ref="A827:C827"/>
    <mergeCell ref="A830:D830"/>
    <mergeCell ref="A831:D831"/>
    <mergeCell ref="A832:D832"/>
    <mergeCell ref="A874:C874"/>
    <mergeCell ref="A877:D877"/>
    <mergeCell ref="A878:D878"/>
    <mergeCell ref="A879:D879"/>
    <mergeCell ref="A89:D89"/>
    <mergeCell ref="A90:D90"/>
    <mergeCell ref="A136:D136"/>
    <mergeCell ref="A739:D739"/>
    <mergeCell ref="A740:D740"/>
    <mergeCell ref="A177:C177"/>
    <mergeCell ref="A644:C644"/>
    <mergeCell ref="A319:D319"/>
    <mergeCell ref="A180:D180"/>
    <mergeCell ref="A181:D181"/>
    <mergeCell ref="A182:D182"/>
    <mergeCell ref="A223:C223"/>
    <mergeCell ref="A91:D91"/>
    <mergeCell ref="A131:C131"/>
    <mergeCell ref="A134:D134"/>
    <mergeCell ref="A135:D135"/>
    <mergeCell ref="A46:D46"/>
    <mergeCell ref="A86:C86"/>
    <mergeCell ref="A1:D1"/>
    <mergeCell ref="A2:D2"/>
    <mergeCell ref="A3:D3"/>
    <mergeCell ref="A41:C41"/>
    <mergeCell ref="A44:D44"/>
    <mergeCell ref="A45:D45"/>
    <mergeCell ref="A272:D272"/>
    <mergeCell ref="A273:D273"/>
    <mergeCell ref="A274:D274"/>
    <mergeCell ref="A316:C316"/>
    <mergeCell ref="A226:D226"/>
    <mergeCell ref="A227:D227"/>
    <mergeCell ref="A228:D228"/>
    <mergeCell ref="A269:C269"/>
    <mergeCell ref="A320:D320"/>
    <mergeCell ref="A321:D321"/>
    <mergeCell ref="A363:C363"/>
    <mergeCell ref="A413:D413"/>
    <mergeCell ref="A507:D507"/>
    <mergeCell ref="A460:D460"/>
    <mergeCell ref="A461:D461"/>
    <mergeCell ref="A462:D462"/>
    <mergeCell ref="A504:C504"/>
    <mergeCell ref="A366:D366"/>
    <mergeCell ref="A367:D367"/>
    <mergeCell ref="A368:D368"/>
    <mergeCell ref="A410:C410"/>
    <mergeCell ref="A414:D414"/>
    <mergeCell ref="A415:D415"/>
    <mergeCell ref="A457:C457"/>
    <mergeCell ref="A508:D508"/>
    <mergeCell ref="A509:D509"/>
    <mergeCell ref="A551:C551"/>
    <mergeCell ref="A601:D601"/>
    <mergeCell ref="A602:D602"/>
    <mergeCell ref="A554:D554"/>
    <mergeCell ref="A555:D555"/>
    <mergeCell ref="A556:D556"/>
    <mergeCell ref="A598:C598"/>
    <mergeCell ref="A603:D603"/>
    <mergeCell ref="A781:C781"/>
    <mergeCell ref="A647:D647"/>
    <mergeCell ref="A648:D648"/>
    <mergeCell ref="A649:D649"/>
    <mergeCell ref="A690:C690"/>
    <mergeCell ref="A693:D693"/>
    <mergeCell ref="A694:D694"/>
    <mergeCell ref="A695:D695"/>
    <mergeCell ref="A735:C735"/>
    <mergeCell ref="A738:D738"/>
    <mergeCell ref="A973:D973"/>
    <mergeCell ref="A974:D974"/>
    <mergeCell ref="A975:D975"/>
    <mergeCell ref="A1018:C1018"/>
    <mergeCell ref="A925:D925"/>
    <mergeCell ref="A926:D926"/>
    <mergeCell ref="A927:D927"/>
    <mergeCell ref="A970:C970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4308-410E-4C3F-A08E-78FAA9684E38}">
  <dimension ref="A1:J1173"/>
  <sheetViews>
    <sheetView topLeftCell="A1128" zoomScale="80" zoomScaleNormal="80" workbookViewId="0">
      <selection activeCell="G1149" sqref="G1149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7.7109375" bestFit="1" customWidth="1"/>
    <col min="4" max="4" width="24.7109375" customWidth="1"/>
    <col min="5" max="5" width="5" customWidth="1"/>
    <col min="6" max="6" width="51.5703125" bestFit="1" customWidth="1"/>
    <col min="7" max="7" width="20.85546875" customWidth="1"/>
    <col min="10" max="10" width="18.42578125" customWidth="1"/>
  </cols>
  <sheetData>
    <row r="1" spans="1:7" x14ac:dyDescent="0.25">
      <c r="A1" s="40" t="s">
        <v>13</v>
      </c>
      <c r="B1" s="40"/>
      <c r="C1" s="40"/>
      <c r="D1" s="40"/>
      <c r="G1" s="1"/>
    </row>
    <row r="2" spans="1:7" x14ac:dyDescent="0.25">
      <c r="A2" s="41" t="s">
        <v>14</v>
      </c>
      <c r="B2" s="41"/>
      <c r="C2" s="41"/>
      <c r="D2" s="41"/>
      <c r="G2" s="1"/>
    </row>
    <row r="3" spans="1:7" x14ac:dyDescent="0.25">
      <c r="A3" s="42">
        <v>45749</v>
      </c>
      <c r="B3" s="42"/>
      <c r="C3" s="42"/>
      <c r="D3" s="42"/>
      <c r="G3" s="1"/>
    </row>
    <row r="4" spans="1:7" x14ac:dyDescent="0.25">
      <c r="A4" s="13"/>
      <c r="B4" s="13"/>
      <c r="C4" s="13"/>
      <c r="D4" s="13"/>
      <c r="G4" s="1"/>
    </row>
    <row r="5" spans="1:7" x14ac:dyDescent="0.25">
      <c r="A5" s="14"/>
      <c r="B5" s="15"/>
      <c r="C5" s="15"/>
      <c r="D5" s="16"/>
      <c r="F5" s="5" t="s">
        <v>26</v>
      </c>
      <c r="G5" s="1">
        <f>D44-Mar!D1111</f>
        <v>-5949871.6699995995</v>
      </c>
    </row>
    <row r="6" spans="1:7" x14ac:dyDescent="0.25">
      <c r="A6" s="17"/>
      <c r="D6" s="32" t="s">
        <v>16</v>
      </c>
      <c r="G6" s="1"/>
    </row>
    <row r="7" spans="1:7" x14ac:dyDescent="0.25">
      <c r="A7" s="23" t="s">
        <v>15</v>
      </c>
      <c r="D7" s="18" t="s">
        <v>17</v>
      </c>
      <c r="F7" s="26" t="s">
        <v>27</v>
      </c>
      <c r="G7" s="1"/>
    </row>
    <row r="8" spans="1:7" x14ac:dyDescent="0.25">
      <c r="A8" s="17"/>
      <c r="B8" s="24" t="s">
        <v>18</v>
      </c>
      <c r="D8" s="19"/>
      <c r="F8" s="27" t="s">
        <v>28</v>
      </c>
      <c r="G8" s="1"/>
    </row>
    <row r="9" spans="1:7" x14ac:dyDescent="0.25">
      <c r="A9" s="17"/>
      <c r="C9" s="2" t="s">
        <v>31</v>
      </c>
      <c r="D9" s="19">
        <v>106420588.94</v>
      </c>
      <c r="F9" t="s">
        <v>86</v>
      </c>
      <c r="G9" s="1">
        <v>0</v>
      </c>
    </row>
    <row r="10" spans="1:7" x14ac:dyDescent="0.25">
      <c r="A10" s="17"/>
      <c r="C10" s="2" t="s">
        <v>32</v>
      </c>
      <c r="D10" s="19">
        <v>80129953.900000006</v>
      </c>
      <c r="F10" t="s">
        <v>450</v>
      </c>
      <c r="G10" s="1">
        <v>833.54</v>
      </c>
    </row>
    <row r="11" spans="1:7" x14ac:dyDescent="0.25">
      <c r="A11" s="17"/>
      <c r="C11" s="2" t="s">
        <v>33</v>
      </c>
      <c r="D11" s="19">
        <v>-179491336.59999999</v>
      </c>
      <c r="F11" t="s">
        <v>448</v>
      </c>
      <c r="G11" s="1">
        <v>576.87</v>
      </c>
    </row>
    <row r="12" spans="1:7" x14ac:dyDescent="0.25">
      <c r="A12" s="17"/>
      <c r="C12" s="2" t="s">
        <v>34</v>
      </c>
      <c r="D12" s="19">
        <v>342589581</v>
      </c>
      <c r="G12" s="30">
        <f>SUM(G9:G11)</f>
        <v>1410.4099999999999</v>
      </c>
    </row>
    <row r="13" spans="1:7" x14ac:dyDescent="0.25">
      <c r="A13" s="17"/>
      <c r="C13" s="2" t="s">
        <v>35</v>
      </c>
      <c r="D13" s="19">
        <v>1605300</v>
      </c>
      <c r="F13" s="28" t="s">
        <v>29</v>
      </c>
      <c r="G13" s="1"/>
    </row>
    <row r="14" spans="1:7" x14ac:dyDescent="0.25">
      <c r="A14" s="17"/>
      <c r="C14" s="2" t="s">
        <v>36</v>
      </c>
      <c r="D14" s="19">
        <v>12895892.6</v>
      </c>
      <c r="F14" t="s">
        <v>444</v>
      </c>
      <c r="G14" s="1">
        <v>60000</v>
      </c>
    </row>
    <row r="15" spans="1:7" x14ac:dyDescent="0.25">
      <c r="A15" s="17"/>
      <c r="C15" s="2" t="s">
        <v>37</v>
      </c>
      <c r="D15" s="19">
        <v>-75062562</v>
      </c>
      <c r="F15" t="s">
        <v>445</v>
      </c>
      <c r="G15" s="1">
        <v>6000</v>
      </c>
    </row>
    <row r="16" spans="1:7" x14ac:dyDescent="0.25">
      <c r="A16" s="17"/>
      <c r="C16" s="2" t="s">
        <v>51</v>
      </c>
      <c r="D16" s="20">
        <v>130317</v>
      </c>
      <c r="F16" t="s">
        <v>446</v>
      </c>
      <c r="G16" s="1">
        <v>1500000</v>
      </c>
    </row>
    <row r="17" spans="1:7" x14ac:dyDescent="0.25">
      <c r="A17" s="17"/>
      <c r="B17" s="24" t="s">
        <v>19</v>
      </c>
      <c r="D17" s="19">
        <f>SUM(D9:D16)</f>
        <v>289217734.84000003</v>
      </c>
      <c r="F17" t="s">
        <v>312</v>
      </c>
      <c r="G17" s="1">
        <v>5000</v>
      </c>
    </row>
    <row r="18" spans="1:7" x14ac:dyDescent="0.25">
      <c r="A18" s="17"/>
      <c r="D18" s="19"/>
      <c r="F18" t="s">
        <v>298</v>
      </c>
      <c r="G18" s="1">
        <v>3380000</v>
      </c>
    </row>
    <row r="19" spans="1:7" x14ac:dyDescent="0.25">
      <c r="A19" s="17"/>
      <c r="B19" s="24" t="s">
        <v>20</v>
      </c>
      <c r="D19" s="19"/>
      <c r="F19" t="s">
        <v>447</v>
      </c>
      <c r="G19" s="1">
        <v>1000000</v>
      </c>
    </row>
    <row r="20" spans="1:7" x14ac:dyDescent="0.25">
      <c r="A20" s="17"/>
      <c r="C20" t="s">
        <v>7</v>
      </c>
      <c r="D20" s="19">
        <v>2056893450</v>
      </c>
      <c r="F20" t="s">
        <v>449</v>
      </c>
      <c r="G20" s="1">
        <v>166.71</v>
      </c>
    </row>
    <row r="21" spans="1:7" x14ac:dyDescent="0.25">
      <c r="A21" s="17"/>
      <c r="C21" t="s">
        <v>47</v>
      </c>
      <c r="D21" s="19">
        <v>5890000</v>
      </c>
      <c r="F21" t="s">
        <v>451</v>
      </c>
      <c r="G21" s="1">
        <v>115.37</v>
      </c>
    </row>
    <row r="22" spans="1:7" x14ac:dyDescent="0.25">
      <c r="A22" s="17"/>
      <c r="C22" t="s">
        <v>21</v>
      </c>
      <c r="D22" s="19">
        <v>828493500</v>
      </c>
      <c r="G22" s="30">
        <f>SUM(G14:G21)</f>
        <v>5951282.0800000001</v>
      </c>
    </row>
    <row r="23" spans="1:7" x14ac:dyDescent="0.25">
      <c r="A23" s="17"/>
      <c r="C23" t="s">
        <v>45</v>
      </c>
      <c r="D23" s="19">
        <v>25000000</v>
      </c>
      <c r="G23" s="1"/>
    </row>
    <row r="24" spans="1:7" x14ac:dyDescent="0.25">
      <c r="A24" s="17"/>
      <c r="C24" t="s">
        <v>48</v>
      </c>
      <c r="D24" s="19">
        <v>30000000</v>
      </c>
      <c r="F24" s="28" t="s">
        <v>30</v>
      </c>
      <c r="G24" s="29">
        <f>G12-G22</f>
        <v>-5949871.6699999999</v>
      </c>
    </row>
    <row r="25" spans="1:7" x14ac:dyDescent="0.25">
      <c r="A25" s="17"/>
      <c r="C25" t="s">
        <v>68</v>
      </c>
      <c r="D25" s="19">
        <v>141000000</v>
      </c>
    </row>
    <row r="26" spans="1:7" x14ac:dyDescent="0.25">
      <c r="A26" s="17"/>
      <c r="C26" t="s">
        <v>68</v>
      </c>
      <c r="D26" s="19">
        <v>145000000</v>
      </c>
    </row>
    <row r="27" spans="1:7" x14ac:dyDescent="0.25">
      <c r="A27" s="17"/>
      <c r="C27" t="s">
        <v>403</v>
      </c>
      <c r="D27" s="19">
        <v>17000000</v>
      </c>
    </row>
    <row r="28" spans="1:7" x14ac:dyDescent="0.25">
      <c r="A28" s="17"/>
      <c r="C28" t="s">
        <v>387</v>
      </c>
      <c r="D28" s="19">
        <v>160000000</v>
      </c>
    </row>
    <row r="29" spans="1:7" x14ac:dyDescent="0.25">
      <c r="A29" s="17"/>
      <c r="C29" t="s">
        <v>313</v>
      </c>
      <c r="D29" s="20">
        <v>10000000</v>
      </c>
    </row>
    <row r="30" spans="1:7" x14ac:dyDescent="0.25">
      <c r="A30" s="17"/>
      <c r="D30" s="19">
        <f>SUM(D20:D29)</f>
        <v>3419276950</v>
      </c>
    </row>
    <row r="31" spans="1:7" x14ac:dyDescent="0.25">
      <c r="A31" s="17"/>
      <c r="D31" s="19"/>
    </row>
    <row r="32" spans="1:7" x14ac:dyDescent="0.25">
      <c r="A32" s="17"/>
      <c r="B32" s="24" t="s">
        <v>46</v>
      </c>
      <c r="D32" s="19"/>
    </row>
    <row r="33" spans="1:7" x14ac:dyDescent="0.25">
      <c r="A33" s="17"/>
      <c r="C33" t="s">
        <v>437</v>
      </c>
      <c r="D33" s="19">
        <v>146407500</v>
      </c>
    </row>
    <row r="34" spans="1:7" x14ac:dyDescent="0.25">
      <c r="A34" s="17"/>
      <c r="C34" t="s">
        <v>426</v>
      </c>
      <c r="D34" s="20">
        <v>1205000</v>
      </c>
    </row>
    <row r="35" spans="1:7" x14ac:dyDescent="0.25">
      <c r="A35" s="17"/>
      <c r="D35" s="19">
        <f>SUM(D33:D34)</f>
        <v>147612500</v>
      </c>
    </row>
    <row r="36" spans="1:7" x14ac:dyDescent="0.25">
      <c r="A36" s="17"/>
      <c r="D36" s="19"/>
    </row>
    <row r="37" spans="1:7" x14ac:dyDescent="0.25">
      <c r="A37" s="23" t="s">
        <v>22</v>
      </c>
      <c r="D37" s="19"/>
    </row>
    <row r="38" spans="1:7" x14ac:dyDescent="0.25">
      <c r="A38" s="17"/>
      <c r="C38" t="s">
        <v>23</v>
      </c>
      <c r="D38" s="19">
        <v>884500000</v>
      </c>
    </row>
    <row r="39" spans="1:7" x14ac:dyDescent="0.25">
      <c r="A39" s="17"/>
      <c r="C39" t="s">
        <v>24</v>
      </c>
      <c r="D39" s="19">
        <v>1884861500</v>
      </c>
    </row>
    <row r="40" spans="1:7" x14ac:dyDescent="0.25">
      <c r="A40" s="17"/>
      <c r="C40" t="s">
        <v>44</v>
      </c>
      <c r="D40" s="19">
        <v>313750000</v>
      </c>
    </row>
    <row r="41" spans="1:7" x14ac:dyDescent="0.25">
      <c r="A41" s="17"/>
      <c r="C41" t="s">
        <v>435</v>
      </c>
      <c r="D41" s="20">
        <v>74700000</v>
      </c>
    </row>
    <row r="42" spans="1:7" x14ac:dyDescent="0.25">
      <c r="A42" s="17"/>
      <c r="D42" s="19">
        <f>SUM(D38:D41)</f>
        <v>3157811500</v>
      </c>
      <c r="G42" s="1"/>
    </row>
    <row r="43" spans="1:7" x14ac:dyDescent="0.25">
      <c r="A43" s="17"/>
      <c r="D43" s="19"/>
      <c r="G43" s="1"/>
    </row>
    <row r="44" spans="1:7" x14ac:dyDescent="0.25">
      <c r="A44" s="43" t="s">
        <v>25</v>
      </c>
      <c r="B44" s="44"/>
      <c r="C44" s="44"/>
      <c r="D44" s="25">
        <f>D17+D30+D35-D42</f>
        <v>698295684.84000015</v>
      </c>
      <c r="G44" s="1"/>
    </row>
    <row r="45" spans="1:7" x14ac:dyDescent="0.25">
      <c r="A45" s="21"/>
      <c r="B45" s="22"/>
      <c r="C45" s="22"/>
      <c r="D45" s="20"/>
      <c r="G45" s="1"/>
    </row>
    <row r="47" spans="1:7" x14ac:dyDescent="0.25">
      <c r="A47" s="40" t="s">
        <v>13</v>
      </c>
      <c r="B47" s="40"/>
      <c r="C47" s="40"/>
      <c r="D47" s="40"/>
      <c r="G47" s="1"/>
    </row>
    <row r="48" spans="1:7" x14ac:dyDescent="0.25">
      <c r="A48" s="41" t="s">
        <v>14</v>
      </c>
      <c r="B48" s="41"/>
      <c r="C48" s="41"/>
      <c r="D48" s="41"/>
      <c r="G48" s="1"/>
    </row>
    <row r="49" spans="1:7" x14ac:dyDescent="0.25">
      <c r="A49" s="42">
        <v>45750</v>
      </c>
      <c r="B49" s="42"/>
      <c r="C49" s="42"/>
      <c r="D49" s="42"/>
      <c r="G49" s="1"/>
    </row>
    <row r="50" spans="1:7" x14ac:dyDescent="0.25">
      <c r="A50" s="13"/>
      <c r="B50" s="13"/>
      <c r="C50" s="13"/>
      <c r="D50" s="13"/>
      <c r="G50" s="1"/>
    </row>
    <row r="51" spans="1:7" x14ac:dyDescent="0.25">
      <c r="A51" s="14"/>
      <c r="B51" s="15"/>
      <c r="C51" s="15"/>
      <c r="D51" s="16"/>
      <c r="F51" s="5" t="s">
        <v>26</v>
      </c>
      <c r="G51" s="1">
        <f>D90-D44</f>
        <v>-473232</v>
      </c>
    </row>
    <row r="52" spans="1:7" x14ac:dyDescent="0.25">
      <c r="A52" s="17"/>
      <c r="D52" s="32" t="s">
        <v>16</v>
      </c>
      <c r="G52" s="1"/>
    </row>
    <row r="53" spans="1:7" x14ac:dyDescent="0.25">
      <c r="A53" s="23" t="s">
        <v>15</v>
      </c>
      <c r="D53" s="18" t="s">
        <v>17</v>
      </c>
      <c r="F53" s="26" t="s">
        <v>27</v>
      </c>
      <c r="G53" s="1"/>
    </row>
    <row r="54" spans="1:7" x14ac:dyDescent="0.25">
      <c r="A54" s="17"/>
      <c r="B54" s="24" t="s">
        <v>18</v>
      </c>
      <c r="D54" s="19"/>
      <c r="F54" s="27" t="s">
        <v>28</v>
      </c>
      <c r="G54" s="1"/>
    </row>
    <row r="55" spans="1:7" x14ac:dyDescent="0.25">
      <c r="A55" s="17"/>
      <c r="C55" s="2" t="s">
        <v>31</v>
      </c>
      <c r="D55" s="19">
        <v>106420588.94</v>
      </c>
      <c r="F55" t="s">
        <v>292</v>
      </c>
      <c r="G55" s="1">
        <v>0</v>
      </c>
    </row>
    <row r="56" spans="1:7" x14ac:dyDescent="0.25">
      <c r="A56" s="17"/>
      <c r="C56" s="2" t="s">
        <v>32</v>
      </c>
      <c r="D56" s="19">
        <v>80129953.900000006</v>
      </c>
      <c r="G56" s="30">
        <f>SUM(G55:G55)</f>
        <v>0</v>
      </c>
    </row>
    <row r="57" spans="1:7" x14ac:dyDescent="0.25">
      <c r="A57" s="17"/>
      <c r="C57" s="2" t="s">
        <v>33</v>
      </c>
      <c r="D57" s="19">
        <v>-292977836.60000002</v>
      </c>
      <c r="F57" s="28" t="s">
        <v>29</v>
      </c>
      <c r="G57" s="1"/>
    </row>
    <row r="58" spans="1:7" x14ac:dyDescent="0.25">
      <c r="A58" s="17"/>
      <c r="C58" s="2" t="s">
        <v>34</v>
      </c>
      <c r="D58" s="19">
        <v>92589581</v>
      </c>
      <c r="F58" t="s">
        <v>302</v>
      </c>
      <c r="G58" s="1">
        <v>750</v>
      </c>
    </row>
    <row r="59" spans="1:7" x14ac:dyDescent="0.25">
      <c r="A59" s="17"/>
      <c r="C59" s="2" t="s">
        <v>35</v>
      </c>
      <c r="D59" s="19">
        <v>1604550</v>
      </c>
      <c r="F59" t="s">
        <v>209</v>
      </c>
      <c r="G59" s="1">
        <v>472482</v>
      </c>
    </row>
    <row r="60" spans="1:7" x14ac:dyDescent="0.25">
      <c r="A60" s="17"/>
      <c r="C60" s="2" t="s">
        <v>36</v>
      </c>
      <c r="D60" s="19">
        <v>249223410.59999999</v>
      </c>
      <c r="G60" s="30">
        <f>SUM(G58:G59)</f>
        <v>473232</v>
      </c>
    </row>
    <row r="61" spans="1:7" x14ac:dyDescent="0.25">
      <c r="A61" s="17"/>
      <c r="C61" s="2" t="s">
        <v>37</v>
      </c>
      <c r="D61" s="19">
        <v>87438</v>
      </c>
      <c r="G61" s="1"/>
    </row>
    <row r="62" spans="1:7" x14ac:dyDescent="0.25">
      <c r="A62" s="17"/>
      <c r="C62" s="2" t="s">
        <v>51</v>
      </c>
      <c r="D62" s="20">
        <v>130317</v>
      </c>
      <c r="F62" s="28" t="s">
        <v>30</v>
      </c>
      <c r="G62" s="29">
        <f>G56-G60</f>
        <v>-473232</v>
      </c>
    </row>
    <row r="63" spans="1:7" x14ac:dyDescent="0.25">
      <c r="A63" s="17"/>
      <c r="B63" s="24" t="s">
        <v>19</v>
      </c>
      <c r="D63" s="19">
        <f>SUM(D55:D62)</f>
        <v>237208002.83999997</v>
      </c>
    </row>
    <row r="64" spans="1:7" x14ac:dyDescent="0.25">
      <c r="A64" s="17"/>
      <c r="D64" s="19"/>
    </row>
    <row r="65" spans="1:4" x14ac:dyDescent="0.25">
      <c r="A65" s="17"/>
      <c r="B65" s="24" t="s">
        <v>20</v>
      </c>
      <c r="D65" s="19"/>
    </row>
    <row r="66" spans="1:4" x14ac:dyDescent="0.25">
      <c r="A66" s="17"/>
      <c r="C66" t="s">
        <v>7</v>
      </c>
      <c r="D66" s="19">
        <v>1492205950</v>
      </c>
    </row>
    <row r="67" spans="1:4" x14ac:dyDescent="0.25">
      <c r="A67" s="17"/>
      <c r="C67" t="s">
        <v>47</v>
      </c>
      <c r="D67" s="19">
        <v>5890000</v>
      </c>
    </row>
    <row r="68" spans="1:4" x14ac:dyDescent="0.25">
      <c r="A68" s="17"/>
      <c r="C68" t="s">
        <v>21</v>
      </c>
      <c r="D68" s="19">
        <v>828493500</v>
      </c>
    </row>
    <row r="69" spans="1:4" x14ac:dyDescent="0.25">
      <c r="A69" s="17"/>
      <c r="C69" t="s">
        <v>45</v>
      </c>
      <c r="D69" s="19">
        <v>25000000</v>
      </c>
    </row>
    <row r="70" spans="1:4" x14ac:dyDescent="0.25">
      <c r="A70" s="17"/>
      <c r="C70" t="s">
        <v>48</v>
      </c>
      <c r="D70" s="19">
        <v>30000000</v>
      </c>
    </row>
    <row r="71" spans="1:4" x14ac:dyDescent="0.25">
      <c r="A71" s="17"/>
      <c r="C71" t="s">
        <v>68</v>
      </c>
      <c r="D71" s="19">
        <v>141000000</v>
      </c>
    </row>
    <row r="72" spans="1:4" x14ac:dyDescent="0.25">
      <c r="A72" s="17"/>
      <c r="C72" t="s">
        <v>68</v>
      </c>
      <c r="D72" s="19">
        <v>145000000</v>
      </c>
    </row>
    <row r="73" spans="1:4" x14ac:dyDescent="0.25">
      <c r="A73" s="17"/>
      <c r="C73" t="s">
        <v>403</v>
      </c>
      <c r="D73" s="19">
        <v>17000000</v>
      </c>
    </row>
    <row r="74" spans="1:4" x14ac:dyDescent="0.25">
      <c r="A74" s="17"/>
      <c r="C74" t="s">
        <v>387</v>
      </c>
      <c r="D74" s="19">
        <v>160000000</v>
      </c>
    </row>
    <row r="75" spans="1:4" x14ac:dyDescent="0.25">
      <c r="A75" s="17"/>
      <c r="C75" t="s">
        <v>313</v>
      </c>
      <c r="D75" s="20">
        <v>10000000</v>
      </c>
    </row>
    <row r="76" spans="1:4" x14ac:dyDescent="0.25">
      <c r="A76" s="17"/>
      <c r="D76" s="19">
        <f>SUM(D66:D75)</f>
        <v>2854589450</v>
      </c>
    </row>
    <row r="77" spans="1:4" x14ac:dyDescent="0.25">
      <c r="A77" s="17"/>
      <c r="D77" s="19"/>
    </row>
    <row r="78" spans="1:4" x14ac:dyDescent="0.25">
      <c r="A78" s="17"/>
      <c r="B78" s="24" t="s">
        <v>46</v>
      </c>
      <c r="D78" s="19"/>
    </row>
    <row r="79" spans="1:4" x14ac:dyDescent="0.25">
      <c r="A79" s="17"/>
      <c r="C79" t="s">
        <v>437</v>
      </c>
      <c r="D79" s="19">
        <v>146407500</v>
      </c>
    </row>
    <row r="80" spans="1:4" x14ac:dyDescent="0.25">
      <c r="A80" s="17"/>
      <c r="C80" t="s">
        <v>426</v>
      </c>
      <c r="D80" s="20">
        <v>1205000</v>
      </c>
    </row>
    <row r="81" spans="1:7" x14ac:dyDescent="0.25">
      <c r="A81" s="17"/>
      <c r="D81" s="19">
        <f>SUM(D79:D80)</f>
        <v>147612500</v>
      </c>
    </row>
    <row r="82" spans="1:7" x14ac:dyDescent="0.25">
      <c r="A82" s="17"/>
      <c r="D82" s="19"/>
    </row>
    <row r="83" spans="1:7" x14ac:dyDescent="0.25">
      <c r="A83" s="23" t="s">
        <v>22</v>
      </c>
      <c r="D83" s="19"/>
    </row>
    <row r="84" spans="1:7" x14ac:dyDescent="0.25">
      <c r="A84" s="17"/>
      <c r="C84" t="s">
        <v>23</v>
      </c>
      <c r="D84" s="19">
        <v>884500000</v>
      </c>
    </row>
    <row r="85" spans="1:7" x14ac:dyDescent="0.25">
      <c r="A85" s="17"/>
      <c r="C85" t="s">
        <v>24</v>
      </c>
      <c r="D85" s="19">
        <v>1268637500</v>
      </c>
    </row>
    <row r="86" spans="1:7" x14ac:dyDescent="0.25">
      <c r="A86" s="17"/>
      <c r="C86" t="s">
        <v>44</v>
      </c>
      <c r="D86" s="19">
        <v>313750000</v>
      </c>
    </row>
    <row r="87" spans="1:7" x14ac:dyDescent="0.25">
      <c r="A87" s="17"/>
      <c r="C87" t="s">
        <v>435</v>
      </c>
      <c r="D87" s="20">
        <v>74700000</v>
      </c>
    </row>
    <row r="88" spans="1:7" x14ac:dyDescent="0.25">
      <c r="A88" s="17"/>
      <c r="D88" s="19">
        <f>SUM(D84:D87)</f>
        <v>2541587500</v>
      </c>
      <c r="G88" s="1"/>
    </row>
    <row r="89" spans="1:7" x14ac:dyDescent="0.25">
      <c r="A89" s="17"/>
      <c r="D89" s="19"/>
      <c r="G89" s="1"/>
    </row>
    <row r="90" spans="1:7" x14ac:dyDescent="0.25">
      <c r="A90" s="43" t="s">
        <v>25</v>
      </c>
      <c r="B90" s="44"/>
      <c r="C90" s="44"/>
      <c r="D90" s="25">
        <f>D63+D76+D81-D88</f>
        <v>697822452.84000015</v>
      </c>
      <c r="G90" s="1"/>
    </row>
    <row r="91" spans="1:7" x14ac:dyDescent="0.25">
      <c r="A91" s="21"/>
      <c r="B91" s="22"/>
      <c r="C91" s="22"/>
      <c r="D91" s="20"/>
      <c r="G91" s="1"/>
    </row>
    <row r="93" spans="1:7" x14ac:dyDescent="0.25">
      <c r="A93" s="40" t="s">
        <v>13</v>
      </c>
      <c r="B93" s="40"/>
      <c r="C93" s="40"/>
      <c r="D93" s="40"/>
      <c r="G93" s="1"/>
    </row>
    <row r="94" spans="1:7" x14ac:dyDescent="0.25">
      <c r="A94" s="41" t="s">
        <v>14</v>
      </c>
      <c r="B94" s="41"/>
      <c r="C94" s="41"/>
      <c r="D94" s="41"/>
      <c r="G94" s="1"/>
    </row>
    <row r="95" spans="1:7" x14ac:dyDescent="0.25">
      <c r="A95" s="42">
        <v>45751</v>
      </c>
      <c r="B95" s="42"/>
      <c r="C95" s="42"/>
      <c r="D95" s="42"/>
      <c r="G95" s="1"/>
    </row>
    <row r="96" spans="1:7" x14ac:dyDescent="0.25">
      <c r="A96" s="13"/>
      <c r="B96" s="13"/>
      <c r="C96" s="13"/>
      <c r="D96" s="13"/>
      <c r="G96" s="1"/>
    </row>
    <row r="97" spans="1:7" x14ac:dyDescent="0.25">
      <c r="A97" s="14"/>
      <c r="B97" s="15"/>
      <c r="C97" s="15"/>
      <c r="D97" s="16"/>
      <c r="F97" s="5" t="s">
        <v>26</v>
      </c>
      <c r="G97" s="1">
        <f>D136-D90</f>
        <v>5045500</v>
      </c>
    </row>
    <row r="98" spans="1:7" x14ac:dyDescent="0.25">
      <c r="A98" s="17"/>
      <c r="D98" s="32" t="s">
        <v>16</v>
      </c>
      <c r="G98" s="1"/>
    </row>
    <row r="99" spans="1:7" x14ac:dyDescent="0.25">
      <c r="A99" s="23" t="s">
        <v>15</v>
      </c>
      <c r="D99" s="18" t="s">
        <v>17</v>
      </c>
      <c r="F99" s="26" t="s">
        <v>27</v>
      </c>
      <c r="G99" s="1"/>
    </row>
    <row r="100" spans="1:7" x14ac:dyDescent="0.25">
      <c r="A100" s="17"/>
      <c r="B100" s="24" t="s">
        <v>18</v>
      </c>
      <c r="D100" s="19"/>
      <c r="F100" s="27" t="s">
        <v>28</v>
      </c>
      <c r="G100" s="1"/>
    </row>
    <row r="101" spans="1:7" x14ac:dyDescent="0.25">
      <c r="A101" s="17"/>
      <c r="C101" s="2" t="s">
        <v>31</v>
      </c>
      <c r="D101" s="19">
        <v>16420588.939999999</v>
      </c>
      <c r="F101" t="s">
        <v>118</v>
      </c>
      <c r="G101" s="1">
        <v>18299000</v>
      </c>
    </row>
    <row r="102" spans="1:7" x14ac:dyDescent="0.25">
      <c r="A102" s="17"/>
      <c r="C102" s="2" t="s">
        <v>32</v>
      </c>
      <c r="D102" s="19">
        <v>80129953.900000006</v>
      </c>
      <c r="F102" t="s">
        <v>90</v>
      </c>
      <c r="G102" s="1">
        <v>225000</v>
      </c>
    </row>
    <row r="103" spans="1:7" x14ac:dyDescent="0.25">
      <c r="A103" s="17"/>
      <c r="C103" s="2" t="s">
        <v>33</v>
      </c>
      <c r="D103" s="19">
        <v>62293663.399999999</v>
      </c>
      <c r="G103" s="30">
        <f>SUM(G101:G102)</f>
        <v>18524000</v>
      </c>
    </row>
    <row r="104" spans="1:7" x14ac:dyDescent="0.25">
      <c r="A104" s="17"/>
      <c r="C104" s="2" t="s">
        <v>34</v>
      </c>
      <c r="D104" s="19">
        <v>10589581</v>
      </c>
      <c r="F104" s="28" t="s">
        <v>29</v>
      </c>
      <c r="G104" s="1"/>
    </row>
    <row r="105" spans="1:7" x14ac:dyDescent="0.25">
      <c r="A105" s="17"/>
      <c r="C105" s="2" t="s">
        <v>35</v>
      </c>
      <c r="D105" s="19">
        <v>1604550</v>
      </c>
      <c r="F105" t="s">
        <v>457</v>
      </c>
      <c r="G105" s="1">
        <v>13478500</v>
      </c>
    </row>
    <row r="106" spans="1:7" x14ac:dyDescent="0.25">
      <c r="A106" s="17"/>
      <c r="C106" s="2" t="s">
        <v>36</v>
      </c>
      <c r="D106" s="19">
        <v>1923410.6</v>
      </c>
      <c r="G106" s="30">
        <f>SUM(G105:G105)</f>
        <v>13478500</v>
      </c>
    </row>
    <row r="107" spans="1:7" x14ac:dyDescent="0.25">
      <c r="A107" s="17"/>
      <c r="C107" s="2" t="s">
        <v>37</v>
      </c>
      <c r="D107" s="19">
        <v>421262438</v>
      </c>
      <c r="G107" s="1"/>
    </row>
    <row r="108" spans="1:7" x14ac:dyDescent="0.25">
      <c r="A108" s="17"/>
      <c r="C108" s="2" t="s">
        <v>51</v>
      </c>
      <c r="D108" s="20">
        <v>130317</v>
      </c>
      <c r="F108" s="28" t="s">
        <v>30</v>
      </c>
      <c r="G108" s="29">
        <f>G103-G106</f>
        <v>5045500</v>
      </c>
    </row>
    <row r="109" spans="1:7" x14ac:dyDescent="0.25">
      <c r="A109" s="17"/>
      <c r="B109" s="24" t="s">
        <v>19</v>
      </c>
      <c r="D109" s="19">
        <f>SUM(D101:D108)</f>
        <v>594354502.84000003</v>
      </c>
    </row>
    <row r="110" spans="1:7" x14ac:dyDescent="0.25">
      <c r="A110" s="17"/>
      <c r="D110" s="19"/>
    </row>
    <row r="111" spans="1:7" x14ac:dyDescent="0.25">
      <c r="A111" s="17"/>
      <c r="B111" s="24" t="s">
        <v>20</v>
      </c>
      <c r="D111" s="19"/>
    </row>
    <row r="112" spans="1:7" x14ac:dyDescent="0.25">
      <c r="A112" s="17"/>
      <c r="C112" t="s">
        <v>7</v>
      </c>
      <c r="D112" s="19">
        <v>1735605950</v>
      </c>
    </row>
    <row r="113" spans="1:4" x14ac:dyDescent="0.25">
      <c r="A113" s="17"/>
      <c r="C113" t="s">
        <v>47</v>
      </c>
      <c r="D113" s="19">
        <v>12140000</v>
      </c>
    </row>
    <row r="114" spans="1:4" x14ac:dyDescent="0.25">
      <c r="A114" s="17"/>
      <c r="C114" t="s">
        <v>21</v>
      </c>
      <c r="D114" s="19">
        <v>767493500</v>
      </c>
    </row>
    <row r="115" spans="1:4" x14ac:dyDescent="0.25">
      <c r="A115" s="17"/>
      <c r="C115" t="s">
        <v>45</v>
      </c>
      <c r="D115" s="19">
        <v>25000000</v>
      </c>
    </row>
    <row r="116" spans="1:4" x14ac:dyDescent="0.25">
      <c r="A116" s="17"/>
      <c r="C116" t="s">
        <v>48</v>
      </c>
      <c r="D116" s="19">
        <v>30000000</v>
      </c>
    </row>
    <row r="117" spans="1:4" x14ac:dyDescent="0.25">
      <c r="A117" s="17"/>
      <c r="C117" t="s">
        <v>68</v>
      </c>
      <c r="D117" s="19">
        <v>141000000</v>
      </c>
    </row>
    <row r="118" spans="1:4" x14ac:dyDescent="0.25">
      <c r="A118" s="17"/>
      <c r="C118" t="s">
        <v>68</v>
      </c>
      <c r="D118" s="19">
        <v>145000000</v>
      </c>
    </row>
    <row r="119" spans="1:4" x14ac:dyDescent="0.25">
      <c r="A119" s="17"/>
      <c r="C119" t="s">
        <v>403</v>
      </c>
      <c r="D119" s="19">
        <v>17000000</v>
      </c>
    </row>
    <row r="120" spans="1:4" x14ac:dyDescent="0.25">
      <c r="A120" s="17"/>
      <c r="C120" t="s">
        <v>387</v>
      </c>
      <c r="D120" s="19">
        <v>160000000</v>
      </c>
    </row>
    <row r="121" spans="1:4" x14ac:dyDescent="0.25">
      <c r="A121" s="17"/>
      <c r="C121" t="s">
        <v>313</v>
      </c>
      <c r="D121" s="20">
        <v>10000000</v>
      </c>
    </row>
    <row r="122" spans="1:4" x14ac:dyDescent="0.25">
      <c r="A122" s="17"/>
      <c r="D122" s="19">
        <f>SUM(D112:D121)</f>
        <v>3043239450</v>
      </c>
    </row>
    <row r="123" spans="1:4" x14ac:dyDescent="0.25">
      <c r="A123" s="17"/>
      <c r="D123" s="19"/>
    </row>
    <row r="124" spans="1:4" x14ac:dyDescent="0.25">
      <c r="A124" s="17"/>
      <c r="B124" s="24" t="s">
        <v>46</v>
      </c>
      <c r="D124" s="19"/>
    </row>
    <row r="125" spans="1:4" x14ac:dyDescent="0.25">
      <c r="A125" s="17"/>
      <c r="C125" t="s">
        <v>456</v>
      </c>
      <c r="D125" s="19">
        <v>140382500</v>
      </c>
    </row>
    <row r="126" spans="1:4" x14ac:dyDescent="0.25">
      <c r="A126" s="17"/>
      <c r="C126" t="s">
        <v>426</v>
      </c>
      <c r="D126" s="20">
        <v>1205000</v>
      </c>
    </row>
    <row r="127" spans="1:4" x14ac:dyDescent="0.25">
      <c r="A127" s="17"/>
      <c r="D127" s="19">
        <f>SUM(D125:D126)</f>
        <v>141587500</v>
      </c>
    </row>
    <row r="128" spans="1:4" x14ac:dyDescent="0.25">
      <c r="A128" s="17"/>
      <c r="D128" s="19"/>
    </row>
    <row r="129" spans="1:7" x14ac:dyDescent="0.25">
      <c r="A129" s="23" t="s">
        <v>22</v>
      </c>
      <c r="D129" s="19"/>
    </row>
    <row r="130" spans="1:7" x14ac:dyDescent="0.25">
      <c r="A130" s="17"/>
      <c r="C130" t="s">
        <v>23</v>
      </c>
      <c r="D130" s="19">
        <v>884500000</v>
      </c>
    </row>
    <row r="131" spans="1:7" x14ac:dyDescent="0.25">
      <c r="A131" s="17"/>
      <c r="C131" t="s">
        <v>24</v>
      </c>
      <c r="D131" s="19">
        <v>1802013500</v>
      </c>
    </row>
    <row r="132" spans="1:7" x14ac:dyDescent="0.25">
      <c r="A132" s="17"/>
      <c r="C132" t="s">
        <v>44</v>
      </c>
      <c r="D132" s="19">
        <v>313750000</v>
      </c>
    </row>
    <row r="133" spans="1:7" x14ac:dyDescent="0.25">
      <c r="A133" s="17"/>
      <c r="C133" t="s">
        <v>111</v>
      </c>
      <c r="D133" s="20">
        <v>76050000</v>
      </c>
    </row>
    <row r="134" spans="1:7" x14ac:dyDescent="0.25">
      <c r="A134" s="17"/>
      <c r="D134" s="19">
        <f>SUM(D130:D133)</f>
        <v>3076313500</v>
      </c>
      <c r="G134" s="1"/>
    </row>
    <row r="135" spans="1:7" x14ac:dyDescent="0.25">
      <c r="A135" s="17"/>
      <c r="D135" s="19"/>
      <c r="G135" s="1"/>
    </row>
    <row r="136" spans="1:7" x14ac:dyDescent="0.25">
      <c r="A136" s="43" t="s">
        <v>25</v>
      </c>
      <c r="B136" s="44"/>
      <c r="C136" s="44"/>
      <c r="D136" s="25">
        <f>D109+D122+D127-D134</f>
        <v>702867952.84000015</v>
      </c>
      <c r="G136" s="1"/>
    </row>
    <row r="137" spans="1:7" x14ac:dyDescent="0.25">
      <c r="A137" s="21"/>
      <c r="B137" s="22"/>
      <c r="C137" s="22"/>
      <c r="D137" s="20"/>
      <c r="G137" s="1"/>
    </row>
    <row r="139" spans="1:7" x14ac:dyDescent="0.25">
      <c r="A139" s="40" t="s">
        <v>13</v>
      </c>
      <c r="B139" s="40"/>
      <c r="C139" s="40"/>
      <c r="D139" s="40"/>
      <c r="G139" s="1"/>
    </row>
    <row r="140" spans="1:7" x14ac:dyDescent="0.25">
      <c r="A140" s="41" t="s">
        <v>14</v>
      </c>
      <c r="B140" s="41"/>
      <c r="C140" s="41"/>
      <c r="D140" s="41"/>
      <c r="G140" s="1"/>
    </row>
    <row r="141" spans="1:7" x14ac:dyDescent="0.25">
      <c r="A141" s="42">
        <v>45752</v>
      </c>
      <c r="B141" s="42"/>
      <c r="C141" s="42"/>
      <c r="D141" s="42"/>
      <c r="G141" s="1"/>
    </row>
    <row r="142" spans="1:7" x14ac:dyDescent="0.25">
      <c r="A142" s="13"/>
      <c r="B142" s="13"/>
      <c r="C142" s="13"/>
      <c r="D142" s="13"/>
      <c r="G142" s="1"/>
    </row>
    <row r="143" spans="1:7" x14ac:dyDescent="0.25">
      <c r="A143" s="14"/>
      <c r="B143" s="15"/>
      <c r="C143" s="15"/>
      <c r="D143" s="16"/>
      <c r="F143" s="5" t="s">
        <v>26</v>
      </c>
      <c r="G143" s="1">
        <f>D182-D136</f>
        <v>15487250</v>
      </c>
    </row>
    <row r="144" spans="1:7" x14ac:dyDescent="0.25">
      <c r="A144" s="17"/>
      <c r="D144" s="32" t="s">
        <v>16</v>
      </c>
      <c r="G144" s="1"/>
    </row>
    <row r="145" spans="1:7" x14ac:dyDescent="0.25">
      <c r="A145" s="23" t="s">
        <v>15</v>
      </c>
      <c r="D145" s="18" t="s">
        <v>17</v>
      </c>
      <c r="F145" s="26" t="s">
        <v>27</v>
      </c>
      <c r="G145" s="1"/>
    </row>
    <row r="146" spans="1:7" x14ac:dyDescent="0.25">
      <c r="A146" s="17"/>
      <c r="B146" s="24" t="s">
        <v>18</v>
      </c>
      <c r="D146" s="19"/>
      <c r="F146" s="27" t="s">
        <v>28</v>
      </c>
      <c r="G146" s="1"/>
    </row>
    <row r="147" spans="1:7" x14ac:dyDescent="0.25">
      <c r="A147" s="17"/>
      <c r="C147" s="2" t="s">
        <v>31</v>
      </c>
      <c r="D147" s="19">
        <v>16420588.939999999</v>
      </c>
      <c r="F147" t="s">
        <v>299</v>
      </c>
      <c r="G147" s="1">
        <v>16349000</v>
      </c>
    </row>
    <row r="148" spans="1:7" x14ac:dyDescent="0.25">
      <c r="A148" s="17"/>
      <c r="C148" s="2" t="s">
        <v>32</v>
      </c>
      <c r="D148" s="19">
        <v>80129953.900000006</v>
      </c>
      <c r="G148" s="30">
        <f>SUM(G147:G147)</f>
        <v>16349000</v>
      </c>
    </row>
    <row r="149" spans="1:7" x14ac:dyDescent="0.25">
      <c r="A149" s="17"/>
      <c r="C149" s="2" t="s">
        <v>33</v>
      </c>
      <c r="D149" s="19">
        <v>62293663.399999999</v>
      </c>
      <c r="F149" s="28" t="s">
        <v>29</v>
      </c>
      <c r="G149" s="1"/>
    </row>
    <row r="150" spans="1:7" x14ac:dyDescent="0.25">
      <c r="A150" s="17"/>
      <c r="C150" s="2" t="s">
        <v>34</v>
      </c>
      <c r="D150" s="19">
        <v>8489581</v>
      </c>
      <c r="F150" t="s">
        <v>161</v>
      </c>
      <c r="G150" s="1">
        <v>2500</v>
      </c>
    </row>
    <row r="151" spans="1:7" x14ac:dyDescent="0.25">
      <c r="A151" s="17"/>
      <c r="C151" s="2" t="s">
        <v>35</v>
      </c>
      <c r="D151" s="19">
        <v>1604550</v>
      </c>
      <c r="F151" t="s">
        <v>122</v>
      </c>
      <c r="G151" s="1">
        <v>859250</v>
      </c>
    </row>
    <row r="152" spans="1:7" x14ac:dyDescent="0.25">
      <c r="A152" s="17"/>
      <c r="C152" s="2" t="s">
        <v>36</v>
      </c>
      <c r="D152" s="19">
        <v>1923410.6</v>
      </c>
      <c r="G152" s="30">
        <f>SUM(G150:G151)</f>
        <v>861750</v>
      </c>
    </row>
    <row r="153" spans="1:7" x14ac:dyDescent="0.25">
      <c r="A153" s="17"/>
      <c r="C153" s="2" t="s">
        <v>37</v>
      </c>
      <c r="D153" s="19">
        <v>317309938</v>
      </c>
      <c r="G153" s="1"/>
    </row>
    <row r="154" spans="1:7" x14ac:dyDescent="0.25">
      <c r="A154" s="17"/>
      <c r="C154" s="2" t="s">
        <v>51</v>
      </c>
      <c r="D154" s="20">
        <v>130317</v>
      </c>
      <c r="F154" s="28" t="s">
        <v>30</v>
      </c>
      <c r="G154" s="29">
        <f>G148-G152</f>
        <v>15487250</v>
      </c>
    </row>
    <row r="155" spans="1:7" x14ac:dyDescent="0.25">
      <c r="A155" s="17"/>
      <c r="B155" s="24" t="s">
        <v>19</v>
      </c>
      <c r="D155" s="19">
        <f>SUM(D147:D154)</f>
        <v>488302002.84000003</v>
      </c>
    </row>
    <row r="156" spans="1:7" x14ac:dyDescent="0.25">
      <c r="A156" s="17"/>
      <c r="D156" s="19"/>
    </row>
    <row r="157" spans="1:7" x14ac:dyDescent="0.25">
      <c r="A157" s="17"/>
      <c r="B157" s="24" t="s">
        <v>20</v>
      </c>
      <c r="D157" s="19"/>
    </row>
    <row r="158" spans="1:7" x14ac:dyDescent="0.25">
      <c r="A158" s="17"/>
      <c r="C158" t="s">
        <v>7</v>
      </c>
      <c r="D158" s="19">
        <v>2100215950</v>
      </c>
    </row>
    <row r="159" spans="1:7" x14ac:dyDescent="0.25">
      <c r="A159" s="17"/>
      <c r="C159" t="s">
        <v>47</v>
      </c>
      <c r="D159" s="19">
        <v>12140000</v>
      </c>
    </row>
    <row r="160" spans="1:7" x14ac:dyDescent="0.25">
      <c r="A160" s="17"/>
      <c r="C160" t="s">
        <v>21</v>
      </c>
      <c r="D160" s="19">
        <v>767493500</v>
      </c>
    </row>
    <row r="161" spans="1:4" x14ac:dyDescent="0.25">
      <c r="A161" s="17"/>
      <c r="C161" t="s">
        <v>45</v>
      </c>
      <c r="D161" s="19">
        <v>25000000</v>
      </c>
    </row>
    <row r="162" spans="1:4" x14ac:dyDescent="0.25">
      <c r="A162" s="17"/>
      <c r="C162" t="s">
        <v>48</v>
      </c>
      <c r="D162" s="19">
        <v>30000000</v>
      </c>
    </row>
    <row r="163" spans="1:4" x14ac:dyDescent="0.25">
      <c r="A163" s="17"/>
      <c r="C163" t="s">
        <v>68</v>
      </c>
      <c r="D163" s="19">
        <v>141000000</v>
      </c>
    </row>
    <row r="164" spans="1:4" x14ac:dyDescent="0.25">
      <c r="A164" s="17"/>
      <c r="C164" t="s">
        <v>68</v>
      </c>
      <c r="D164" s="19">
        <v>145000000</v>
      </c>
    </row>
    <row r="165" spans="1:4" x14ac:dyDescent="0.25">
      <c r="A165" s="17"/>
      <c r="C165" t="s">
        <v>403</v>
      </c>
      <c r="D165" s="19">
        <v>17000000</v>
      </c>
    </row>
    <row r="166" spans="1:4" x14ac:dyDescent="0.25">
      <c r="A166" s="17"/>
      <c r="C166" t="s">
        <v>387</v>
      </c>
      <c r="D166" s="19">
        <v>160000000</v>
      </c>
    </row>
    <row r="167" spans="1:4" x14ac:dyDescent="0.25">
      <c r="A167" s="17"/>
      <c r="C167" t="s">
        <v>313</v>
      </c>
      <c r="D167" s="20">
        <v>10000000</v>
      </c>
    </row>
    <row r="168" spans="1:4" x14ac:dyDescent="0.25">
      <c r="A168" s="17"/>
      <c r="D168" s="19">
        <f>SUM(D158:D167)</f>
        <v>3407849450</v>
      </c>
    </row>
    <row r="169" spans="1:4" x14ac:dyDescent="0.25">
      <c r="A169" s="17"/>
      <c r="D169" s="19"/>
    </row>
    <row r="170" spans="1:4" x14ac:dyDescent="0.25">
      <c r="A170" s="17"/>
      <c r="B170" s="24" t="s">
        <v>46</v>
      </c>
      <c r="D170" s="19"/>
    </row>
    <row r="171" spans="1:4" x14ac:dyDescent="0.25">
      <c r="A171" s="17"/>
      <c r="C171" t="s">
        <v>456</v>
      </c>
      <c r="D171" s="19">
        <v>140382500</v>
      </c>
    </row>
    <row r="172" spans="1:4" x14ac:dyDescent="0.25">
      <c r="A172" s="17"/>
      <c r="C172" t="s">
        <v>426</v>
      </c>
      <c r="D172" s="20">
        <v>1205000</v>
      </c>
    </row>
    <row r="173" spans="1:4" x14ac:dyDescent="0.25">
      <c r="A173" s="17"/>
      <c r="D173" s="19">
        <f>SUM(D171:D172)</f>
        <v>141587500</v>
      </c>
    </row>
    <row r="174" spans="1:4" x14ac:dyDescent="0.25">
      <c r="A174" s="17"/>
      <c r="D174" s="19"/>
    </row>
    <row r="175" spans="1:4" x14ac:dyDescent="0.25">
      <c r="A175" s="23" t="s">
        <v>22</v>
      </c>
      <c r="D175" s="19"/>
    </row>
    <row r="176" spans="1:4" x14ac:dyDescent="0.25">
      <c r="A176" s="17"/>
      <c r="C176" t="s">
        <v>23</v>
      </c>
      <c r="D176" s="19">
        <v>884500000</v>
      </c>
    </row>
    <row r="177" spans="1:7" x14ac:dyDescent="0.25">
      <c r="A177" s="17"/>
      <c r="C177" t="s">
        <v>24</v>
      </c>
      <c r="D177" s="19">
        <v>2045083750</v>
      </c>
    </row>
    <row r="178" spans="1:7" x14ac:dyDescent="0.25">
      <c r="A178" s="17"/>
      <c r="C178" t="s">
        <v>44</v>
      </c>
      <c r="D178" s="19">
        <v>313750000</v>
      </c>
    </row>
    <row r="179" spans="1:7" x14ac:dyDescent="0.25">
      <c r="A179" s="17"/>
      <c r="C179" t="s">
        <v>111</v>
      </c>
      <c r="D179" s="20">
        <v>76050000</v>
      </c>
    </row>
    <row r="180" spans="1:7" x14ac:dyDescent="0.25">
      <c r="A180" s="17"/>
      <c r="D180" s="19">
        <f>SUM(D176:D179)</f>
        <v>3319383750</v>
      </c>
      <c r="G180" s="1"/>
    </row>
    <row r="181" spans="1:7" x14ac:dyDescent="0.25">
      <c r="A181" s="17"/>
      <c r="D181" s="19"/>
      <c r="G181" s="1"/>
    </row>
    <row r="182" spans="1:7" x14ac:dyDescent="0.25">
      <c r="A182" s="43" t="s">
        <v>25</v>
      </c>
      <c r="B182" s="44"/>
      <c r="C182" s="44"/>
      <c r="D182" s="25">
        <f>D155+D168+D173-D180</f>
        <v>718355202.84000015</v>
      </c>
      <c r="G182" s="1"/>
    </row>
    <row r="183" spans="1:7" x14ac:dyDescent="0.25">
      <c r="A183" s="21"/>
      <c r="B183" s="22"/>
      <c r="C183" s="22"/>
      <c r="D183" s="20"/>
      <c r="G183" s="1"/>
    </row>
    <row r="185" spans="1:7" x14ac:dyDescent="0.25">
      <c r="A185" s="40" t="s">
        <v>13</v>
      </c>
      <c r="B185" s="40"/>
      <c r="C185" s="40"/>
      <c r="D185" s="40"/>
      <c r="G185" s="1"/>
    </row>
    <row r="186" spans="1:7" x14ac:dyDescent="0.25">
      <c r="A186" s="41" t="s">
        <v>14</v>
      </c>
      <c r="B186" s="41"/>
      <c r="C186" s="41"/>
      <c r="D186" s="41"/>
      <c r="G186" s="1"/>
    </row>
    <row r="187" spans="1:7" x14ac:dyDescent="0.25">
      <c r="A187" s="42">
        <v>45754</v>
      </c>
      <c r="B187" s="42"/>
      <c r="C187" s="42"/>
      <c r="D187" s="42"/>
      <c r="G187" s="1"/>
    </row>
    <row r="188" spans="1:7" x14ac:dyDescent="0.25">
      <c r="A188" s="13"/>
      <c r="B188" s="13"/>
      <c r="C188" s="13"/>
      <c r="D188" s="13"/>
      <c r="G188" s="1"/>
    </row>
    <row r="189" spans="1:7" x14ac:dyDescent="0.25">
      <c r="A189" s="14"/>
      <c r="B189" s="15"/>
      <c r="C189" s="15"/>
      <c r="D189" s="16"/>
      <c r="F189" s="5" t="s">
        <v>26</v>
      </c>
      <c r="G189" s="1">
        <f>D231-D182</f>
        <v>5745000</v>
      </c>
    </row>
    <row r="190" spans="1:7" x14ac:dyDescent="0.25">
      <c r="A190" s="17"/>
      <c r="D190" s="32" t="s">
        <v>16</v>
      </c>
      <c r="G190" s="1"/>
    </row>
    <row r="191" spans="1:7" x14ac:dyDescent="0.25">
      <c r="A191" s="23" t="s">
        <v>15</v>
      </c>
      <c r="D191" s="18" t="s">
        <v>17</v>
      </c>
      <c r="F191" s="26" t="s">
        <v>27</v>
      </c>
      <c r="G191" s="1"/>
    </row>
    <row r="192" spans="1:7" x14ac:dyDescent="0.25">
      <c r="A192" s="17"/>
      <c r="B192" s="24" t="s">
        <v>18</v>
      </c>
      <c r="D192" s="19"/>
      <c r="F192" s="27" t="s">
        <v>28</v>
      </c>
      <c r="G192" s="1"/>
    </row>
    <row r="193" spans="1:7" x14ac:dyDescent="0.25">
      <c r="A193" s="17"/>
      <c r="C193" s="2" t="s">
        <v>31</v>
      </c>
      <c r="D193" s="19">
        <v>64760588.939999998</v>
      </c>
      <c r="F193" t="s">
        <v>135</v>
      </c>
      <c r="G193" s="1">
        <v>20985000</v>
      </c>
    </row>
    <row r="194" spans="1:7" x14ac:dyDescent="0.25">
      <c r="A194" s="17"/>
      <c r="C194" s="2" t="s">
        <v>32</v>
      </c>
      <c r="D194" s="19">
        <v>80129953.900000006</v>
      </c>
      <c r="F194" t="s">
        <v>90</v>
      </c>
      <c r="G194" s="1">
        <v>662500</v>
      </c>
    </row>
    <row r="195" spans="1:7" x14ac:dyDescent="0.25">
      <c r="A195" s="17"/>
      <c r="C195" s="2" t="s">
        <v>33</v>
      </c>
      <c r="D195" s="19">
        <v>-459008336.60000002</v>
      </c>
      <c r="G195" s="30">
        <f>SUM(G193:G194)</f>
        <v>21647500</v>
      </c>
    </row>
    <row r="196" spans="1:7" x14ac:dyDescent="0.25">
      <c r="A196" s="17"/>
      <c r="C196" s="2" t="s">
        <v>34</v>
      </c>
      <c r="D196" s="19">
        <v>7514581</v>
      </c>
      <c r="F196" s="28" t="s">
        <v>29</v>
      </c>
      <c r="G196" s="1"/>
    </row>
    <row r="197" spans="1:7" x14ac:dyDescent="0.25">
      <c r="A197" s="17"/>
      <c r="C197" s="2" t="s">
        <v>35</v>
      </c>
      <c r="D197" s="19">
        <v>1604550</v>
      </c>
      <c r="F197" t="s">
        <v>458</v>
      </c>
      <c r="G197" s="1">
        <v>900000</v>
      </c>
    </row>
    <row r="198" spans="1:7" x14ac:dyDescent="0.25">
      <c r="A198" s="17"/>
      <c r="C198" s="2" t="s">
        <v>36</v>
      </c>
      <c r="D198" s="19">
        <v>1923410.6</v>
      </c>
      <c r="F198" t="s">
        <v>298</v>
      </c>
      <c r="G198" s="1">
        <v>15000000</v>
      </c>
    </row>
    <row r="199" spans="1:7" x14ac:dyDescent="0.25">
      <c r="A199" s="17"/>
      <c r="C199" s="2" t="s">
        <v>37</v>
      </c>
      <c r="D199" s="19">
        <v>217307438</v>
      </c>
      <c r="F199" t="s">
        <v>161</v>
      </c>
      <c r="G199" s="1">
        <v>2500</v>
      </c>
    </row>
    <row r="200" spans="1:7" x14ac:dyDescent="0.25">
      <c r="A200" s="17"/>
      <c r="C200" s="2" t="s">
        <v>51</v>
      </c>
      <c r="D200" s="20">
        <v>130317</v>
      </c>
      <c r="G200" s="30">
        <f>SUM(G197:G199)</f>
        <v>15902500</v>
      </c>
    </row>
    <row r="201" spans="1:7" x14ac:dyDescent="0.25">
      <c r="A201" s="17"/>
      <c r="B201" s="24" t="s">
        <v>19</v>
      </c>
      <c r="D201" s="19">
        <f>SUM(D193:D200)</f>
        <v>-85637497.159999967</v>
      </c>
      <c r="G201" s="1"/>
    </row>
    <row r="202" spans="1:7" x14ac:dyDescent="0.25">
      <c r="A202" s="17"/>
      <c r="D202" s="19"/>
      <c r="F202" s="28" t="s">
        <v>30</v>
      </c>
      <c r="G202" s="29">
        <f>G195-G200</f>
        <v>5745000</v>
      </c>
    </row>
    <row r="203" spans="1:7" x14ac:dyDescent="0.25">
      <c r="A203" s="17"/>
      <c r="B203" s="24" t="s">
        <v>20</v>
      </c>
      <c r="D203" s="19"/>
    </row>
    <row r="204" spans="1:7" x14ac:dyDescent="0.25">
      <c r="A204" s="17"/>
      <c r="C204" t="s">
        <v>7</v>
      </c>
      <c r="D204" s="19">
        <v>2235325950</v>
      </c>
    </row>
    <row r="205" spans="1:7" x14ac:dyDescent="0.25">
      <c r="A205" s="17"/>
      <c r="C205" t="s">
        <v>47</v>
      </c>
      <c r="D205" s="19">
        <v>25455000</v>
      </c>
    </row>
    <row r="206" spans="1:7" x14ac:dyDescent="0.25">
      <c r="A206" s="17"/>
      <c r="C206" t="s">
        <v>21</v>
      </c>
      <c r="D206" s="19">
        <v>775793500</v>
      </c>
    </row>
    <row r="207" spans="1:7" x14ac:dyDescent="0.25">
      <c r="A207" s="17"/>
      <c r="C207" t="s">
        <v>45</v>
      </c>
      <c r="D207" s="19">
        <v>25000000</v>
      </c>
    </row>
    <row r="208" spans="1:7" x14ac:dyDescent="0.25">
      <c r="A208" s="17"/>
      <c r="C208" t="s">
        <v>48</v>
      </c>
      <c r="D208" s="19">
        <v>30000000</v>
      </c>
    </row>
    <row r="209" spans="1:4" x14ac:dyDescent="0.25">
      <c r="A209" s="17"/>
      <c r="C209" t="s">
        <v>68</v>
      </c>
      <c r="D209" s="19">
        <v>141000000</v>
      </c>
    </row>
    <row r="210" spans="1:4" x14ac:dyDescent="0.25">
      <c r="A210" s="17"/>
      <c r="C210" t="s">
        <v>68</v>
      </c>
      <c r="D210" s="19">
        <v>145000000</v>
      </c>
    </row>
    <row r="211" spans="1:4" x14ac:dyDescent="0.25">
      <c r="A211" s="17"/>
      <c r="C211" t="s">
        <v>403</v>
      </c>
      <c r="D211" s="19">
        <v>17000000</v>
      </c>
    </row>
    <row r="212" spans="1:4" x14ac:dyDescent="0.25">
      <c r="A212" s="17"/>
      <c r="C212" t="s">
        <v>387</v>
      </c>
      <c r="D212" s="19">
        <v>160000000</v>
      </c>
    </row>
    <row r="213" spans="1:4" x14ac:dyDescent="0.25">
      <c r="A213" s="17"/>
      <c r="C213" t="s">
        <v>460</v>
      </c>
      <c r="D213" s="19">
        <v>140250000</v>
      </c>
    </row>
    <row r="214" spans="1:4" x14ac:dyDescent="0.25">
      <c r="A214" s="17"/>
      <c r="C214" t="s">
        <v>349</v>
      </c>
      <c r="D214" s="19">
        <v>1110000</v>
      </c>
    </row>
    <row r="215" spans="1:4" x14ac:dyDescent="0.25">
      <c r="A215" s="17"/>
      <c r="C215" t="s">
        <v>313</v>
      </c>
      <c r="D215" s="20">
        <v>10000000</v>
      </c>
    </row>
    <row r="216" spans="1:4" x14ac:dyDescent="0.25">
      <c r="A216" s="17"/>
      <c r="D216" s="19">
        <f>SUM(D204:D215)</f>
        <v>3705934450</v>
      </c>
    </row>
    <row r="217" spans="1:4" x14ac:dyDescent="0.25">
      <c r="A217" s="17"/>
      <c r="D217" s="19"/>
    </row>
    <row r="218" spans="1:4" x14ac:dyDescent="0.25">
      <c r="A218" s="17"/>
      <c r="B218" s="24" t="s">
        <v>46</v>
      </c>
      <c r="D218" s="19"/>
    </row>
    <row r="219" spans="1:4" x14ac:dyDescent="0.25">
      <c r="A219" s="17"/>
      <c r="C219" t="s">
        <v>459</v>
      </c>
      <c r="D219" s="19">
        <v>126525000</v>
      </c>
    </row>
    <row r="220" spans="1:4" x14ac:dyDescent="0.25">
      <c r="A220" s="17"/>
      <c r="C220" t="s">
        <v>323</v>
      </c>
      <c r="D220" s="20">
        <v>2410000</v>
      </c>
    </row>
    <row r="221" spans="1:4" x14ac:dyDescent="0.25">
      <c r="A221" s="17"/>
      <c r="D221" s="19">
        <f>SUM(D219:D220)</f>
        <v>128935000</v>
      </c>
    </row>
    <row r="222" spans="1:4" x14ac:dyDescent="0.25">
      <c r="A222" s="17"/>
      <c r="D222" s="19"/>
    </row>
    <row r="223" spans="1:4" x14ac:dyDescent="0.25">
      <c r="A223" s="23" t="s">
        <v>22</v>
      </c>
      <c r="D223" s="19"/>
    </row>
    <row r="224" spans="1:4" x14ac:dyDescent="0.25">
      <c r="A224" s="17"/>
      <c r="C224" t="s">
        <v>23</v>
      </c>
      <c r="D224" s="19">
        <v>884500000</v>
      </c>
    </row>
    <row r="225" spans="1:7" x14ac:dyDescent="0.25">
      <c r="A225" s="17"/>
      <c r="C225" t="s">
        <v>24</v>
      </c>
      <c r="D225" s="19">
        <v>1810331750</v>
      </c>
    </row>
    <row r="226" spans="1:7" x14ac:dyDescent="0.25">
      <c r="A226" s="17"/>
      <c r="C226" t="s">
        <v>44</v>
      </c>
      <c r="D226" s="19">
        <v>176400000</v>
      </c>
    </row>
    <row r="227" spans="1:7" x14ac:dyDescent="0.25">
      <c r="A227" s="17"/>
      <c r="C227" t="s">
        <v>461</v>
      </c>
      <c r="D227" s="19">
        <v>77850000</v>
      </c>
    </row>
    <row r="228" spans="1:7" x14ac:dyDescent="0.25">
      <c r="A228" s="17"/>
      <c r="C228" t="s">
        <v>111</v>
      </c>
      <c r="D228" s="20">
        <v>76050000</v>
      </c>
    </row>
    <row r="229" spans="1:7" x14ac:dyDescent="0.25">
      <c r="A229" s="17"/>
      <c r="D229" s="19">
        <f>SUM(D224:D228)</f>
        <v>3025131750</v>
      </c>
      <c r="G229" s="1"/>
    </row>
    <row r="230" spans="1:7" x14ac:dyDescent="0.25">
      <c r="A230" s="17"/>
      <c r="D230" s="19"/>
      <c r="G230" s="1"/>
    </row>
    <row r="231" spans="1:7" x14ac:dyDescent="0.25">
      <c r="A231" s="43" t="s">
        <v>25</v>
      </c>
      <c r="B231" s="44"/>
      <c r="C231" s="44"/>
      <c r="D231" s="25">
        <f>D201+D216+D221-D229</f>
        <v>724100202.84000015</v>
      </c>
      <c r="G231" s="1"/>
    </row>
    <row r="232" spans="1:7" x14ac:dyDescent="0.25">
      <c r="A232" s="21"/>
      <c r="B232" s="22"/>
      <c r="C232" s="22"/>
      <c r="D232" s="20"/>
      <c r="G232" s="1"/>
    </row>
    <row r="234" spans="1:7" x14ac:dyDescent="0.25">
      <c r="A234" s="40" t="s">
        <v>13</v>
      </c>
      <c r="B234" s="40"/>
      <c r="C234" s="40"/>
      <c r="D234" s="40"/>
      <c r="G234" s="1"/>
    </row>
    <row r="235" spans="1:7" x14ac:dyDescent="0.25">
      <c r="A235" s="41" t="s">
        <v>14</v>
      </c>
      <c r="B235" s="41"/>
      <c r="C235" s="41"/>
      <c r="D235" s="41"/>
      <c r="G235" s="1"/>
    </row>
    <row r="236" spans="1:7" x14ac:dyDescent="0.25">
      <c r="A236" s="42">
        <v>45755</v>
      </c>
      <c r="B236" s="42"/>
      <c r="C236" s="42"/>
      <c r="D236" s="42"/>
      <c r="G236" s="1"/>
    </row>
    <row r="237" spans="1:7" x14ac:dyDescent="0.25">
      <c r="A237" s="13"/>
      <c r="B237" s="13"/>
      <c r="C237" s="13"/>
      <c r="D237" s="13"/>
      <c r="G237" s="1"/>
    </row>
    <row r="238" spans="1:7" x14ac:dyDescent="0.25">
      <c r="A238" s="14"/>
      <c r="B238" s="15"/>
      <c r="C238" s="15"/>
      <c r="D238" s="16"/>
      <c r="F238" s="5" t="s">
        <v>26</v>
      </c>
      <c r="G238" s="1">
        <f>D278-D231</f>
        <v>29774900</v>
      </c>
    </row>
    <row r="239" spans="1:7" x14ac:dyDescent="0.25">
      <c r="A239" s="17"/>
      <c r="D239" s="32" t="s">
        <v>16</v>
      </c>
      <c r="G239" s="1"/>
    </row>
    <row r="240" spans="1:7" x14ac:dyDescent="0.25">
      <c r="A240" s="23" t="s">
        <v>15</v>
      </c>
      <c r="D240" s="18" t="s">
        <v>17</v>
      </c>
      <c r="F240" s="26" t="s">
        <v>27</v>
      </c>
      <c r="G240" s="1"/>
    </row>
    <row r="241" spans="1:7" x14ac:dyDescent="0.25">
      <c r="A241" s="17"/>
      <c r="B241" s="24" t="s">
        <v>18</v>
      </c>
      <c r="D241" s="19"/>
      <c r="F241" s="27" t="s">
        <v>28</v>
      </c>
      <c r="G241" s="1"/>
    </row>
    <row r="242" spans="1:7" x14ac:dyDescent="0.25">
      <c r="A242" s="17"/>
      <c r="C242" s="2" t="s">
        <v>31</v>
      </c>
      <c r="D242" s="19">
        <v>-987411.06</v>
      </c>
      <c r="F242" t="s">
        <v>305</v>
      </c>
      <c r="G242" s="1">
        <v>39729000</v>
      </c>
    </row>
    <row r="243" spans="1:7" x14ac:dyDescent="0.25">
      <c r="A243" s="17"/>
      <c r="C243" s="2" t="s">
        <v>32</v>
      </c>
      <c r="D243" s="19">
        <v>81449953.900000006</v>
      </c>
      <c r="F243" t="s">
        <v>90</v>
      </c>
      <c r="G243" s="1">
        <v>352500</v>
      </c>
    </row>
    <row r="244" spans="1:7" x14ac:dyDescent="0.25">
      <c r="A244" s="17"/>
      <c r="C244" s="2" t="s">
        <v>33</v>
      </c>
      <c r="D244" s="19">
        <v>-390722696.60000002</v>
      </c>
      <c r="F244" t="s">
        <v>462</v>
      </c>
      <c r="G244" s="1">
        <v>1050000</v>
      </c>
    </row>
    <row r="245" spans="1:7" x14ac:dyDescent="0.25">
      <c r="A245" s="17"/>
      <c r="C245" s="2" t="s">
        <v>34</v>
      </c>
      <c r="D245" s="19">
        <v>1214581</v>
      </c>
      <c r="F245" t="s">
        <v>464</v>
      </c>
      <c r="G245" s="1">
        <v>900000</v>
      </c>
    </row>
    <row r="246" spans="1:7" x14ac:dyDescent="0.25">
      <c r="A246" s="17"/>
      <c r="C246" s="2" t="s">
        <v>35</v>
      </c>
      <c r="D246" s="19">
        <v>1604550</v>
      </c>
      <c r="G246" s="30">
        <f>SUM(G242:G245)</f>
        <v>42031500</v>
      </c>
    </row>
    <row r="247" spans="1:7" x14ac:dyDescent="0.25">
      <c r="A247" s="17"/>
      <c r="C247" s="2" t="s">
        <v>36</v>
      </c>
      <c r="D247" s="19">
        <v>1923410.6</v>
      </c>
      <c r="F247" s="28" t="s">
        <v>29</v>
      </c>
      <c r="G247" s="1"/>
    </row>
    <row r="248" spans="1:7" x14ac:dyDescent="0.25">
      <c r="A248" s="17"/>
      <c r="C248" s="2" t="s">
        <v>37</v>
      </c>
      <c r="D248" s="19">
        <v>370966438</v>
      </c>
      <c r="F248" t="s">
        <v>2</v>
      </c>
      <c r="G248" s="1">
        <v>2250000</v>
      </c>
    </row>
    <row r="249" spans="1:7" x14ac:dyDescent="0.25">
      <c r="A249" s="17"/>
      <c r="C249" s="2" t="s">
        <v>51</v>
      </c>
      <c r="D249" s="20">
        <v>130317</v>
      </c>
      <c r="F249" t="s">
        <v>298</v>
      </c>
      <c r="G249" s="1">
        <v>6648000</v>
      </c>
    </row>
    <row r="250" spans="1:7" x14ac:dyDescent="0.25">
      <c r="A250" s="17"/>
      <c r="B250" s="24" t="s">
        <v>19</v>
      </c>
      <c r="D250" s="19">
        <f>SUM(D242:D249)</f>
        <v>65579142.840000033</v>
      </c>
      <c r="F250" t="s">
        <v>161</v>
      </c>
      <c r="G250" s="1">
        <v>5000</v>
      </c>
    </row>
    <row r="251" spans="1:7" x14ac:dyDescent="0.25">
      <c r="A251" s="17"/>
      <c r="D251" s="19"/>
      <c r="F251" t="s">
        <v>465</v>
      </c>
      <c r="G251" s="1">
        <v>3353600</v>
      </c>
    </row>
    <row r="252" spans="1:7" x14ac:dyDescent="0.25">
      <c r="A252" s="17"/>
      <c r="B252" s="24" t="s">
        <v>20</v>
      </c>
      <c r="D252" s="19"/>
      <c r="G252" s="30">
        <f>SUM(G248:G251)</f>
        <v>12256600</v>
      </c>
    </row>
    <row r="253" spans="1:7" x14ac:dyDescent="0.25">
      <c r="A253" s="17"/>
      <c r="C253" t="s">
        <v>7</v>
      </c>
      <c r="D253" s="19">
        <v>1981570950</v>
      </c>
      <c r="G253" s="1"/>
    </row>
    <row r="254" spans="1:7" x14ac:dyDescent="0.25">
      <c r="A254" s="17"/>
      <c r="C254" t="s">
        <v>47</v>
      </c>
      <c r="D254" s="19">
        <v>28705000</v>
      </c>
      <c r="F254" s="28" t="s">
        <v>30</v>
      </c>
      <c r="G254" s="29">
        <f>G246-G252</f>
        <v>29774900</v>
      </c>
    </row>
    <row r="255" spans="1:7" x14ac:dyDescent="0.25">
      <c r="A255" s="17"/>
      <c r="C255" t="s">
        <v>21</v>
      </c>
      <c r="D255" s="19">
        <v>665879500</v>
      </c>
    </row>
    <row r="256" spans="1:7" x14ac:dyDescent="0.25">
      <c r="A256" s="17"/>
      <c r="C256" t="s">
        <v>45</v>
      </c>
      <c r="D256" s="19">
        <v>25000000</v>
      </c>
    </row>
    <row r="257" spans="1:4" x14ac:dyDescent="0.25">
      <c r="A257" s="17"/>
      <c r="C257" t="s">
        <v>48</v>
      </c>
      <c r="D257" s="19">
        <v>30000000</v>
      </c>
    </row>
    <row r="258" spans="1:4" x14ac:dyDescent="0.25">
      <c r="A258" s="17"/>
      <c r="C258" t="s">
        <v>68</v>
      </c>
      <c r="D258" s="19">
        <v>141000000</v>
      </c>
    </row>
    <row r="259" spans="1:4" x14ac:dyDescent="0.25">
      <c r="A259" s="17"/>
      <c r="C259" t="s">
        <v>68</v>
      </c>
      <c r="D259" s="19">
        <v>145000000</v>
      </c>
    </row>
    <row r="260" spans="1:4" x14ac:dyDescent="0.25">
      <c r="A260" s="17"/>
      <c r="C260" t="s">
        <v>403</v>
      </c>
      <c r="D260" s="19">
        <v>17000000</v>
      </c>
    </row>
    <row r="261" spans="1:4" x14ac:dyDescent="0.25">
      <c r="A261" s="17"/>
      <c r="C261" t="s">
        <v>387</v>
      </c>
      <c r="D261" s="19">
        <v>160000000</v>
      </c>
    </row>
    <row r="262" spans="1:4" x14ac:dyDescent="0.25">
      <c r="A262" s="17"/>
      <c r="C262" t="s">
        <v>466</v>
      </c>
      <c r="D262" s="19">
        <v>100050000</v>
      </c>
    </row>
    <row r="263" spans="1:4" x14ac:dyDescent="0.25">
      <c r="A263" s="17"/>
      <c r="C263" t="s">
        <v>313</v>
      </c>
      <c r="D263" s="20">
        <v>10000000</v>
      </c>
    </row>
    <row r="264" spans="1:4" x14ac:dyDescent="0.25">
      <c r="A264" s="17"/>
      <c r="D264" s="19">
        <f>SUM(D253:D263)</f>
        <v>3304205450</v>
      </c>
    </row>
    <row r="265" spans="1:4" x14ac:dyDescent="0.25">
      <c r="A265" s="17"/>
      <c r="D265" s="19"/>
    </row>
    <row r="266" spans="1:4" x14ac:dyDescent="0.25">
      <c r="A266" s="17"/>
      <c r="B266" s="24" t="s">
        <v>46</v>
      </c>
      <c r="D266" s="19"/>
    </row>
    <row r="267" spans="1:4" x14ac:dyDescent="0.25">
      <c r="A267" s="17"/>
      <c r="C267" t="s">
        <v>463</v>
      </c>
      <c r="D267" s="19">
        <v>123512500</v>
      </c>
    </row>
    <row r="268" spans="1:4" x14ac:dyDescent="0.25">
      <c r="A268" s="17"/>
      <c r="C268" t="s">
        <v>426</v>
      </c>
      <c r="D268" s="20">
        <v>1205000</v>
      </c>
    </row>
    <row r="269" spans="1:4" x14ac:dyDescent="0.25">
      <c r="A269" s="17"/>
      <c r="D269" s="19">
        <f>SUM(D267:D268)</f>
        <v>124717500</v>
      </c>
    </row>
    <row r="270" spans="1:4" x14ac:dyDescent="0.25">
      <c r="A270" s="17"/>
      <c r="D270" s="19"/>
    </row>
    <row r="271" spans="1:4" x14ac:dyDescent="0.25">
      <c r="A271" s="23" t="s">
        <v>22</v>
      </c>
      <c r="D271" s="19"/>
    </row>
    <row r="272" spans="1:4" x14ac:dyDescent="0.25">
      <c r="A272" s="17"/>
      <c r="C272" t="s">
        <v>23</v>
      </c>
      <c r="D272" s="19">
        <v>473100000</v>
      </c>
    </row>
    <row r="273" spans="1:7" x14ac:dyDescent="0.25">
      <c r="A273" s="17"/>
      <c r="C273" t="s">
        <v>24</v>
      </c>
      <c r="D273" s="19">
        <v>1893276990</v>
      </c>
    </row>
    <row r="274" spans="1:7" x14ac:dyDescent="0.25">
      <c r="A274" s="17"/>
      <c r="C274" t="s">
        <v>44</v>
      </c>
      <c r="D274" s="19">
        <v>298200000</v>
      </c>
    </row>
    <row r="275" spans="1:7" x14ac:dyDescent="0.25">
      <c r="A275" s="17"/>
      <c r="C275" t="s">
        <v>111</v>
      </c>
      <c r="D275" s="20">
        <v>76050000</v>
      </c>
    </row>
    <row r="276" spans="1:7" x14ac:dyDescent="0.25">
      <c r="A276" s="17"/>
      <c r="D276" s="19">
        <f>SUM(D272:D275)</f>
        <v>2740626990</v>
      </c>
      <c r="G276" s="1"/>
    </row>
    <row r="277" spans="1:7" x14ac:dyDescent="0.25">
      <c r="A277" s="17"/>
      <c r="D277" s="19"/>
      <c r="G277" s="1"/>
    </row>
    <row r="278" spans="1:7" x14ac:dyDescent="0.25">
      <c r="A278" s="43" t="s">
        <v>25</v>
      </c>
      <c r="B278" s="44"/>
      <c r="C278" s="44"/>
      <c r="D278" s="25">
        <f>D250+D264+D269-D276</f>
        <v>753875102.84000015</v>
      </c>
      <c r="G278" s="1"/>
    </row>
    <row r="279" spans="1:7" x14ac:dyDescent="0.25">
      <c r="A279" s="21"/>
      <c r="B279" s="22"/>
      <c r="C279" s="22"/>
      <c r="D279" s="20"/>
      <c r="G279" s="1"/>
    </row>
    <row r="281" spans="1:7" x14ac:dyDescent="0.25">
      <c r="A281" s="40" t="s">
        <v>13</v>
      </c>
      <c r="B281" s="40"/>
      <c r="C281" s="40"/>
      <c r="D281" s="40"/>
      <c r="G281" s="1"/>
    </row>
    <row r="282" spans="1:7" x14ac:dyDescent="0.25">
      <c r="A282" s="41" t="s">
        <v>14</v>
      </c>
      <c r="B282" s="41"/>
      <c r="C282" s="41"/>
      <c r="D282" s="41"/>
      <c r="G282" s="1"/>
    </row>
    <row r="283" spans="1:7" x14ac:dyDescent="0.25">
      <c r="A283" s="42">
        <v>45756</v>
      </c>
      <c r="B283" s="42"/>
      <c r="C283" s="42"/>
      <c r="D283" s="42"/>
      <c r="G283" s="1"/>
    </row>
    <row r="284" spans="1:7" x14ac:dyDescent="0.25">
      <c r="A284" s="13"/>
      <c r="B284" s="13"/>
      <c r="C284" s="13"/>
      <c r="D284" s="13"/>
      <c r="G284" s="1"/>
    </row>
    <row r="285" spans="1:7" x14ac:dyDescent="0.25">
      <c r="A285" s="14"/>
      <c r="B285" s="15"/>
      <c r="C285" s="15"/>
      <c r="D285" s="16"/>
      <c r="F285" s="5" t="s">
        <v>26</v>
      </c>
      <c r="G285" s="1">
        <f>D326-D278</f>
        <v>37701500</v>
      </c>
    </row>
    <row r="286" spans="1:7" x14ac:dyDescent="0.25">
      <c r="A286" s="17"/>
      <c r="D286" s="32" t="s">
        <v>16</v>
      </c>
      <c r="G286" s="1"/>
    </row>
    <row r="287" spans="1:7" x14ac:dyDescent="0.25">
      <c r="A287" s="23" t="s">
        <v>15</v>
      </c>
      <c r="D287" s="18" t="s">
        <v>17</v>
      </c>
      <c r="F287" s="26" t="s">
        <v>27</v>
      </c>
      <c r="G287" s="1"/>
    </row>
    <row r="288" spans="1:7" x14ac:dyDescent="0.25">
      <c r="A288" s="17"/>
      <c r="B288" s="24" t="s">
        <v>18</v>
      </c>
      <c r="D288" s="19"/>
      <c r="F288" s="27" t="s">
        <v>28</v>
      </c>
      <c r="G288" s="1"/>
    </row>
    <row r="289" spans="1:7" x14ac:dyDescent="0.25">
      <c r="A289" s="17"/>
      <c r="C289" s="2" t="s">
        <v>31</v>
      </c>
      <c r="D289" s="19">
        <v>80009588.939999998</v>
      </c>
      <c r="F289" t="s">
        <v>467</v>
      </c>
      <c r="G289" s="1">
        <v>38198000</v>
      </c>
    </row>
    <row r="290" spans="1:7" x14ac:dyDescent="0.25">
      <c r="A290" s="17"/>
      <c r="C290" s="2" t="s">
        <v>32</v>
      </c>
      <c r="D290" s="19">
        <v>69109453.900000006</v>
      </c>
      <c r="F290" t="s">
        <v>475</v>
      </c>
      <c r="G290" s="1">
        <v>169000</v>
      </c>
    </row>
    <row r="291" spans="1:7" x14ac:dyDescent="0.25">
      <c r="A291" s="17"/>
      <c r="C291" s="2" t="s">
        <v>33</v>
      </c>
      <c r="D291" s="19">
        <v>-764971436.60000002</v>
      </c>
      <c r="F291" t="s">
        <v>476</v>
      </c>
      <c r="G291" s="1">
        <v>169000</v>
      </c>
    </row>
    <row r="292" spans="1:7" x14ac:dyDescent="0.25">
      <c r="A292" s="17"/>
      <c r="C292" s="2" t="s">
        <v>34</v>
      </c>
      <c r="D292" s="19">
        <v>-132235419</v>
      </c>
      <c r="F292" t="s">
        <v>477</v>
      </c>
      <c r="G292" s="1">
        <v>171000</v>
      </c>
    </row>
    <row r="293" spans="1:7" x14ac:dyDescent="0.25">
      <c r="A293" s="17"/>
      <c r="C293" s="2" t="s">
        <v>35</v>
      </c>
      <c r="D293" s="19">
        <v>1604550</v>
      </c>
      <c r="G293" s="30">
        <f>SUM(G289:G292)</f>
        <v>38707000</v>
      </c>
    </row>
    <row r="294" spans="1:7" x14ac:dyDescent="0.25">
      <c r="A294" s="17"/>
      <c r="C294" s="2" t="s">
        <v>36</v>
      </c>
      <c r="D294" s="19">
        <v>1923410.6</v>
      </c>
      <c r="F294" s="28" t="s">
        <v>29</v>
      </c>
      <c r="G294" s="1"/>
    </row>
    <row r="295" spans="1:7" x14ac:dyDescent="0.25">
      <c r="A295" s="17"/>
      <c r="C295" s="2" t="s">
        <v>37</v>
      </c>
      <c r="D295" s="19">
        <v>534125438</v>
      </c>
      <c r="F295" t="s">
        <v>469</v>
      </c>
      <c r="G295" s="1">
        <v>2500</v>
      </c>
    </row>
    <row r="296" spans="1:7" x14ac:dyDescent="0.25">
      <c r="A296" s="17"/>
      <c r="C296" s="2" t="s">
        <v>51</v>
      </c>
      <c r="D296" s="20">
        <v>130317</v>
      </c>
      <c r="F296" t="s">
        <v>479</v>
      </c>
      <c r="G296" s="1">
        <v>1003000</v>
      </c>
    </row>
    <row r="297" spans="1:7" x14ac:dyDescent="0.25">
      <c r="A297" s="17"/>
      <c r="B297" s="24" t="s">
        <v>19</v>
      </c>
      <c r="D297" s="19">
        <f>SUM(D289:D296)</f>
        <v>-210304097.15999997</v>
      </c>
      <c r="G297" s="30">
        <f>SUM(G295:G296)</f>
        <v>1005500</v>
      </c>
    </row>
    <row r="298" spans="1:7" x14ac:dyDescent="0.25">
      <c r="A298" s="17"/>
      <c r="D298" s="19"/>
      <c r="G298" s="1"/>
    </row>
    <row r="299" spans="1:7" x14ac:dyDescent="0.25">
      <c r="A299" s="17"/>
      <c r="B299" s="24" t="s">
        <v>20</v>
      </c>
      <c r="D299" s="19"/>
      <c r="F299" s="28" t="s">
        <v>30</v>
      </c>
      <c r="G299" s="29">
        <f>G293-G297</f>
        <v>37701500</v>
      </c>
    </row>
    <row r="300" spans="1:7" x14ac:dyDescent="0.25">
      <c r="A300" s="17"/>
      <c r="C300" t="s">
        <v>7</v>
      </c>
      <c r="D300" s="19">
        <v>2144805950</v>
      </c>
    </row>
    <row r="301" spans="1:7" x14ac:dyDescent="0.25">
      <c r="A301" s="17"/>
      <c r="C301" t="s">
        <v>47</v>
      </c>
      <c r="D301" s="19">
        <v>22455000</v>
      </c>
    </row>
    <row r="302" spans="1:7" x14ac:dyDescent="0.25">
      <c r="A302" s="17"/>
      <c r="C302" t="s">
        <v>21</v>
      </c>
      <c r="D302" s="19">
        <v>753379500</v>
      </c>
    </row>
    <row r="303" spans="1:7" x14ac:dyDescent="0.25">
      <c r="A303" s="17"/>
      <c r="C303" t="s">
        <v>45</v>
      </c>
      <c r="D303" s="19">
        <v>25000000</v>
      </c>
    </row>
    <row r="304" spans="1:7" x14ac:dyDescent="0.25">
      <c r="A304" s="17"/>
      <c r="C304" t="s">
        <v>48</v>
      </c>
      <c r="D304" s="19">
        <v>30000000</v>
      </c>
    </row>
    <row r="305" spans="1:7" x14ac:dyDescent="0.25">
      <c r="A305" s="17"/>
      <c r="C305" t="s">
        <v>68</v>
      </c>
      <c r="D305" s="19">
        <v>141000000</v>
      </c>
    </row>
    <row r="306" spans="1:7" x14ac:dyDescent="0.25">
      <c r="A306" s="17"/>
      <c r="C306" t="s">
        <v>68</v>
      </c>
      <c r="D306" s="19">
        <v>145000000</v>
      </c>
    </row>
    <row r="307" spans="1:7" x14ac:dyDescent="0.25">
      <c r="A307" s="17"/>
      <c r="C307" t="s">
        <v>403</v>
      </c>
      <c r="D307" s="19">
        <v>17000000</v>
      </c>
    </row>
    <row r="308" spans="1:7" x14ac:dyDescent="0.25">
      <c r="A308" s="17"/>
      <c r="C308" t="s">
        <v>387</v>
      </c>
      <c r="D308" s="19">
        <v>160000000</v>
      </c>
    </row>
    <row r="309" spans="1:7" x14ac:dyDescent="0.25">
      <c r="A309" s="17"/>
      <c r="C309" t="s">
        <v>466</v>
      </c>
      <c r="D309" s="19">
        <v>100050000</v>
      </c>
    </row>
    <row r="310" spans="1:7" x14ac:dyDescent="0.25">
      <c r="A310" s="17"/>
      <c r="C310" t="s">
        <v>468</v>
      </c>
      <c r="D310" s="20">
        <v>28588000</v>
      </c>
      <c r="G310" s="1"/>
    </row>
    <row r="311" spans="1:7" x14ac:dyDescent="0.25">
      <c r="A311" s="17"/>
      <c r="D311" s="19">
        <f>SUM(D300:D310)</f>
        <v>3567278450</v>
      </c>
      <c r="G311" s="1"/>
    </row>
    <row r="312" spans="1:7" x14ac:dyDescent="0.25">
      <c r="A312" s="17"/>
      <c r="D312" s="19"/>
    </row>
    <row r="313" spans="1:7" x14ac:dyDescent="0.25">
      <c r="A313" s="17"/>
      <c r="B313" s="24" t="s">
        <v>46</v>
      </c>
      <c r="D313" s="19"/>
    </row>
    <row r="314" spans="1:7" x14ac:dyDescent="0.25">
      <c r="A314" s="17"/>
      <c r="C314" t="s">
        <v>463</v>
      </c>
      <c r="D314" s="19">
        <v>123512500</v>
      </c>
    </row>
    <row r="315" spans="1:7" x14ac:dyDescent="0.25">
      <c r="A315" s="17"/>
      <c r="C315" t="s">
        <v>426</v>
      </c>
      <c r="D315" s="20">
        <v>1205000</v>
      </c>
    </row>
    <row r="316" spans="1:7" x14ac:dyDescent="0.25">
      <c r="A316" s="17"/>
      <c r="D316" s="19">
        <f>SUM(D314:D315)</f>
        <v>124717500</v>
      </c>
    </row>
    <row r="317" spans="1:7" x14ac:dyDescent="0.25">
      <c r="A317" s="17"/>
      <c r="D317" s="19"/>
    </row>
    <row r="318" spans="1:7" x14ac:dyDescent="0.25">
      <c r="A318" s="23" t="s">
        <v>22</v>
      </c>
      <c r="D318" s="19"/>
    </row>
    <row r="319" spans="1:7" x14ac:dyDescent="0.25">
      <c r="A319" s="17"/>
      <c r="C319" t="s">
        <v>23</v>
      </c>
      <c r="D319" s="19">
        <v>473100000</v>
      </c>
    </row>
    <row r="320" spans="1:7" x14ac:dyDescent="0.25">
      <c r="A320" s="17"/>
      <c r="C320" t="s">
        <v>24</v>
      </c>
      <c r="D320" s="19">
        <v>1749665250</v>
      </c>
    </row>
    <row r="321" spans="1:7" x14ac:dyDescent="0.25">
      <c r="A321" s="17"/>
      <c r="C321" t="s">
        <v>44</v>
      </c>
      <c r="D321" s="19">
        <v>235550000</v>
      </c>
    </row>
    <row r="322" spans="1:7" x14ac:dyDescent="0.25">
      <c r="A322" s="17"/>
      <c r="C322" t="s">
        <v>481</v>
      </c>
      <c r="D322" s="19">
        <v>155750000</v>
      </c>
    </row>
    <row r="323" spans="1:7" x14ac:dyDescent="0.25">
      <c r="A323" s="17"/>
      <c r="C323" t="s">
        <v>111</v>
      </c>
      <c r="D323" s="20">
        <v>76050000</v>
      </c>
    </row>
    <row r="324" spans="1:7" x14ac:dyDescent="0.25">
      <c r="A324" s="17"/>
      <c r="D324" s="19">
        <f>SUM(D319:D323)</f>
        <v>2690115250</v>
      </c>
      <c r="G324" s="1"/>
    </row>
    <row r="325" spans="1:7" x14ac:dyDescent="0.25">
      <c r="A325" s="17"/>
      <c r="D325" s="19"/>
      <c r="G325" s="1"/>
    </row>
    <row r="326" spans="1:7" x14ac:dyDescent="0.25">
      <c r="A326" s="43" t="s">
        <v>25</v>
      </c>
      <c r="B326" s="44"/>
      <c r="C326" s="44"/>
      <c r="D326" s="25">
        <f>D297+D311+D316-D324</f>
        <v>791576602.84000015</v>
      </c>
      <c r="G326" s="1"/>
    </row>
    <row r="327" spans="1:7" x14ac:dyDescent="0.25">
      <c r="A327" s="21"/>
      <c r="B327" s="22"/>
      <c r="C327" s="22"/>
      <c r="D327" s="20"/>
      <c r="G327" s="1"/>
    </row>
    <row r="329" spans="1:7" x14ac:dyDescent="0.25">
      <c r="A329" s="40" t="s">
        <v>13</v>
      </c>
      <c r="B329" s="40"/>
      <c r="C329" s="40"/>
      <c r="D329" s="40"/>
      <c r="G329" s="1"/>
    </row>
    <row r="330" spans="1:7" x14ac:dyDescent="0.25">
      <c r="A330" s="41" t="s">
        <v>14</v>
      </c>
      <c r="B330" s="41"/>
      <c r="C330" s="41"/>
      <c r="D330" s="41"/>
      <c r="G330" s="1"/>
    </row>
    <row r="331" spans="1:7" x14ac:dyDescent="0.25">
      <c r="A331" s="42">
        <v>45757</v>
      </c>
      <c r="B331" s="42"/>
      <c r="C331" s="42"/>
      <c r="D331" s="42"/>
      <c r="G331" s="1"/>
    </row>
    <row r="332" spans="1:7" x14ac:dyDescent="0.25">
      <c r="A332" s="13"/>
      <c r="B332" s="13"/>
      <c r="C332" s="13"/>
      <c r="D332" s="13"/>
      <c r="G332" s="1"/>
    </row>
    <row r="333" spans="1:7" x14ac:dyDescent="0.25">
      <c r="A333" s="14"/>
      <c r="B333" s="15"/>
      <c r="C333" s="15"/>
      <c r="D333" s="16"/>
      <c r="F333" s="5" t="s">
        <v>26</v>
      </c>
      <c r="G333" s="1">
        <f>D373-D326</f>
        <v>-17938690</v>
      </c>
    </row>
    <row r="334" spans="1:7" x14ac:dyDescent="0.25">
      <c r="A334" s="17"/>
      <c r="D334" s="32" t="s">
        <v>16</v>
      </c>
      <c r="G334" s="1"/>
    </row>
    <row r="335" spans="1:7" x14ac:dyDescent="0.25">
      <c r="A335" s="23" t="s">
        <v>15</v>
      </c>
      <c r="D335" s="18" t="s">
        <v>17</v>
      </c>
      <c r="F335" s="26" t="s">
        <v>27</v>
      </c>
      <c r="G335" s="1"/>
    </row>
    <row r="336" spans="1:7" x14ac:dyDescent="0.25">
      <c r="A336" s="17"/>
      <c r="B336" s="24" t="s">
        <v>18</v>
      </c>
      <c r="D336" s="19"/>
      <c r="F336" s="27" t="s">
        <v>28</v>
      </c>
      <c r="G336" s="1"/>
    </row>
    <row r="337" spans="1:7" x14ac:dyDescent="0.25">
      <c r="A337" s="17"/>
      <c r="C337" s="2" t="s">
        <v>31</v>
      </c>
      <c r="D337" s="19">
        <v>4874588.9400000004</v>
      </c>
      <c r="F337" t="s">
        <v>148</v>
      </c>
      <c r="G337" s="1">
        <v>16804000</v>
      </c>
    </row>
    <row r="338" spans="1:7" x14ac:dyDescent="0.25">
      <c r="A338" s="17"/>
      <c r="C338" s="2" t="s">
        <v>32</v>
      </c>
      <c r="D338" s="19">
        <v>60309453.899999999</v>
      </c>
      <c r="F338" t="s">
        <v>90</v>
      </c>
      <c r="G338" s="1">
        <v>147500</v>
      </c>
    </row>
    <row r="339" spans="1:7" x14ac:dyDescent="0.25">
      <c r="A339" s="17"/>
      <c r="C339" s="2" t="s">
        <v>33</v>
      </c>
      <c r="D339" s="19">
        <v>-621527436.60000002</v>
      </c>
      <c r="F339" t="s">
        <v>483</v>
      </c>
      <c r="G339" s="1">
        <v>2500</v>
      </c>
    </row>
    <row r="340" spans="1:7" x14ac:dyDescent="0.25">
      <c r="A340" s="17"/>
      <c r="C340" s="2" t="s">
        <v>34</v>
      </c>
      <c r="D340" s="19">
        <v>-128313109</v>
      </c>
      <c r="G340" s="30">
        <f>SUM(G337:G339)</f>
        <v>16954000</v>
      </c>
    </row>
    <row r="341" spans="1:7" x14ac:dyDescent="0.25">
      <c r="A341" s="17"/>
      <c r="C341" s="2" t="s">
        <v>35</v>
      </c>
      <c r="D341" s="19">
        <v>1604550</v>
      </c>
      <c r="F341" s="28" t="s">
        <v>29</v>
      </c>
      <c r="G341" s="1"/>
    </row>
    <row r="342" spans="1:7" x14ac:dyDescent="0.25">
      <c r="A342" s="17"/>
      <c r="C342" s="2" t="s">
        <v>36</v>
      </c>
      <c r="D342" s="19">
        <v>1923410.6</v>
      </c>
      <c r="F342" t="s">
        <v>99</v>
      </c>
      <c r="G342" s="1">
        <v>30000</v>
      </c>
    </row>
    <row r="343" spans="1:7" x14ac:dyDescent="0.25">
      <c r="A343" s="17"/>
      <c r="C343" s="2" t="s">
        <v>37</v>
      </c>
      <c r="D343" s="19">
        <v>205647938</v>
      </c>
      <c r="F343" t="s">
        <v>104</v>
      </c>
      <c r="G343" s="1">
        <v>2250000</v>
      </c>
    </row>
    <row r="344" spans="1:7" x14ac:dyDescent="0.25">
      <c r="A344" s="17"/>
      <c r="C344" s="2" t="s">
        <v>51</v>
      </c>
      <c r="D344" s="20">
        <v>130317</v>
      </c>
      <c r="F344" t="s">
        <v>112</v>
      </c>
      <c r="G344" s="1">
        <v>30000000</v>
      </c>
    </row>
    <row r="345" spans="1:7" x14ac:dyDescent="0.25">
      <c r="A345" s="17"/>
      <c r="B345" s="24" t="s">
        <v>19</v>
      </c>
      <c r="D345" s="19">
        <f>SUM(D337:D344)</f>
        <v>-475350287.15999997</v>
      </c>
      <c r="F345" t="s">
        <v>171</v>
      </c>
      <c r="G345" s="1">
        <v>1335000</v>
      </c>
    </row>
    <row r="346" spans="1:7" x14ac:dyDescent="0.25">
      <c r="A346" s="17"/>
      <c r="D346" s="19"/>
      <c r="F346" t="s">
        <v>172</v>
      </c>
      <c r="G346" s="1">
        <v>1277690</v>
      </c>
    </row>
    <row r="347" spans="1:7" x14ac:dyDescent="0.25">
      <c r="A347" s="17"/>
      <c r="B347" s="24" t="s">
        <v>20</v>
      </c>
      <c r="D347" s="19"/>
      <c r="G347" s="30">
        <f>SUM(G342:G346)</f>
        <v>34892690</v>
      </c>
    </row>
    <row r="348" spans="1:7" x14ac:dyDescent="0.25">
      <c r="A348" s="17"/>
      <c r="C348" t="s">
        <v>7</v>
      </c>
      <c r="D348" s="19">
        <v>2142818450</v>
      </c>
      <c r="G348" s="1"/>
    </row>
    <row r="349" spans="1:7" x14ac:dyDescent="0.25">
      <c r="A349" s="17"/>
      <c r="C349" t="s">
        <v>47</v>
      </c>
      <c r="D349" s="19">
        <v>24410000</v>
      </c>
      <c r="F349" s="28" t="s">
        <v>30</v>
      </c>
      <c r="G349" s="29">
        <f>G340-G347</f>
        <v>-17938690</v>
      </c>
    </row>
    <row r="350" spans="1:7" x14ac:dyDescent="0.25">
      <c r="A350" s="17"/>
      <c r="C350" t="s">
        <v>21</v>
      </c>
      <c r="D350" s="19">
        <v>818529500</v>
      </c>
    </row>
    <row r="351" spans="1:7" x14ac:dyDescent="0.25">
      <c r="A351" s="17"/>
      <c r="C351" t="s">
        <v>45</v>
      </c>
      <c r="D351" s="19">
        <v>25000000</v>
      </c>
    </row>
    <row r="352" spans="1:7" x14ac:dyDescent="0.25">
      <c r="A352" s="17"/>
      <c r="C352" t="s">
        <v>48</v>
      </c>
      <c r="D352" s="19">
        <v>30000000</v>
      </c>
    </row>
    <row r="353" spans="1:7" x14ac:dyDescent="0.25">
      <c r="A353" s="17"/>
      <c r="C353" t="s">
        <v>68</v>
      </c>
      <c r="D353" s="19">
        <v>141000000</v>
      </c>
    </row>
    <row r="354" spans="1:7" x14ac:dyDescent="0.25">
      <c r="A354" s="17"/>
      <c r="C354" t="s">
        <v>68</v>
      </c>
      <c r="D354" s="19">
        <v>145000000</v>
      </c>
    </row>
    <row r="355" spans="1:7" x14ac:dyDescent="0.25">
      <c r="A355" s="17"/>
      <c r="C355" t="s">
        <v>403</v>
      </c>
      <c r="D355" s="19">
        <v>17000000</v>
      </c>
    </row>
    <row r="356" spans="1:7" x14ac:dyDescent="0.25">
      <c r="A356" s="17"/>
      <c r="C356" t="s">
        <v>387</v>
      </c>
      <c r="D356" s="19">
        <v>160050000</v>
      </c>
    </row>
    <row r="357" spans="1:7" x14ac:dyDescent="0.25">
      <c r="A357" s="17"/>
      <c r="C357" t="s">
        <v>468</v>
      </c>
      <c r="D357" s="20">
        <v>37388000</v>
      </c>
      <c r="G357" s="1"/>
    </row>
    <row r="358" spans="1:7" x14ac:dyDescent="0.25">
      <c r="A358" s="17"/>
      <c r="D358" s="19">
        <f>SUM(D348:D357)</f>
        <v>3541195950</v>
      </c>
      <c r="G358" s="1"/>
    </row>
    <row r="359" spans="1:7" x14ac:dyDescent="0.25">
      <c r="A359" s="17"/>
      <c r="D359" s="19"/>
      <c r="G359" s="1"/>
    </row>
    <row r="360" spans="1:7" x14ac:dyDescent="0.25">
      <c r="A360" s="17"/>
      <c r="B360" s="24" t="s">
        <v>46</v>
      </c>
      <c r="D360" s="19"/>
    </row>
    <row r="361" spans="1:7" x14ac:dyDescent="0.25">
      <c r="A361" s="17"/>
      <c r="C361" t="s">
        <v>482</v>
      </c>
      <c r="D361" s="19">
        <v>122307500</v>
      </c>
    </row>
    <row r="362" spans="1:7" x14ac:dyDescent="0.25">
      <c r="A362" s="17"/>
      <c r="C362" t="s">
        <v>408</v>
      </c>
      <c r="D362" s="20">
        <v>602500</v>
      </c>
    </row>
    <row r="363" spans="1:7" x14ac:dyDescent="0.25">
      <c r="A363" s="17"/>
      <c r="D363" s="19">
        <f>SUM(D361:D362)</f>
        <v>122910000</v>
      </c>
    </row>
    <row r="364" spans="1:7" x14ac:dyDescent="0.25">
      <c r="A364" s="17"/>
      <c r="D364" s="19"/>
    </row>
    <row r="365" spans="1:7" x14ac:dyDescent="0.25">
      <c r="A365" s="23" t="s">
        <v>22</v>
      </c>
      <c r="D365" s="19"/>
    </row>
    <row r="366" spans="1:7" x14ac:dyDescent="0.25">
      <c r="A366" s="17"/>
      <c r="C366" t="s">
        <v>23</v>
      </c>
      <c r="D366" s="19">
        <v>249000000</v>
      </c>
    </row>
    <row r="367" spans="1:7" x14ac:dyDescent="0.25">
      <c r="A367" s="17"/>
      <c r="C367" t="s">
        <v>24</v>
      </c>
      <c r="D367" s="19">
        <v>1627980250</v>
      </c>
    </row>
    <row r="368" spans="1:7" x14ac:dyDescent="0.25">
      <c r="A368" s="17"/>
      <c r="C368" t="s">
        <v>44</v>
      </c>
      <c r="D368" s="19">
        <v>314300000</v>
      </c>
    </row>
    <row r="369" spans="1:7" x14ac:dyDescent="0.25">
      <c r="A369" s="17"/>
      <c r="C369" t="s">
        <v>481</v>
      </c>
      <c r="D369" s="19">
        <v>147787500</v>
      </c>
    </row>
    <row r="370" spans="1:7" x14ac:dyDescent="0.25">
      <c r="A370" s="17"/>
      <c r="C370" t="s">
        <v>111</v>
      </c>
      <c r="D370" s="20">
        <v>76050000</v>
      </c>
    </row>
    <row r="371" spans="1:7" x14ac:dyDescent="0.25">
      <c r="A371" s="17"/>
      <c r="D371" s="19">
        <f>SUM(D366:D370)</f>
        <v>2415117750</v>
      </c>
      <c r="G371" s="1"/>
    </row>
    <row r="372" spans="1:7" x14ac:dyDescent="0.25">
      <c r="A372" s="17"/>
      <c r="D372" s="19"/>
      <c r="G372" s="1"/>
    </row>
    <row r="373" spans="1:7" x14ac:dyDescent="0.25">
      <c r="A373" s="43" t="s">
        <v>25</v>
      </c>
      <c r="B373" s="44"/>
      <c r="C373" s="44"/>
      <c r="D373" s="25">
        <f>D345+D358+D363-D371</f>
        <v>773637912.84000015</v>
      </c>
      <c r="G373" s="1"/>
    </row>
    <row r="374" spans="1:7" x14ac:dyDescent="0.25">
      <c r="A374" s="21"/>
      <c r="B374" s="22"/>
      <c r="C374" s="22"/>
      <c r="D374" s="20"/>
      <c r="G374" s="1"/>
    </row>
    <row r="376" spans="1:7" x14ac:dyDescent="0.25">
      <c r="A376" s="40" t="s">
        <v>13</v>
      </c>
      <c r="B376" s="40"/>
      <c r="C376" s="40"/>
      <c r="D376" s="40"/>
      <c r="G376" s="1"/>
    </row>
    <row r="377" spans="1:7" x14ac:dyDescent="0.25">
      <c r="A377" s="41" t="s">
        <v>14</v>
      </c>
      <c r="B377" s="41"/>
      <c r="C377" s="41"/>
      <c r="D377" s="41"/>
      <c r="G377" s="1"/>
    </row>
    <row r="378" spans="1:7" x14ac:dyDescent="0.25">
      <c r="A378" s="42">
        <v>45758</v>
      </c>
      <c r="B378" s="42"/>
      <c r="C378" s="42"/>
      <c r="D378" s="42"/>
      <c r="G378" s="1"/>
    </row>
    <row r="379" spans="1:7" x14ac:dyDescent="0.25">
      <c r="A379" s="13"/>
      <c r="B379" s="13"/>
      <c r="C379" s="13"/>
      <c r="D379" s="13"/>
      <c r="G379" s="1"/>
    </row>
    <row r="380" spans="1:7" x14ac:dyDescent="0.25">
      <c r="A380" s="14"/>
      <c r="B380" s="15"/>
      <c r="C380" s="15"/>
      <c r="D380" s="16"/>
      <c r="F380" s="5" t="s">
        <v>26</v>
      </c>
      <c r="G380" s="1">
        <f>D420-D373</f>
        <v>23715059</v>
      </c>
    </row>
    <row r="381" spans="1:7" x14ac:dyDescent="0.25">
      <c r="A381" s="17"/>
      <c r="D381" s="32" t="s">
        <v>16</v>
      </c>
      <c r="G381" s="1"/>
    </row>
    <row r="382" spans="1:7" x14ac:dyDescent="0.25">
      <c r="A382" s="23" t="s">
        <v>15</v>
      </c>
      <c r="D382" s="18" t="s">
        <v>17</v>
      </c>
      <c r="F382" s="26" t="s">
        <v>27</v>
      </c>
      <c r="G382" s="1"/>
    </row>
    <row r="383" spans="1:7" x14ac:dyDescent="0.25">
      <c r="A383" s="17"/>
      <c r="B383" s="24" t="s">
        <v>18</v>
      </c>
      <c r="D383" s="19"/>
      <c r="F383" s="27" t="s">
        <v>28</v>
      </c>
      <c r="G383" s="1"/>
    </row>
    <row r="384" spans="1:7" x14ac:dyDescent="0.25">
      <c r="A384" s="17"/>
      <c r="C384" s="2" t="s">
        <v>31</v>
      </c>
      <c r="D384" s="19">
        <v>5624588.9400000004</v>
      </c>
      <c r="F384" t="s">
        <v>487</v>
      </c>
      <c r="G384" s="1">
        <v>22167500</v>
      </c>
    </row>
    <row r="385" spans="1:7" x14ac:dyDescent="0.25">
      <c r="A385" s="17"/>
      <c r="C385" s="2" t="s">
        <v>32</v>
      </c>
      <c r="D385" s="19">
        <v>54709453.899999999</v>
      </c>
      <c r="F385" t="s">
        <v>486</v>
      </c>
      <c r="G385" s="1">
        <v>850000</v>
      </c>
    </row>
    <row r="386" spans="1:7" x14ac:dyDescent="0.25">
      <c r="A386" s="17"/>
      <c r="C386" s="2" t="s">
        <v>33</v>
      </c>
      <c r="D386" s="19">
        <v>-618037436.60000002</v>
      </c>
      <c r="F386" t="s">
        <v>97</v>
      </c>
      <c r="G386" s="1">
        <v>53</v>
      </c>
    </row>
    <row r="387" spans="1:7" x14ac:dyDescent="0.25">
      <c r="A387" s="17"/>
      <c r="C387" s="2" t="s">
        <v>34</v>
      </c>
      <c r="D387" s="19">
        <v>1409391</v>
      </c>
      <c r="F387" t="s">
        <v>97</v>
      </c>
      <c r="G387" s="1">
        <v>6</v>
      </c>
    </row>
    <row r="388" spans="1:7" x14ac:dyDescent="0.25">
      <c r="A388" s="17"/>
      <c r="C388" s="2" t="s">
        <v>35</v>
      </c>
      <c r="D388" s="19">
        <v>1604550</v>
      </c>
      <c r="F388" t="s">
        <v>488</v>
      </c>
      <c r="G388" s="1">
        <v>700000</v>
      </c>
    </row>
    <row r="389" spans="1:7" x14ac:dyDescent="0.25">
      <c r="A389" s="17"/>
      <c r="C389" s="2" t="s">
        <v>36</v>
      </c>
      <c r="D389" s="19">
        <v>81573410.599999994</v>
      </c>
      <c r="G389" s="30">
        <f>SUM(G384:G388)</f>
        <v>23717559</v>
      </c>
    </row>
    <row r="390" spans="1:7" x14ac:dyDescent="0.25">
      <c r="A390" s="17"/>
      <c r="C390" s="2" t="s">
        <v>37</v>
      </c>
      <c r="D390" s="19">
        <v>62420497</v>
      </c>
      <c r="F390" s="28" t="s">
        <v>29</v>
      </c>
      <c r="G390" s="1"/>
    </row>
    <row r="391" spans="1:7" x14ac:dyDescent="0.25">
      <c r="A391" s="17"/>
      <c r="C391" s="2" t="s">
        <v>51</v>
      </c>
      <c r="D391" s="20">
        <v>130317</v>
      </c>
      <c r="F391" t="s">
        <v>161</v>
      </c>
      <c r="G391" s="1">
        <v>2500</v>
      </c>
    </row>
    <row r="392" spans="1:7" x14ac:dyDescent="0.25">
      <c r="A392" s="17"/>
      <c r="B392" s="24" t="s">
        <v>19</v>
      </c>
      <c r="D392" s="19">
        <f>SUM(D384:D391)</f>
        <v>-410565228.15999997</v>
      </c>
      <c r="G392" s="30">
        <f>SUM(G391:G391)</f>
        <v>2500</v>
      </c>
    </row>
    <row r="393" spans="1:7" x14ac:dyDescent="0.25">
      <c r="A393" s="17"/>
      <c r="D393" s="19"/>
      <c r="G393" s="1"/>
    </row>
    <row r="394" spans="1:7" x14ac:dyDescent="0.25">
      <c r="A394" s="17"/>
      <c r="B394" s="24" t="s">
        <v>20</v>
      </c>
      <c r="D394" s="19"/>
      <c r="F394" s="28" t="s">
        <v>30</v>
      </c>
      <c r="G394" s="29">
        <f>G389-G392</f>
        <v>23715059</v>
      </c>
    </row>
    <row r="395" spans="1:7" x14ac:dyDescent="0.25">
      <c r="A395" s="17"/>
      <c r="C395" t="s">
        <v>7</v>
      </c>
      <c r="D395" s="19">
        <v>2325080950</v>
      </c>
    </row>
    <row r="396" spans="1:7" x14ac:dyDescent="0.25">
      <c r="A396" s="17"/>
      <c r="C396" t="s">
        <v>47</v>
      </c>
      <c r="D396" s="19">
        <v>21110000</v>
      </c>
    </row>
    <row r="397" spans="1:7" x14ac:dyDescent="0.25">
      <c r="A397" s="17"/>
      <c r="C397" t="s">
        <v>21</v>
      </c>
      <c r="D397" s="19">
        <v>818529500</v>
      </c>
    </row>
    <row r="398" spans="1:7" x14ac:dyDescent="0.25">
      <c r="A398" s="17"/>
      <c r="C398" t="s">
        <v>45</v>
      </c>
      <c r="D398" s="19">
        <v>25000000</v>
      </c>
    </row>
    <row r="399" spans="1:7" x14ac:dyDescent="0.25">
      <c r="A399" s="17"/>
      <c r="C399" t="s">
        <v>48</v>
      </c>
      <c r="D399" s="19">
        <v>30000000</v>
      </c>
    </row>
    <row r="400" spans="1:7" x14ac:dyDescent="0.25">
      <c r="A400" s="17"/>
      <c r="C400" t="s">
        <v>68</v>
      </c>
      <c r="D400" s="19">
        <v>141000000</v>
      </c>
    </row>
    <row r="401" spans="1:7" x14ac:dyDescent="0.25">
      <c r="A401" s="17"/>
      <c r="C401" t="s">
        <v>68</v>
      </c>
      <c r="D401" s="19">
        <v>145000000</v>
      </c>
    </row>
    <row r="402" spans="1:7" x14ac:dyDescent="0.25">
      <c r="A402" s="17"/>
      <c r="C402" t="s">
        <v>403</v>
      </c>
      <c r="D402" s="19">
        <v>17000000</v>
      </c>
    </row>
    <row r="403" spans="1:7" x14ac:dyDescent="0.25">
      <c r="A403" s="17"/>
      <c r="C403" t="s">
        <v>387</v>
      </c>
      <c r="D403" s="19">
        <v>160050000</v>
      </c>
    </row>
    <row r="404" spans="1:7" x14ac:dyDescent="0.25">
      <c r="A404" s="17"/>
      <c r="C404" t="s">
        <v>468</v>
      </c>
      <c r="D404" s="20">
        <v>46288000</v>
      </c>
      <c r="G404" s="1"/>
    </row>
    <row r="405" spans="1:7" x14ac:dyDescent="0.25">
      <c r="A405" s="17"/>
      <c r="D405" s="19">
        <f>SUM(D395:D404)</f>
        <v>3729058450</v>
      </c>
      <c r="G405" s="1"/>
    </row>
    <row r="406" spans="1:7" x14ac:dyDescent="0.25">
      <c r="A406" s="17"/>
      <c r="D406" s="19"/>
      <c r="G406" s="1"/>
    </row>
    <row r="407" spans="1:7" x14ac:dyDescent="0.25">
      <c r="A407" s="17"/>
      <c r="B407" s="24" t="s">
        <v>46</v>
      </c>
      <c r="D407" s="19"/>
    </row>
    <row r="408" spans="1:7" x14ac:dyDescent="0.25">
      <c r="A408" s="17"/>
      <c r="C408" t="s">
        <v>482</v>
      </c>
      <c r="D408" s="19">
        <v>122307500</v>
      </c>
    </row>
    <row r="409" spans="1:7" x14ac:dyDescent="0.25">
      <c r="A409" s="17"/>
      <c r="C409" t="s">
        <v>408</v>
      </c>
      <c r="D409" s="20">
        <v>602500</v>
      </c>
      <c r="G409" s="1"/>
    </row>
    <row r="410" spans="1:7" x14ac:dyDescent="0.25">
      <c r="A410" s="17"/>
      <c r="D410" s="19">
        <f>SUM(D408:D409)</f>
        <v>122910000</v>
      </c>
      <c r="G410" s="1"/>
    </row>
    <row r="411" spans="1:7" x14ac:dyDescent="0.25">
      <c r="A411" s="17"/>
      <c r="D411" s="19"/>
      <c r="G411" s="1"/>
    </row>
    <row r="412" spans="1:7" x14ac:dyDescent="0.25">
      <c r="A412" s="23" t="s">
        <v>22</v>
      </c>
      <c r="D412" s="19"/>
    </row>
    <row r="413" spans="1:7" x14ac:dyDescent="0.25">
      <c r="A413" s="17"/>
      <c r="C413" t="s">
        <v>23</v>
      </c>
      <c r="D413" s="19">
        <v>249000000</v>
      </c>
    </row>
    <row r="414" spans="1:7" x14ac:dyDescent="0.25">
      <c r="A414" s="17"/>
      <c r="C414" t="s">
        <v>24</v>
      </c>
      <c r="D414" s="19">
        <v>1776887750</v>
      </c>
    </row>
    <row r="415" spans="1:7" x14ac:dyDescent="0.25">
      <c r="A415" s="17"/>
      <c r="C415" t="s">
        <v>44</v>
      </c>
      <c r="D415" s="19">
        <v>316500000</v>
      </c>
    </row>
    <row r="416" spans="1:7" x14ac:dyDescent="0.25">
      <c r="A416" s="17"/>
      <c r="C416" t="s">
        <v>481</v>
      </c>
      <c r="D416" s="19">
        <v>225612500</v>
      </c>
    </row>
    <row r="417" spans="1:7" x14ac:dyDescent="0.25">
      <c r="A417" s="17"/>
      <c r="C417" t="s">
        <v>111</v>
      </c>
      <c r="D417" s="20">
        <v>76050000</v>
      </c>
    </row>
    <row r="418" spans="1:7" x14ac:dyDescent="0.25">
      <c r="A418" s="17"/>
      <c r="D418" s="19">
        <f>SUM(D413:D417)</f>
        <v>2644050250</v>
      </c>
      <c r="G418" s="1"/>
    </row>
    <row r="419" spans="1:7" x14ac:dyDescent="0.25">
      <c r="A419" s="17"/>
      <c r="D419" s="19"/>
      <c r="G419" s="1"/>
    </row>
    <row r="420" spans="1:7" x14ac:dyDescent="0.25">
      <c r="A420" s="43" t="s">
        <v>25</v>
      </c>
      <c r="B420" s="44"/>
      <c r="C420" s="44"/>
      <c r="D420" s="25">
        <f>D392+D405+D410-D418</f>
        <v>797352971.84000015</v>
      </c>
      <c r="G420" s="1"/>
    </row>
    <row r="421" spans="1:7" x14ac:dyDescent="0.25">
      <c r="A421" s="21"/>
      <c r="B421" s="22"/>
      <c r="C421" s="22"/>
      <c r="D421" s="20"/>
      <c r="G421" s="1"/>
    </row>
    <row r="423" spans="1:7" x14ac:dyDescent="0.25">
      <c r="A423" s="40" t="s">
        <v>13</v>
      </c>
      <c r="B423" s="40"/>
      <c r="C423" s="40"/>
      <c r="D423" s="40"/>
      <c r="G423" s="1"/>
    </row>
    <row r="424" spans="1:7" x14ac:dyDescent="0.25">
      <c r="A424" s="41" t="s">
        <v>14</v>
      </c>
      <c r="B424" s="41"/>
      <c r="C424" s="41"/>
      <c r="D424" s="41"/>
      <c r="G424" s="1"/>
    </row>
    <row r="425" spans="1:7" x14ac:dyDescent="0.25">
      <c r="A425" s="42">
        <v>45759</v>
      </c>
      <c r="B425" s="42"/>
      <c r="C425" s="42"/>
      <c r="D425" s="42"/>
      <c r="G425" s="1"/>
    </row>
    <row r="426" spans="1:7" x14ac:dyDescent="0.25">
      <c r="A426" s="13"/>
      <c r="B426" s="13"/>
      <c r="C426" s="13"/>
      <c r="D426" s="13"/>
      <c r="G426" s="1"/>
    </row>
    <row r="427" spans="1:7" x14ac:dyDescent="0.25">
      <c r="A427" s="14"/>
      <c r="B427" s="15"/>
      <c r="C427" s="15"/>
      <c r="D427" s="16"/>
      <c r="F427" s="5" t="s">
        <v>26</v>
      </c>
      <c r="G427" s="1">
        <f>D466-D420</f>
        <v>-31612825</v>
      </c>
    </row>
    <row r="428" spans="1:7" x14ac:dyDescent="0.25">
      <c r="A428" s="17"/>
      <c r="D428" s="32" t="s">
        <v>16</v>
      </c>
      <c r="G428" s="1"/>
    </row>
    <row r="429" spans="1:7" x14ac:dyDescent="0.25">
      <c r="A429" s="23" t="s">
        <v>15</v>
      </c>
      <c r="D429" s="18" t="s">
        <v>17</v>
      </c>
      <c r="F429" s="26" t="s">
        <v>27</v>
      </c>
      <c r="G429" s="1"/>
    </row>
    <row r="430" spans="1:7" x14ac:dyDescent="0.25">
      <c r="A430" s="17"/>
      <c r="B430" s="24" t="s">
        <v>18</v>
      </c>
      <c r="D430" s="19"/>
      <c r="F430" s="27" t="s">
        <v>28</v>
      </c>
      <c r="G430" s="1"/>
    </row>
    <row r="431" spans="1:7" x14ac:dyDescent="0.25">
      <c r="A431" s="17"/>
      <c r="C431" s="2" t="s">
        <v>31</v>
      </c>
      <c r="D431" s="19">
        <v>96624588.939999998</v>
      </c>
      <c r="F431" t="s">
        <v>317</v>
      </c>
      <c r="G431" s="1">
        <v>2500000</v>
      </c>
    </row>
    <row r="432" spans="1:7" x14ac:dyDescent="0.25">
      <c r="A432" s="17"/>
      <c r="C432" s="2" t="s">
        <v>32</v>
      </c>
      <c r="D432" s="19">
        <v>54709453.899999999</v>
      </c>
      <c r="F432" t="s">
        <v>491</v>
      </c>
      <c r="G432" s="1">
        <v>10375</v>
      </c>
    </row>
    <row r="433" spans="1:7" x14ac:dyDescent="0.25">
      <c r="A433" s="17"/>
      <c r="C433" s="2" t="s">
        <v>33</v>
      </c>
      <c r="D433" s="19">
        <v>-461364936.60000002</v>
      </c>
      <c r="G433" s="30">
        <f>SUM(G431:G432)</f>
        <v>2510375</v>
      </c>
    </row>
    <row r="434" spans="1:7" x14ac:dyDescent="0.25">
      <c r="A434" s="17"/>
      <c r="C434" s="2" t="s">
        <v>34</v>
      </c>
      <c r="D434" s="19">
        <v>1409391</v>
      </c>
      <c r="F434" s="28" t="s">
        <v>29</v>
      </c>
      <c r="G434" s="1"/>
    </row>
    <row r="435" spans="1:7" x14ac:dyDescent="0.25">
      <c r="A435" s="17"/>
      <c r="C435" s="2" t="s">
        <v>35</v>
      </c>
      <c r="D435" s="19">
        <v>1604550</v>
      </c>
      <c r="F435" t="s">
        <v>112</v>
      </c>
      <c r="G435" s="1">
        <v>34000000</v>
      </c>
    </row>
    <row r="436" spans="1:7" x14ac:dyDescent="0.25">
      <c r="A436" s="17"/>
      <c r="C436" s="2" t="s">
        <v>36</v>
      </c>
      <c r="D436" s="19">
        <v>81573410.599999994</v>
      </c>
      <c r="F436" t="s">
        <v>490</v>
      </c>
      <c r="G436" s="1">
        <v>123200</v>
      </c>
    </row>
    <row r="437" spans="1:7" x14ac:dyDescent="0.25">
      <c r="A437" s="17"/>
      <c r="C437" s="2" t="s">
        <v>37</v>
      </c>
      <c r="D437" s="19">
        <v>100318147</v>
      </c>
      <c r="G437" s="30">
        <f>SUM(G435:G436)</f>
        <v>34123200</v>
      </c>
    </row>
    <row r="438" spans="1:7" x14ac:dyDescent="0.25">
      <c r="A438" s="17"/>
      <c r="C438" s="2" t="s">
        <v>51</v>
      </c>
      <c r="D438" s="20">
        <v>130317</v>
      </c>
      <c r="G438" s="1"/>
    </row>
    <row r="439" spans="1:7" x14ac:dyDescent="0.25">
      <c r="A439" s="17"/>
      <c r="B439" s="24" t="s">
        <v>19</v>
      </c>
      <c r="D439" s="19">
        <f>SUM(D431:D438)</f>
        <v>-124995078.16</v>
      </c>
      <c r="F439" s="28" t="s">
        <v>30</v>
      </c>
      <c r="G439" s="29">
        <f>G433-G437</f>
        <v>-31612825</v>
      </c>
    </row>
    <row r="440" spans="1:7" x14ac:dyDescent="0.25">
      <c r="A440" s="17"/>
      <c r="D440" s="19"/>
    </row>
    <row r="441" spans="1:7" x14ac:dyDescent="0.25">
      <c r="A441" s="17"/>
      <c r="B441" s="24" t="s">
        <v>20</v>
      </c>
      <c r="D441" s="19"/>
    </row>
    <row r="442" spans="1:7" x14ac:dyDescent="0.25">
      <c r="A442" s="17"/>
      <c r="C442" t="s">
        <v>7</v>
      </c>
      <c r="D442" s="19">
        <v>1811285475</v>
      </c>
    </row>
    <row r="443" spans="1:7" x14ac:dyDescent="0.25">
      <c r="A443" s="17"/>
      <c r="C443" t="s">
        <v>47</v>
      </c>
      <c r="D443" s="19">
        <v>21110000</v>
      </c>
    </row>
    <row r="444" spans="1:7" x14ac:dyDescent="0.25">
      <c r="A444" s="17"/>
      <c r="C444" t="s">
        <v>21</v>
      </c>
      <c r="D444" s="19">
        <v>789529500</v>
      </c>
    </row>
    <row r="445" spans="1:7" x14ac:dyDescent="0.25">
      <c r="A445" s="17"/>
      <c r="C445" t="s">
        <v>45</v>
      </c>
      <c r="D445" s="19">
        <v>25000000</v>
      </c>
    </row>
    <row r="446" spans="1:7" x14ac:dyDescent="0.25">
      <c r="A446" s="17"/>
      <c r="C446" t="s">
        <v>48</v>
      </c>
      <c r="D446" s="19">
        <v>30000000</v>
      </c>
    </row>
    <row r="447" spans="1:7" x14ac:dyDescent="0.25">
      <c r="A447" s="17"/>
      <c r="C447" t="s">
        <v>68</v>
      </c>
      <c r="D447" s="19">
        <v>141000000</v>
      </c>
    </row>
    <row r="448" spans="1:7" x14ac:dyDescent="0.25">
      <c r="A448" s="17"/>
      <c r="C448" t="s">
        <v>68</v>
      </c>
      <c r="D448" s="19">
        <v>145000000</v>
      </c>
    </row>
    <row r="449" spans="1:7" x14ac:dyDescent="0.25">
      <c r="A449" s="17"/>
      <c r="C449" t="s">
        <v>403</v>
      </c>
      <c r="D449" s="19">
        <v>17000000</v>
      </c>
    </row>
    <row r="450" spans="1:7" x14ac:dyDescent="0.25">
      <c r="A450" s="17"/>
      <c r="C450" t="s">
        <v>387</v>
      </c>
      <c r="D450" s="19">
        <v>160050000</v>
      </c>
    </row>
    <row r="451" spans="1:7" x14ac:dyDescent="0.25">
      <c r="A451" s="17"/>
      <c r="C451" t="s">
        <v>468</v>
      </c>
      <c r="D451" s="20">
        <v>46288000</v>
      </c>
      <c r="G451" s="1"/>
    </row>
    <row r="452" spans="1:7" x14ac:dyDescent="0.25">
      <c r="A452" s="17"/>
      <c r="D452" s="19">
        <f>SUM(D442:D451)</f>
        <v>3186262975</v>
      </c>
      <c r="G452" s="1"/>
    </row>
    <row r="453" spans="1:7" x14ac:dyDescent="0.25">
      <c r="A453" s="17"/>
      <c r="D453" s="19"/>
      <c r="G453" s="1"/>
    </row>
    <row r="454" spans="1:7" x14ac:dyDescent="0.25">
      <c r="A454" s="17"/>
      <c r="B454" s="24" t="s">
        <v>46</v>
      </c>
      <c r="D454" s="19"/>
    </row>
    <row r="455" spans="1:7" x14ac:dyDescent="0.25">
      <c r="A455" s="17"/>
      <c r="C455" t="s">
        <v>482</v>
      </c>
      <c r="D455" s="19">
        <v>122307500</v>
      </c>
    </row>
    <row r="456" spans="1:7" x14ac:dyDescent="0.25">
      <c r="A456" s="17"/>
      <c r="C456" t="s">
        <v>408</v>
      </c>
      <c r="D456" s="20">
        <v>602500</v>
      </c>
      <c r="G456" s="1"/>
    </row>
    <row r="457" spans="1:7" x14ac:dyDescent="0.25">
      <c r="A457" s="17"/>
      <c r="D457" s="19">
        <f>SUM(D455:D456)</f>
        <v>122910000</v>
      </c>
      <c r="G457" s="1"/>
    </row>
    <row r="458" spans="1:7" x14ac:dyDescent="0.25">
      <c r="A458" s="17"/>
      <c r="D458" s="19"/>
      <c r="G458" s="1"/>
    </row>
    <row r="459" spans="1:7" x14ac:dyDescent="0.25">
      <c r="A459" s="23" t="s">
        <v>22</v>
      </c>
      <c r="D459" s="19"/>
    </row>
    <row r="460" spans="1:7" x14ac:dyDescent="0.25">
      <c r="A460" s="17"/>
      <c r="C460" t="s">
        <v>23</v>
      </c>
      <c r="D460" s="19">
        <v>249000000</v>
      </c>
    </row>
    <row r="461" spans="1:7" x14ac:dyDescent="0.25">
      <c r="A461" s="17"/>
      <c r="C461" t="s">
        <v>24</v>
      </c>
      <c r="D461" s="19">
        <v>1776887750</v>
      </c>
    </row>
    <row r="462" spans="1:7" x14ac:dyDescent="0.25">
      <c r="A462" s="17"/>
      <c r="C462" t="s">
        <v>44</v>
      </c>
      <c r="D462" s="19">
        <v>316500000</v>
      </c>
    </row>
    <row r="463" spans="1:7" x14ac:dyDescent="0.25">
      <c r="A463" s="17"/>
      <c r="C463" t="s">
        <v>111</v>
      </c>
      <c r="D463" s="20">
        <v>76050000</v>
      </c>
    </row>
    <row r="464" spans="1:7" x14ac:dyDescent="0.25">
      <c r="A464" s="17"/>
      <c r="D464" s="19">
        <f>SUM(D460:D463)</f>
        <v>2418437750</v>
      </c>
      <c r="G464" s="1"/>
    </row>
    <row r="465" spans="1:7" x14ac:dyDescent="0.25">
      <c r="A465" s="17"/>
      <c r="D465" s="19"/>
      <c r="G465" s="1"/>
    </row>
    <row r="466" spans="1:7" x14ac:dyDescent="0.25">
      <c r="A466" s="43" t="s">
        <v>25</v>
      </c>
      <c r="B466" s="44"/>
      <c r="C466" s="44"/>
      <c r="D466" s="25">
        <f>D439+D452+D457-D464</f>
        <v>765740146.84000015</v>
      </c>
      <c r="G466" s="1"/>
    </row>
    <row r="467" spans="1:7" x14ac:dyDescent="0.25">
      <c r="A467" s="21"/>
      <c r="B467" s="22"/>
      <c r="C467" s="22"/>
      <c r="D467" s="20"/>
      <c r="G467" s="1"/>
    </row>
    <row r="469" spans="1:7" x14ac:dyDescent="0.25">
      <c r="A469" s="40" t="s">
        <v>13</v>
      </c>
      <c r="B469" s="40"/>
      <c r="C469" s="40"/>
      <c r="D469" s="40"/>
      <c r="G469" s="1"/>
    </row>
    <row r="470" spans="1:7" x14ac:dyDescent="0.25">
      <c r="A470" s="41" t="s">
        <v>14</v>
      </c>
      <c r="B470" s="41"/>
      <c r="C470" s="41"/>
      <c r="D470" s="41"/>
      <c r="G470" s="1"/>
    </row>
    <row r="471" spans="1:7" x14ac:dyDescent="0.25">
      <c r="A471" s="42">
        <v>45761</v>
      </c>
      <c r="B471" s="42"/>
      <c r="C471" s="42"/>
      <c r="D471" s="42"/>
      <c r="G471" s="1"/>
    </row>
    <row r="472" spans="1:7" x14ac:dyDescent="0.25">
      <c r="A472" s="13"/>
      <c r="B472" s="13"/>
      <c r="C472" s="13"/>
      <c r="D472" s="13"/>
      <c r="G472" s="1"/>
    </row>
    <row r="473" spans="1:7" x14ac:dyDescent="0.25">
      <c r="A473" s="14"/>
      <c r="B473" s="15"/>
      <c r="C473" s="15"/>
      <c r="D473" s="16"/>
      <c r="F473" s="5" t="s">
        <v>26</v>
      </c>
      <c r="G473" s="1">
        <f>D515-D466</f>
        <v>6934000</v>
      </c>
    </row>
    <row r="474" spans="1:7" x14ac:dyDescent="0.25">
      <c r="A474" s="17"/>
      <c r="D474" s="32" t="s">
        <v>16</v>
      </c>
      <c r="G474" s="1"/>
    </row>
    <row r="475" spans="1:7" x14ac:dyDescent="0.25">
      <c r="A475" s="23" t="s">
        <v>15</v>
      </c>
      <c r="D475" s="18" t="s">
        <v>17</v>
      </c>
      <c r="F475" s="26" t="s">
        <v>27</v>
      </c>
      <c r="G475" s="1"/>
    </row>
    <row r="476" spans="1:7" x14ac:dyDescent="0.25">
      <c r="A476" s="17"/>
      <c r="B476" s="24" t="s">
        <v>18</v>
      </c>
      <c r="D476" s="19"/>
      <c r="F476" s="27" t="s">
        <v>28</v>
      </c>
      <c r="G476" s="1"/>
    </row>
    <row r="477" spans="1:7" x14ac:dyDescent="0.25">
      <c r="A477" s="17"/>
      <c r="C477" s="2" t="s">
        <v>31</v>
      </c>
      <c r="D477" s="19">
        <v>187732588.94</v>
      </c>
      <c r="F477" t="s">
        <v>160</v>
      </c>
      <c r="G477" s="1">
        <v>8223500</v>
      </c>
    </row>
    <row r="478" spans="1:7" x14ac:dyDescent="0.25">
      <c r="A478" s="17"/>
      <c r="C478" s="2" t="s">
        <v>32</v>
      </c>
      <c r="D478" s="19">
        <v>54709453.899999999</v>
      </c>
      <c r="F478" t="s">
        <v>90</v>
      </c>
      <c r="G478" s="1">
        <v>102500</v>
      </c>
    </row>
    <row r="479" spans="1:7" x14ac:dyDescent="0.25">
      <c r="A479" s="17"/>
      <c r="C479" s="2" t="s">
        <v>33</v>
      </c>
      <c r="D479" s="19">
        <v>-331164936.60000002</v>
      </c>
      <c r="G479" s="30">
        <f>SUM(G477:G478)</f>
        <v>8326000</v>
      </c>
    </row>
    <row r="480" spans="1:7" x14ac:dyDescent="0.25">
      <c r="A480" s="17"/>
      <c r="C480" s="2" t="s">
        <v>34</v>
      </c>
      <c r="D480" s="19">
        <v>909391</v>
      </c>
      <c r="F480" s="28" t="s">
        <v>29</v>
      </c>
      <c r="G480" s="1"/>
    </row>
    <row r="481" spans="1:7" x14ac:dyDescent="0.25">
      <c r="A481" s="17"/>
      <c r="C481" s="2" t="s">
        <v>35</v>
      </c>
      <c r="D481" s="19">
        <v>1604550</v>
      </c>
      <c r="F481" t="s">
        <v>298</v>
      </c>
      <c r="G481" s="1">
        <v>1392000</v>
      </c>
    </row>
    <row r="482" spans="1:7" x14ac:dyDescent="0.25">
      <c r="A482" s="17"/>
      <c r="C482" s="2" t="s">
        <v>36</v>
      </c>
      <c r="D482" s="19">
        <v>81573410.599999994</v>
      </c>
      <c r="G482" s="30">
        <f>SUM(G481:G481)</f>
        <v>1392000</v>
      </c>
    </row>
    <row r="483" spans="1:7" x14ac:dyDescent="0.25">
      <c r="A483" s="17"/>
      <c r="C483" s="2" t="s">
        <v>37</v>
      </c>
      <c r="D483" s="19">
        <v>206893147</v>
      </c>
      <c r="G483" s="1"/>
    </row>
    <row r="484" spans="1:7" x14ac:dyDescent="0.25">
      <c r="A484" s="17"/>
      <c r="C484" s="2" t="s">
        <v>51</v>
      </c>
      <c r="D484" s="20">
        <v>130317</v>
      </c>
      <c r="F484" s="28" t="s">
        <v>30</v>
      </c>
      <c r="G484" s="29">
        <f>G479-G482</f>
        <v>6934000</v>
      </c>
    </row>
    <row r="485" spans="1:7" x14ac:dyDescent="0.25">
      <c r="A485" s="17"/>
      <c r="B485" s="24" t="s">
        <v>19</v>
      </c>
      <c r="D485" s="19">
        <f>SUM(D477:D484)</f>
        <v>202387921.83999997</v>
      </c>
    </row>
    <row r="486" spans="1:7" x14ac:dyDescent="0.25">
      <c r="A486" s="17"/>
      <c r="D486" s="19"/>
    </row>
    <row r="487" spans="1:7" x14ac:dyDescent="0.25">
      <c r="A487" s="17"/>
      <c r="B487" s="24" t="s">
        <v>20</v>
      </c>
      <c r="D487" s="19"/>
    </row>
    <row r="488" spans="1:7" x14ac:dyDescent="0.25">
      <c r="A488" s="17"/>
      <c r="C488" t="s">
        <v>7</v>
      </c>
      <c r="D488" s="19">
        <v>1805885475</v>
      </c>
    </row>
    <row r="489" spans="1:7" x14ac:dyDescent="0.25">
      <c r="A489" s="17"/>
      <c r="C489" t="s">
        <v>47</v>
      </c>
      <c r="D489" s="19">
        <v>22360000</v>
      </c>
    </row>
    <row r="490" spans="1:7" x14ac:dyDescent="0.25">
      <c r="A490" s="17"/>
      <c r="C490" t="s">
        <v>21</v>
      </c>
      <c r="D490" s="19">
        <v>789529500</v>
      </c>
    </row>
    <row r="491" spans="1:7" x14ac:dyDescent="0.25">
      <c r="A491" s="17"/>
      <c r="C491" t="s">
        <v>45</v>
      </c>
      <c r="D491" s="19">
        <v>25000000</v>
      </c>
    </row>
    <row r="492" spans="1:7" x14ac:dyDescent="0.25">
      <c r="A492" s="17"/>
      <c r="C492" t="s">
        <v>48</v>
      </c>
      <c r="D492" s="19">
        <v>30000000</v>
      </c>
    </row>
    <row r="493" spans="1:7" x14ac:dyDescent="0.25">
      <c r="A493" s="17"/>
      <c r="C493" t="s">
        <v>68</v>
      </c>
      <c r="D493" s="19">
        <v>141000000</v>
      </c>
    </row>
    <row r="494" spans="1:7" x14ac:dyDescent="0.25">
      <c r="A494" s="17"/>
      <c r="C494" t="s">
        <v>68</v>
      </c>
      <c r="D494" s="19">
        <v>145000000</v>
      </c>
    </row>
    <row r="495" spans="1:7" x14ac:dyDescent="0.25">
      <c r="A495" s="17"/>
      <c r="C495" t="s">
        <v>403</v>
      </c>
      <c r="D495" s="19">
        <v>17000000</v>
      </c>
    </row>
    <row r="496" spans="1:7" x14ac:dyDescent="0.25">
      <c r="A496" s="17"/>
      <c r="C496" t="s">
        <v>387</v>
      </c>
      <c r="D496" s="19">
        <v>160000000</v>
      </c>
    </row>
    <row r="497" spans="1:7" x14ac:dyDescent="0.25">
      <c r="A497" s="17"/>
      <c r="C497" t="s">
        <v>494</v>
      </c>
      <c r="D497" s="19">
        <v>710000</v>
      </c>
    </row>
    <row r="498" spans="1:7" x14ac:dyDescent="0.25">
      <c r="A498" s="17"/>
      <c r="C498" t="s">
        <v>468</v>
      </c>
      <c r="D498" s="20">
        <v>46288000</v>
      </c>
      <c r="G498" s="1"/>
    </row>
    <row r="499" spans="1:7" x14ac:dyDescent="0.25">
      <c r="A499" s="17"/>
      <c r="D499" s="19">
        <f>SUM(D488:D498)</f>
        <v>3182772975</v>
      </c>
      <c r="G499" s="1"/>
    </row>
    <row r="500" spans="1:7" x14ac:dyDescent="0.25">
      <c r="A500" s="17"/>
      <c r="D500" s="19"/>
      <c r="G500" s="1"/>
    </row>
    <row r="501" spans="1:7" x14ac:dyDescent="0.25">
      <c r="A501" s="17"/>
      <c r="B501" s="24" t="s">
        <v>46</v>
      </c>
      <c r="D501" s="19"/>
    </row>
    <row r="502" spans="1:7" x14ac:dyDescent="0.25">
      <c r="A502" s="17"/>
      <c r="C502" t="s">
        <v>498</v>
      </c>
      <c r="D502" s="19">
        <v>120500000</v>
      </c>
    </row>
    <row r="503" spans="1:7" x14ac:dyDescent="0.25">
      <c r="A503" s="17"/>
      <c r="C503" t="s">
        <v>408</v>
      </c>
      <c r="D503" s="20">
        <v>602500</v>
      </c>
      <c r="G503" s="1"/>
    </row>
    <row r="504" spans="1:7" x14ac:dyDescent="0.25">
      <c r="A504" s="17"/>
      <c r="D504" s="19">
        <f>SUM(D502:D503)</f>
        <v>121102500</v>
      </c>
      <c r="G504" s="1"/>
    </row>
    <row r="505" spans="1:7" x14ac:dyDescent="0.25">
      <c r="A505" s="17"/>
      <c r="D505" s="19"/>
      <c r="G505" s="1"/>
    </row>
    <row r="506" spans="1:7" x14ac:dyDescent="0.25">
      <c r="A506" s="23" t="s">
        <v>22</v>
      </c>
      <c r="D506" s="19"/>
    </row>
    <row r="507" spans="1:7" x14ac:dyDescent="0.25">
      <c r="A507" s="17"/>
      <c r="C507" t="s">
        <v>23</v>
      </c>
      <c r="D507" s="19">
        <v>249000000</v>
      </c>
    </row>
    <row r="508" spans="1:7" x14ac:dyDescent="0.25">
      <c r="A508" s="17"/>
      <c r="C508" t="s">
        <v>24</v>
      </c>
      <c r="D508" s="19">
        <v>1849214250</v>
      </c>
    </row>
    <row r="509" spans="1:7" x14ac:dyDescent="0.25">
      <c r="A509" s="17"/>
      <c r="C509" t="s">
        <v>44</v>
      </c>
      <c r="D509" s="19">
        <v>404750000</v>
      </c>
    </row>
    <row r="510" spans="1:7" x14ac:dyDescent="0.25">
      <c r="A510" s="17"/>
      <c r="C510" t="s">
        <v>496</v>
      </c>
      <c r="D510" s="19">
        <v>77850000</v>
      </c>
    </row>
    <row r="511" spans="1:7" x14ac:dyDescent="0.25">
      <c r="A511" s="17"/>
      <c r="C511" t="s">
        <v>497</v>
      </c>
      <c r="D511" s="19">
        <v>76725000</v>
      </c>
    </row>
    <row r="512" spans="1:7" x14ac:dyDescent="0.25">
      <c r="A512" s="17"/>
      <c r="C512" t="s">
        <v>111</v>
      </c>
      <c r="D512" s="20">
        <v>76050000</v>
      </c>
    </row>
    <row r="513" spans="1:7" x14ac:dyDescent="0.25">
      <c r="A513" s="17"/>
      <c r="D513" s="19">
        <f>SUM(D507:D512)</f>
        <v>2733589250</v>
      </c>
      <c r="G513" s="1"/>
    </row>
    <row r="514" spans="1:7" x14ac:dyDescent="0.25">
      <c r="A514" s="17"/>
      <c r="D514" s="19"/>
      <c r="G514" s="1"/>
    </row>
    <row r="515" spans="1:7" x14ac:dyDescent="0.25">
      <c r="A515" s="43" t="s">
        <v>25</v>
      </c>
      <c r="B515" s="44"/>
      <c r="C515" s="44"/>
      <c r="D515" s="25">
        <f>D485+D499+D504-D513</f>
        <v>772674146.84000015</v>
      </c>
      <c r="G515" s="1"/>
    </row>
    <row r="516" spans="1:7" x14ac:dyDescent="0.25">
      <c r="A516" s="21"/>
      <c r="B516" s="22"/>
      <c r="C516" s="22"/>
      <c r="D516" s="20"/>
      <c r="G516" s="1"/>
    </row>
    <row r="518" spans="1:7" x14ac:dyDescent="0.25">
      <c r="A518" s="40" t="s">
        <v>13</v>
      </c>
      <c r="B518" s="40"/>
      <c r="C518" s="40"/>
      <c r="D518" s="40"/>
      <c r="G518" s="1"/>
    </row>
    <row r="519" spans="1:7" x14ac:dyDescent="0.25">
      <c r="A519" s="41" t="s">
        <v>14</v>
      </c>
      <c r="B519" s="41"/>
      <c r="C519" s="41"/>
      <c r="D519" s="41"/>
      <c r="G519" s="1"/>
    </row>
    <row r="520" spans="1:7" x14ac:dyDescent="0.25">
      <c r="A520" s="42">
        <v>45762</v>
      </c>
      <c r="B520" s="42"/>
      <c r="C520" s="42"/>
      <c r="D520" s="42"/>
      <c r="G520" s="1"/>
    </row>
    <row r="521" spans="1:7" x14ac:dyDescent="0.25">
      <c r="A521" s="13"/>
      <c r="B521" s="13"/>
      <c r="C521" s="13"/>
      <c r="D521" s="13"/>
      <c r="G521" s="1"/>
    </row>
    <row r="522" spans="1:7" x14ac:dyDescent="0.25">
      <c r="A522" s="14"/>
      <c r="B522" s="15"/>
      <c r="C522" s="15"/>
      <c r="D522" s="16"/>
      <c r="F522" s="5" t="s">
        <v>26</v>
      </c>
      <c r="G522" s="1">
        <f>D563-D515</f>
        <v>18053000</v>
      </c>
    </row>
    <row r="523" spans="1:7" x14ac:dyDescent="0.25">
      <c r="A523" s="17"/>
      <c r="D523" s="32" t="s">
        <v>16</v>
      </c>
      <c r="G523" s="1"/>
    </row>
    <row r="524" spans="1:7" x14ac:dyDescent="0.25">
      <c r="A524" s="23" t="s">
        <v>15</v>
      </c>
      <c r="D524" s="18" t="s">
        <v>17</v>
      </c>
      <c r="F524" s="26" t="s">
        <v>27</v>
      </c>
      <c r="G524" s="1"/>
    </row>
    <row r="525" spans="1:7" x14ac:dyDescent="0.25">
      <c r="A525" s="17"/>
      <c r="B525" s="24" t="s">
        <v>18</v>
      </c>
      <c r="D525" s="19"/>
      <c r="F525" s="27" t="s">
        <v>28</v>
      </c>
      <c r="G525" s="1"/>
    </row>
    <row r="526" spans="1:7" x14ac:dyDescent="0.25">
      <c r="A526" s="17"/>
      <c r="C526" s="2" t="s">
        <v>31</v>
      </c>
      <c r="D526" s="19">
        <v>185542588.94</v>
      </c>
      <c r="F526" t="s">
        <v>328</v>
      </c>
      <c r="G526" s="1">
        <v>20119000</v>
      </c>
    </row>
    <row r="527" spans="1:7" x14ac:dyDescent="0.25">
      <c r="A527" s="17"/>
      <c r="C527" s="2" t="s">
        <v>32</v>
      </c>
      <c r="D527" s="19">
        <v>104299453.90000001</v>
      </c>
      <c r="F527" t="s">
        <v>90</v>
      </c>
      <c r="G527" s="1">
        <v>97500</v>
      </c>
    </row>
    <row r="528" spans="1:7" x14ac:dyDescent="0.25">
      <c r="A528" s="17"/>
      <c r="C528" s="2" t="s">
        <v>33</v>
      </c>
      <c r="D528" s="19">
        <v>-462735286.60000002</v>
      </c>
      <c r="F528" t="s">
        <v>500</v>
      </c>
      <c r="G528" s="1">
        <v>87000</v>
      </c>
    </row>
    <row r="529" spans="1:10" x14ac:dyDescent="0.25">
      <c r="A529" s="17"/>
      <c r="C529" s="2" t="s">
        <v>34</v>
      </c>
      <c r="D529" s="19">
        <v>135909391</v>
      </c>
      <c r="F529" t="s">
        <v>501</v>
      </c>
      <c r="G529" s="1">
        <v>2000</v>
      </c>
    </row>
    <row r="530" spans="1:10" x14ac:dyDescent="0.25">
      <c r="A530" s="17"/>
      <c r="C530" s="2" t="s">
        <v>35</v>
      </c>
      <c r="D530" s="19">
        <v>1604550</v>
      </c>
      <c r="G530" s="30">
        <f>SUM(G526:G529)</f>
        <v>20305500</v>
      </c>
    </row>
    <row r="531" spans="1:10" x14ac:dyDescent="0.25">
      <c r="A531" s="17"/>
      <c r="C531" s="2" t="s">
        <v>36</v>
      </c>
      <c r="D531" s="19">
        <v>82923410.599999994</v>
      </c>
      <c r="F531" s="28" t="s">
        <v>29</v>
      </c>
      <c r="G531" s="1"/>
      <c r="J531" s="38"/>
    </row>
    <row r="532" spans="1:10" x14ac:dyDescent="0.25">
      <c r="A532" s="17"/>
      <c r="C532" s="2" t="s">
        <v>37</v>
      </c>
      <c r="D532" s="19">
        <v>181867997</v>
      </c>
      <c r="F532" t="s">
        <v>161</v>
      </c>
      <c r="G532" s="1">
        <v>2500</v>
      </c>
    </row>
    <row r="533" spans="1:10" x14ac:dyDescent="0.25">
      <c r="A533" s="17"/>
      <c r="C533" s="2" t="s">
        <v>51</v>
      </c>
      <c r="D533" s="20">
        <v>130317</v>
      </c>
      <c r="F533" t="s">
        <v>2</v>
      </c>
      <c r="G533" s="1">
        <v>2250000</v>
      </c>
    </row>
    <row r="534" spans="1:10" x14ac:dyDescent="0.25">
      <c r="A534" s="17"/>
      <c r="B534" s="24" t="s">
        <v>19</v>
      </c>
      <c r="D534" s="19">
        <f>SUM(D526:D533)</f>
        <v>229542421.84</v>
      </c>
      <c r="G534" s="30">
        <f>SUM(G532:G533)</f>
        <v>2252500</v>
      </c>
    </row>
    <row r="535" spans="1:10" x14ac:dyDescent="0.25">
      <c r="A535" s="17"/>
      <c r="D535" s="19"/>
      <c r="G535" s="1"/>
    </row>
    <row r="536" spans="1:10" x14ac:dyDescent="0.25">
      <c r="A536" s="17"/>
      <c r="B536" s="24" t="s">
        <v>20</v>
      </c>
      <c r="D536" s="19"/>
      <c r="F536" s="28" t="s">
        <v>30</v>
      </c>
      <c r="G536" s="29">
        <f>G530-G534</f>
        <v>18053000</v>
      </c>
    </row>
    <row r="537" spans="1:10" x14ac:dyDescent="0.25">
      <c r="A537" s="17"/>
      <c r="C537" t="s">
        <v>7</v>
      </c>
      <c r="D537" s="19">
        <v>1827570475</v>
      </c>
    </row>
    <row r="538" spans="1:10" x14ac:dyDescent="0.25">
      <c r="A538" s="17"/>
      <c r="C538" t="s">
        <v>47</v>
      </c>
      <c r="D538" s="19">
        <v>20965000</v>
      </c>
    </row>
    <row r="539" spans="1:10" x14ac:dyDescent="0.25">
      <c r="A539" s="17"/>
      <c r="C539" t="s">
        <v>21</v>
      </c>
      <c r="D539" s="19">
        <v>767589500</v>
      </c>
    </row>
    <row r="540" spans="1:10" x14ac:dyDescent="0.25">
      <c r="A540" s="17"/>
      <c r="C540" t="s">
        <v>45</v>
      </c>
      <c r="D540" s="19">
        <v>25000000</v>
      </c>
    </row>
    <row r="541" spans="1:10" x14ac:dyDescent="0.25">
      <c r="A541" s="17"/>
      <c r="C541" t="s">
        <v>48</v>
      </c>
      <c r="D541" s="19">
        <v>30000000</v>
      </c>
    </row>
    <row r="542" spans="1:10" x14ac:dyDescent="0.25">
      <c r="A542" s="17"/>
      <c r="C542" t="s">
        <v>68</v>
      </c>
      <c r="D542" s="19">
        <v>141000000</v>
      </c>
    </row>
    <row r="543" spans="1:10" x14ac:dyDescent="0.25">
      <c r="A543" s="17"/>
      <c r="C543" t="s">
        <v>68</v>
      </c>
      <c r="D543" s="19">
        <v>145000000</v>
      </c>
    </row>
    <row r="544" spans="1:10" x14ac:dyDescent="0.25">
      <c r="A544" s="17"/>
      <c r="C544" t="s">
        <v>387</v>
      </c>
      <c r="D544" s="19">
        <v>160000000</v>
      </c>
    </row>
    <row r="545" spans="1:7" x14ac:dyDescent="0.25">
      <c r="A545" s="17"/>
      <c r="C545" t="s">
        <v>502</v>
      </c>
      <c r="D545" s="19">
        <v>150000</v>
      </c>
    </row>
    <row r="546" spans="1:7" x14ac:dyDescent="0.25">
      <c r="A546" s="17"/>
      <c r="C546" t="s">
        <v>494</v>
      </c>
      <c r="D546" s="20">
        <v>710000</v>
      </c>
    </row>
    <row r="547" spans="1:7" x14ac:dyDescent="0.25">
      <c r="A547" s="17"/>
      <c r="D547" s="19">
        <f>SUM(D537:D546)</f>
        <v>3117984975</v>
      </c>
      <c r="G547" s="1"/>
    </row>
    <row r="548" spans="1:7" x14ac:dyDescent="0.25">
      <c r="A548" s="17"/>
      <c r="D548" s="19"/>
      <c r="G548" s="1"/>
    </row>
    <row r="549" spans="1:7" x14ac:dyDescent="0.25">
      <c r="A549" s="17"/>
      <c r="B549" s="24" t="s">
        <v>46</v>
      </c>
      <c r="D549" s="19"/>
    </row>
    <row r="550" spans="1:7" x14ac:dyDescent="0.25">
      <c r="A550" s="17"/>
      <c r="C550" t="s">
        <v>499</v>
      </c>
      <c r="D550" s="19">
        <v>118090000</v>
      </c>
    </row>
    <row r="551" spans="1:7" x14ac:dyDescent="0.25">
      <c r="A551" s="17"/>
      <c r="C551" t="s">
        <v>426</v>
      </c>
      <c r="D551" s="20">
        <v>1205000</v>
      </c>
      <c r="G551" s="1"/>
    </row>
    <row r="552" spans="1:7" x14ac:dyDescent="0.25">
      <c r="A552" s="17"/>
      <c r="D552" s="19">
        <f>SUM(D550:D551)</f>
        <v>119295000</v>
      </c>
      <c r="G552" s="1"/>
    </row>
    <row r="553" spans="1:7" x14ac:dyDescent="0.25">
      <c r="A553" s="17"/>
      <c r="D553" s="19"/>
      <c r="G553" s="1"/>
    </row>
    <row r="554" spans="1:7" x14ac:dyDescent="0.25">
      <c r="A554" s="23" t="s">
        <v>22</v>
      </c>
      <c r="D554" s="19"/>
    </row>
    <row r="555" spans="1:7" x14ac:dyDescent="0.25">
      <c r="A555" s="17"/>
      <c r="C555" t="s">
        <v>23</v>
      </c>
      <c r="D555" s="19">
        <v>175500000</v>
      </c>
    </row>
    <row r="556" spans="1:7" x14ac:dyDescent="0.25">
      <c r="A556" s="17"/>
      <c r="C556" t="s">
        <v>24</v>
      </c>
      <c r="D556" s="19">
        <v>1925795250</v>
      </c>
    </row>
    <row r="557" spans="1:7" x14ac:dyDescent="0.25">
      <c r="A557" s="17"/>
      <c r="C557" t="s">
        <v>44</v>
      </c>
      <c r="D557" s="19">
        <v>344175000</v>
      </c>
    </row>
    <row r="558" spans="1:7" x14ac:dyDescent="0.25">
      <c r="A558" s="17"/>
      <c r="C558" t="s">
        <v>496</v>
      </c>
      <c r="D558" s="19">
        <v>77850000</v>
      </c>
    </row>
    <row r="559" spans="1:7" x14ac:dyDescent="0.25">
      <c r="A559" s="17"/>
      <c r="C559" t="s">
        <v>497</v>
      </c>
      <c r="D559" s="19">
        <v>76725000</v>
      </c>
    </row>
    <row r="560" spans="1:7" x14ac:dyDescent="0.25">
      <c r="A560" s="17"/>
      <c r="C560" t="s">
        <v>111</v>
      </c>
      <c r="D560" s="20">
        <v>76050000</v>
      </c>
    </row>
    <row r="561" spans="1:7" x14ac:dyDescent="0.25">
      <c r="A561" s="17"/>
      <c r="D561" s="19">
        <f>SUM(D555:D560)</f>
        <v>2676095250</v>
      </c>
      <c r="G561" s="1"/>
    </row>
    <row r="562" spans="1:7" x14ac:dyDescent="0.25">
      <c r="A562" s="17"/>
      <c r="D562" s="19"/>
      <c r="G562" s="1"/>
    </row>
    <row r="563" spans="1:7" x14ac:dyDescent="0.25">
      <c r="A563" s="43" t="s">
        <v>25</v>
      </c>
      <c r="B563" s="44"/>
      <c r="C563" s="44"/>
      <c r="D563" s="25">
        <f>D534+D547+D552-D561</f>
        <v>790727146.84000015</v>
      </c>
      <c r="G563" s="1"/>
    </row>
    <row r="564" spans="1:7" x14ac:dyDescent="0.25">
      <c r="A564" s="21"/>
      <c r="B564" s="22"/>
      <c r="C564" s="22"/>
      <c r="D564" s="20"/>
      <c r="G564" s="1"/>
    </row>
    <row r="566" spans="1:7" x14ac:dyDescent="0.25">
      <c r="A566" s="40" t="s">
        <v>13</v>
      </c>
      <c r="B566" s="40"/>
      <c r="C566" s="40"/>
      <c r="D566" s="40"/>
      <c r="G566" s="1"/>
    </row>
    <row r="567" spans="1:7" x14ac:dyDescent="0.25">
      <c r="A567" s="41" t="s">
        <v>14</v>
      </c>
      <c r="B567" s="41"/>
      <c r="C567" s="41"/>
      <c r="D567" s="41"/>
      <c r="G567" s="1"/>
    </row>
    <row r="568" spans="1:7" x14ac:dyDescent="0.25">
      <c r="A568" s="42">
        <v>45763</v>
      </c>
      <c r="B568" s="42"/>
      <c r="C568" s="42"/>
      <c r="D568" s="42"/>
      <c r="G568" s="1"/>
    </row>
    <row r="569" spans="1:7" x14ac:dyDescent="0.25">
      <c r="A569" s="13"/>
      <c r="B569" s="13"/>
      <c r="C569" s="13"/>
      <c r="D569" s="13"/>
      <c r="G569" s="1"/>
    </row>
    <row r="570" spans="1:7" x14ac:dyDescent="0.25">
      <c r="A570" s="14"/>
      <c r="B570" s="15"/>
      <c r="C570" s="15"/>
      <c r="D570" s="16"/>
      <c r="F570" s="5" t="s">
        <v>26</v>
      </c>
      <c r="G570" s="1">
        <f>D610-D563</f>
        <v>16820540</v>
      </c>
    </row>
    <row r="571" spans="1:7" x14ac:dyDescent="0.25">
      <c r="A571" s="17"/>
      <c r="D571" s="32" t="s">
        <v>16</v>
      </c>
      <c r="G571" s="1"/>
    </row>
    <row r="572" spans="1:7" x14ac:dyDescent="0.25">
      <c r="A572" s="23" t="s">
        <v>15</v>
      </c>
      <c r="D572" s="18" t="s">
        <v>17</v>
      </c>
      <c r="F572" s="26" t="s">
        <v>27</v>
      </c>
      <c r="G572" s="1"/>
    </row>
    <row r="573" spans="1:7" x14ac:dyDescent="0.25">
      <c r="A573" s="17"/>
      <c r="B573" s="24" t="s">
        <v>18</v>
      </c>
      <c r="D573" s="19"/>
      <c r="F573" s="27" t="s">
        <v>28</v>
      </c>
      <c r="G573" s="1"/>
    </row>
    <row r="574" spans="1:7" x14ac:dyDescent="0.25">
      <c r="A574" s="17"/>
      <c r="C574" s="2" t="s">
        <v>31</v>
      </c>
      <c r="D574" s="19">
        <v>185542588.94</v>
      </c>
      <c r="F574" t="s">
        <v>179</v>
      </c>
      <c r="G574" s="1">
        <v>19237500</v>
      </c>
    </row>
    <row r="575" spans="1:7" x14ac:dyDescent="0.25">
      <c r="A575" s="17"/>
      <c r="C575" s="2" t="s">
        <v>32</v>
      </c>
      <c r="D575" s="19">
        <v>104299453.90000001</v>
      </c>
      <c r="F575" t="s">
        <v>90</v>
      </c>
      <c r="G575" s="1">
        <v>460000</v>
      </c>
    </row>
    <row r="576" spans="1:7" x14ac:dyDescent="0.25">
      <c r="A576" s="17"/>
      <c r="C576" s="2" t="s">
        <v>33</v>
      </c>
      <c r="D576" s="19">
        <v>-485115286.60000002</v>
      </c>
      <c r="G576" s="30">
        <f>SUM(G574:G575)</f>
        <v>19697500</v>
      </c>
    </row>
    <row r="577" spans="1:7" x14ac:dyDescent="0.25">
      <c r="A577" s="17"/>
      <c r="C577" s="2" t="s">
        <v>34</v>
      </c>
      <c r="D577" s="19">
        <v>-93740609</v>
      </c>
      <c r="F577" s="28" t="s">
        <v>29</v>
      </c>
      <c r="G577" s="1"/>
    </row>
    <row r="578" spans="1:7" x14ac:dyDescent="0.25">
      <c r="A578" s="17"/>
      <c r="C578" s="2" t="s">
        <v>35</v>
      </c>
      <c r="D578" s="19">
        <v>1604550</v>
      </c>
      <c r="F578" t="s">
        <v>161</v>
      </c>
      <c r="G578" s="1">
        <v>2500</v>
      </c>
    </row>
    <row r="579" spans="1:7" x14ac:dyDescent="0.25">
      <c r="A579" s="17"/>
      <c r="C579" s="2" t="s">
        <v>36</v>
      </c>
      <c r="D579" s="19">
        <v>82923410.599999994</v>
      </c>
      <c r="F579" t="s">
        <v>504</v>
      </c>
      <c r="G579" s="1">
        <v>500000</v>
      </c>
    </row>
    <row r="580" spans="1:7" x14ac:dyDescent="0.25">
      <c r="A580" s="17"/>
      <c r="C580" s="2" t="s">
        <v>37</v>
      </c>
      <c r="D580" s="19">
        <v>7465497</v>
      </c>
      <c r="F580" t="s">
        <v>122</v>
      </c>
      <c r="G580" s="1">
        <v>2374460</v>
      </c>
    </row>
    <row r="581" spans="1:7" x14ac:dyDescent="0.25">
      <c r="A581" s="17"/>
      <c r="C581" s="2" t="s">
        <v>51</v>
      </c>
      <c r="D581" s="20">
        <v>130317</v>
      </c>
      <c r="G581" s="30">
        <f>SUM(G578:G580)</f>
        <v>2876960</v>
      </c>
    </row>
    <row r="582" spans="1:7" x14ac:dyDescent="0.25">
      <c r="A582" s="17"/>
      <c r="B582" s="24" t="s">
        <v>19</v>
      </c>
      <c r="D582" s="19">
        <f>SUM(D574:D581)</f>
        <v>-196890078.16</v>
      </c>
      <c r="G582" s="1"/>
    </row>
    <row r="583" spans="1:7" x14ac:dyDescent="0.25">
      <c r="A583" s="17"/>
      <c r="D583" s="19"/>
      <c r="F583" s="28" t="s">
        <v>30</v>
      </c>
      <c r="G583" s="29">
        <f>G576-G581</f>
        <v>16820540</v>
      </c>
    </row>
    <row r="584" spans="1:7" x14ac:dyDescent="0.25">
      <c r="A584" s="17"/>
      <c r="B584" s="24" t="s">
        <v>20</v>
      </c>
      <c r="D584" s="19"/>
    </row>
    <row r="585" spans="1:7" x14ac:dyDescent="0.25">
      <c r="A585" s="17"/>
      <c r="C585" t="s">
        <v>7</v>
      </c>
      <c r="D585" s="19">
        <v>2234057975</v>
      </c>
    </row>
    <row r="586" spans="1:7" x14ac:dyDescent="0.25">
      <c r="A586" s="17"/>
      <c r="C586" t="s">
        <v>47</v>
      </c>
      <c r="D586" s="19">
        <v>26245000</v>
      </c>
    </row>
    <row r="587" spans="1:7" x14ac:dyDescent="0.25">
      <c r="A587" s="17"/>
      <c r="C587" t="s">
        <v>21</v>
      </c>
      <c r="D587" s="19">
        <v>805089500</v>
      </c>
    </row>
    <row r="588" spans="1:7" x14ac:dyDescent="0.25">
      <c r="A588" s="17"/>
      <c r="C588" t="s">
        <v>45</v>
      </c>
      <c r="D588" s="19">
        <v>25000000</v>
      </c>
    </row>
    <row r="589" spans="1:7" x14ac:dyDescent="0.25">
      <c r="A589" s="17"/>
      <c r="C589" t="s">
        <v>48</v>
      </c>
      <c r="D589" s="19">
        <v>30000000</v>
      </c>
    </row>
    <row r="590" spans="1:7" x14ac:dyDescent="0.25">
      <c r="A590" s="17"/>
      <c r="C590" t="s">
        <v>68</v>
      </c>
      <c r="D590" s="19">
        <v>141000000</v>
      </c>
    </row>
    <row r="591" spans="1:7" x14ac:dyDescent="0.25">
      <c r="A591" s="17"/>
      <c r="C591" t="s">
        <v>68</v>
      </c>
      <c r="D591" s="19">
        <v>145000000</v>
      </c>
    </row>
    <row r="592" spans="1:7" x14ac:dyDescent="0.25">
      <c r="A592" s="17"/>
      <c r="C592" t="s">
        <v>387</v>
      </c>
      <c r="D592" s="19">
        <v>160000000</v>
      </c>
    </row>
    <row r="593" spans="1:7" x14ac:dyDescent="0.25">
      <c r="A593" s="17"/>
      <c r="C593" t="s">
        <v>494</v>
      </c>
      <c r="D593" s="20">
        <v>710000</v>
      </c>
    </row>
    <row r="594" spans="1:7" x14ac:dyDescent="0.25">
      <c r="A594" s="17"/>
      <c r="D594" s="19">
        <f>SUM(D585:D593)</f>
        <v>3567102475</v>
      </c>
      <c r="G594" s="1"/>
    </row>
    <row r="595" spans="1:7" x14ac:dyDescent="0.25">
      <c r="A595" s="17"/>
      <c r="D595" s="19"/>
      <c r="G595" s="1"/>
    </row>
    <row r="596" spans="1:7" x14ac:dyDescent="0.25">
      <c r="A596" s="17"/>
      <c r="B596" s="24" t="s">
        <v>46</v>
      </c>
      <c r="D596" s="19"/>
    </row>
    <row r="597" spans="1:7" x14ac:dyDescent="0.25">
      <c r="A597" s="17"/>
      <c r="C597" t="s">
        <v>508</v>
      </c>
      <c r="D597" s="19">
        <v>113872500</v>
      </c>
    </row>
    <row r="598" spans="1:7" x14ac:dyDescent="0.25">
      <c r="A598" s="17"/>
      <c r="C598" t="s">
        <v>408</v>
      </c>
      <c r="D598" s="20">
        <v>602500</v>
      </c>
      <c r="G598" s="1"/>
    </row>
    <row r="599" spans="1:7" x14ac:dyDescent="0.25">
      <c r="A599" s="17"/>
      <c r="D599" s="19">
        <f>SUM(D597:D598)</f>
        <v>114475000</v>
      </c>
      <c r="G599" s="1"/>
    </row>
    <row r="600" spans="1:7" x14ac:dyDescent="0.25">
      <c r="A600" s="17"/>
      <c r="D600" s="19"/>
      <c r="G600" s="1"/>
    </row>
    <row r="601" spans="1:7" x14ac:dyDescent="0.25">
      <c r="A601" s="23" t="s">
        <v>22</v>
      </c>
      <c r="D601" s="19"/>
    </row>
    <row r="602" spans="1:7" x14ac:dyDescent="0.25">
      <c r="A602" s="17"/>
      <c r="C602" t="s">
        <v>23</v>
      </c>
      <c r="D602" s="19">
        <v>227700000</v>
      </c>
    </row>
    <row r="603" spans="1:7" x14ac:dyDescent="0.25">
      <c r="A603" s="17"/>
      <c r="C603" t="s">
        <v>24</v>
      </c>
      <c r="D603" s="19">
        <v>1631139710</v>
      </c>
    </row>
    <row r="604" spans="1:7" x14ac:dyDescent="0.25">
      <c r="A604" s="17"/>
      <c r="C604" t="s">
        <v>44</v>
      </c>
      <c r="D604" s="19">
        <v>432425000</v>
      </c>
    </row>
    <row r="605" spans="1:7" x14ac:dyDescent="0.25">
      <c r="A605" s="17"/>
      <c r="C605" t="s">
        <v>496</v>
      </c>
      <c r="D605" s="19">
        <v>77850000</v>
      </c>
    </row>
    <row r="606" spans="1:7" x14ac:dyDescent="0.25">
      <c r="A606" s="17"/>
      <c r="C606" t="s">
        <v>507</v>
      </c>
      <c r="D606" s="19">
        <v>231975000</v>
      </c>
    </row>
    <row r="607" spans="1:7" x14ac:dyDescent="0.25">
      <c r="A607" s="17"/>
      <c r="C607" t="s">
        <v>111</v>
      </c>
      <c r="D607" s="20">
        <v>76050000</v>
      </c>
    </row>
    <row r="608" spans="1:7" x14ac:dyDescent="0.25">
      <c r="A608" s="17"/>
      <c r="D608" s="19">
        <f>SUM(D602:D607)</f>
        <v>2677139710</v>
      </c>
      <c r="G608" s="1"/>
    </row>
    <row r="609" spans="1:7" x14ac:dyDescent="0.25">
      <c r="A609" s="17"/>
      <c r="D609" s="19"/>
      <c r="G609" s="1"/>
    </row>
    <row r="610" spans="1:7" x14ac:dyDescent="0.25">
      <c r="A610" s="43" t="s">
        <v>25</v>
      </c>
      <c r="B610" s="44"/>
      <c r="C610" s="44"/>
      <c r="D610" s="25">
        <f>D582+D594+D599-D608</f>
        <v>807547686.84000015</v>
      </c>
      <c r="G610" s="1"/>
    </row>
    <row r="611" spans="1:7" x14ac:dyDescent="0.25">
      <c r="A611" s="21"/>
      <c r="B611" s="22"/>
      <c r="C611" s="22"/>
      <c r="D611" s="20"/>
      <c r="G611" s="1"/>
    </row>
    <row r="613" spans="1:7" x14ac:dyDescent="0.25">
      <c r="A613" s="40" t="s">
        <v>13</v>
      </c>
      <c r="B613" s="40"/>
      <c r="C613" s="40"/>
      <c r="D613" s="40"/>
      <c r="G613" s="1"/>
    </row>
    <row r="614" spans="1:7" x14ac:dyDescent="0.25">
      <c r="A614" s="41" t="s">
        <v>14</v>
      </c>
      <c r="B614" s="41"/>
      <c r="C614" s="41"/>
      <c r="D614" s="41"/>
      <c r="G614" s="1"/>
    </row>
    <row r="615" spans="1:7" x14ac:dyDescent="0.25">
      <c r="A615" s="42">
        <v>45764</v>
      </c>
      <c r="B615" s="42"/>
      <c r="C615" s="42"/>
      <c r="D615" s="42"/>
      <c r="G615" s="1"/>
    </row>
    <row r="616" spans="1:7" x14ac:dyDescent="0.25">
      <c r="A616" s="13"/>
      <c r="B616" s="13"/>
      <c r="C616" s="13"/>
      <c r="D616" s="13"/>
      <c r="G616" s="1"/>
    </row>
    <row r="617" spans="1:7" x14ac:dyDescent="0.25">
      <c r="A617" s="14"/>
      <c r="B617" s="15"/>
      <c r="C617" s="15"/>
      <c r="D617" s="16"/>
      <c r="F617" s="5" t="s">
        <v>26</v>
      </c>
      <c r="G617" s="1">
        <f>D656-D610</f>
        <v>25699000</v>
      </c>
    </row>
    <row r="618" spans="1:7" x14ac:dyDescent="0.25">
      <c r="A618" s="17"/>
      <c r="D618" s="32" t="s">
        <v>16</v>
      </c>
      <c r="G618" s="1"/>
    </row>
    <row r="619" spans="1:7" x14ac:dyDescent="0.25">
      <c r="A619" s="23" t="s">
        <v>15</v>
      </c>
      <c r="D619" s="18" t="s">
        <v>17</v>
      </c>
      <c r="F619" s="26" t="s">
        <v>27</v>
      </c>
      <c r="G619" s="1"/>
    </row>
    <row r="620" spans="1:7" x14ac:dyDescent="0.25">
      <c r="A620" s="17"/>
      <c r="B620" s="24" t="s">
        <v>18</v>
      </c>
      <c r="D620" s="19"/>
      <c r="F620" s="27" t="s">
        <v>28</v>
      </c>
      <c r="G620" s="1"/>
    </row>
    <row r="621" spans="1:7" x14ac:dyDescent="0.25">
      <c r="A621" s="17"/>
      <c r="C621" s="2" t="s">
        <v>31</v>
      </c>
      <c r="D621" s="19">
        <v>346702588.94</v>
      </c>
      <c r="F621" t="s">
        <v>185</v>
      </c>
      <c r="G621" s="1">
        <v>27686500</v>
      </c>
    </row>
    <row r="622" spans="1:7" x14ac:dyDescent="0.25">
      <c r="A622" s="17"/>
      <c r="C622" s="2" t="s">
        <v>32</v>
      </c>
      <c r="D622" s="19">
        <v>106939453.90000001</v>
      </c>
      <c r="F622" t="s">
        <v>90</v>
      </c>
      <c r="G622" s="1">
        <v>262500</v>
      </c>
    </row>
    <row r="623" spans="1:7" x14ac:dyDescent="0.25">
      <c r="A623" s="17"/>
      <c r="C623" s="2" t="s">
        <v>33</v>
      </c>
      <c r="D623" s="19">
        <v>-240435286.59999999</v>
      </c>
      <c r="G623" s="30">
        <f>SUM(G621:G622)</f>
        <v>27949000</v>
      </c>
    </row>
    <row r="624" spans="1:7" x14ac:dyDescent="0.25">
      <c r="A624" s="17"/>
      <c r="C624" s="2" t="s">
        <v>34</v>
      </c>
      <c r="D624" s="19">
        <v>-76740609</v>
      </c>
      <c r="F624" s="28" t="s">
        <v>29</v>
      </c>
      <c r="G624" s="1"/>
    </row>
    <row r="625" spans="1:7" x14ac:dyDescent="0.25">
      <c r="A625" s="17"/>
      <c r="C625" s="2" t="s">
        <v>35</v>
      </c>
      <c r="D625" s="19">
        <v>1604550</v>
      </c>
      <c r="F625" t="s">
        <v>104</v>
      </c>
      <c r="G625" s="1">
        <v>2250000</v>
      </c>
    </row>
    <row r="626" spans="1:7" x14ac:dyDescent="0.25">
      <c r="A626" s="17"/>
      <c r="C626" s="2" t="s">
        <v>36</v>
      </c>
      <c r="D626" s="19">
        <v>82923410.599999994</v>
      </c>
      <c r="G626" s="30">
        <f>SUM(G625:G625)</f>
        <v>2250000</v>
      </c>
    </row>
    <row r="627" spans="1:7" x14ac:dyDescent="0.25">
      <c r="A627" s="17"/>
      <c r="C627" s="2" t="s">
        <v>37</v>
      </c>
      <c r="D627" s="19">
        <v>7785497</v>
      </c>
      <c r="G627" s="1"/>
    </row>
    <row r="628" spans="1:7" x14ac:dyDescent="0.25">
      <c r="A628" s="17"/>
      <c r="C628" s="2" t="s">
        <v>51</v>
      </c>
      <c r="D628" s="20">
        <v>130317</v>
      </c>
      <c r="F628" s="28" t="s">
        <v>30</v>
      </c>
      <c r="G628" s="29">
        <f>G623-G626</f>
        <v>25699000</v>
      </c>
    </row>
    <row r="629" spans="1:7" x14ac:dyDescent="0.25">
      <c r="A629" s="17"/>
      <c r="B629" s="24" t="s">
        <v>19</v>
      </c>
      <c r="D629" s="19">
        <f>SUM(D621:D628)</f>
        <v>228909921.84000003</v>
      </c>
    </row>
    <row r="630" spans="1:7" x14ac:dyDescent="0.25">
      <c r="A630" s="17"/>
      <c r="D630" s="19"/>
    </row>
    <row r="631" spans="1:7" x14ac:dyDescent="0.25">
      <c r="A631" s="17"/>
      <c r="B631" s="24" t="s">
        <v>20</v>
      </c>
      <c r="D631" s="19"/>
    </row>
    <row r="632" spans="1:7" x14ac:dyDescent="0.25">
      <c r="A632" s="17"/>
      <c r="C632" t="s">
        <v>7</v>
      </c>
      <c r="D632" s="19">
        <v>1696672975</v>
      </c>
    </row>
    <row r="633" spans="1:7" x14ac:dyDescent="0.25">
      <c r="A633" s="17"/>
      <c r="C633" t="s">
        <v>47</v>
      </c>
      <c r="D633" s="19">
        <v>26880000</v>
      </c>
    </row>
    <row r="634" spans="1:7" x14ac:dyDescent="0.25">
      <c r="A634" s="17"/>
      <c r="C634" t="s">
        <v>21</v>
      </c>
      <c r="D634" s="19">
        <v>974464500</v>
      </c>
    </row>
    <row r="635" spans="1:7" x14ac:dyDescent="0.25">
      <c r="A635" s="17"/>
      <c r="C635" t="s">
        <v>45</v>
      </c>
      <c r="D635" s="19">
        <v>25000000</v>
      </c>
    </row>
    <row r="636" spans="1:7" x14ac:dyDescent="0.25">
      <c r="A636" s="17"/>
      <c r="C636" t="s">
        <v>48</v>
      </c>
      <c r="D636" s="19">
        <v>30000000</v>
      </c>
    </row>
    <row r="637" spans="1:7" x14ac:dyDescent="0.25">
      <c r="A637" s="17"/>
      <c r="C637" t="s">
        <v>68</v>
      </c>
      <c r="D637" s="19">
        <v>141000000</v>
      </c>
    </row>
    <row r="638" spans="1:7" x14ac:dyDescent="0.25">
      <c r="A638" s="17"/>
      <c r="C638" t="s">
        <v>68</v>
      </c>
      <c r="D638" s="19">
        <v>145000000</v>
      </c>
    </row>
    <row r="639" spans="1:7" x14ac:dyDescent="0.25">
      <c r="A639" s="17"/>
      <c r="C639" t="s">
        <v>387</v>
      </c>
      <c r="D639" s="19">
        <v>160000000</v>
      </c>
    </row>
    <row r="640" spans="1:7" x14ac:dyDescent="0.25">
      <c r="A640" s="17"/>
      <c r="C640" t="s">
        <v>349</v>
      </c>
      <c r="D640" s="19">
        <v>4100000</v>
      </c>
    </row>
    <row r="641" spans="1:7" x14ac:dyDescent="0.25">
      <c r="A641" s="17"/>
      <c r="C641" t="s">
        <v>494</v>
      </c>
      <c r="D641" s="20">
        <v>73210000</v>
      </c>
    </row>
    <row r="642" spans="1:7" x14ac:dyDescent="0.25">
      <c r="A642" s="17"/>
      <c r="D642" s="19">
        <f>SUM(D632:D641)</f>
        <v>3276327475</v>
      </c>
      <c r="G642" s="1"/>
    </row>
    <row r="643" spans="1:7" x14ac:dyDescent="0.25">
      <c r="A643" s="17"/>
      <c r="D643" s="19"/>
      <c r="G643" s="1"/>
    </row>
    <row r="644" spans="1:7" x14ac:dyDescent="0.25">
      <c r="A644" s="17"/>
      <c r="B644" s="24" t="s">
        <v>46</v>
      </c>
      <c r="D644" s="19"/>
    </row>
    <row r="645" spans="1:7" x14ac:dyDescent="0.25">
      <c r="A645" s="17"/>
      <c r="C645" t="s">
        <v>510</v>
      </c>
      <c r="D645" s="20">
        <v>111462500</v>
      </c>
    </row>
    <row r="646" spans="1:7" x14ac:dyDescent="0.25">
      <c r="A646" s="17"/>
      <c r="D646" s="19">
        <f>SUM(D645:D645)</f>
        <v>111462500</v>
      </c>
      <c r="G646" s="1"/>
    </row>
    <row r="647" spans="1:7" x14ac:dyDescent="0.25">
      <c r="A647" s="17"/>
      <c r="D647" s="19"/>
      <c r="G647" s="1"/>
    </row>
    <row r="648" spans="1:7" x14ac:dyDescent="0.25">
      <c r="A648" s="23" t="s">
        <v>22</v>
      </c>
      <c r="D648" s="19"/>
    </row>
    <row r="649" spans="1:7" x14ac:dyDescent="0.25">
      <c r="A649" s="17"/>
      <c r="C649" t="s">
        <v>23</v>
      </c>
      <c r="D649" s="19">
        <v>384300000</v>
      </c>
    </row>
    <row r="650" spans="1:7" x14ac:dyDescent="0.25">
      <c r="A650" s="17"/>
      <c r="C650" t="s">
        <v>24</v>
      </c>
      <c r="D650" s="19">
        <v>1792815710</v>
      </c>
    </row>
    <row r="651" spans="1:7" x14ac:dyDescent="0.25">
      <c r="A651" s="17"/>
      <c r="C651" t="s">
        <v>44</v>
      </c>
      <c r="D651" s="19">
        <v>432425000</v>
      </c>
    </row>
    <row r="652" spans="1:7" x14ac:dyDescent="0.25">
      <c r="A652" s="17"/>
      <c r="C652" t="s">
        <v>507</v>
      </c>
      <c r="D652" s="19">
        <v>21812500</v>
      </c>
    </row>
    <row r="653" spans="1:7" x14ac:dyDescent="0.25">
      <c r="A653" s="17"/>
      <c r="C653" t="s">
        <v>111</v>
      </c>
      <c r="D653" s="20">
        <v>152100000</v>
      </c>
    </row>
    <row r="654" spans="1:7" x14ac:dyDescent="0.25">
      <c r="A654" s="17"/>
      <c r="D654" s="19">
        <f>SUM(D649:D653)</f>
        <v>2783453210</v>
      </c>
      <c r="G654" s="1"/>
    </row>
    <row r="655" spans="1:7" x14ac:dyDescent="0.25">
      <c r="A655" s="17"/>
      <c r="D655" s="19"/>
      <c r="G655" s="1"/>
    </row>
    <row r="656" spans="1:7" x14ac:dyDescent="0.25">
      <c r="A656" s="43" t="s">
        <v>25</v>
      </c>
      <c r="B656" s="44"/>
      <c r="C656" s="44"/>
      <c r="D656" s="25">
        <f>D629+D642+D646-D654</f>
        <v>833246686.84000015</v>
      </c>
      <c r="G656" s="1"/>
    </row>
    <row r="657" spans="1:7" x14ac:dyDescent="0.25">
      <c r="A657" s="21"/>
      <c r="B657" s="22"/>
      <c r="C657" s="22"/>
      <c r="D657" s="20"/>
      <c r="G657" s="1"/>
    </row>
    <row r="659" spans="1:7" x14ac:dyDescent="0.25">
      <c r="A659" s="40" t="s">
        <v>13</v>
      </c>
      <c r="B659" s="40"/>
      <c r="C659" s="40"/>
      <c r="D659" s="40"/>
      <c r="G659" s="1"/>
    </row>
    <row r="660" spans="1:7" x14ac:dyDescent="0.25">
      <c r="A660" s="41" t="s">
        <v>14</v>
      </c>
      <c r="B660" s="41"/>
      <c r="C660" s="41"/>
      <c r="D660" s="41"/>
      <c r="G660" s="1"/>
    </row>
    <row r="661" spans="1:7" x14ac:dyDescent="0.25">
      <c r="A661" s="42">
        <v>45765</v>
      </c>
      <c r="B661" s="42"/>
      <c r="C661" s="42"/>
      <c r="D661" s="42"/>
      <c r="G661" s="1"/>
    </row>
    <row r="662" spans="1:7" x14ac:dyDescent="0.25">
      <c r="A662" s="13"/>
      <c r="B662" s="13"/>
      <c r="C662" s="13"/>
      <c r="D662" s="13"/>
      <c r="G662" s="1"/>
    </row>
    <row r="663" spans="1:7" x14ac:dyDescent="0.25">
      <c r="A663" s="14"/>
      <c r="B663" s="15"/>
      <c r="C663" s="15"/>
      <c r="D663" s="16"/>
      <c r="F663" s="5" t="s">
        <v>26</v>
      </c>
      <c r="G663" s="1">
        <f>D703-D656</f>
        <v>1919175</v>
      </c>
    </row>
    <row r="664" spans="1:7" x14ac:dyDescent="0.25">
      <c r="A664" s="17"/>
      <c r="D664" s="32" t="s">
        <v>16</v>
      </c>
      <c r="G664" s="1"/>
    </row>
    <row r="665" spans="1:7" x14ac:dyDescent="0.25">
      <c r="A665" s="23" t="s">
        <v>15</v>
      </c>
      <c r="D665" s="18" t="s">
        <v>17</v>
      </c>
      <c r="F665" s="26" t="s">
        <v>27</v>
      </c>
      <c r="G665" s="1"/>
    </row>
    <row r="666" spans="1:7" x14ac:dyDescent="0.25">
      <c r="A666" s="17"/>
      <c r="B666" s="24" t="s">
        <v>18</v>
      </c>
      <c r="D666" s="19"/>
      <c r="F666" s="27" t="s">
        <v>28</v>
      </c>
      <c r="G666" s="1"/>
    </row>
    <row r="667" spans="1:7" x14ac:dyDescent="0.25">
      <c r="A667" s="17"/>
      <c r="C667" s="2" t="s">
        <v>31</v>
      </c>
      <c r="D667" s="19">
        <v>375210238.94</v>
      </c>
      <c r="F667" t="s">
        <v>191</v>
      </c>
      <c r="G667" s="1">
        <v>2025000</v>
      </c>
    </row>
    <row r="668" spans="1:7" x14ac:dyDescent="0.25">
      <c r="A668" s="17"/>
      <c r="C668" s="2" t="s">
        <v>32</v>
      </c>
      <c r="D668" s="19">
        <v>106939453.90000001</v>
      </c>
      <c r="G668" s="30">
        <f>SUM(G667:G667)</f>
        <v>2025000</v>
      </c>
    </row>
    <row r="669" spans="1:7" x14ac:dyDescent="0.25">
      <c r="A669" s="17"/>
      <c r="C669" s="2" t="s">
        <v>33</v>
      </c>
      <c r="D669" s="19">
        <v>-160835286.59999999</v>
      </c>
      <c r="F669" s="28" t="s">
        <v>29</v>
      </c>
      <c r="G669" s="1"/>
    </row>
    <row r="670" spans="1:7" x14ac:dyDescent="0.25">
      <c r="A670" s="17"/>
      <c r="C670" s="2" t="s">
        <v>34</v>
      </c>
      <c r="D670" s="19">
        <v>-76740609</v>
      </c>
      <c r="F670" t="s">
        <v>519</v>
      </c>
      <c r="G670" s="1">
        <v>105825</v>
      </c>
    </row>
    <row r="671" spans="1:7" x14ac:dyDescent="0.25">
      <c r="A671" s="17"/>
      <c r="C671" s="2" t="s">
        <v>35</v>
      </c>
      <c r="D671" s="19">
        <v>1604550</v>
      </c>
      <c r="G671" s="30">
        <f>SUM(G670:G670)</f>
        <v>105825</v>
      </c>
    </row>
    <row r="672" spans="1:7" x14ac:dyDescent="0.25">
      <c r="A672" s="17"/>
      <c r="C672" s="2" t="s">
        <v>36</v>
      </c>
      <c r="D672" s="19">
        <v>82923410.599999994</v>
      </c>
      <c r="G672" s="1"/>
    </row>
    <row r="673" spans="1:7" x14ac:dyDescent="0.25">
      <c r="A673" s="17"/>
      <c r="C673" s="2" t="s">
        <v>37</v>
      </c>
      <c r="D673" s="19">
        <v>7785497</v>
      </c>
      <c r="F673" s="28" t="s">
        <v>30</v>
      </c>
      <c r="G673" s="29">
        <f>G668-G671</f>
        <v>1919175</v>
      </c>
    </row>
    <row r="674" spans="1:7" x14ac:dyDescent="0.25">
      <c r="A674" s="17"/>
      <c r="C674" s="2" t="s">
        <v>51</v>
      </c>
      <c r="D674" s="20">
        <v>130317</v>
      </c>
    </row>
    <row r="675" spans="1:7" x14ac:dyDescent="0.25">
      <c r="A675" s="17"/>
      <c r="B675" s="24" t="s">
        <v>19</v>
      </c>
      <c r="D675" s="19">
        <f>SUM(D667:D674)</f>
        <v>337017571.84000003</v>
      </c>
    </row>
    <row r="676" spans="1:7" x14ac:dyDescent="0.25">
      <c r="A676" s="17"/>
      <c r="D676" s="19"/>
    </row>
    <row r="677" spans="1:7" x14ac:dyDescent="0.25">
      <c r="A677" s="17"/>
      <c r="B677" s="24" t="s">
        <v>20</v>
      </c>
      <c r="D677" s="19"/>
    </row>
    <row r="678" spans="1:7" x14ac:dyDescent="0.25">
      <c r="A678" s="17"/>
      <c r="C678" t="s">
        <v>7</v>
      </c>
      <c r="D678" s="19">
        <v>1664009500</v>
      </c>
    </row>
    <row r="679" spans="1:7" x14ac:dyDescent="0.25">
      <c r="A679" s="17"/>
      <c r="C679" t="s">
        <v>47</v>
      </c>
      <c r="D679" s="19">
        <v>26880000</v>
      </c>
    </row>
    <row r="680" spans="1:7" x14ac:dyDescent="0.25">
      <c r="A680" s="17"/>
      <c r="C680" t="s">
        <v>21</v>
      </c>
      <c r="D680" s="19">
        <v>879464500</v>
      </c>
    </row>
    <row r="681" spans="1:7" x14ac:dyDescent="0.25">
      <c r="A681" s="17"/>
      <c r="C681" t="s">
        <v>45</v>
      </c>
      <c r="D681" s="19">
        <v>25000000</v>
      </c>
    </row>
    <row r="682" spans="1:7" x14ac:dyDescent="0.25">
      <c r="A682" s="17"/>
      <c r="C682" t="s">
        <v>48</v>
      </c>
      <c r="D682" s="19">
        <v>30000000</v>
      </c>
    </row>
    <row r="683" spans="1:7" x14ac:dyDescent="0.25">
      <c r="A683" s="17"/>
      <c r="C683" t="s">
        <v>68</v>
      </c>
      <c r="D683" s="19">
        <v>141000000</v>
      </c>
    </row>
    <row r="684" spans="1:7" x14ac:dyDescent="0.25">
      <c r="A684" s="17"/>
      <c r="C684" t="s">
        <v>68</v>
      </c>
      <c r="D684" s="19">
        <v>145000000</v>
      </c>
    </row>
    <row r="685" spans="1:7" x14ac:dyDescent="0.25">
      <c r="A685" s="17"/>
      <c r="C685" t="s">
        <v>387</v>
      </c>
      <c r="D685" s="19">
        <v>160000000</v>
      </c>
    </row>
    <row r="686" spans="1:7" x14ac:dyDescent="0.25">
      <c r="A686" s="17"/>
      <c r="C686" t="s">
        <v>349</v>
      </c>
      <c r="D686" s="19">
        <v>4100000</v>
      </c>
    </row>
    <row r="687" spans="1:7" x14ac:dyDescent="0.25">
      <c r="A687" s="17"/>
      <c r="C687" t="s">
        <v>518</v>
      </c>
      <c r="D687" s="19">
        <v>100000000</v>
      </c>
    </row>
    <row r="688" spans="1:7" x14ac:dyDescent="0.25">
      <c r="A688" s="17"/>
      <c r="C688" t="s">
        <v>494</v>
      </c>
      <c r="D688" s="20">
        <v>73210000</v>
      </c>
    </row>
    <row r="689" spans="1:7" x14ac:dyDescent="0.25">
      <c r="A689" s="17"/>
      <c r="D689" s="19">
        <f>SUM(D678:D688)</f>
        <v>3248664000</v>
      </c>
      <c r="G689" s="1"/>
    </row>
    <row r="690" spans="1:7" x14ac:dyDescent="0.25">
      <c r="A690" s="17"/>
      <c r="D690" s="19"/>
      <c r="G690" s="1"/>
    </row>
    <row r="691" spans="1:7" x14ac:dyDescent="0.25">
      <c r="A691" s="17"/>
      <c r="B691" s="24" t="s">
        <v>46</v>
      </c>
      <c r="D691" s="19"/>
    </row>
    <row r="692" spans="1:7" x14ac:dyDescent="0.25">
      <c r="A692" s="17"/>
      <c r="C692" t="s">
        <v>510</v>
      </c>
      <c r="D692" s="20">
        <v>111462500</v>
      </c>
    </row>
    <row r="693" spans="1:7" x14ac:dyDescent="0.25">
      <c r="A693" s="17"/>
      <c r="D693" s="19">
        <f>SUM(D692:D692)</f>
        <v>111462500</v>
      </c>
      <c r="G693" s="1"/>
    </row>
    <row r="694" spans="1:7" x14ac:dyDescent="0.25">
      <c r="A694" s="17"/>
      <c r="D694" s="19"/>
      <c r="G694" s="1"/>
    </row>
    <row r="695" spans="1:7" x14ac:dyDescent="0.25">
      <c r="A695" s="23" t="s">
        <v>22</v>
      </c>
      <c r="D695" s="19"/>
      <c r="G695" s="1"/>
    </row>
    <row r="696" spans="1:7" x14ac:dyDescent="0.25">
      <c r="A696" s="17"/>
      <c r="C696" t="s">
        <v>23</v>
      </c>
      <c r="D696" s="19">
        <v>384300000</v>
      </c>
      <c r="G696" s="1"/>
    </row>
    <row r="697" spans="1:7" x14ac:dyDescent="0.25">
      <c r="A697" s="17"/>
      <c r="C697" t="s">
        <v>24</v>
      </c>
      <c r="D697" s="19">
        <v>1792815710</v>
      </c>
      <c r="G697" s="1"/>
    </row>
    <row r="698" spans="1:7" x14ac:dyDescent="0.25">
      <c r="A698" s="17"/>
      <c r="C698" t="s">
        <v>44</v>
      </c>
      <c r="D698" s="19">
        <v>432425000</v>
      </c>
    </row>
    <row r="699" spans="1:7" x14ac:dyDescent="0.25">
      <c r="A699" s="17"/>
      <c r="C699" t="s">
        <v>507</v>
      </c>
      <c r="D699" s="19">
        <v>100337500</v>
      </c>
    </row>
    <row r="700" spans="1:7" x14ac:dyDescent="0.25">
      <c r="A700" s="17"/>
      <c r="C700" t="s">
        <v>111</v>
      </c>
      <c r="D700" s="20">
        <v>152100000</v>
      </c>
    </row>
    <row r="701" spans="1:7" x14ac:dyDescent="0.25">
      <c r="A701" s="17"/>
      <c r="D701" s="19">
        <f>SUM(D696:D700)</f>
        <v>2861978210</v>
      </c>
      <c r="G701" s="1"/>
    </row>
    <row r="702" spans="1:7" x14ac:dyDescent="0.25">
      <c r="A702" s="17"/>
      <c r="D702" s="19"/>
      <c r="G702" s="1"/>
    </row>
    <row r="703" spans="1:7" x14ac:dyDescent="0.25">
      <c r="A703" s="43" t="s">
        <v>25</v>
      </c>
      <c r="B703" s="44"/>
      <c r="C703" s="44"/>
      <c r="D703" s="25">
        <f>D675+D689+D693-D701</f>
        <v>835165861.84000015</v>
      </c>
      <c r="G703" s="1"/>
    </row>
    <row r="704" spans="1:7" x14ac:dyDescent="0.25">
      <c r="A704" s="21"/>
      <c r="B704" s="22"/>
      <c r="C704" s="22"/>
      <c r="D704" s="20"/>
      <c r="G704" s="1"/>
    </row>
    <row r="706" spans="1:7" x14ac:dyDescent="0.25">
      <c r="A706" s="40" t="s">
        <v>13</v>
      </c>
      <c r="B706" s="40"/>
      <c r="C706" s="40"/>
      <c r="D706" s="40"/>
      <c r="G706" s="1"/>
    </row>
    <row r="707" spans="1:7" x14ac:dyDescent="0.25">
      <c r="A707" s="41" t="s">
        <v>14</v>
      </c>
      <c r="B707" s="41"/>
      <c r="C707" s="41"/>
      <c r="D707" s="41"/>
      <c r="G707" s="1"/>
    </row>
    <row r="708" spans="1:7" x14ac:dyDescent="0.25">
      <c r="A708" s="42">
        <v>45766</v>
      </c>
      <c r="B708" s="42"/>
      <c r="C708" s="42"/>
      <c r="D708" s="42"/>
      <c r="G708" s="1"/>
    </row>
    <row r="709" spans="1:7" x14ac:dyDescent="0.25">
      <c r="A709" s="13"/>
      <c r="B709" s="13"/>
      <c r="C709" s="13"/>
      <c r="D709" s="13"/>
      <c r="G709" s="1"/>
    </row>
    <row r="710" spans="1:7" x14ac:dyDescent="0.25">
      <c r="A710" s="14"/>
      <c r="B710" s="15"/>
      <c r="C710" s="15"/>
      <c r="D710" s="16"/>
      <c r="F710" s="5" t="s">
        <v>26</v>
      </c>
      <c r="G710" s="1">
        <f>D751-D703</f>
        <v>26314000</v>
      </c>
    </row>
    <row r="711" spans="1:7" x14ac:dyDescent="0.25">
      <c r="A711" s="17"/>
      <c r="D711" s="32" t="s">
        <v>16</v>
      </c>
      <c r="G711" s="1"/>
    </row>
    <row r="712" spans="1:7" x14ac:dyDescent="0.25">
      <c r="A712" s="23" t="s">
        <v>15</v>
      </c>
      <c r="D712" s="18" t="s">
        <v>17</v>
      </c>
      <c r="F712" s="26" t="s">
        <v>27</v>
      </c>
      <c r="G712" s="1"/>
    </row>
    <row r="713" spans="1:7" x14ac:dyDescent="0.25">
      <c r="A713" s="17"/>
      <c r="B713" s="24" t="s">
        <v>18</v>
      </c>
      <c r="D713" s="19"/>
      <c r="F713" s="27" t="s">
        <v>28</v>
      </c>
      <c r="G713" s="1"/>
    </row>
    <row r="714" spans="1:7" x14ac:dyDescent="0.25">
      <c r="A714" s="17"/>
      <c r="C714" s="2" t="s">
        <v>31</v>
      </c>
      <c r="D714" s="19">
        <v>361772588.94</v>
      </c>
      <c r="F714" t="s">
        <v>336</v>
      </c>
      <c r="G714" s="1">
        <v>27204000</v>
      </c>
    </row>
    <row r="715" spans="1:7" x14ac:dyDescent="0.25">
      <c r="A715" s="17"/>
      <c r="C715" s="2" t="s">
        <v>32</v>
      </c>
      <c r="D715" s="19">
        <v>112859453.90000001</v>
      </c>
      <c r="G715" s="30">
        <f>SUM(G714:G714)</f>
        <v>27204000</v>
      </c>
    </row>
    <row r="716" spans="1:7" x14ac:dyDescent="0.25">
      <c r="A716" s="17"/>
      <c r="C716" s="2" t="s">
        <v>33</v>
      </c>
      <c r="D716" s="19">
        <v>-659263636.60000002</v>
      </c>
      <c r="F716" s="28" t="s">
        <v>29</v>
      </c>
      <c r="G716" s="1"/>
    </row>
    <row r="717" spans="1:7" x14ac:dyDescent="0.25">
      <c r="A717" s="17"/>
      <c r="C717" s="2" t="s">
        <v>34</v>
      </c>
      <c r="D717" s="19">
        <v>6446891</v>
      </c>
      <c r="F717" t="s">
        <v>429</v>
      </c>
      <c r="G717" s="1">
        <v>40000</v>
      </c>
    </row>
    <row r="718" spans="1:7" x14ac:dyDescent="0.25">
      <c r="A718" s="17"/>
      <c r="C718" s="2" t="s">
        <v>35</v>
      </c>
      <c r="D718" s="19">
        <v>1604550</v>
      </c>
      <c r="F718" t="s">
        <v>520</v>
      </c>
      <c r="G718" s="1">
        <v>850000</v>
      </c>
    </row>
    <row r="719" spans="1:7" x14ac:dyDescent="0.25">
      <c r="A719" s="17"/>
      <c r="C719" s="2" t="s">
        <v>36</v>
      </c>
      <c r="D719" s="19">
        <v>82923410.599999994</v>
      </c>
      <c r="G719" s="30">
        <f>SUM(G717:G718)</f>
        <v>890000</v>
      </c>
    </row>
    <row r="720" spans="1:7" x14ac:dyDescent="0.25">
      <c r="A720" s="17"/>
      <c r="C720" s="2" t="s">
        <v>37</v>
      </c>
      <c r="D720" s="19">
        <v>257555497</v>
      </c>
      <c r="G720" s="1"/>
    </row>
    <row r="721" spans="1:7" x14ac:dyDescent="0.25">
      <c r="A721" s="17"/>
      <c r="C721" s="2" t="s">
        <v>51</v>
      </c>
      <c r="D721" s="20">
        <v>130317</v>
      </c>
      <c r="F721" s="28" t="s">
        <v>30</v>
      </c>
      <c r="G721" s="29">
        <f>G715-G719</f>
        <v>26314000</v>
      </c>
    </row>
    <row r="722" spans="1:7" x14ac:dyDescent="0.25">
      <c r="A722" s="17"/>
      <c r="B722" s="24" t="s">
        <v>19</v>
      </c>
      <c r="D722" s="19">
        <f>SUM(D714:D721)</f>
        <v>164029071.84</v>
      </c>
    </row>
    <row r="723" spans="1:7" x14ac:dyDescent="0.25">
      <c r="A723" s="17"/>
      <c r="D723" s="19"/>
    </row>
    <row r="724" spans="1:7" x14ac:dyDescent="0.25">
      <c r="A724" s="17"/>
      <c r="B724" s="24" t="s">
        <v>20</v>
      </c>
      <c r="D724" s="19"/>
    </row>
    <row r="725" spans="1:7" x14ac:dyDescent="0.25">
      <c r="A725" s="17"/>
      <c r="C725" t="s">
        <v>7</v>
      </c>
      <c r="D725" s="19">
        <v>1617272000</v>
      </c>
    </row>
    <row r="726" spans="1:7" x14ac:dyDescent="0.25">
      <c r="A726" s="17"/>
      <c r="C726" t="s">
        <v>47</v>
      </c>
      <c r="D726" s="19">
        <v>20940000</v>
      </c>
    </row>
    <row r="727" spans="1:7" x14ac:dyDescent="0.25">
      <c r="A727" s="17"/>
      <c r="C727" t="s">
        <v>21</v>
      </c>
      <c r="D727" s="19">
        <v>906614500</v>
      </c>
    </row>
    <row r="728" spans="1:7" x14ac:dyDescent="0.25">
      <c r="A728" s="17"/>
      <c r="C728" t="s">
        <v>45</v>
      </c>
      <c r="D728" s="19">
        <v>25000000</v>
      </c>
    </row>
    <row r="729" spans="1:7" x14ac:dyDescent="0.25">
      <c r="A729" s="17"/>
      <c r="C729" t="s">
        <v>48</v>
      </c>
      <c r="D729" s="19">
        <v>30000000</v>
      </c>
    </row>
    <row r="730" spans="1:7" x14ac:dyDescent="0.25">
      <c r="A730" s="17"/>
      <c r="C730" t="s">
        <v>68</v>
      </c>
      <c r="D730" s="19">
        <v>141000000</v>
      </c>
    </row>
    <row r="731" spans="1:7" x14ac:dyDescent="0.25">
      <c r="A731" s="17"/>
      <c r="C731" t="s">
        <v>68</v>
      </c>
      <c r="D731" s="19">
        <v>145000000</v>
      </c>
    </row>
    <row r="732" spans="1:7" x14ac:dyDescent="0.25">
      <c r="A732" s="17"/>
      <c r="C732" t="s">
        <v>387</v>
      </c>
      <c r="D732" s="19">
        <v>160000000</v>
      </c>
    </row>
    <row r="733" spans="1:7" x14ac:dyDescent="0.25">
      <c r="A733" s="17"/>
      <c r="C733" t="s">
        <v>349</v>
      </c>
      <c r="D733" s="19">
        <v>4100000</v>
      </c>
    </row>
    <row r="734" spans="1:7" x14ac:dyDescent="0.25">
      <c r="A734" s="17"/>
      <c r="C734" t="s">
        <v>518</v>
      </c>
      <c r="D734" s="19">
        <v>100000000</v>
      </c>
    </row>
    <row r="735" spans="1:7" x14ac:dyDescent="0.25">
      <c r="A735" s="17"/>
      <c r="C735" t="s">
        <v>521</v>
      </c>
      <c r="D735" s="19">
        <v>19000000</v>
      </c>
    </row>
    <row r="736" spans="1:7" x14ac:dyDescent="0.25">
      <c r="A736" s="17"/>
      <c r="C736" t="s">
        <v>494</v>
      </c>
      <c r="D736" s="20">
        <v>73210000</v>
      </c>
    </row>
    <row r="737" spans="1:7" x14ac:dyDescent="0.25">
      <c r="A737" s="17"/>
      <c r="D737" s="19">
        <f>SUM(D725:D736)</f>
        <v>3242136500</v>
      </c>
      <c r="G737" s="1"/>
    </row>
    <row r="738" spans="1:7" x14ac:dyDescent="0.25">
      <c r="A738" s="17"/>
      <c r="D738" s="19"/>
      <c r="G738" s="1"/>
    </row>
    <row r="739" spans="1:7" x14ac:dyDescent="0.25">
      <c r="A739" s="17"/>
      <c r="B739" s="24" t="s">
        <v>46</v>
      </c>
      <c r="D739" s="19"/>
    </row>
    <row r="740" spans="1:7" x14ac:dyDescent="0.25">
      <c r="A740" s="17"/>
      <c r="C740" t="s">
        <v>510</v>
      </c>
      <c r="D740" s="20">
        <v>111462500</v>
      </c>
    </row>
    <row r="741" spans="1:7" x14ac:dyDescent="0.25">
      <c r="A741" s="17"/>
      <c r="D741" s="19">
        <f>SUM(D740:D740)</f>
        <v>111462500</v>
      </c>
      <c r="G741" s="1"/>
    </row>
    <row r="742" spans="1:7" x14ac:dyDescent="0.25">
      <c r="A742" s="17"/>
      <c r="D742" s="19"/>
      <c r="G742" s="1"/>
    </row>
    <row r="743" spans="1:7" x14ac:dyDescent="0.25">
      <c r="A743" s="23" t="s">
        <v>22</v>
      </c>
      <c r="D743" s="19"/>
      <c r="G743" s="1"/>
    </row>
    <row r="744" spans="1:7" x14ac:dyDescent="0.25">
      <c r="A744" s="17"/>
      <c r="C744" t="s">
        <v>23</v>
      </c>
      <c r="D744" s="19">
        <v>384300000</v>
      </c>
      <c r="G744" s="1"/>
    </row>
    <row r="745" spans="1:7" x14ac:dyDescent="0.25">
      <c r="A745" s="17"/>
      <c r="C745" t="s">
        <v>24</v>
      </c>
      <c r="D745" s="19">
        <v>1510935710</v>
      </c>
      <c r="G745" s="1"/>
    </row>
    <row r="746" spans="1:7" x14ac:dyDescent="0.25">
      <c r="A746" s="17"/>
      <c r="C746" t="s">
        <v>44</v>
      </c>
      <c r="D746" s="19">
        <v>432425000</v>
      </c>
    </row>
    <row r="747" spans="1:7" x14ac:dyDescent="0.25">
      <c r="A747" s="17"/>
      <c r="C747" t="s">
        <v>507</v>
      </c>
      <c r="D747" s="19">
        <v>100337500</v>
      </c>
    </row>
    <row r="748" spans="1:7" x14ac:dyDescent="0.25">
      <c r="A748" s="17"/>
      <c r="C748" t="s">
        <v>111</v>
      </c>
      <c r="D748" s="20">
        <v>228150000</v>
      </c>
    </row>
    <row r="749" spans="1:7" x14ac:dyDescent="0.25">
      <c r="A749" s="17"/>
      <c r="D749" s="19">
        <f>SUM(D744:D748)</f>
        <v>2656148210</v>
      </c>
      <c r="G749" s="1"/>
    </row>
    <row r="750" spans="1:7" x14ac:dyDescent="0.25">
      <c r="A750" s="17"/>
      <c r="D750" s="19"/>
      <c r="G750" s="1"/>
    </row>
    <row r="751" spans="1:7" x14ac:dyDescent="0.25">
      <c r="A751" s="43" t="s">
        <v>25</v>
      </c>
      <c r="B751" s="44"/>
      <c r="C751" s="44"/>
      <c r="D751" s="25">
        <f>D722+D737+D741-D749</f>
        <v>861479861.84000015</v>
      </c>
      <c r="G751" s="1"/>
    </row>
    <row r="752" spans="1:7" x14ac:dyDescent="0.25">
      <c r="A752" s="21"/>
      <c r="B752" s="22"/>
      <c r="C752" s="22"/>
      <c r="D752" s="20"/>
      <c r="G752" s="1"/>
    </row>
    <row r="754" spans="1:7" x14ac:dyDescent="0.25">
      <c r="A754" s="40" t="s">
        <v>13</v>
      </c>
      <c r="B754" s="40"/>
      <c r="C754" s="40"/>
      <c r="D754" s="40"/>
      <c r="G754" s="1"/>
    </row>
    <row r="755" spans="1:7" x14ac:dyDescent="0.25">
      <c r="A755" s="41" t="s">
        <v>14</v>
      </c>
      <c r="B755" s="41"/>
      <c r="C755" s="41"/>
      <c r="D755" s="41"/>
      <c r="G755" s="1"/>
    </row>
    <row r="756" spans="1:7" x14ac:dyDescent="0.25">
      <c r="A756" s="42">
        <v>45768</v>
      </c>
      <c r="B756" s="42"/>
      <c r="C756" s="42"/>
      <c r="D756" s="42"/>
      <c r="G756" s="1"/>
    </row>
    <row r="757" spans="1:7" x14ac:dyDescent="0.25">
      <c r="A757" s="13"/>
      <c r="B757" s="13"/>
      <c r="C757" s="13"/>
      <c r="D757" s="13"/>
      <c r="G757" s="1"/>
    </row>
    <row r="758" spans="1:7" x14ac:dyDescent="0.25">
      <c r="A758" s="14"/>
      <c r="B758" s="15"/>
      <c r="C758" s="15"/>
      <c r="D758" s="16"/>
      <c r="F758" s="5" t="s">
        <v>26</v>
      </c>
      <c r="G758" s="1">
        <f>D799-D751</f>
        <v>26967123</v>
      </c>
    </row>
    <row r="759" spans="1:7" x14ac:dyDescent="0.25">
      <c r="A759" s="17"/>
      <c r="D759" s="32" t="s">
        <v>16</v>
      </c>
      <c r="G759" s="1"/>
    </row>
    <row r="760" spans="1:7" x14ac:dyDescent="0.25">
      <c r="A760" s="23" t="s">
        <v>15</v>
      </c>
      <c r="D760" s="18" t="s">
        <v>17</v>
      </c>
      <c r="F760" s="26" t="s">
        <v>27</v>
      </c>
      <c r="G760" s="1"/>
    </row>
    <row r="761" spans="1:7" x14ac:dyDescent="0.25">
      <c r="A761" s="17"/>
      <c r="B761" s="24" t="s">
        <v>18</v>
      </c>
      <c r="D761" s="19"/>
      <c r="F761" s="27" t="s">
        <v>28</v>
      </c>
      <c r="G761" s="1"/>
    </row>
    <row r="762" spans="1:7" x14ac:dyDescent="0.25">
      <c r="A762" s="17"/>
      <c r="C762" s="2" t="s">
        <v>31</v>
      </c>
      <c r="D762" s="19">
        <v>106772588.94</v>
      </c>
      <c r="F762" t="s">
        <v>204</v>
      </c>
      <c r="G762" s="1">
        <v>25867000</v>
      </c>
    </row>
    <row r="763" spans="1:7" x14ac:dyDescent="0.25">
      <c r="A763" s="17"/>
      <c r="C763" s="2" t="s">
        <v>32</v>
      </c>
      <c r="D763" s="19">
        <v>112859453.90000001</v>
      </c>
      <c r="F763" t="s">
        <v>90</v>
      </c>
      <c r="G763" s="1">
        <v>922500</v>
      </c>
    </row>
    <row r="764" spans="1:7" x14ac:dyDescent="0.25">
      <c r="A764" s="17"/>
      <c r="C764" s="2" t="s">
        <v>33</v>
      </c>
      <c r="D764" s="19">
        <v>22788863.399999999</v>
      </c>
      <c r="F764" t="s">
        <v>343</v>
      </c>
      <c r="G764" s="1">
        <v>2152029</v>
      </c>
    </row>
    <row r="765" spans="1:7" x14ac:dyDescent="0.25">
      <c r="A765" s="17"/>
      <c r="C765" s="2" t="s">
        <v>34</v>
      </c>
      <c r="D765" s="19">
        <v>-71703109</v>
      </c>
      <c r="G765" s="30">
        <f>SUM(G762:G764)</f>
        <v>28941529</v>
      </c>
    </row>
    <row r="766" spans="1:7" x14ac:dyDescent="0.25">
      <c r="A766" s="17"/>
      <c r="C766" s="2" t="s">
        <v>35</v>
      </c>
      <c r="D766" s="19">
        <v>1604550</v>
      </c>
      <c r="F766" s="28" t="s">
        <v>29</v>
      </c>
      <c r="G766" s="1"/>
    </row>
    <row r="767" spans="1:7" x14ac:dyDescent="0.25">
      <c r="A767" s="17"/>
      <c r="C767" s="2" t="s">
        <v>36</v>
      </c>
      <c r="D767" s="19">
        <v>82923410.599999994</v>
      </c>
      <c r="F767" t="s">
        <v>522</v>
      </c>
      <c r="G767" s="1">
        <v>1500000</v>
      </c>
    </row>
    <row r="768" spans="1:7" x14ac:dyDescent="0.25">
      <c r="A768" s="17"/>
      <c r="C768" s="2" t="s">
        <v>37</v>
      </c>
      <c r="D768" s="19">
        <v>106522120</v>
      </c>
      <c r="F768" t="s">
        <v>523</v>
      </c>
      <c r="G768" s="1">
        <v>14000</v>
      </c>
    </row>
    <row r="769" spans="1:7" x14ac:dyDescent="0.25">
      <c r="A769" s="17"/>
      <c r="C769" s="2" t="s">
        <v>51</v>
      </c>
      <c r="D769" s="20">
        <v>130317</v>
      </c>
      <c r="F769" t="s">
        <v>99</v>
      </c>
      <c r="G769" s="1">
        <v>30000</v>
      </c>
    </row>
    <row r="770" spans="1:7" x14ac:dyDescent="0.25">
      <c r="A770" s="17"/>
      <c r="B770" s="24" t="s">
        <v>19</v>
      </c>
      <c r="D770" s="19">
        <f>SUM(D762:D769)</f>
        <v>361898194.84000003</v>
      </c>
      <c r="F770" t="s">
        <v>344</v>
      </c>
      <c r="G770" s="1">
        <v>430406</v>
      </c>
    </row>
    <row r="771" spans="1:7" x14ac:dyDescent="0.25">
      <c r="A771" s="17"/>
      <c r="D771" s="19"/>
      <c r="G771" s="30">
        <f>SUM(G767:G770)</f>
        <v>1974406</v>
      </c>
    </row>
    <row r="772" spans="1:7" x14ac:dyDescent="0.25">
      <c r="A772" s="17"/>
      <c r="B772" s="24" t="s">
        <v>20</v>
      </c>
      <c r="D772" s="19"/>
      <c r="G772" s="1"/>
    </row>
    <row r="773" spans="1:7" x14ac:dyDescent="0.25">
      <c r="A773" s="17"/>
      <c r="C773" t="s">
        <v>7</v>
      </c>
      <c r="D773" s="19">
        <v>1940172000</v>
      </c>
      <c r="F773" s="28" t="s">
        <v>30</v>
      </c>
      <c r="G773" s="29">
        <f>G765-G771</f>
        <v>26967123</v>
      </c>
    </row>
    <row r="774" spans="1:7" x14ac:dyDescent="0.25">
      <c r="A774" s="17"/>
      <c r="C774" t="s">
        <v>47</v>
      </c>
      <c r="D774" s="19">
        <v>34515000</v>
      </c>
    </row>
    <row r="775" spans="1:7" x14ac:dyDescent="0.25">
      <c r="A775" s="17"/>
      <c r="C775" t="s">
        <v>21</v>
      </c>
      <c r="D775" s="19">
        <v>705525500</v>
      </c>
    </row>
    <row r="776" spans="1:7" x14ac:dyDescent="0.25">
      <c r="A776" s="17"/>
      <c r="C776" t="s">
        <v>45</v>
      </c>
      <c r="D776" s="19">
        <v>25000000</v>
      </c>
    </row>
    <row r="777" spans="1:7" x14ac:dyDescent="0.25">
      <c r="A777" s="17"/>
      <c r="C777" t="s">
        <v>48</v>
      </c>
      <c r="D777" s="19">
        <v>30000000</v>
      </c>
    </row>
    <row r="778" spans="1:7" x14ac:dyDescent="0.25">
      <c r="A778" s="17"/>
      <c r="C778" t="s">
        <v>68</v>
      </c>
      <c r="D778" s="19">
        <v>141000000</v>
      </c>
    </row>
    <row r="779" spans="1:7" x14ac:dyDescent="0.25">
      <c r="A779" s="17"/>
      <c r="C779" t="s">
        <v>68</v>
      </c>
      <c r="D779" s="19">
        <v>145000000</v>
      </c>
    </row>
    <row r="780" spans="1:7" x14ac:dyDescent="0.25">
      <c r="A780" s="17"/>
      <c r="C780" t="s">
        <v>387</v>
      </c>
      <c r="D780" s="19">
        <v>160000000</v>
      </c>
    </row>
    <row r="781" spans="1:7" x14ac:dyDescent="0.25">
      <c r="A781" s="17"/>
      <c r="C781" t="s">
        <v>349</v>
      </c>
      <c r="D781" s="19">
        <v>435000</v>
      </c>
    </row>
    <row r="782" spans="1:7" x14ac:dyDescent="0.25">
      <c r="A782" s="17"/>
      <c r="C782" t="s">
        <v>524</v>
      </c>
      <c r="D782" s="19">
        <v>90000000</v>
      </c>
    </row>
    <row r="783" spans="1:7" x14ac:dyDescent="0.25">
      <c r="A783" s="17"/>
      <c r="C783" t="s">
        <v>494</v>
      </c>
      <c r="D783" s="20">
        <v>710000</v>
      </c>
    </row>
    <row r="784" spans="1:7" x14ac:dyDescent="0.25">
      <c r="A784" s="17"/>
      <c r="D784" s="19">
        <f>SUM(D773:D783)</f>
        <v>3272357500</v>
      </c>
      <c r="G784" s="1"/>
    </row>
    <row r="785" spans="1:7" x14ac:dyDescent="0.25">
      <c r="A785" s="17"/>
      <c r="D785" s="19"/>
      <c r="G785" s="1"/>
    </row>
    <row r="786" spans="1:7" x14ac:dyDescent="0.25">
      <c r="A786" s="17"/>
      <c r="B786" s="24" t="s">
        <v>46</v>
      </c>
      <c r="D786" s="19"/>
    </row>
    <row r="787" spans="1:7" x14ac:dyDescent="0.25">
      <c r="A787" s="17"/>
      <c r="C787" t="s">
        <v>527</v>
      </c>
      <c r="D787" s="19">
        <v>95797500</v>
      </c>
    </row>
    <row r="788" spans="1:7" x14ac:dyDescent="0.25">
      <c r="A788" s="17"/>
      <c r="C788" t="s">
        <v>266</v>
      </c>
      <c r="D788" s="20">
        <v>3012500</v>
      </c>
    </row>
    <row r="789" spans="1:7" x14ac:dyDescent="0.25">
      <c r="A789" s="17"/>
      <c r="D789" s="19">
        <f>SUM(D787:D788)</f>
        <v>98810000</v>
      </c>
      <c r="G789" s="1"/>
    </row>
    <row r="790" spans="1:7" x14ac:dyDescent="0.25">
      <c r="A790" s="17"/>
      <c r="D790" s="19"/>
      <c r="G790" s="1"/>
    </row>
    <row r="791" spans="1:7" x14ac:dyDescent="0.25">
      <c r="A791" s="23" t="s">
        <v>22</v>
      </c>
      <c r="D791" s="19"/>
      <c r="G791" s="1"/>
    </row>
    <row r="792" spans="1:7" x14ac:dyDescent="0.25">
      <c r="A792" s="17"/>
      <c r="C792" t="s">
        <v>23</v>
      </c>
      <c r="D792" s="19">
        <v>462600000</v>
      </c>
      <c r="G792" s="1"/>
    </row>
    <row r="793" spans="1:7" x14ac:dyDescent="0.25">
      <c r="A793" s="17"/>
      <c r="C793" t="s">
        <v>24</v>
      </c>
      <c r="D793" s="19">
        <v>1681593710</v>
      </c>
      <c r="G793" s="1"/>
    </row>
    <row r="794" spans="1:7" x14ac:dyDescent="0.25">
      <c r="A794" s="17"/>
      <c r="C794" t="s">
        <v>44</v>
      </c>
      <c r="D794" s="19">
        <v>432425000</v>
      </c>
    </row>
    <row r="795" spans="1:7" x14ac:dyDescent="0.25">
      <c r="A795" s="17"/>
      <c r="C795" t="s">
        <v>507</v>
      </c>
      <c r="D795" s="19">
        <v>191950000</v>
      </c>
    </row>
    <row r="796" spans="1:7" x14ac:dyDescent="0.25">
      <c r="A796" s="17"/>
      <c r="C796" t="s">
        <v>111</v>
      </c>
      <c r="D796" s="20">
        <v>76050000</v>
      </c>
    </row>
    <row r="797" spans="1:7" x14ac:dyDescent="0.25">
      <c r="A797" s="17"/>
      <c r="D797" s="19">
        <f>SUM(D792:D796)</f>
        <v>2844618710</v>
      </c>
      <c r="G797" s="1"/>
    </row>
    <row r="798" spans="1:7" x14ac:dyDescent="0.25">
      <c r="A798" s="17"/>
      <c r="D798" s="19"/>
      <c r="G798" s="1"/>
    </row>
    <row r="799" spans="1:7" x14ac:dyDescent="0.25">
      <c r="A799" s="43" t="s">
        <v>25</v>
      </c>
      <c r="B799" s="44"/>
      <c r="C799" s="44"/>
      <c r="D799" s="25">
        <f>D770+D784+D789-D797</f>
        <v>888446984.84000015</v>
      </c>
      <c r="G799" s="1"/>
    </row>
    <row r="800" spans="1:7" x14ac:dyDescent="0.25">
      <c r="A800" s="21"/>
      <c r="B800" s="22"/>
      <c r="C800" s="22"/>
      <c r="D800" s="20"/>
      <c r="G800" s="1"/>
    </row>
    <row r="802" spans="1:7" x14ac:dyDescent="0.25">
      <c r="A802" s="40" t="s">
        <v>13</v>
      </c>
      <c r="B802" s="40"/>
      <c r="C802" s="40"/>
      <c r="D802" s="40"/>
      <c r="G802" s="1"/>
    </row>
    <row r="803" spans="1:7" x14ac:dyDescent="0.25">
      <c r="A803" s="41" t="s">
        <v>14</v>
      </c>
      <c r="B803" s="41"/>
      <c r="C803" s="41"/>
      <c r="D803" s="41"/>
      <c r="G803" s="1"/>
    </row>
    <row r="804" spans="1:7" x14ac:dyDescent="0.25">
      <c r="A804" s="42">
        <v>45769</v>
      </c>
      <c r="B804" s="42"/>
      <c r="C804" s="42"/>
      <c r="D804" s="42"/>
      <c r="G804" s="1"/>
    </row>
    <row r="805" spans="1:7" x14ac:dyDescent="0.25">
      <c r="A805" s="13"/>
      <c r="B805" s="13"/>
      <c r="C805" s="13"/>
      <c r="D805" s="13"/>
      <c r="G805" s="1"/>
    </row>
    <row r="806" spans="1:7" x14ac:dyDescent="0.25">
      <c r="A806" s="14"/>
      <c r="B806" s="15"/>
      <c r="C806" s="15"/>
      <c r="D806" s="16"/>
      <c r="F806" s="5" t="s">
        <v>26</v>
      </c>
      <c r="G806" s="1">
        <f>D846-D799</f>
        <v>19481000</v>
      </c>
    </row>
    <row r="807" spans="1:7" x14ac:dyDescent="0.25">
      <c r="A807" s="17"/>
      <c r="D807" s="32" t="s">
        <v>16</v>
      </c>
      <c r="G807" s="1"/>
    </row>
    <row r="808" spans="1:7" x14ac:dyDescent="0.25">
      <c r="A808" s="23" t="s">
        <v>15</v>
      </c>
      <c r="D808" s="18" t="s">
        <v>17</v>
      </c>
      <c r="F808" s="26" t="s">
        <v>27</v>
      </c>
      <c r="G808" s="1"/>
    </row>
    <row r="809" spans="1:7" x14ac:dyDescent="0.25">
      <c r="A809" s="17"/>
      <c r="B809" s="24" t="s">
        <v>18</v>
      </c>
      <c r="D809" s="19"/>
      <c r="F809" s="27" t="s">
        <v>28</v>
      </c>
      <c r="G809" s="1"/>
    </row>
    <row r="810" spans="1:7" x14ac:dyDescent="0.25">
      <c r="A810" s="17"/>
      <c r="C810" s="2" t="s">
        <v>31</v>
      </c>
      <c r="D810" s="19">
        <v>237722588.94</v>
      </c>
      <c r="F810" t="s">
        <v>216</v>
      </c>
      <c r="G810" s="1">
        <v>31541000</v>
      </c>
    </row>
    <row r="811" spans="1:7" x14ac:dyDescent="0.25">
      <c r="A811" s="17"/>
      <c r="C811" s="2" t="s">
        <v>32</v>
      </c>
      <c r="D811" s="19">
        <v>120059453.90000001</v>
      </c>
      <c r="F811" t="s">
        <v>90</v>
      </c>
      <c r="G811" s="1">
        <v>190000</v>
      </c>
    </row>
    <row r="812" spans="1:7" x14ac:dyDescent="0.25">
      <c r="A812" s="17"/>
      <c r="C812" s="2" t="s">
        <v>33</v>
      </c>
      <c r="D812" s="19">
        <v>-600066136.60000002</v>
      </c>
      <c r="G812" s="30">
        <f>SUM(G810:G811)</f>
        <v>31731000</v>
      </c>
    </row>
    <row r="813" spans="1:7" x14ac:dyDescent="0.25">
      <c r="A813" s="17"/>
      <c r="C813" s="2" t="s">
        <v>34</v>
      </c>
      <c r="D813" s="19">
        <v>-83003109</v>
      </c>
      <c r="F813" s="28" t="s">
        <v>29</v>
      </c>
      <c r="G813" s="1"/>
    </row>
    <row r="814" spans="1:7" x14ac:dyDescent="0.25">
      <c r="A814" s="17"/>
      <c r="C814" s="2" t="s">
        <v>35</v>
      </c>
      <c r="D814" s="19">
        <v>1604550</v>
      </c>
      <c r="F814" t="s">
        <v>166</v>
      </c>
      <c r="G814" s="1">
        <v>2250000</v>
      </c>
    </row>
    <row r="815" spans="1:7" x14ac:dyDescent="0.25">
      <c r="A815" s="17"/>
      <c r="C815" s="2" t="s">
        <v>36</v>
      </c>
      <c r="D815" s="19">
        <v>256923410.59999999</v>
      </c>
      <c r="F815" t="s">
        <v>112</v>
      </c>
      <c r="G815" s="1">
        <v>10000000</v>
      </c>
    </row>
    <row r="816" spans="1:7" x14ac:dyDescent="0.25">
      <c r="A816" s="17"/>
      <c r="C816" s="2" t="s">
        <v>37</v>
      </c>
      <c r="D816" s="19">
        <v>298372120</v>
      </c>
      <c r="G816" s="30">
        <f>SUM(G814:G815)</f>
        <v>12250000</v>
      </c>
    </row>
    <row r="817" spans="1:7" x14ac:dyDescent="0.25">
      <c r="A817" s="17"/>
      <c r="C817" s="2" t="s">
        <v>51</v>
      </c>
      <c r="D817" s="20">
        <v>130317</v>
      </c>
      <c r="G817" s="1"/>
    </row>
    <row r="818" spans="1:7" x14ac:dyDescent="0.25">
      <c r="A818" s="17"/>
      <c r="B818" s="24" t="s">
        <v>19</v>
      </c>
      <c r="D818" s="19">
        <f>SUM(D810:D817)</f>
        <v>231743194.84</v>
      </c>
      <c r="F818" s="28" t="s">
        <v>30</v>
      </c>
      <c r="G818" s="29">
        <f>G812-G816</f>
        <v>19481000</v>
      </c>
    </row>
    <row r="819" spans="1:7" x14ac:dyDescent="0.25">
      <c r="A819" s="17"/>
      <c r="D819" s="19"/>
    </row>
    <row r="820" spans="1:7" x14ac:dyDescent="0.25">
      <c r="A820" s="17"/>
      <c r="B820" s="24" t="s">
        <v>20</v>
      </c>
      <c r="D820" s="19"/>
    </row>
    <row r="821" spans="1:7" x14ac:dyDescent="0.25">
      <c r="A821" s="17"/>
      <c r="C821" t="s">
        <v>7</v>
      </c>
      <c r="D821" s="19">
        <v>1893462000</v>
      </c>
    </row>
    <row r="822" spans="1:7" x14ac:dyDescent="0.25">
      <c r="A822" s="17"/>
      <c r="C822" t="s">
        <v>47</v>
      </c>
      <c r="D822" s="19">
        <v>29915000</v>
      </c>
    </row>
    <row r="823" spans="1:7" x14ac:dyDescent="0.25">
      <c r="A823" s="17"/>
      <c r="C823" t="s">
        <v>21</v>
      </c>
      <c r="D823" s="19">
        <v>822275500</v>
      </c>
    </row>
    <row r="824" spans="1:7" x14ac:dyDescent="0.25">
      <c r="A824" s="17"/>
      <c r="C824" t="s">
        <v>45</v>
      </c>
      <c r="D824" s="19">
        <v>25000000</v>
      </c>
    </row>
    <row r="825" spans="1:7" x14ac:dyDescent="0.25">
      <c r="A825" s="17"/>
      <c r="C825" t="s">
        <v>48</v>
      </c>
      <c r="D825" s="19">
        <v>30000000</v>
      </c>
    </row>
    <row r="826" spans="1:7" x14ac:dyDescent="0.25">
      <c r="A826" s="17"/>
      <c r="C826" t="s">
        <v>68</v>
      </c>
      <c r="D826" s="19">
        <v>141000000</v>
      </c>
    </row>
    <row r="827" spans="1:7" x14ac:dyDescent="0.25">
      <c r="A827" s="17"/>
      <c r="C827" t="s">
        <v>68</v>
      </c>
      <c r="D827" s="19">
        <v>145000000</v>
      </c>
    </row>
    <row r="828" spans="1:7" x14ac:dyDescent="0.25">
      <c r="A828" s="17"/>
      <c r="C828" t="s">
        <v>387</v>
      </c>
      <c r="D828" s="19">
        <v>160000000</v>
      </c>
    </row>
    <row r="829" spans="1:7" x14ac:dyDescent="0.25">
      <c r="A829" s="17"/>
      <c r="C829" t="s">
        <v>494</v>
      </c>
      <c r="D829" s="20">
        <v>710000</v>
      </c>
    </row>
    <row r="830" spans="1:7" x14ac:dyDescent="0.25">
      <c r="A830" s="17"/>
      <c r="D830" s="19">
        <f>SUM(D821:D829)</f>
        <v>3247362500</v>
      </c>
      <c r="G830" s="1"/>
    </row>
    <row r="831" spans="1:7" x14ac:dyDescent="0.25">
      <c r="A831" s="17"/>
      <c r="D831" s="19"/>
      <c r="G831" s="1"/>
    </row>
    <row r="832" spans="1:7" x14ac:dyDescent="0.25">
      <c r="A832" s="17"/>
      <c r="B832" s="24" t="s">
        <v>46</v>
      </c>
      <c r="D832" s="19"/>
      <c r="G832" s="1"/>
    </row>
    <row r="833" spans="1:7" x14ac:dyDescent="0.25">
      <c r="A833" s="17"/>
      <c r="C833" t="s">
        <v>526</v>
      </c>
      <c r="D833" s="19">
        <v>90977500</v>
      </c>
      <c r="G833" s="1"/>
    </row>
    <row r="834" spans="1:7" x14ac:dyDescent="0.25">
      <c r="A834" s="17"/>
      <c r="C834" t="s">
        <v>323</v>
      </c>
      <c r="D834" s="19">
        <v>2410000</v>
      </c>
      <c r="G834" s="1"/>
    </row>
    <row r="835" spans="1:7" x14ac:dyDescent="0.25">
      <c r="A835" s="17"/>
      <c r="C835" t="s">
        <v>266</v>
      </c>
      <c r="D835" s="20">
        <v>3012500</v>
      </c>
      <c r="G835" s="1"/>
    </row>
    <row r="836" spans="1:7" x14ac:dyDescent="0.25">
      <c r="A836" s="17"/>
      <c r="D836" s="19">
        <f>SUM(D833:D835)</f>
        <v>96400000</v>
      </c>
      <c r="G836" s="1"/>
    </row>
    <row r="837" spans="1:7" x14ac:dyDescent="0.25">
      <c r="A837" s="17"/>
      <c r="D837" s="19"/>
      <c r="G837" s="1"/>
    </row>
    <row r="838" spans="1:7" x14ac:dyDescent="0.25">
      <c r="A838" s="23" t="s">
        <v>22</v>
      </c>
      <c r="D838" s="19"/>
      <c r="G838" s="1"/>
    </row>
    <row r="839" spans="1:7" x14ac:dyDescent="0.25">
      <c r="A839" s="17"/>
      <c r="C839" t="s">
        <v>23</v>
      </c>
      <c r="D839" s="19">
        <v>490350000</v>
      </c>
      <c r="G839" s="1"/>
    </row>
    <row r="840" spans="1:7" x14ac:dyDescent="0.25">
      <c r="A840" s="17"/>
      <c r="C840" t="s">
        <v>24</v>
      </c>
      <c r="D840" s="19">
        <v>1789377710</v>
      </c>
      <c r="G840" s="1"/>
    </row>
    <row r="841" spans="1:7" x14ac:dyDescent="0.25">
      <c r="A841" s="17"/>
      <c r="C841" t="s">
        <v>44</v>
      </c>
      <c r="D841" s="19">
        <v>67500000</v>
      </c>
      <c r="G841" s="1"/>
    </row>
    <row r="842" spans="1:7" x14ac:dyDescent="0.25">
      <c r="A842" s="17"/>
      <c r="C842" t="s">
        <v>507</v>
      </c>
      <c r="D842" s="19">
        <v>244300000</v>
      </c>
      <c r="G842" s="1"/>
    </row>
    <row r="843" spans="1:7" x14ac:dyDescent="0.25">
      <c r="A843" s="17"/>
      <c r="C843" t="s">
        <v>111</v>
      </c>
      <c r="D843" s="20">
        <v>76050000</v>
      </c>
    </row>
    <row r="844" spans="1:7" x14ac:dyDescent="0.25">
      <c r="A844" s="17"/>
      <c r="D844" s="19">
        <f>SUM(D839:D843)</f>
        <v>2667577710</v>
      </c>
      <c r="G844" s="1"/>
    </row>
    <row r="845" spans="1:7" x14ac:dyDescent="0.25">
      <c r="A845" s="17"/>
      <c r="D845" s="19"/>
      <c r="G845" s="1"/>
    </row>
    <row r="846" spans="1:7" x14ac:dyDescent="0.25">
      <c r="A846" s="43" t="s">
        <v>25</v>
      </c>
      <c r="B846" s="44"/>
      <c r="C846" s="44"/>
      <c r="D846" s="25">
        <f>D818+D830+D836-D844</f>
        <v>907927984.84000015</v>
      </c>
      <c r="G846" s="1"/>
    </row>
    <row r="847" spans="1:7" x14ac:dyDescent="0.25">
      <c r="A847" s="21"/>
      <c r="B847" s="22"/>
      <c r="C847" s="22"/>
      <c r="D847" s="20"/>
      <c r="G847" s="1"/>
    </row>
    <row r="849" spans="1:7" x14ac:dyDescent="0.25">
      <c r="A849" s="40" t="s">
        <v>13</v>
      </c>
      <c r="B849" s="40"/>
      <c r="C849" s="40"/>
      <c r="D849" s="40"/>
      <c r="G849" s="1"/>
    </row>
    <row r="850" spans="1:7" x14ac:dyDescent="0.25">
      <c r="A850" s="41" t="s">
        <v>14</v>
      </c>
      <c r="B850" s="41"/>
      <c r="C850" s="41"/>
      <c r="D850" s="41"/>
      <c r="G850" s="1"/>
    </row>
    <row r="851" spans="1:7" x14ac:dyDescent="0.25">
      <c r="A851" s="42">
        <v>45770</v>
      </c>
      <c r="B851" s="42"/>
      <c r="C851" s="42"/>
      <c r="D851" s="42"/>
      <c r="G851" s="1"/>
    </row>
    <row r="852" spans="1:7" x14ac:dyDescent="0.25">
      <c r="A852" s="13"/>
      <c r="B852" s="13"/>
      <c r="C852" s="13"/>
      <c r="D852" s="13"/>
      <c r="G852" s="1"/>
    </row>
    <row r="853" spans="1:7" x14ac:dyDescent="0.25">
      <c r="A853" s="14"/>
      <c r="B853" s="15"/>
      <c r="C853" s="15"/>
      <c r="D853" s="16"/>
      <c r="F853" s="5" t="s">
        <v>26</v>
      </c>
      <c r="G853" s="1">
        <f>D893-D846</f>
        <v>24904000</v>
      </c>
    </row>
    <row r="854" spans="1:7" x14ac:dyDescent="0.25">
      <c r="A854" s="17"/>
      <c r="D854" s="32" t="s">
        <v>16</v>
      </c>
      <c r="G854" s="1"/>
    </row>
    <row r="855" spans="1:7" x14ac:dyDescent="0.25">
      <c r="A855" s="23" t="s">
        <v>15</v>
      </c>
      <c r="D855" s="18" t="s">
        <v>17</v>
      </c>
      <c r="F855" s="26" t="s">
        <v>27</v>
      </c>
      <c r="G855" s="1"/>
    </row>
    <row r="856" spans="1:7" x14ac:dyDescent="0.25">
      <c r="A856" s="17"/>
      <c r="B856" s="24" t="s">
        <v>18</v>
      </c>
      <c r="D856" s="19"/>
      <c r="F856" s="27" t="s">
        <v>28</v>
      </c>
      <c r="G856" s="1"/>
    </row>
    <row r="857" spans="1:7" x14ac:dyDescent="0.25">
      <c r="A857" s="17"/>
      <c r="C857" s="2" t="s">
        <v>31</v>
      </c>
      <c r="D857" s="19">
        <v>87602588.939999998</v>
      </c>
      <c r="F857" t="s">
        <v>223</v>
      </c>
      <c r="G857" s="1">
        <v>24934000</v>
      </c>
    </row>
    <row r="858" spans="1:7" x14ac:dyDescent="0.25">
      <c r="A858" s="17"/>
      <c r="C858" s="2" t="s">
        <v>32</v>
      </c>
      <c r="D858" s="19">
        <v>125909453.90000001</v>
      </c>
      <c r="G858" s="30">
        <f>SUM(G857:G857)</f>
        <v>24934000</v>
      </c>
    </row>
    <row r="859" spans="1:7" x14ac:dyDescent="0.25">
      <c r="A859" s="17"/>
      <c r="C859" s="2" t="s">
        <v>33</v>
      </c>
      <c r="D859" s="19">
        <v>-457656386.60000002</v>
      </c>
      <c r="F859" s="28" t="s">
        <v>29</v>
      </c>
      <c r="G859" s="1"/>
    </row>
    <row r="860" spans="1:7" x14ac:dyDescent="0.25">
      <c r="A860" s="17"/>
      <c r="C860" s="2" t="s">
        <v>34</v>
      </c>
      <c r="D860" s="19">
        <v>-80428109</v>
      </c>
      <c r="F860" t="s">
        <v>99</v>
      </c>
      <c r="G860" s="1">
        <v>30000</v>
      </c>
    </row>
    <row r="861" spans="1:7" x14ac:dyDescent="0.25">
      <c r="A861" s="17"/>
      <c r="C861" s="2" t="s">
        <v>35</v>
      </c>
      <c r="D861" s="19">
        <v>1604550</v>
      </c>
      <c r="G861" s="30">
        <f>SUM(G860:G860)</f>
        <v>30000</v>
      </c>
    </row>
    <row r="862" spans="1:7" x14ac:dyDescent="0.25">
      <c r="A862" s="17"/>
      <c r="C862" s="2" t="s">
        <v>36</v>
      </c>
      <c r="D862" s="19">
        <v>259523410.59999999</v>
      </c>
      <c r="G862" s="1"/>
    </row>
    <row r="863" spans="1:7" x14ac:dyDescent="0.25">
      <c r="A863" s="17"/>
      <c r="C863" s="2" t="s">
        <v>37</v>
      </c>
      <c r="D863" s="19">
        <v>-200937880</v>
      </c>
      <c r="F863" s="28" t="s">
        <v>30</v>
      </c>
      <c r="G863" s="29">
        <f>G858-G861</f>
        <v>24904000</v>
      </c>
    </row>
    <row r="864" spans="1:7" x14ac:dyDescent="0.25">
      <c r="A864" s="17"/>
      <c r="C864" s="2" t="s">
        <v>51</v>
      </c>
      <c r="D864" s="20">
        <v>130317</v>
      </c>
    </row>
    <row r="865" spans="1:7" x14ac:dyDescent="0.25">
      <c r="A865" s="17"/>
      <c r="B865" s="24" t="s">
        <v>19</v>
      </c>
      <c r="D865" s="19">
        <f>SUM(D857:D864)</f>
        <v>-264252055.16</v>
      </c>
    </row>
    <row r="866" spans="1:7" x14ac:dyDescent="0.25">
      <c r="A866" s="17"/>
      <c r="D866" s="19"/>
    </row>
    <row r="867" spans="1:7" x14ac:dyDescent="0.25">
      <c r="A867" s="17"/>
      <c r="B867" s="24" t="s">
        <v>20</v>
      </c>
      <c r="D867" s="19"/>
    </row>
    <row r="868" spans="1:7" x14ac:dyDescent="0.25">
      <c r="A868" s="17"/>
      <c r="C868" t="s">
        <v>7</v>
      </c>
      <c r="D868" s="19">
        <v>2401347000</v>
      </c>
    </row>
    <row r="869" spans="1:7" x14ac:dyDescent="0.25">
      <c r="A869" s="17"/>
      <c r="C869" t="s">
        <v>47</v>
      </c>
      <c r="D869" s="19">
        <v>24065000</v>
      </c>
    </row>
    <row r="870" spans="1:7" x14ac:dyDescent="0.25">
      <c r="A870" s="17"/>
      <c r="C870" t="s">
        <v>21</v>
      </c>
      <c r="D870" s="19">
        <v>830095500</v>
      </c>
    </row>
    <row r="871" spans="1:7" x14ac:dyDescent="0.25">
      <c r="A871" s="17"/>
      <c r="C871" t="s">
        <v>45</v>
      </c>
      <c r="D871" s="19">
        <v>25000000</v>
      </c>
    </row>
    <row r="872" spans="1:7" x14ac:dyDescent="0.25">
      <c r="A872" s="17"/>
      <c r="C872" t="s">
        <v>48</v>
      </c>
      <c r="D872" s="19">
        <v>30000000</v>
      </c>
    </row>
    <row r="873" spans="1:7" x14ac:dyDescent="0.25">
      <c r="A873" s="17"/>
      <c r="C873" t="s">
        <v>68</v>
      </c>
      <c r="D873" s="19">
        <v>141000000</v>
      </c>
    </row>
    <row r="874" spans="1:7" x14ac:dyDescent="0.25">
      <c r="A874" s="17"/>
      <c r="C874" t="s">
        <v>68</v>
      </c>
      <c r="D874" s="19">
        <v>145000000</v>
      </c>
    </row>
    <row r="875" spans="1:7" x14ac:dyDescent="0.25">
      <c r="A875" s="17"/>
      <c r="C875" t="s">
        <v>387</v>
      </c>
      <c r="D875" s="19">
        <v>160000000</v>
      </c>
    </row>
    <row r="876" spans="1:7" x14ac:dyDescent="0.25">
      <c r="A876" s="17"/>
      <c r="C876" t="s">
        <v>494</v>
      </c>
      <c r="D876" s="20">
        <v>710000</v>
      </c>
    </row>
    <row r="877" spans="1:7" x14ac:dyDescent="0.25">
      <c r="A877" s="17"/>
      <c r="D877" s="19">
        <f>SUM(D868:D876)</f>
        <v>3757217500</v>
      </c>
      <c r="G877" s="1"/>
    </row>
    <row r="878" spans="1:7" x14ac:dyDescent="0.25">
      <c r="A878" s="17"/>
      <c r="D878" s="19"/>
      <c r="G878" s="1"/>
    </row>
    <row r="879" spans="1:7" x14ac:dyDescent="0.25">
      <c r="A879" s="17"/>
      <c r="B879" s="24" t="s">
        <v>46</v>
      </c>
      <c r="D879" s="19"/>
      <c r="G879" s="1"/>
    </row>
    <row r="880" spans="1:7" x14ac:dyDescent="0.25">
      <c r="A880" s="17"/>
      <c r="C880" t="s">
        <v>526</v>
      </c>
      <c r="D880" s="19">
        <v>90977500</v>
      </c>
      <c r="G880" s="1"/>
    </row>
    <row r="881" spans="1:7" x14ac:dyDescent="0.25">
      <c r="A881" s="17"/>
      <c r="C881" t="s">
        <v>323</v>
      </c>
      <c r="D881" s="19">
        <v>2410000</v>
      </c>
      <c r="G881" s="1"/>
    </row>
    <row r="882" spans="1:7" x14ac:dyDescent="0.25">
      <c r="A882" s="17"/>
      <c r="C882" t="s">
        <v>266</v>
      </c>
      <c r="D882" s="20">
        <v>3012500</v>
      </c>
      <c r="G882" s="1"/>
    </row>
    <row r="883" spans="1:7" x14ac:dyDescent="0.25">
      <c r="A883" s="17"/>
      <c r="D883" s="19">
        <f>SUM(D880:D882)</f>
        <v>96400000</v>
      </c>
      <c r="G883" s="1"/>
    </row>
    <row r="884" spans="1:7" x14ac:dyDescent="0.25">
      <c r="A884" s="17"/>
      <c r="D884" s="19"/>
      <c r="G884" s="1"/>
    </row>
    <row r="885" spans="1:7" x14ac:dyDescent="0.25">
      <c r="A885" s="23" t="s">
        <v>22</v>
      </c>
      <c r="D885" s="19"/>
      <c r="G885" s="1"/>
    </row>
    <row r="886" spans="1:7" x14ac:dyDescent="0.25">
      <c r="A886" s="17"/>
      <c r="C886" t="s">
        <v>23</v>
      </c>
      <c r="D886" s="19">
        <v>479700000</v>
      </c>
      <c r="G886" s="1"/>
    </row>
    <row r="887" spans="1:7" x14ac:dyDescent="0.25">
      <c r="A887" s="17"/>
      <c r="C887" t="s">
        <v>24</v>
      </c>
      <c r="D887" s="19">
        <v>1707983460</v>
      </c>
      <c r="G887" s="1"/>
    </row>
    <row r="888" spans="1:7" x14ac:dyDescent="0.25">
      <c r="A888" s="17"/>
      <c r="C888" t="s">
        <v>44</v>
      </c>
      <c r="D888" s="19">
        <v>148500000</v>
      </c>
      <c r="G888" s="1"/>
    </row>
    <row r="889" spans="1:7" x14ac:dyDescent="0.25">
      <c r="A889" s="17"/>
      <c r="C889" t="s">
        <v>507</v>
      </c>
      <c r="D889" s="19">
        <v>244300000</v>
      </c>
      <c r="G889" s="1"/>
    </row>
    <row r="890" spans="1:7" x14ac:dyDescent="0.25">
      <c r="A890" s="17"/>
      <c r="C890" t="s">
        <v>111</v>
      </c>
      <c r="D890" s="20">
        <v>76050000</v>
      </c>
    </row>
    <row r="891" spans="1:7" x14ac:dyDescent="0.25">
      <c r="A891" s="17"/>
      <c r="D891" s="19">
        <f>SUM(D886:D890)</f>
        <v>2656533460</v>
      </c>
      <c r="G891" s="1"/>
    </row>
    <row r="892" spans="1:7" x14ac:dyDescent="0.25">
      <c r="A892" s="17"/>
      <c r="D892" s="19"/>
      <c r="G892" s="1"/>
    </row>
    <row r="893" spans="1:7" x14ac:dyDescent="0.25">
      <c r="A893" s="43" t="s">
        <v>25</v>
      </c>
      <c r="B893" s="44"/>
      <c r="C893" s="44"/>
      <c r="D893" s="25">
        <f>D865+D877+D883-D891</f>
        <v>932831984.84000015</v>
      </c>
      <c r="G893" s="1"/>
    </row>
    <row r="894" spans="1:7" x14ac:dyDescent="0.25">
      <c r="A894" s="21"/>
      <c r="B894" s="22"/>
      <c r="C894" s="22"/>
      <c r="D894" s="20"/>
      <c r="G894" s="1"/>
    </row>
    <row r="896" spans="1:7" x14ac:dyDescent="0.25">
      <c r="A896" s="40" t="s">
        <v>13</v>
      </c>
      <c r="B896" s="40"/>
      <c r="C896" s="40"/>
      <c r="D896" s="40"/>
      <c r="G896" s="1"/>
    </row>
    <row r="897" spans="1:7" x14ac:dyDescent="0.25">
      <c r="A897" s="41" t="s">
        <v>14</v>
      </c>
      <c r="B897" s="41"/>
      <c r="C897" s="41"/>
      <c r="D897" s="41"/>
      <c r="G897" s="1"/>
    </row>
    <row r="898" spans="1:7" x14ac:dyDescent="0.25">
      <c r="A898" s="42">
        <v>45771</v>
      </c>
      <c r="B898" s="42"/>
      <c r="C898" s="42"/>
      <c r="D898" s="42"/>
      <c r="G898" s="1"/>
    </row>
    <row r="899" spans="1:7" x14ac:dyDescent="0.25">
      <c r="A899" s="13"/>
      <c r="B899" s="13"/>
      <c r="C899" s="13"/>
      <c r="D899" s="13"/>
      <c r="G899" s="1"/>
    </row>
    <row r="900" spans="1:7" x14ac:dyDescent="0.25">
      <c r="A900" s="14"/>
      <c r="B900" s="15"/>
      <c r="C900" s="15"/>
      <c r="D900" s="16"/>
      <c r="F900" s="5" t="s">
        <v>26</v>
      </c>
      <c r="G900" s="1">
        <f>D940-D893</f>
        <v>-76592266</v>
      </c>
    </row>
    <row r="901" spans="1:7" x14ac:dyDescent="0.25">
      <c r="A901" s="17"/>
      <c r="D901" s="32" t="s">
        <v>16</v>
      </c>
      <c r="G901" s="1"/>
    </row>
    <row r="902" spans="1:7" x14ac:dyDescent="0.25">
      <c r="A902" s="23" t="s">
        <v>15</v>
      </c>
      <c r="D902" s="18" t="s">
        <v>17</v>
      </c>
      <c r="F902" s="26" t="s">
        <v>27</v>
      </c>
      <c r="G902" s="1"/>
    </row>
    <row r="903" spans="1:7" x14ac:dyDescent="0.25">
      <c r="A903" s="17"/>
      <c r="B903" s="24" t="s">
        <v>18</v>
      </c>
      <c r="D903" s="19"/>
      <c r="F903" s="27" t="s">
        <v>28</v>
      </c>
      <c r="G903" s="1"/>
    </row>
    <row r="904" spans="1:7" x14ac:dyDescent="0.25">
      <c r="A904" s="17"/>
      <c r="C904" s="2" t="s">
        <v>31</v>
      </c>
      <c r="D904" s="19">
        <v>141702588.94</v>
      </c>
      <c r="F904" t="s">
        <v>348</v>
      </c>
      <c r="G904" s="1">
        <v>14974500</v>
      </c>
    </row>
    <row r="905" spans="1:7" x14ac:dyDescent="0.25">
      <c r="A905" s="17"/>
      <c r="C905" s="2" t="s">
        <v>32</v>
      </c>
      <c r="D905" s="19">
        <v>131014453.90000001</v>
      </c>
      <c r="F905" t="s">
        <v>90</v>
      </c>
      <c r="G905" s="1">
        <v>115000</v>
      </c>
    </row>
    <row r="906" spans="1:7" x14ac:dyDescent="0.25">
      <c r="A906" s="17"/>
      <c r="C906" s="2" t="s">
        <v>33</v>
      </c>
      <c r="D906" s="19">
        <v>-478280386.60000002</v>
      </c>
      <c r="F906" t="s">
        <v>529</v>
      </c>
      <c r="G906" s="1">
        <v>95500</v>
      </c>
    </row>
    <row r="907" spans="1:7" x14ac:dyDescent="0.25">
      <c r="A907" s="17"/>
      <c r="C907" s="2" t="s">
        <v>34</v>
      </c>
      <c r="D907" s="19">
        <v>11871891</v>
      </c>
      <c r="F907" t="s">
        <v>531</v>
      </c>
      <c r="G907" s="1">
        <v>14525</v>
      </c>
    </row>
    <row r="908" spans="1:7" x14ac:dyDescent="0.25">
      <c r="A908" s="17"/>
      <c r="C908" s="2" t="s">
        <v>35</v>
      </c>
      <c r="D908" s="19">
        <v>1604550</v>
      </c>
      <c r="G908" s="30">
        <f>SUM(G904:G907)</f>
        <v>15199525</v>
      </c>
    </row>
    <row r="909" spans="1:7" x14ac:dyDescent="0.25">
      <c r="A909" s="17"/>
      <c r="C909" s="2" t="s">
        <v>36</v>
      </c>
      <c r="D909" s="19">
        <v>259523410.59999999</v>
      </c>
      <c r="F909" s="28" t="s">
        <v>29</v>
      </c>
      <c r="G909" s="1"/>
    </row>
    <row r="910" spans="1:7" x14ac:dyDescent="0.25">
      <c r="A910" s="17"/>
      <c r="C910" s="2" t="s">
        <v>37</v>
      </c>
      <c r="D910" s="19">
        <v>-211069896</v>
      </c>
      <c r="F910" t="s">
        <v>112</v>
      </c>
      <c r="G910" s="1">
        <v>5000000</v>
      </c>
    </row>
    <row r="911" spans="1:7" x14ac:dyDescent="0.25">
      <c r="A911" s="17"/>
      <c r="C911" s="2" t="s">
        <v>51</v>
      </c>
      <c r="D911" s="20">
        <v>130317</v>
      </c>
      <c r="F911" t="s">
        <v>104</v>
      </c>
      <c r="G911" s="1">
        <v>2250000</v>
      </c>
    </row>
    <row r="912" spans="1:7" x14ac:dyDescent="0.25">
      <c r="A912" s="17"/>
      <c r="B912" s="24" t="s">
        <v>19</v>
      </c>
      <c r="D912" s="19">
        <f>SUM(D904:D911)</f>
        <v>-143503071.16</v>
      </c>
      <c r="F912" t="s">
        <v>533</v>
      </c>
      <c r="G912" s="1">
        <v>84382016</v>
      </c>
    </row>
    <row r="913" spans="1:7" x14ac:dyDescent="0.25">
      <c r="A913" s="17"/>
      <c r="D913" s="19"/>
      <c r="F913" t="s">
        <v>532</v>
      </c>
      <c r="G913" s="1">
        <v>159775</v>
      </c>
    </row>
    <row r="914" spans="1:7" x14ac:dyDescent="0.25">
      <c r="A914" s="17"/>
      <c r="B914" s="24" t="s">
        <v>20</v>
      </c>
      <c r="D914" s="19"/>
      <c r="G914" s="30">
        <f>SUM(G910:G913)</f>
        <v>91791791</v>
      </c>
    </row>
    <row r="915" spans="1:7" x14ac:dyDescent="0.25">
      <c r="A915" s="17"/>
      <c r="C915" t="s">
        <v>7</v>
      </c>
      <c r="D915" s="19">
        <v>2187856250</v>
      </c>
      <c r="G915" s="1"/>
    </row>
    <row r="916" spans="1:7" x14ac:dyDescent="0.25">
      <c r="A916" s="17"/>
      <c r="C916" t="s">
        <v>47</v>
      </c>
      <c r="D916" s="19">
        <v>20940000</v>
      </c>
      <c r="F916" s="28" t="s">
        <v>30</v>
      </c>
      <c r="G916" s="29">
        <f>G908-G914</f>
        <v>-76592266</v>
      </c>
    </row>
    <row r="917" spans="1:7" x14ac:dyDescent="0.25">
      <c r="A917" s="17"/>
      <c r="C917" t="s">
        <v>21</v>
      </c>
      <c r="D917" s="19">
        <v>786760500</v>
      </c>
    </row>
    <row r="918" spans="1:7" x14ac:dyDescent="0.25">
      <c r="A918" s="17"/>
      <c r="C918" t="s">
        <v>45</v>
      </c>
      <c r="D918" s="19">
        <v>25000000</v>
      </c>
    </row>
    <row r="919" spans="1:7" x14ac:dyDescent="0.25">
      <c r="A919" s="17"/>
      <c r="C919" t="s">
        <v>48</v>
      </c>
      <c r="D919" s="19">
        <v>30000000</v>
      </c>
    </row>
    <row r="920" spans="1:7" x14ac:dyDescent="0.25">
      <c r="A920" s="17"/>
      <c r="C920" t="s">
        <v>68</v>
      </c>
      <c r="D920" s="19">
        <v>141000000</v>
      </c>
    </row>
    <row r="921" spans="1:7" x14ac:dyDescent="0.25">
      <c r="A921" s="17"/>
      <c r="C921" t="s">
        <v>68</v>
      </c>
      <c r="D921" s="19">
        <v>145000000</v>
      </c>
    </row>
    <row r="922" spans="1:7" x14ac:dyDescent="0.25">
      <c r="A922" s="17"/>
      <c r="C922" t="s">
        <v>387</v>
      </c>
      <c r="D922" s="19">
        <v>160000000</v>
      </c>
    </row>
    <row r="923" spans="1:7" x14ac:dyDescent="0.25">
      <c r="A923" s="17"/>
      <c r="C923" t="s">
        <v>530</v>
      </c>
      <c r="D923" s="20">
        <v>1400000</v>
      </c>
    </row>
    <row r="924" spans="1:7" x14ac:dyDescent="0.25">
      <c r="A924" s="17"/>
      <c r="D924" s="19">
        <f>SUM(D915:D923)</f>
        <v>3497956750</v>
      </c>
      <c r="G924" s="1"/>
    </row>
    <row r="925" spans="1:7" x14ac:dyDescent="0.25">
      <c r="A925" s="17"/>
      <c r="D925" s="19"/>
      <c r="G925" s="1"/>
    </row>
    <row r="926" spans="1:7" x14ac:dyDescent="0.25">
      <c r="A926" s="17"/>
      <c r="B926" s="24" t="s">
        <v>46</v>
      </c>
      <c r="D926" s="19"/>
      <c r="G926" s="1"/>
    </row>
    <row r="927" spans="1:7" x14ac:dyDescent="0.25">
      <c r="A927" s="17"/>
      <c r="C927" t="s">
        <v>528</v>
      </c>
      <c r="D927" s="19">
        <v>89772500</v>
      </c>
      <c r="G927" s="1"/>
    </row>
    <row r="928" spans="1:7" x14ac:dyDescent="0.25">
      <c r="A928" s="17"/>
      <c r="C928" t="s">
        <v>323</v>
      </c>
      <c r="D928" s="19">
        <v>2410000</v>
      </c>
      <c r="G928" s="1"/>
    </row>
    <row r="929" spans="1:7" x14ac:dyDescent="0.25">
      <c r="A929" s="17"/>
      <c r="C929" t="s">
        <v>266</v>
      </c>
      <c r="D929" s="20">
        <v>3012500</v>
      </c>
      <c r="G929" s="1"/>
    </row>
    <row r="930" spans="1:7" x14ac:dyDescent="0.25">
      <c r="A930" s="17"/>
      <c r="D930" s="19">
        <f>SUM(D927:D929)</f>
        <v>95195000</v>
      </c>
      <c r="G930" s="1"/>
    </row>
    <row r="931" spans="1:7" x14ac:dyDescent="0.25">
      <c r="A931" s="17"/>
      <c r="D931" s="19"/>
      <c r="G931" s="1"/>
    </row>
    <row r="932" spans="1:7" x14ac:dyDescent="0.25">
      <c r="A932" s="23" t="s">
        <v>22</v>
      </c>
      <c r="D932" s="19"/>
      <c r="G932" s="1"/>
    </row>
    <row r="933" spans="1:7" x14ac:dyDescent="0.25">
      <c r="A933" s="17"/>
      <c r="C933" t="s">
        <v>23</v>
      </c>
      <c r="D933" s="19">
        <v>479700000</v>
      </c>
      <c r="G933" s="1"/>
    </row>
    <row r="934" spans="1:7" x14ac:dyDescent="0.25">
      <c r="A934" s="17"/>
      <c r="C934" t="s">
        <v>24</v>
      </c>
      <c r="D934" s="19">
        <v>1788821460</v>
      </c>
      <c r="G934" s="1"/>
    </row>
    <row r="935" spans="1:7" x14ac:dyDescent="0.25">
      <c r="A935" s="17"/>
      <c r="C935" t="s">
        <v>44</v>
      </c>
      <c r="D935" s="19">
        <v>148500000</v>
      </c>
      <c r="G935" s="1"/>
    </row>
    <row r="936" spans="1:7" x14ac:dyDescent="0.25">
      <c r="A936" s="17"/>
      <c r="C936" t="s">
        <v>507</v>
      </c>
      <c r="D936" s="19">
        <v>100337500</v>
      </c>
      <c r="G936" s="1"/>
    </row>
    <row r="937" spans="1:7" x14ac:dyDescent="0.25">
      <c r="A937" s="17"/>
      <c r="C937" t="s">
        <v>111</v>
      </c>
      <c r="D937" s="20">
        <v>76050000</v>
      </c>
    </row>
    <row r="938" spans="1:7" x14ac:dyDescent="0.25">
      <c r="A938" s="17"/>
      <c r="D938" s="19">
        <f>SUM(D933:D937)</f>
        <v>2593408960</v>
      </c>
      <c r="G938" s="1"/>
    </row>
    <row r="939" spans="1:7" x14ac:dyDescent="0.25">
      <c r="A939" s="17"/>
      <c r="D939" s="19"/>
      <c r="G939" s="1"/>
    </row>
    <row r="940" spans="1:7" x14ac:dyDescent="0.25">
      <c r="A940" s="43" t="s">
        <v>25</v>
      </c>
      <c r="B940" s="44"/>
      <c r="C940" s="44"/>
      <c r="D940" s="25">
        <f>D912+D924+D930-D938</f>
        <v>856239718.84000015</v>
      </c>
      <c r="G940" s="1"/>
    </row>
    <row r="941" spans="1:7" x14ac:dyDescent="0.25">
      <c r="A941" s="21"/>
      <c r="B941" s="22"/>
      <c r="C941" s="22"/>
      <c r="D941" s="20"/>
      <c r="G941" s="1"/>
    </row>
    <row r="943" spans="1:7" x14ac:dyDescent="0.25">
      <c r="A943" s="40" t="s">
        <v>13</v>
      </c>
      <c r="B943" s="40"/>
      <c r="C943" s="40"/>
      <c r="D943" s="40"/>
      <c r="G943" s="1"/>
    </row>
    <row r="944" spans="1:7" x14ac:dyDescent="0.25">
      <c r="A944" s="41" t="s">
        <v>14</v>
      </c>
      <c r="B944" s="41"/>
      <c r="C944" s="41"/>
      <c r="D944" s="41"/>
      <c r="G944" s="1"/>
    </row>
    <row r="945" spans="1:7" x14ac:dyDescent="0.25">
      <c r="A945" s="42">
        <v>45772</v>
      </c>
      <c r="B945" s="42"/>
      <c r="C945" s="42"/>
      <c r="D945" s="42"/>
      <c r="G945" s="1"/>
    </row>
    <row r="946" spans="1:7" x14ac:dyDescent="0.25">
      <c r="A946" s="13"/>
      <c r="B946" s="13"/>
      <c r="C946" s="13"/>
      <c r="D946" s="13"/>
      <c r="G946" s="1"/>
    </row>
    <row r="947" spans="1:7" x14ac:dyDescent="0.25">
      <c r="A947" s="14"/>
      <c r="B947" s="15"/>
      <c r="C947" s="15"/>
      <c r="D947" s="16"/>
      <c r="F947" s="5" t="s">
        <v>26</v>
      </c>
      <c r="G947" s="1">
        <f>D986-D940</f>
        <v>514538929</v>
      </c>
    </row>
    <row r="948" spans="1:7" x14ac:dyDescent="0.25">
      <c r="A948" s="17"/>
      <c r="D948" s="32" t="s">
        <v>16</v>
      </c>
      <c r="G948" s="1"/>
    </row>
    <row r="949" spans="1:7" x14ac:dyDescent="0.25">
      <c r="A949" s="23" t="s">
        <v>15</v>
      </c>
      <c r="D949" s="18" t="s">
        <v>17</v>
      </c>
      <c r="F949" s="26" t="s">
        <v>27</v>
      </c>
      <c r="G949" s="1"/>
    </row>
    <row r="950" spans="1:7" x14ac:dyDescent="0.25">
      <c r="A950" s="17"/>
      <c r="B950" s="24" t="s">
        <v>18</v>
      </c>
      <c r="D950" s="19"/>
      <c r="F950" s="27" t="s">
        <v>28</v>
      </c>
      <c r="G950" s="1"/>
    </row>
    <row r="951" spans="1:7" x14ac:dyDescent="0.25">
      <c r="A951" s="17"/>
      <c r="C951" s="2" t="s">
        <v>31</v>
      </c>
      <c r="D951" s="19">
        <v>31702588.940000001</v>
      </c>
      <c r="F951" t="s">
        <v>354</v>
      </c>
      <c r="G951" s="1">
        <v>16028000</v>
      </c>
    </row>
    <row r="952" spans="1:7" x14ac:dyDescent="0.25">
      <c r="A952" s="17"/>
      <c r="C952" s="2" t="s">
        <v>32</v>
      </c>
      <c r="D952" s="19">
        <v>141099453.90000001</v>
      </c>
      <c r="F952" t="s">
        <v>537</v>
      </c>
      <c r="G952" s="1">
        <v>600000000</v>
      </c>
    </row>
    <row r="953" spans="1:7" x14ac:dyDescent="0.25">
      <c r="A953" s="17"/>
      <c r="C953" s="2" t="s">
        <v>33</v>
      </c>
      <c r="D953" s="19">
        <v>-579431736.60000002</v>
      </c>
      <c r="G953" s="30">
        <f>SUM(G951:G952)</f>
        <v>616028000</v>
      </c>
    </row>
    <row r="954" spans="1:7" x14ac:dyDescent="0.25">
      <c r="A954" s="17"/>
      <c r="C954" s="2" t="s">
        <v>34</v>
      </c>
      <c r="D954" s="19">
        <v>187571891</v>
      </c>
      <c r="F954" s="28" t="s">
        <v>29</v>
      </c>
      <c r="G954" s="1"/>
    </row>
    <row r="955" spans="1:7" x14ac:dyDescent="0.25">
      <c r="A955" s="17"/>
      <c r="C955" s="2" t="s">
        <v>35</v>
      </c>
      <c r="D955" s="19">
        <v>1604550</v>
      </c>
      <c r="F955" t="s">
        <v>532</v>
      </c>
      <c r="G955" s="1">
        <v>139025</v>
      </c>
    </row>
    <row r="956" spans="1:7" x14ac:dyDescent="0.25">
      <c r="A956" s="17"/>
      <c r="C956" s="2" t="s">
        <v>36</v>
      </c>
      <c r="D956" s="19">
        <v>259523410.59999999</v>
      </c>
      <c r="F956" t="s">
        <v>535</v>
      </c>
      <c r="G956" s="1">
        <v>70550</v>
      </c>
    </row>
    <row r="957" spans="1:7" x14ac:dyDescent="0.25">
      <c r="A957" s="17"/>
      <c r="C957" s="2" t="s">
        <v>37</v>
      </c>
      <c r="D957" s="19">
        <v>-282339392</v>
      </c>
      <c r="F957" t="s">
        <v>536</v>
      </c>
      <c r="G957" s="1">
        <v>49024080</v>
      </c>
    </row>
    <row r="958" spans="1:7" x14ac:dyDescent="0.25">
      <c r="A958" s="17"/>
      <c r="C958" s="2" t="s">
        <v>51</v>
      </c>
      <c r="D958" s="20">
        <v>130317</v>
      </c>
      <c r="F958" t="s">
        <v>538</v>
      </c>
      <c r="G958" s="1">
        <v>41333333</v>
      </c>
    </row>
    <row r="959" spans="1:7" x14ac:dyDescent="0.25">
      <c r="A959" s="17"/>
      <c r="B959" s="24" t="s">
        <v>19</v>
      </c>
      <c r="D959" s="19">
        <f>SUM(D951:D958)</f>
        <v>-240138917.16</v>
      </c>
      <c r="F959" t="s">
        <v>539</v>
      </c>
      <c r="G959" s="1">
        <v>720750</v>
      </c>
    </row>
    <row r="960" spans="1:7" x14ac:dyDescent="0.25">
      <c r="A960" s="17"/>
      <c r="D960" s="19"/>
      <c r="F960" t="s">
        <v>540</v>
      </c>
      <c r="G960" s="1">
        <v>2025333</v>
      </c>
    </row>
    <row r="961" spans="1:7" x14ac:dyDescent="0.25">
      <c r="A961" s="17"/>
      <c r="B961" s="24" t="s">
        <v>20</v>
      </c>
      <c r="D961" s="19"/>
      <c r="F961" t="s">
        <v>541</v>
      </c>
      <c r="G961" s="1">
        <v>8136000</v>
      </c>
    </row>
    <row r="962" spans="1:7" x14ac:dyDescent="0.25">
      <c r="A962" s="17"/>
      <c r="C962" t="s">
        <v>7</v>
      </c>
      <c r="D962" s="19">
        <v>2462556525</v>
      </c>
      <c r="F962" t="s">
        <v>99</v>
      </c>
      <c r="G962" s="1">
        <v>30000</v>
      </c>
    </row>
    <row r="963" spans="1:7" x14ac:dyDescent="0.25">
      <c r="A963" s="17"/>
      <c r="C963" t="s">
        <v>47</v>
      </c>
      <c r="D963" s="19">
        <v>10845000</v>
      </c>
      <c r="F963" t="s">
        <v>542</v>
      </c>
      <c r="G963" s="1">
        <v>10000</v>
      </c>
    </row>
    <row r="964" spans="1:7" x14ac:dyDescent="0.25">
      <c r="A964" s="17"/>
      <c r="C964" t="s">
        <v>21</v>
      </c>
      <c r="D964" s="19">
        <v>809385500</v>
      </c>
      <c r="G964" s="30">
        <f>SUM(G955:G963)</f>
        <v>101489071</v>
      </c>
    </row>
    <row r="965" spans="1:7" x14ac:dyDescent="0.25">
      <c r="A965" s="17"/>
      <c r="C965" t="s">
        <v>45</v>
      </c>
      <c r="D965" s="19">
        <v>25000000</v>
      </c>
      <c r="G965" s="1"/>
    </row>
    <row r="966" spans="1:7" x14ac:dyDescent="0.25">
      <c r="A966" s="17"/>
      <c r="C966" t="s">
        <v>48</v>
      </c>
      <c r="D966" s="19">
        <v>30000000</v>
      </c>
      <c r="F966" s="28" t="s">
        <v>30</v>
      </c>
      <c r="G966" s="29">
        <f>G953-G964</f>
        <v>514538929</v>
      </c>
    </row>
    <row r="967" spans="1:7" x14ac:dyDescent="0.25">
      <c r="A967" s="17"/>
      <c r="C967" t="s">
        <v>68</v>
      </c>
      <c r="D967" s="19">
        <v>141000000</v>
      </c>
    </row>
    <row r="968" spans="1:7" x14ac:dyDescent="0.25">
      <c r="A968" s="17"/>
      <c r="C968" t="s">
        <v>68</v>
      </c>
      <c r="D968" s="19">
        <v>145000000</v>
      </c>
    </row>
    <row r="969" spans="1:7" x14ac:dyDescent="0.25">
      <c r="A969" s="17"/>
      <c r="C969" t="s">
        <v>387</v>
      </c>
      <c r="D969" s="19">
        <v>160000000</v>
      </c>
    </row>
    <row r="970" spans="1:7" x14ac:dyDescent="0.25">
      <c r="A970" s="17"/>
      <c r="C970" t="s">
        <v>518</v>
      </c>
      <c r="D970" s="19">
        <v>100000000</v>
      </c>
    </row>
    <row r="971" spans="1:7" x14ac:dyDescent="0.25">
      <c r="A971" s="17"/>
      <c r="C971" t="s">
        <v>534</v>
      </c>
      <c r="D971" s="20">
        <v>101500000</v>
      </c>
    </row>
    <row r="972" spans="1:7" x14ac:dyDescent="0.25">
      <c r="A972" s="17"/>
      <c r="D972" s="19">
        <f>SUM(D962:D971)</f>
        <v>3985287025</v>
      </c>
      <c r="G972" s="1"/>
    </row>
    <row r="973" spans="1:7" x14ac:dyDescent="0.25">
      <c r="A973" s="17"/>
      <c r="D973" s="19"/>
      <c r="G973" s="1"/>
    </row>
    <row r="974" spans="1:7" x14ac:dyDescent="0.25">
      <c r="A974" s="17"/>
      <c r="B974" s="24" t="s">
        <v>46</v>
      </c>
      <c r="D974" s="19"/>
      <c r="G974" s="1"/>
    </row>
    <row r="975" spans="1:7" x14ac:dyDescent="0.25">
      <c r="A975" s="17"/>
      <c r="C975" t="s">
        <v>528</v>
      </c>
      <c r="D975" s="19">
        <v>89772500</v>
      </c>
      <c r="G975" s="1"/>
    </row>
    <row r="976" spans="1:7" x14ac:dyDescent="0.25">
      <c r="A976" s="17"/>
      <c r="C976" t="s">
        <v>323</v>
      </c>
      <c r="D976" s="19">
        <v>2410000</v>
      </c>
      <c r="G976" s="1"/>
    </row>
    <row r="977" spans="1:7" x14ac:dyDescent="0.25">
      <c r="A977" s="17"/>
      <c r="C977" t="s">
        <v>266</v>
      </c>
      <c r="D977" s="20">
        <v>3012500</v>
      </c>
      <c r="G977" s="1"/>
    </row>
    <row r="978" spans="1:7" x14ac:dyDescent="0.25">
      <c r="A978" s="17"/>
      <c r="D978" s="19">
        <f>SUM(D975:D977)</f>
        <v>95195000</v>
      </c>
      <c r="G978" s="1"/>
    </row>
    <row r="979" spans="1:7" x14ac:dyDescent="0.25">
      <c r="A979" s="17"/>
      <c r="D979" s="19"/>
      <c r="G979" s="1"/>
    </row>
    <row r="980" spans="1:7" x14ac:dyDescent="0.25">
      <c r="A980" s="23" t="s">
        <v>22</v>
      </c>
      <c r="D980" s="19"/>
      <c r="G980" s="1"/>
    </row>
    <row r="981" spans="1:7" x14ac:dyDescent="0.25">
      <c r="A981" s="17"/>
      <c r="C981" t="s">
        <v>23</v>
      </c>
      <c r="D981" s="19">
        <v>479700000</v>
      </c>
      <c r="G981" s="1"/>
    </row>
    <row r="982" spans="1:7" x14ac:dyDescent="0.25">
      <c r="A982" s="17"/>
      <c r="C982" t="s">
        <v>24</v>
      </c>
      <c r="D982" s="19">
        <v>1837764460</v>
      </c>
      <c r="G982" s="1"/>
    </row>
    <row r="983" spans="1:7" x14ac:dyDescent="0.25">
      <c r="A983" s="17"/>
      <c r="C983" t="s">
        <v>111</v>
      </c>
      <c r="D983" s="20">
        <v>152100000</v>
      </c>
      <c r="G983" s="38"/>
    </row>
    <row r="984" spans="1:7" x14ac:dyDescent="0.25">
      <c r="A984" s="17"/>
      <c r="D984" s="19">
        <f>SUM(D981:D983)</f>
        <v>2469564460</v>
      </c>
      <c r="G984" s="1"/>
    </row>
    <row r="985" spans="1:7" x14ac:dyDescent="0.25">
      <c r="A985" s="17"/>
      <c r="D985" s="19"/>
      <c r="G985" s="1"/>
    </row>
    <row r="986" spans="1:7" x14ac:dyDescent="0.25">
      <c r="A986" s="43" t="s">
        <v>25</v>
      </c>
      <c r="B986" s="44"/>
      <c r="C986" s="44"/>
      <c r="D986" s="25">
        <f>D959+D972+D978-D984</f>
        <v>1370778647.8400002</v>
      </c>
      <c r="G986" s="1"/>
    </row>
    <row r="987" spans="1:7" x14ac:dyDescent="0.25">
      <c r="A987" s="21"/>
      <c r="B987" s="22"/>
      <c r="C987" s="22"/>
      <c r="D987" s="20"/>
      <c r="G987" s="1"/>
    </row>
    <row r="989" spans="1:7" x14ac:dyDescent="0.25">
      <c r="A989" s="40" t="s">
        <v>13</v>
      </c>
      <c r="B989" s="40"/>
      <c r="C989" s="40"/>
      <c r="D989" s="40"/>
      <c r="G989" s="1"/>
    </row>
    <row r="990" spans="1:7" x14ac:dyDescent="0.25">
      <c r="A990" s="41" t="s">
        <v>14</v>
      </c>
      <c r="B990" s="41"/>
      <c r="C990" s="41"/>
      <c r="D990" s="41"/>
      <c r="G990" s="1"/>
    </row>
    <row r="991" spans="1:7" x14ac:dyDescent="0.25">
      <c r="A991" s="42">
        <v>45773</v>
      </c>
      <c r="B991" s="42"/>
      <c r="C991" s="42"/>
      <c r="D991" s="42"/>
      <c r="G991" s="1"/>
    </row>
    <row r="992" spans="1:7" x14ac:dyDescent="0.25">
      <c r="A992" s="13"/>
      <c r="B992" s="13"/>
      <c r="C992" s="13"/>
      <c r="D992" s="13"/>
      <c r="G992" s="1"/>
    </row>
    <row r="993" spans="1:7" x14ac:dyDescent="0.25">
      <c r="A993" s="14"/>
      <c r="B993" s="15"/>
      <c r="C993" s="15"/>
      <c r="D993" s="16"/>
      <c r="F993" s="5" t="s">
        <v>26</v>
      </c>
      <c r="G993" s="1">
        <f>D1033-D986</f>
        <v>22075000</v>
      </c>
    </row>
    <row r="994" spans="1:7" x14ac:dyDescent="0.25">
      <c r="A994" s="17"/>
      <c r="D994" s="32" t="s">
        <v>16</v>
      </c>
      <c r="G994" s="1"/>
    </row>
    <row r="995" spans="1:7" x14ac:dyDescent="0.25">
      <c r="A995" s="23" t="s">
        <v>15</v>
      </c>
      <c r="D995" s="18" t="s">
        <v>17</v>
      </c>
      <c r="F995" s="26" t="s">
        <v>27</v>
      </c>
      <c r="G995" s="1"/>
    </row>
    <row r="996" spans="1:7" x14ac:dyDescent="0.25">
      <c r="A996" s="17"/>
      <c r="B996" s="24" t="s">
        <v>18</v>
      </c>
      <c r="D996" s="19"/>
      <c r="F996" s="27" t="s">
        <v>28</v>
      </c>
      <c r="G996" s="1"/>
    </row>
    <row r="997" spans="1:7" x14ac:dyDescent="0.25">
      <c r="A997" s="17"/>
      <c r="C997" s="2" t="s">
        <v>31</v>
      </c>
      <c r="D997" s="19">
        <v>31702588.940000001</v>
      </c>
      <c r="F997" t="s">
        <v>359</v>
      </c>
      <c r="G997" s="1">
        <v>22075000</v>
      </c>
    </row>
    <row r="998" spans="1:7" x14ac:dyDescent="0.25">
      <c r="A998" s="17"/>
      <c r="C998" s="2" t="s">
        <v>32</v>
      </c>
      <c r="D998" s="19">
        <v>141734453.90000001</v>
      </c>
      <c r="G998" s="30">
        <f>SUM(G997:G997)</f>
        <v>22075000</v>
      </c>
    </row>
    <row r="999" spans="1:7" x14ac:dyDescent="0.25">
      <c r="A999" s="17"/>
      <c r="C999" s="2" t="s">
        <v>33</v>
      </c>
      <c r="D999" s="19">
        <v>-608006736.60000002</v>
      </c>
      <c r="F999" s="28" t="s">
        <v>29</v>
      </c>
      <c r="G999" s="1"/>
    </row>
    <row r="1000" spans="1:7" x14ac:dyDescent="0.25">
      <c r="A1000" s="17"/>
      <c r="C1000" s="2" t="s">
        <v>34</v>
      </c>
      <c r="D1000" s="19">
        <v>2771891</v>
      </c>
      <c r="G1000" s="1">
        <v>0</v>
      </c>
    </row>
    <row r="1001" spans="1:7" x14ac:dyDescent="0.25">
      <c r="A1001" s="17"/>
      <c r="C1001" s="2" t="s">
        <v>35</v>
      </c>
      <c r="D1001" s="19">
        <v>1604550</v>
      </c>
      <c r="G1001" s="30">
        <f>SUM(G1000:G1000)</f>
        <v>0</v>
      </c>
    </row>
    <row r="1002" spans="1:7" x14ac:dyDescent="0.25">
      <c r="A1002" s="17"/>
      <c r="C1002" s="2" t="s">
        <v>36</v>
      </c>
      <c r="D1002" s="19">
        <v>259523410.59999999</v>
      </c>
      <c r="G1002" s="1"/>
    </row>
    <row r="1003" spans="1:7" x14ac:dyDescent="0.25">
      <c r="A1003" s="17"/>
      <c r="C1003" s="2" t="s">
        <v>37</v>
      </c>
      <c r="D1003" s="19">
        <v>-147189392</v>
      </c>
      <c r="F1003" s="28" t="s">
        <v>30</v>
      </c>
      <c r="G1003" s="29">
        <f>G998-G1001</f>
        <v>22075000</v>
      </c>
    </row>
    <row r="1004" spans="1:7" x14ac:dyDescent="0.25">
      <c r="A1004" s="17"/>
      <c r="C1004" s="2" t="s">
        <v>51</v>
      </c>
      <c r="D1004" s="20">
        <v>130317</v>
      </c>
    </row>
    <row r="1005" spans="1:7" x14ac:dyDescent="0.25">
      <c r="A1005" s="17"/>
      <c r="B1005" s="24" t="s">
        <v>19</v>
      </c>
      <c r="D1005" s="19">
        <f>SUM(D997:D1004)</f>
        <v>-317728917.15999997</v>
      </c>
    </row>
    <row r="1006" spans="1:7" x14ac:dyDescent="0.25">
      <c r="A1006" s="17"/>
      <c r="D1006" s="19"/>
    </row>
    <row r="1007" spans="1:7" x14ac:dyDescent="0.25">
      <c r="A1007" s="17"/>
      <c r="B1007" s="24" t="s">
        <v>20</v>
      </c>
      <c r="D1007" s="19"/>
    </row>
    <row r="1008" spans="1:7" x14ac:dyDescent="0.25">
      <c r="A1008" s="17"/>
      <c r="C1008" t="s">
        <v>7</v>
      </c>
      <c r="D1008" s="19">
        <v>2565331525</v>
      </c>
    </row>
    <row r="1009" spans="1:7" x14ac:dyDescent="0.25">
      <c r="A1009" s="17"/>
      <c r="C1009" t="s">
        <v>47</v>
      </c>
      <c r="D1009" s="19">
        <v>10210000</v>
      </c>
    </row>
    <row r="1010" spans="1:7" x14ac:dyDescent="0.25">
      <c r="A1010" s="17"/>
      <c r="C1010" t="s">
        <v>21</v>
      </c>
      <c r="D1010" s="19">
        <v>809385500</v>
      </c>
    </row>
    <row r="1011" spans="1:7" x14ac:dyDescent="0.25">
      <c r="A1011" s="17"/>
      <c r="C1011" t="s">
        <v>45</v>
      </c>
      <c r="D1011" s="19">
        <v>25000000</v>
      </c>
    </row>
    <row r="1012" spans="1:7" x14ac:dyDescent="0.25">
      <c r="A1012" s="17"/>
      <c r="C1012" t="s">
        <v>48</v>
      </c>
      <c r="D1012" s="19">
        <v>30000000</v>
      </c>
    </row>
    <row r="1013" spans="1:7" x14ac:dyDescent="0.25">
      <c r="A1013" s="17"/>
      <c r="C1013" t="s">
        <v>68</v>
      </c>
      <c r="D1013" s="19">
        <v>141000000</v>
      </c>
    </row>
    <row r="1014" spans="1:7" x14ac:dyDescent="0.25">
      <c r="A1014" s="17"/>
      <c r="C1014" t="s">
        <v>68</v>
      </c>
      <c r="D1014" s="19">
        <v>145000000</v>
      </c>
    </row>
    <row r="1015" spans="1:7" x14ac:dyDescent="0.25">
      <c r="A1015" s="17"/>
      <c r="C1015" t="s">
        <v>387</v>
      </c>
      <c r="D1015" s="19">
        <v>160000000</v>
      </c>
    </row>
    <row r="1016" spans="1:7" x14ac:dyDescent="0.25">
      <c r="A1016" s="17"/>
      <c r="C1016" t="s">
        <v>518</v>
      </c>
      <c r="D1016" s="19">
        <v>100000000</v>
      </c>
    </row>
    <row r="1017" spans="1:7" x14ac:dyDescent="0.25">
      <c r="A1017" s="17"/>
      <c r="C1017" t="s">
        <v>534</v>
      </c>
      <c r="D1017" s="20">
        <v>101500000</v>
      </c>
    </row>
    <row r="1018" spans="1:7" x14ac:dyDescent="0.25">
      <c r="A1018" s="17"/>
      <c r="D1018" s="19">
        <f>SUM(D1008:D1017)</f>
        <v>4087427025</v>
      </c>
      <c r="G1018" s="1"/>
    </row>
    <row r="1019" spans="1:7" x14ac:dyDescent="0.25">
      <c r="A1019" s="17"/>
      <c r="D1019" s="19"/>
      <c r="G1019" s="1"/>
    </row>
    <row r="1020" spans="1:7" x14ac:dyDescent="0.25">
      <c r="A1020" s="17"/>
      <c r="B1020" s="24" t="s">
        <v>46</v>
      </c>
      <c r="D1020" s="19"/>
      <c r="G1020" s="1"/>
    </row>
    <row r="1021" spans="1:7" x14ac:dyDescent="0.25">
      <c r="A1021" s="17"/>
      <c r="C1021" t="s">
        <v>528</v>
      </c>
      <c r="D1021" s="19">
        <v>89772500</v>
      </c>
      <c r="G1021" s="1"/>
    </row>
    <row r="1022" spans="1:7" x14ac:dyDescent="0.25">
      <c r="A1022" s="17"/>
      <c r="C1022" t="s">
        <v>323</v>
      </c>
      <c r="D1022" s="19">
        <v>2410000</v>
      </c>
      <c r="G1022" s="1"/>
    </row>
    <row r="1023" spans="1:7" x14ac:dyDescent="0.25">
      <c r="A1023" s="17"/>
      <c r="C1023" t="s">
        <v>266</v>
      </c>
      <c r="D1023" s="20">
        <v>3012500</v>
      </c>
      <c r="G1023" s="1"/>
    </row>
    <row r="1024" spans="1:7" x14ac:dyDescent="0.25">
      <c r="A1024" s="17"/>
      <c r="D1024" s="19">
        <f>SUM(D1021:D1023)</f>
        <v>95195000</v>
      </c>
      <c r="G1024" s="1"/>
    </row>
    <row r="1025" spans="1:7" x14ac:dyDescent="0.25">
      <c r="A1025" s="17"/>
      <c r="D1025" s="19"/>
      <c r="G1025" s="1"/>
    </row>
    <row r="1026" spans="1:7" x14ac:dyDescent="0.25">
      <c r="A1026" s="23" t="s">
        <v>22</v>
      </c>
      <c r="D1026" s="19"/>
      <c r="G1026" s="1"/>
    </row>
    <row r="1027" spans="1:7" x14ac:dyDescent="0.25">
      <c r="A1027" s="17"/>
      <c r="C1027" t="s">
        <v>23</v>
      </c>
      <c r="D1027" s="19">
        <v>479700000</v>
      </c>
      <c r="G1027" s="1"/>
    </row>
    <row r="1028" spans="1:7" x14ac:dyDescent="0.25">
      <c r="A1028" s="17"/>
      <c r="C1028" t="s">
        <v>24</v>
      </c>
      <c r="D1028" s="19">
        <v>1837764460</v>
      </c>
      <c r="G1028" s="1"/>
    </row>
    <row r="1029" spans="1:7" x14ac:dyDescent="0.25">
      <c r="A1029" s="17"/>
      <c r="C1029" t="s">
        <v>543</v>
      </c>
      <c r="D1029" s="19">
        <v>78525000</v>
      </c>
      <c r="G1029" s="1"/>
    </row>
    <row r="1030" spans="1:7" x14ac:dyDescent="0.25">
      <c r="A1030" s="17"/>
      <c r="C1030" t="s">
        <v>111</v>
      </c>
      <c r="D1030" s="20">
        <v>76050000</v>
      </c>
      <c r="G1030" s="38"/>
    </row>
    <row r="1031" spans="1:7" x14ac:dyDescent="0.25">
      <c r="A1031" s="17"/>
      <c r="D1031" s="19">
        <f>SUM(D1027:D1030)</f>
        <v>2472039460</v>
      </c>
      <c r="G1031" s="1"/>
    </row>
    <row r="1032" spans="1:7" x14ac:dyDescent="0.25">
      <c r="A1032" s="17"/>
      <c r="D1032" s="19"/>
      <c r="G1032" s="1"/>
    </row>
    <row r="1033" spans="1:7" x14ac:dyDescent="0.25">
      <c r="A1033" s="43" t="s">
        <v>25</v>
      </c>
      <c r="B1033" s="44"/>
      <c r="C1033" s="44"/>
      <c r="D1033" s="25">
        <f>D1005+D1018+D1024-D1031</f>
        <v>1392853647.8400002</v>
      </c>
      <c r="G1033" s="1"/>
    </row>
    <row r="1034" spans="1:7" x14ac:dyDescent="0.25">
      <c r="A1034" s="21"/>
      <c r="B1034" s="22"/>
      <c r="C1034" s="22"/>
      <c r="D1034" s="20"/>
      <c r="G1034" s="1"/>
    </row>
    <row r="1036" spans="1:7" x14ac:dyDescent="0.25">
      <c r="A1036" s="40" t="s">
        <v>13</v>
      </c>
      <c r="B1036" s="40"/>
      <c r="C1036" s="40"/>
      <c r="D1036" s="40"/>
      <c r="G1036" s="1"/>
    </row>
    <row r="1037" spans="1:7" x14ac:dyDescent="0.25">
      <c r="A1037" s="41" t="s">
        <v>14</v>
      </c>
      <c r="B1037" s="41"/>
      <c r="C1037" s="41"/>
      <c r="D1037" s="41"/>
      <c r="G1037" s="1"/>
    </row>
    <row r="1038" spans="1:7" x14ac:dyDescent="0.25">
      <c r="A1038" s="42">
        <v>45775</v>
      </c>
      <c r="B1038" s="42"/>
      <c r="C1038" s="42"/>
      <c r="D1038" s="42"/>
      <c r="G1038" s="1"/>
    </row>
    <row r="1039" spans="1:7" x14ac:dyDescent="0.25">
      <c r="A1039" s="13"/>
      <c r="B1039" s="13"/>
      <c r="C1039" s="13"/>
      <c r="D1039" s="13"/>
      <c r="G1039" s="1"/>
    </row>
    <row r="1040" spans="1:7" x14ac:dyDescent="0.25">
      <c r="A1040" s="14"/>
      <c r="B1040" s="15"/>
      <c r="C1040" s="15"/>
      <c r="D1040" s="16"/>
      <c r="F1040" s="5" t="s">
        <v>26</v>
      </c>
      <c r="G1040" s="1">
        <f>D1079-D1033</f>
        <v>20253310</v>
      </c>
    </row>
    <row r="1041" spans="1:7" x14ac:dyDescent="0.25">
      <c r="A1041" s="17"/>
      <c r="D1041" s="32" t="s">
        <v>16</v>
      </c>
      <c r="G1041" s="1"/>
    </row>
    <row r="1042" spans="1:7" x14ac:dyDescent="0.25">
      <c r="A1042" s="23" t="s">
        <v>15</v>
      </c>
      <c r="D1042" s="18" t="s">
        <v>17</v>
      </c>
      <c r="F1042" s="26" t="s">
        <v>27</v>
      </c>
      <c r="G1042" s="1"/>
    </row>
    <row r="1043" spans="1:7" x14ac:dyDescent="0.25">
      <c r="A1043" s="17"/>
      <c r="B1043" s="24" t="s">
        <v>18</v>
      </c>
      <c r="D1043" s="19"/>
      <c r="F1043" s="27" t="s">
        <v>28</v>
      </c>
      <c r="G1043" s="1"/>
    </row>
    <row r="1044" spans="1:7" x14ac:dyDescent="0.25">
      <c r="A1044" s="17"/>
      <c r="C1044" s="2" t="s">
        <v>31</v>
      </c>
      <c r="D1044" s="19">
        <v>127102588.94</v>
      </c>
      <c r="F1044" t="s">
        <v>254</v>
      </c>
      <c r="G1044" s="1">
        <v>29771000</v>
      </c>
    </row>
    <row r="1045" spans="1:7" x14ac:dyDescent="0.25">
      <c r="A1045" s="17"/>
      <c r="C1045" s="2" t="s">
        <v>32</v>
      </c>
      <c r="D1045" s="19">
        <v>141734453.90000001</v>
      </c>
      <c r="F1045" t="s">
        <v>90</v>
      </c>
      <c r="G1045" s="1">
        <v>187500</v>
      </c>
    </row>
    <row r="1046" spans="1:7" x14ac:dyDescent="0.25">
      <c r="A1046" s="17"/>
      <c r="C1046" s="2" t="s">
        <v>33</v>
      </c>
      <c r="D1046" s="19">
        <v>-291667386.60000002</v>
      </c>
      <c r="G1046" s="30">
        <f>SUM(G1044:G1045)</f>
        <v>29958500</v>
      </c>
    </row>
    <row r="1047" spans="1:7" x14ac:dyDescent="0.25">
      <c r="A1047" s="17"/>
      <c r="C1047" s="2" t="s">
        <v>34</v>
      </c>
      <c r="D1047" s="19">
        <v>21771891</v>
      </c>
      <c r="F1047" s="28" t="s">
        <v>29</v>
      </c>
      <c r="G1047" s="1"/>
    </row>
    <row r="1048" spans="1:7" x14ac:dyDescent="0.25">
      <c r="A1048" s="17"/>
      <c r="C1048" s="2" t="s">
        <v>35</v>
      </c>
      <c r="D1048" s="19">
        <v>1604550</v>
      </c>
      <c r="F1048" t="s">
        <v>161</v>
      </c>
      <c r="G1048" s="1">
        <v>5000</v>
      </c>
    </row>
    <row r="1049" spans="1:7" x14ac:dyDescent="0.25">
      <c r="A1049" s="17"/>
      <c r="C1049" s="2" t="s">
        <v>36</v>
      </c>
      <c r="D1049" s="19">
        <v>259523410.59999999</v>
      </c>
      <c r="F1049" t="s">
        <v>122</v>
      </c>
      <c r="G1049" s="1">
        <v>264000</v>
      </c>
    </row>
    <row r="1050" spans="1:7" x14ac:dyDescent="0.25">
      <c r="A1050" s="17"/>
      <c r="C1050" s="2" t="s">
        <v>37</v>
      </c>
      <c r="D1050" s="19">
        <v>-146933392</v>
      </c>
      <c r="F1050" t="s">
        <v>112</v>
      </c>
      <c r="G1050" s="1">
        <v>6000000</v>
      </c>
    </row>
    <row r="1051" spans="1:7" x14ac:dyDescent="0.25">
      <c r="A1051" s="17"/>
      <c r="C1051" s="2" t="s">
        <v>51</v>
      </c>
      <c r="D1051" s="20">
        <v>130317</v>
      </c>
      <c r="F1051" t="s">
        <v>545</v>
      </c>
      <c r="G1051" s="1">
        <v>3436190</v>
      </c>
    </row>
    <row r="1052" spans="1:7" x14ac:dyDescent="0.25">
      <c r="A1052" s="17"/>
      <c r="B1052" s="24" t="s">
        <v>19</v>
      </c>
      <c r="D1052" s="19">
        <f>SUM(D1044:D1051)</f>
        <v>113266432.84</v>
      </c>
      <c r="G1052" s="30">
        <f>SUM(G1048:G1051)</f>
        <v>9705190</v>
      </c>
    </row>
    <row r="1053" spans="1:7" x14ac:dyDescent="0.25">
      <c r="A1053" s="17"/>
      <c r="D1053" s="19"/>
      <c r="G1053" s="1"/>
    </row>
    <row r="1054" spans="1:7" x14ac:dyDescent="0.25">
      <c r="A1054" s="17"/>
      <c r="B1054" s="24" t="s">
        <v>20</v>
      </c>
      <c r="D1054" s="19"/>
      <c r="F1054" s="28" t="s">
        <v>30</v>
      </c>
      <c r="G1054" s="29">
        <f>G1046-G1052</f>
        <v>20253310</v>
      </c>
    </row>
    <row r="1055" spans="1:7" x14ac:dyDescent="0.25">
      <c r="A1055" s="17"/>
      <c r="C1055" t="s">
        <v>7</v>
      </c>
      <c r="D1055" s="19">
        <v>2306556525</v>
      </c>
    </row>
    <row r="1056" spans="1:7" x14ac:dyDescent="0.25">
      <c r="A1056" s="17"/>
      <c r="C1056" t="s">
        <v>47</v>
      </c>
      <c r="D1056" s="19">
        <v>12750000</v>
      </c>
    </row>
    <row r="1057" spans="1:7" x14ac:dyDescent="0.25">
      <c r="A1057" s="17"/>
      <c r="C1057" t="s">
        <v>21</v>
      </c>
      <c r="D1057" s="19">
        <v>709009500</v>
      </c>
    </row>
    <row r="1058" spans="1:7" x14ac:dyDescent="0.25">
      <c r="A1058" s="17"/>
      <c r="C1058" t="s">
        <v>45</v>
      </c>
      <c r="D1058" s="19">
        <v>25000000</v>
      </c>
    </row>
    <row r="1059" spans="1:7" x14ac:dyDescent="0.25">
      <c r="A1059" s="17"/>
      <c r="C1059" t="s">
        <v>48</v>
      </c>
      <c r="D1059" s="19">
        <v>30000000</v>
      </c>
    </row>
    <row r="1060" spans="1:7" x14ac:dyDescent="0.25">
      <c r="A1060" s="17"/>
      <c r="C1060" t="s">
        <v>68</v>
      </c>
      <c r="D1060" s="19">
        <v>141000000</v>
      </c>
    </row>
    <row r="1061" spans="1:7" x14ac:dyDescent="0.25">
      <c r="A1061" s="17"/>
      <c r="C1061" t="s">
        <v>68</v>
      </c>
      <c r="D1061" s="19">
        <v>145000000</v>
      </c>
    </row>
    <row r="1062" spans="1:7" x14ac:dyDescent="0.25">
      <c r="A1062" s="17"/>
      <c r="C1062" t="s">
        <v>387</v>
      </c>
      <c r="D1062" s="19">
        <v>160000000</v>
      </c>
    </row>
    <row r="1063" spans="1:7" x14ac:dyDescent="0.25">
      <c r="A1063" s="17"/>
      <c r="C1063" t="s">
        <v>518</v>
      </c>
      <c r="D1063" s="19">
        <v>100000000</v>
      </c>
    </row>
    <row r="1064" spans="1:7" x14ac:dyDescent="0.25">
      <c r="A1064" s="17"/>
      <c r="C1064" t="s">
        <v>544</v>
      </c>
      <c r="D1064" s="19">
        <v>1160000</v>
      </c>
    </row>
    <row r="1065" spans="1:7" x14ac:dyDescent="0.25">
      <c r="A1065" s="17"/>
      <c r="C1065" t="s">
        <v>534</v>
      </c>
      <c r="D1065" s="20">
        <v>20500000</v>
      </c>
    </row>
    <row r="1066" spans="1:7" x14ac:dyDescent="0.25">
      <c r="A1066" s="17"/>
      <c r="D1066" s="19">
        <f>SUM(D1055:D1065)</f>
        <v>3650976025</v>
      </c>
      <c r="G1066" s="1"/>
    </row>
    <row r="1067" spans="1:7" x14ac:dyDescent="0.25">
      <c r="A1067" s="17"/>
      <c r="D1067" s="19"/>
      <c r="G1067" s="1"/>
    </row>
    <row r="1068" spans="1:7" x14ac:dyDescent="0.25">
      <c r="A1068" s="17"/>
      <c r="B1068" s="24" t="s">
        <v>46</v>
      </c>
      <c r="D1068" s="19"/>
      <c r="G1068" s="1"/>
    </row>
    <row r="1069" spans="1:7" x14ac:dyDescent="0.25">
      <c r="A1069" s="17"/>
      <c r="C1069" t="s">
        <v>528</v>
      </c>
      <c r="D1069" s="19">
        <v>89772500</v>
      </c>
      <c r="G1069" s="1"/>
    </row>
    <row r="1070" spans="1:7" x14ac:dyDescent="0.25">
      <c r="A1070" s="17"/>
      <c r="C1070" t="s">
        <v>323</v>
      </c>
      <c r="D1070" s="20">
        <v>2410000</v>
      </c>
      <c r="G1070" s="1"/>
    </row>
    <row r="1071" spans="1:7" x14ac:dyDescent="0.25">
      <c r="A1071" s="17"/>
      <c r="D1071" s="19">
        <f>SUM(D1069:D1070)</f>
        <v>92182500</v>
      </c>
      <c r="G1071" s="1"/>
    </row>
    <row r="1072" spans="1:7" x14ac:dyDescent="0.25">
      <c r="A1072" s="17"/>
      <c r="D1072" s="19"/>
      <c r="G1072" s="1"/>
    </row>
    <row r="1073" spans="1:7" x14ac:dyDescent="0.25">
      <c r="A1073" s="23" t="s">
        <v>22</v>
      </c>
      <c r="D1073" s="19"/>
      <c r="G1073" s="1"/>
    </row>
    <row r="1074" spans="1:7" x14ac:dyDescent="0.25">
      <c r="A1074" s="17"/>
      <c r="C1074" t="s">
        <v>23</v>
      </c>
      <c r="D1074" s="19">
        <v>484650000</v>
      </c>
      <c r="G1074" s="1"/>
    </row>
    <row r="1075" spans="1:7" x14ac:dyDescent="0.25">
      <c r="A1075" s="17"/>
      <c r="C1075" t="s">
        <v>24</v>
      </c>
      <c r="D1075" s="19">
        <v>1882618000</v>
      </c>
      <c r="G1075" s="1"/>
    </row>
    <row r="1076" spans="1:7" x14ac:dyDescent="0.25">
      <c r="A1076" s="17"/>
      <c r="C1076" t="s">
        <v>111</v>
      </c>
      <c r="D1076" s="20">
        <v>76050000</v>
      </c>
      <c r="G1076" s="38"/>
    </row>
    <row r="1077" spans="1:7" x14ac:dyDescent="0.25">
      <c r="A1077" s="17"/>
      <c r="D1077" s="19">
        <f>SUM(D1074:D1076)</f>
        <v>2443318000</v>
      </c>
      <c r="G1077" s="1"/>
    </row>
    <row r="1078" spans="1:7" x14ac:dyDescent="0.25">
      <c r="A1078" s="17"/>
      <c r="D1078" s="19"/>
      <c r="G1078" s="1"/>
    </row>
    <row r="1079" spans="1:7" x14ac:dyDescent="0.25">
      <c r="A1079" s="43" t="s">
        <v>25</v>
      </c>
      <c r="B1079" s="44"/>
      <c r="C1079" s="44"/>
      <c r="D1079" s="25">
        <f>D1052+D1066+D1071-D1077</f>
        <v>1413106957.8400002</v>
      </c>
      <c r="G1079" s="1"/>
    </row>
    <row r="1080" spans="1:7" x14ac:dyDescent="0.25">
      <c r="A1080" s="21"/>
      <c r="B1080" s="22"/>
      <c r="C1080" s="22"/>
      <c r="D1080" s="20"/>
      <c r="G1080" s="1"/>
    </row>
    <row r="1082" spans="1:7" x14ac:dyDescent="0.25">
      <c r="A1082" s="40" t="s">
        <v>13</v>
      </c>
      <c r="B1082" s="40"/>
      <c r="C1082" s="40"/>
      <c r="D1082" s="40"/>
      <c r="G1082" s="1"/>
    </row>
    <row r="1083" spans="1:7" x14ac:dyDescent="0.25">
      <c r="A1083" s="41" t="s">
        <v>14</v>
      </c>
      <c r="B1083" s="41"/>
      <c r="C1083" s="41"/>
      <c r="D1083" s="41"/>
      <c r="G1083" s="1"/>
    </row>
    <row r="1084" spans="1:7" x14ac:dyDescent="0.25">
      <c r="A1084" s="42">
        <v>45776</v>
      </c>
      <c r="B1084" s="42"/>
      <c r="C1084" s="42"/>
      <c r="D1084" s="42"/>
      <c r="G1084" s="1"/>
    </row>
    <row r="1085" spans="1:7" x14ac:dyDescent="0.25">
      <c r="A1085" s="13"/>
      <c r="B1085" s="13"/>
      <c r="C1085" s="13"/>
      <c r="D1085" s="13"/>
      <c r="G1085" s="1"/>
    </row>
    <row r="1086" spans="1:7" x14ac:dyDescent="0.25">
      <c r="A1086" s="14"/>
      <c r="B1086" s="15"/>
      <c r="C1086" s="15"/>
      <c r="D1086" s="16"/>
      <c r="F1086" s="5" t="s">
        <v>26</v>
      </c>
      <c r="G1086" s="1">
        <f>D1125-D1079</f>
        <v>25204155</v>
      </c>
    </row>
    <row r="1087" spans="1:7" x14ac:dyDescent="0.25">
      <c r="A1087" s="17"/>
      <c r="D1087" s="32" t="s">
        <v>16</v>
      </c>
      <c r="G1087" s="1"/>
    </row>
    <row r="1088" spans="1:7" x14ac:dyDescent="0.25">
      <c r="A1088" s="23" t="s">
        <v>15</v>
      </c>
      <c r="D1088" s="18" t="s">
        <v>17</v>
      </c>
      <c r="F1088" s="26" t="s">
        <v>27</v>
      </c>
      <c r="G1088" s="1"/>
    </row>
    <row r="1089" spans="1:10" x14ac:dyDescent="0.25">
      <c r="A1089" s="17"/>
      <c r="B1089" s="24" t="s">
        <v>18</v>
      </c>
      <c r="D1089" s="19"/>
      <c r="F1089" s="27" t="s">
        <v>28</v>
      </c>
      <c r="G1089" s="1"/>
    </row>
    <row r="1090" spans="1:10" x14ac:dyDescent="0.25">
      <c r="A1090" s="17"/>
      <c r="C1090" s="2" t="s">
        <v>31</v>
      </c>
      <c r="D1090" s="19">
        <v>50912588.939999998</v>
      </c>
      <c r="F1090" t="s">
        <v>546</v>
      </c>
      <c r="G1090" s="1">
        <v>30347000</v>
      </c>
    </row>
    <row r="1091" spans="1:10" x14ac:dyDescent="0.25">
      <c r="A1091" s="17"/>
      <c r="C1091" s="2" t="s">
        <v>32</v>
      </c>
      <c r="D1091" s="19">
        <v>156854453.90000001</v>
      </c>
      <c r="F1091" t="s">
        <v>90</v>
      </c>
      <c r="G1091" s="1">
        <v>335000</v>
      </c>
    </row>
    <row r="1092" spans="1:10" x14ac:dyDescent="0.25">
      <c r="A1092" s="17"/>
      <c r="C1092" s="2" t="s">
        <v>33</v>
      </c>
      <c r="D1092" s="19">
        <v>-148993386.59999999</v>
      </c>
      <c r="F1092" t="s">
        <v>551</v>
      </c>
      <c r="G1092" s="1">
        <v>450000</v>
      </c>
    </row>
    <row r="1093" spans="1:10" x14ac:dyDescent="0.25">
      <c r="A1093" s="17"/>
      <c r="C1093" s="2" t="s">
        <v>34</v>
      </c>
      <c r="D1093" s="19">
        <v>2271891</v>
      </c>
      <c r="F1093" t="s">
        <v>343</v>
      </c>
      <c r="G1093" s="1">
        <v>75313</v>
      </c>
    </row>
    <row r="1094" spans="1:10" x14ac:dyDescent="0.25">
      <c r="A1094" s="17"/>
      <c r="C1094" s="2" t="s">
        <v>35</v>
      </c>
      <c r="D1094" s="19">
        <v>1604550</v>
      </c>
      <c r="G1094" s="30">
        <f>SUM(G1090:G1093)</f>
        <v>31207313</v>
      </c>
    </row>
    <row r="1095" spans="1:10" x14ac:dyDescent="0.25">
      <c r="A1095" s="17"/>
      <c r="C1095" s="2" t="s">
        <v>36</v>
      </c>
      <c r="D1095" s="19">
        <v>33210565.600000001</v>
      </c>
      <c r="F1095" s="28" t="s">
        <v>29</v>
      </c>
      <c r="G1095" s="1"/>
      <c r="J1095" s="38"/>
    </row>
    <row r="1096" spans="1:10" x14ac:dyDescent="0.25">
      <c r="A1096" s="17"/>
      <c r="C1096" s="2" t="s">
        <v>37</v>
      </c>
      <c r="D1096" s="19">
        <v>-133133392</v>
      </c>
      <c r="F1096" t="s">
        <v>549</v>
      </c>
      <c r="G1096" s="1">
        <v>5000</v>
      </c>
    </row>
    <row r="1097" spans="1:10" x14ac:dyDescent="0.25">
      <c r="A1097" s="17"/>
      <c r="C1097" s="2" t="s">
        <v>51</v>
      </c>
      <c r="D1097" s="20">
        <v>130317</v>
      </c>
      <c r="F1097" t="s">
        <v>2</v>
      </c>
      <c r="G1097" s="1">
        <v>2250000</v>
      </c>
    </row>
    <row r="1098" spans="1:10" x14ac:dyDescent="0.25">
      <c r="A1098" s="17"/>
      <c r="B1098" s="24" t="s">
        <v>19</v>
      </c>
      <c r="D1098" s="19">
        <f>SUM(D1090:D1097)</f>
        <v>-37142412.159999996</v>
      </c>
      <c r="F1098" t="s">
        <v>99</v>
      </c>
      <c r="G1098" s="1">
        <v>30000</v>
      </c>
    </row>
    <row r="1099" spans="1:10" x14ac:dyDescent="0.25">
      <c r="A1099" s="17"/>
      <c r="D1099" s="19"/>
      <c r="F1099" t="s">
        <v>209</v>
      </c>
      <c r="G1099" s="1">
        <v>3518095</v>
      </c>
    </row>
    <row r="1100" spans="1:10" x14ac:dyDescent="0.25">
      <c r="A1100" s="17"/>
      <c r="B1100" s="24" t="s">
        <v>20</v>
      </c>
      <c r="D1100" s="19"/>
      <c r="F1100" t="s">
        <v>344</v>
      </c>
      <c r="G1100" s="1">
        <v>15063</v>
      </c>
    </row>
    <row r="1101" spans="1:10" x14ac:dyDescent="0.25">
      <c r="A1101" s="17"/>
      <c r="C1101" t="s">
        <v>7</v>
      </c>
      <c r="D1101" s="19">
        <v>2679151525</v>
      </c>
      <c r="F1101" t="s">
        <v>552</v>
      </c>
      <c r="G1101" s="1">
        <v>5000</v>
      </c>
    </row>
    <row r="1102" spans="1:10" x14ac:dyDescent="0.25">
      <c r="A1102" s="17"/>
      <c r="C1102" t="s">
        <v>47</v>
      </c>
      <c r="D1102" s="19">
        <v>6400000</v>
      </c>
      <c r="F1102" t="s">
        <v>553</v>
      </c>
      <c r="G1102" s="1">
        <v>180000</v>
      </c>
    </row>
    <row r="1103" spans="1:10" x14ac:dyDescent="0.25">
      <c r="A1103" s="17"/>
      <c r="C1103" t="s">
        <v>21</v>
      </c>
      <c r="D1103" s="19">
        <v>717124500</v>
      </c>
      <c r="G1103" s="30">
        <f>SUM(G1096:G1102)</f>
        <v>6003158</v>
      </c>
    </row>
    <row r="1104" spans="1:10" x14ac:dyDescent="0.25">
      <c r="A1104" s="17"/>
      <c r="C1104" t="s">
        <v>45</v>
      </c>
      <c r="D1104" s="19">
        <v>25000000</v>
      </c>
      <c r="G1104" s="1"/>
    </row>
    <row r="1105" spans="1:7" x14ac:dyDescent="0.25">
      <c r="A1105" s="17"/>
      <c r="C1105" t="s">
        <v>48</v>
      </c>
      <c r="D1105" s="19">
        <v>30000000</v>
      </c>
      <c r="F1105" s="28" t="s">
        <v>30</v>
      </c>
      <c r="G1105" s="29">
        <f>G1094-G1103</f>
        <v>25204155</v>
      </c>
    </row>
    <row r="1106" spans="1:7" x14ac:dyDescent="0.25">
      <c r="A1106" s="17"/>
      <c r="C1106" t="s">
        <v>68</v>
      </c>
      <c r="D1106" s="19">
        <v>141000000</v>
      </c>
    </row>
    <row r="1107" spans="1:7" x14ac:dyDescent="0.25">
      <c r="A1107" s="17"/>
      <c r="C1107" t="s">
        <v>68</v>
      </c>
      <c r="D1107" s="19">
        <v>145000000</v>
      </c>
    </row>
    <row r="1108" spans="1:7" x14ac:dyDescent="0.25">
      <c r="A1108" s="17"/>
      <c r="C1108" t="s">
        <v>387</v>
      </c>
      <c r="D1108" s="19">
        <v>160000000</v>
      </c>
    </row>
    <row r="1109" spans="1:7" x14ac:dyDescent="0.25">
      <c r="A1109" s="17"/>
      <c r="C1109" t="s">
        <v>518</v>
      </c>
      <c r="D1109" s="19">
        <v>100000000</v>
      </c>
    </row>
    <row r="1110" spans="1:7" x14ac:dyDescent="0.25">
      <c r="A1110" s="17"/>
      <c r="C1110" t="s">
        <v>550</v>
      </c>
      <c r="D1110" s="19">
        <v>139500000</v>
      </c>
      <c r="G1110" s="1"/>
    </row>
    <row r="1111" spans="1:7" x14ac:dyDescent="0.25">
      <c r="A1111" s="17"/>
      <c r="C1111" t="s">
        <v>544</v>
      </c>
      <c r="D1111" s="20">
        <v>1160000</v>
      </c>
      <c r="G1111" s="1"/>
    </row>
    <row r="1112" spans="1:7" x14ac:dyDescent="0.25">
      <c r="A1112" s="17"/>
      <c r="D1112" s="19">
        <f>SUM(D1101:D1111)</f>
        <v>4144336025</v>
      </c>
      <c r="G1112" s="1"/>
    </row>
    <row r="1113" spans="1:7" x14ac:dyDescent="0.25">
      <c r="A1113" s="17"/>
      <c r="D1113" s="19"/>
      <c r="G1113" s="1"/>
    </row>
    <row r="1114" spans="1:7" x14ac:dyDescent="0.25">
      <c r="A1114" s="17"/>
      <c r="B1114" s="24" t="s">
        <v>46</v>
      </c>
      <c r="D1114" s="19"/>
      <c r="G1114" s="1"/>
    </row>
    <row r="1115" spans="1:7" x14ac:dyDescent="0.25">
      <c r="A1115" s="17"/>
      <c r="C1115" t="s">
        <v>547</v>
      </c>
      <c r="D1115" s="19">
        <v>80735000</v>
      </c>
      <c r="G1115" s="1"/>
    </row>
    <row r="1116" spans="1:7" x14ac:dyDescent="0.25">
      <c r="A1116" s="17"/>
      <c r="C1116" t="s">
        <v>266</v>
      </c>
      <c r="D1116" s="20">
        <v>3012500</v>
      </c>
      <c r="G1116" s="1"/>
    </row>
    <row r="1117" spans="1:7" x14ac:dyDescent="0.25">
      <c r="A1117" s="17"/>
      <c r="D1117" s="19">
        <f>SUM(D1115:D1116)</f>
        <v>83747500</v>
      </c>
      <c r="G1117" s="1"/>
    </row>
    <row r="1118" spans="1:7" x14ac:dyDescent="0.25">
      <c r="A1118" s="17"/>
      <c r="D1118" s="19"/>
      <c r="G1118" s="1"/>
    </row>
    <row r="1119" spans="1:7" x14ac:dyDescent="0.25">
      <c r="A1119" s="23" t="s">
        <v>22</v>
      </c>
      <c r="D1119" s="19"/>
      <c r="G1119" s="1"/>
    </row>
    <row r="1120" spans="1:7" x14ac:dyDescent="0.25">
      <c r="A1120" s="17"/>
      <c r="C1120" t="s">
        <v>23</v>
      </c>
      <c r="D1120" s="19">
        <v>789900000</v>
      </c>
      <c r="G1120" s="1"/>
    </row>
    <row r="1121" spans="1:7" x14ac:dyDescent="0.25">
      <c r="A1121" s="17"/>
      <c r="C1121" t="s">
        <v>24</v>
      </c>
      <c r="D1121" s="19">
        <v>1802230000</v>
      </c>
      <c r="G1121" s="1"/>
    </row>
    <row r="1122" spans="1:7" x14ac:dyDescent="0.25">
      <c r="A1122" s="17"/>
      <c r="C1122" t="s">
        <v>548</v>
      </c>
      <c r="D1122" s="20">
        <v>160500000</v>
      </c>
      <c r="G1122" s="1"/>
    </row>
    <row r="1123" spans="1:7" x14ac:dyDescent="0.25">
      <c r="A1123" s="17"/>
      <c r="D1123" s="19">
        <f>SUM(D1120:D1122)</f>
        <v>2752630000</v>
      </c>
      <c r="G1123" s="1"/>
    </row>
    <row r="1124" spans="1:7" x14ac:dyDescent="0.25">
      <c r="A1124" s="17"/>
      <c r="D1124" s="19"/>
      <c r="G1124" s="1"/>
    </row>
    <row r="1125" spans="1:7" x14ac:dyDescent="0.25">
      <c r="A1125" s="43" t="s">
        <v>25</v>
      </c>
      <c r="B1125" s="44"/>
      <c r="C1125" s="44"/>
      <c r="D1125" s="25">
        <f>D1098+D1112+D1117-D1123</f>
        <v>1438311112.8400002</v>
      </c>
      <c r="G1125" s="1"/>
    </row>
    <row r="1126" spans="1:7" x14ac:dyDescent="0.25">
      <c r="A1126" s="21"/>
      <c r="B1126" s="22"/>
      <c r="C1126" s="22"/>
      <c r="D1126" s="20"/>
      <c r="G1126" s="1"/>
    </row>
    <row r="1128" spans="1:7" x14ac:dyDescent="0.25">
      <c r="A1128" s="40" t="s">
        <v>13</v>
      </c>
      <c r="B1128" s="40"/>
      <c r="C1128" s="40"/>
      <c r="D1128" s="40"/>
      <c r="G1128" s="1"/>
    </row>
    <row r="1129" spans="1:7" x14ac:dyDescent="0.25">
      <c r="A1129" s="41" t="s">
        <v>14</v>
      </c>
      <c r="B1129" s="41"/>
      <c r="C1129" s="41"/>
      <c r="D1129" s="41"/>
      <c r="G1129" s="1"/>
    </row>
    <row r="1130" spans="1:7" x14ac:dyDescent="0.25">
      <c r="A1130" s="42">
        <v>45777</v>
      </c>
      <c r="B1130" s="42"/>
      <c r="C1130" s="42"/>
      <c r="D1130" s="42"/>
      <c r="G1130" s="1"/>
    </row>
    <row r="1131" spans="1:7" x14ac:dyDescent="0.25">
      <c r="A1131" s="13"/>
      <c r="B1131" s="13"/>
      <c r="C1131" s="13"/>
      <c r="D1131" s="13"/>
      <c r="G1131" s="1"/>
    </row>
    <row r="1132" spans="1:7" x14ac:dyDescent="0.25">
      <c r="A1132" s="14"/>
      <c r="B1132" s="15"/>
      <c r="C1132" s="15"/>
      <c r="D1132" s="16"/>
      <c r="F1132" s="5" t="s">
        <v>26</v>
      </c>
      <c r="G1132" s="1">
        <f>D1172-D1125</f>
        <v>-44524830</v>
      </c>
    </row>
    <row r="1133" spans="1:7" x14ac:dyDescent="0.25">
      <c r="A1133" s="17"/>
      <c r="D1133" s="32" t="s">
        <v>16</v>
      </c>
      <c r="G1133" s="1"/>
    </row>
    <row r="1134" spans="1:7" x14ac:dyDescent="0.25">
      <c r="A1134" s="23" t="s">
        <v>15</v>
      </c>
      <c r="D1134" s="18" t="s">
        <v>17</v>
      </c>
      <c r="F1134" s="26" t="s">
        <v>27</v>
      </c>
      <c r="G1134" s="1"/>
    </row>
    <row r="1135" spans="1:7" x14ac:dyDescent="0.25">
      <c r="A1135" s="17"/>
      <c r="B1135" s="24" t="s">
        <v>18</v>
      </c>
      <c r="D1135" s="19"/>
      <c r="F1135" s="27" t="s">
        <v>28</v>
      </c>
      <c r="G1135" s="1"/>
    </row>
    <row r="1136" spans="1:7" x14ac:dyDescent="0.25">
      <c r="A1136" s="17"/>
      <c r="C1136" s="2" t="s">
        <v>31</v>
      </c>
      <c r="D1136" s="19">
        <v>4312588.9400000004</v>
      </c>
      <c r="F1136" t="s">
        <v>261</v>
      </c>
      <c r="G1136" s="1">
        <v>17670000</v>
      </c>
    </row>
    <row r="1137" spans="1:10" x14ac:dyDescent="0.25">
      <c r="A1137" s="17"/>
      <c r="C1137" s="2" t="s">
        <v>32</v>
      </c>
      <c r="D1137" s="19">
        <v>156854453.90000001</v>
      </c>
      <c r="F1137" t="s">
        <v>90</v>
      </c>
      <c r="G1137" s="1">
        <v>227500</v>
      </c>
    </row>
    <row r="1138" spans="1:10" x14ac:dyDescent="0.25">
      <c r="A1138" s="17"/>
      <c r="C1138" s="2" t="s">
        <v>33</v>
      </c>
      <c r="D1138" s="19">
        <v>-727630916.60000002</v>
      </c>
      <c r="G1138" s="30">
        <f>SUM(G1136:G1137)</f>
        <v>17897500</v>
      </c>
    </row>
    <row r="1139" spans="1:10" x14ac:dyDescent="0.25">
      <c r="A1139" s="17"/>
      <c r="C1139" s="2" t="s">
        <v>34</v>
      </c>
      <c r="D1139" s="19">
        <v>1419896</v>
      </c>
      <c r="F1139" s="28" t="s">
        <v>29</v>
      </c>
      <c r="G1139" s="1"/>
    </row>
    <row r="1140" spans="1:10" x14ac:dyDescent="0.25">
      <c r="A1140" s="17"/>
      <c r="C1140" s="2" t="s">
        <v>35</v>
      </c>
      <c r="D1140" s="19">
        <v>-475750</v>
      </c>
      <c r="F1140" t="s">
        <v>557</v>
      </c>
      <c r="G1140" s="1">
        <v>10901995</v>
      </c>
    </row>
    <row r="1141" spans="1:10" x14ac:dyDescent="0.25">
      <c r="A1141" s="17"/>
      <c r="C1141" s="2" t="s">
        <v>36</v>
      </c>
      <c r="D1141" s="19">
        <v>33210565.600000001</v>
      </c>
      <c r="F1141" t="s">
        <v>558</v>
      </c>
      <c r="G1141" s="1">
        <v>9791030</v>
      </c>
      <c r="J1141" s="38"/>
    </row>
    <row r="1142" spans="1:10" x14ac:dyDescent="0.25">
      <c r="A1142" s="17"/>
      <c r="C1142" s="2" t="s">
        <v>37</v>
      </c>
      <c r="D1142" s="19">
        <v>69110103</v>
      </c>
      <c r="F1142" t="s">
        <v>559</v>
      </c>
      <c r="G1142" s="1">
        <v>4541505</v>
      </c>
    </row>
    <row r="1143" spans="1:10" x14ac:dyDescent="0.25">
      <c r="A1143" s="17"/>
      <c r="C1143" s="2" t="s">
        <v>51</v>
      </c>
      <c r="D1143" s="20">
        <v>130317</v>
      </c>
      <c r="F1143" t="s">
        <v>307</v>
      </c>
      <c r="G1143" s="1">
        <v>7500</v>
      </c>
    </row>
    <row r="1144" spans="1:10" x14ac:dyDescent="0.25">
      <c r="A1144" s="17"/>
      <c r="B1144" s="24" t="s">
        <v>19</v>
      </c>
      <c r="D1144" s="19">
        <f>SUM(D1136:D1143)</f>
        <v>-463068742.15999997</v>
      </c>
      <c r="F1144" t="s">
        <v>560</v>
      </c>
      <c r="G1144" s="1">
        <v>30100000</v>
      </c>
    </row>
    <row r="1145" spans="1:10" x14ac:dyDescent="0.25">
      <c r="A1145" s="17"/>
      <c r="D1145" s="19"/>
      <c r="F1145" t="s">
        <v>563</v>
      </c>
      <c r="G1145" s="1">
        <v>2080300</v>
      </c>
    </row>
    <row r="1146" spans="1:10" x14ac:dyDescent="0.25">
      <c r="A1146" s="17"/>
      <c r="B1146" s="24" t="s">
        <v>20</v>
      </c>
      <c r="D1146" s="19"/>
      <c r="F1146" t="s">
        <v>112</v>
      </c>
      <c r="G1146" s="1">
        <v>5000000</v>
      </c>
    </row>
    <row r="1147" spans="1:10" x14ac:dyDescent="0.25">
      <c r="A1147" s="17"/>
      <c r="C1147" t="s">
        <v>7</v>
      </c>
      <c r="D1147" s="19">
        <v>2702101525</v>
      </c>
      <c r="G1147" s="30">
        <f>SUM(G1140:G1146)</f>
        <v>62422330</v>
      </c>
    </row>
    <row r="1148" spans="1:10" x14ac:dyDescent="0.25">
      <c r="A1148" s="17"/>
      <c r="C1148" t="s">
        <v>47</v>
      </c>
      <c r="D1148" s="19">
        <v>10845000</v>
      </c>
      <c r="G1148" s="1"/>
    </row>
    <row r="1149" spans="1:10" x14ac:dyDescent="0.25">
      <c r="A1149" s="17"/>
      <c r="C1149" t="s">
        <v>21</v>
      </c>
      <c r="D1149" s="19">
        <v>776524500</v>
      </c>
      <c r="F1149" s="28" t="s">
        <v>30</v>
      </c>
      <c r="G1149" s="29">
        <f>G1138-G1147</f>
        <v>-44524830</v>
      </c>
    </row>
    <row r="1150" spans="1:10" x14ac:dyDescent="0.25">
      <c r="A1150" s="17"/>
      <c r="C1150" t="s">
        <v>45</v>
      </c>
      <c r="D1150" s="19">
        <v>25000000</v>
      </c>
    </row>
    <row r="1151" spans="1:10" x14ac:dyDescent="0.25">
      <c r="A1151" s="17"/>
      <c r="C1151" t="s">
        <v>48</v>
      </c>
      <c r="D1151" s="19">
        <v>30000000</v>
      </c>
    </row>
    <row r="1152" spans="1:10" x14ac:dyDescent="0.25">
      <c r="A1152" s="17"/>
      <c r="C1152" t="s">
        <v>68</v>
      </c>
      <c r="D1152" s="19">
        <v>141000000</v>
      </c>
    </row>
    <row r="1153" spans="1:7" x14ac:dyDescent="0.25">
      <c r="A1153" s="17"/>
      <c r="C1153" t="s">
        <v>68</v>
      </c>
      <c r="D1153" s="19">
        <v>145000000</v>
      </c>
    </row>
    <row r="1154" spans="1:7" x14ac:dyDescent="0.25">
      <c r="A1154" s="17"/>
      <c r="C1154" t="s">
        <v>387</v>
      </c>
      <c r="D1154" s="19">
        <v>160000000</v>
      </c>
    </row>
    <row r="1155" spans="1:7" x14ac:dyDescent="0.25">
      <c r="A1155" s="17"/>
      <c r="C1155" t="s">
        <v>518</v>
      </c>
      <c r="D1155" s="19">
        <v>100000000</v>
      </c>
    </row>
    <row r="1156" spans="1:7" x14ac:dyDescent="0.25">
      <c r="A1156" s="17"/>
      <c r="C1156" t="s">
        <v>550</v>
      </c>
      <c r="D1156" s="19">
        <v>139500000</v>
      </c>
      <c r="G1156" s="1"/>
    </row>
    <row r="1157" spans="1:7" x14ac:dyDescent="0.25">
      <c r="A1157" s="17"/>
      <c r="C1157" t="s">
        <v>554</v>
      </c>
      <c r="D1157" s="19">
        <v>79650000</v>
      </c>
      <c r="G1157" s="1"/>
    </row>
    <row r="1158" spans="1:7" x14ac:dyDescent="0.25">
      <c r="A1158" s="17"/>
      <c r="C1158" t="s">
        <v>544</v>
      </c>
      <c r="D1158" s="20">
        <v>1660000</v>
      </c>
      <c r="G1158" s="1"/>
    </row>
    <row r="1159" spans="1:7" x14ac:dyDescent="0.25">
      <c r="A1159" s="17"/>
      <c r="D1159" s="19">
        <f>SUM(D1147:D1158)</f>
        <v>4311281025</v>
      </c>
      <c r="G1159" s="1"/>
    </row>
    <row r="1160" spans="1:7" x14ac:dyDescent="0.25">
      <c r="A1160" s="17"/>
      <c r="D1160" s="19"/>
      <c r="G1160" s="1"/>
    </row>
    <row r="1161" spans="1:7" x14ac:dyDescent="0.25">
      <c r="A1161" s="17"/>
      <c r="B1161" s="24" t="s">
        <v>46</v>
      </c>
      <c r="D1161" s="19"/>
      <c r="G1161" s="1"/>
    </row>
    <row r="1162" spans="1:7" x14ac:dyDescent="0.25">
      <c r="A1162" s="17"/>
      <c r="C1162" t="s">
        <v>556</v>
      </c>
      <c r="D1162" s="19">
        <v>76517500</v>
      </c>
      <c r="G1162" s="1"/>
    </row>
    <row r="1163" spans="1:7" x14ac:dyDescent="0.25">
      <c r="A1163" s="17"/>
      <c r="C1163" t="s">
        <v>266</v>
      </c>
      <c r="D1163" s="20">
        <v>3012500</v>
      </c>
      <c r="G1163" s="1"/>
    </row>
    <row r="1164" spans="1:7" x14ac:dyDescent="0.25">
      <c r="A1164" s="17"/>
      <c r="D1164" s="19">
        <f>SUM(D1162:D1163)</f>
        <v>79530000</v>
      </c>
      <c r="G1164" s="1"/>
    </row>
    <row r="1165" spans="1:7" x14ac:dyDescent="0.25">
      <c r="A1165" s="17"/>
      <c r="D1165" s="19"/>
      <c r="G1165" s="1"/>
    </row>
    <row r="1166" spans="1:7" x14ac:dyDescent="0.25">
      <c r="A1166" s="23" t="s">
        <v>22</v>
      </c>
      <c r="D1166" s="19"/>
      <c r="G1166" s="1"/>
    </row>
    <row r="1167" spans="1:7" x14ac:dyDescent="0.25">
      <c r="A1167" s="17"/>
      <c r="C1167" t="s">
        <v>23</v>
      </c>
      <c r="D1167" s="19">
        <v>633300000</v>
      </c>
      <c r="G1167" s="1"/>
    </row>
    <row r="1168" spans="1:7" x14ac:dyDescent="0.25">
      <c r="A1168" s="17"/>
      <c r="C1168" t="s">
        <v>24</v>
      </c>
      <c r="D1168" s="19">
        <v>1741356000</v>
      </c>
      <c r="G1168" s="1"/>
    </row>
    <row r="1169" spans="1:7" x14ac:dyDescent="0.25">
      <c r="A1169" s="17"/>
      <c r="C1169" t="s">
        <v>548</v>
      </c>
      <c r="D1169" s="20">
        <v>159300000</v>
      </c>
      <c r="G1169" s="1"/>
    </row>
    <row r="1170" spans="1:7" x14ac:dyDescent="0.25">
      <c r="A1170" s="17"/>
      <c r="D1170" s="19">
        <f>SUM(D1167:D1169)</f>
        <v>2533956000</v>
      </c>
      <c r="G1170" s="1"/>
    </row>
    <row r="1171" spans="1:7" x14ac:dyDescent="0.25">
      <c r="A1171" s="17"/>
      <c r="D1171" s="19"/>
      <c r="G1171" s="1"/>
    </row>
    <row r="1172" spans="1:7" x14ac:dyDescent="0.25">
      <c r="A1172" s="43" t="s">
        <v>25</v>
      </c>
      <c r="B1172" s="44"/>
      <c r="C1172" s="44"/>
      <c r="D1172" s="25">
        <f>D1144+D1159+D1164-D1170</f>
        <v>1393786282.8400002</v>
      </c>
      <c r="G1172" s="1"/>
    </row>
    <row r="1173" spans="1:7" x14ac:dyDescent="0.25">
      <c r="A1173" s="21"/>
      <c r="B1173" s="22"/>
      <c r="C1173" s="22"/>
      <c r="D1173" s="20"/>
      <c r="G1173" s="1"/>
    </row>
  </sheetData>
  <mergeCells count="100">
    <mergeCell ref="A1128:D1128"/>
    <mergeCell ref="A1129:D1129"/>
    <mergeCell ref="A1130:D1130"/>
    <mergeCell ref="A1172:C1172"/>
    <mergeCell ref="A1084:D1084"/>
    <mergeCell ref="A1125:C1125"/>
    <mergeCell ref="A1038:D1038"/>
    <mergeCell ref="A1079:C1079"/>
    <mergeCell ref="A329:D329"/>
    <mergeCell ref="A420:C420"/>
    <mergeCell ref="A470:D470"/>
    <mergeCell ref="A471:D471"/>
    <mergeCell ref="A515:C515"/>
    <mergeCell ref="A659:D659"/>
    <mergeCell ref="A660:D660"/>
    <mergeCell ref="A661:D661"/>
    <mergeCell ref="A703:C703"/>
    <mergeCell ref="A518:D518"/>
    <mergeCell ref="A706:D706"/>
    <mergeCell ref="A707:D707"/>
    <mergeCell ref="A519:D519"/>
    <mergeCell ref="A799:C799"/>
    <mergeCell ref="A1082:D1082"/>
    <mergeCell ref="A1083:D1083"/>
    <mergeCell ref="A376:D376"/>
    <mergeCell ref="A330:D330"/>
    <mergeCell ref="A331:D331"/>
    <mergeCell ref="A469:D469"/>
    <mergeCell ref="A423:D423"/>
    <mergeCell ref="A424:D424"/>
    <mergeCell ref="A425:D425"/>
    <mergeCell ref="A466:C466"/>
    <mergeCell ref="A849:D849"/>
    <mergeCell ref="A373:C373"/>
    <mergeCell ref="A377:D377"/>
    <mergeCell ref="A378:D378"/>
    <mergeCell ref="A1036:D1036"/>
    <mergeCell ref="A1037:D1037"/>
    <mergeCell ref="A141:D141"/>
    <mergeCell ref="A182:C182"/>
    <mergeCell ref="A281:D281"/>
    <mergeCell ref="A326:C326"/>
    <mergeCell ref="A278:C278"/>
    <mergeCell ref="A235:D235"/>
    <mergeCell ref="A236:D236"/>
    <mergeCell ref="A186:D186"/>
    <mergeCell ref="A282:D282"/>
    <mergeCell ref="A283:D283"/>
    <mergeCell ref="A187:D187"/>
    <mergeCell ref="A231:C231"/>
    <mergeCell ref="A234:D234"/>
    <mergeCell ref="A1:D1"/>
    <mergeCell ref="A2:D2"/>
    <mergeCell ref="A3:D3"/>
    <mergeCell ref="A47:D47"/>
    <mergeCell ref="A93:D93"/>
    <mergeCell ref="A48:D48"/>
    <mergeCell ref="A49:D49"/>
    <mergeCell ref="A90:C90"/>
    <mergeCell ref="A44:C44"/>
    <mergeCell ref="A94:D94"/>
    <mergeCell ref="A95:D95"/>
    <mergeCell ref="A136:C136"/>
    <mergeCell ref="A185:D185"/>
    <mergeCell ref="A656:C656"/>
    <mergeCell ref="A566:D566"/>
    <mergeCell ref="A567:D567"/>
    <mergeCell ref="A568:D568"/>
    <mergeCell ref="A610:C610"/>
    <mergeCell ref="A520:D520"/>
    <mergeCell ref="A563:C563"/>
    <mergeCell ref="A613:D613"/>
    <mergeCell ref="A614:D614"/>
    <mergeCell ref="A615:D615"/>
    <mergeCell ref="A139:D139"/>
    <mergeCell ref="A140:D140"/>
    <mergeCell ref="A802:D802"/>
    <mergeCell ref="A803:D803"/>
    <mergeCell ref="A804:D804"/>
    <mergeCell ref="A846:C846"/>
    <mergeCell ref="A708:D708"/>
    <mergeCell ref="A751:C751"/>
    <mergeCell ref="A754:D754"/>
    <mergeCell ref="A755:D755"/>
    <mergeCell ref="A756:D756"/>
    <mergeCell ref="A896:D896"/>
    <mergeCell ref="A897:D897"/>
    <mergeCell ref="A898:D898"/>
    <mergeCell ref="A940:C940"/>
    <mergeCell ref="A850:D850"/>
    <mergeCell ref="A851:D851"/>
    <mergeCell ref="A893:C893"/>
    <mergeCell ref="A989:D989"/>
    <mergeCell ref="A990:D990"/>
    <mergeCell ref="A991:D991"/>
    <mergeCell ref="A1033:C1033"/>
    <mergeCell ref="A943:D943"/>
    <mergeCell ref="A944:D944"/>
    <mergeCell ref="A945:D945"/>
    <mergeCell ref="A986:C98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34C8-F31A-4396-8550-03190B51868C}">
  <dimension ref="A1:J1108"/>
  <sheetViews>
    <sheetView topLeftCell="A1064" zoomScale="80" zoomScaleNormal="80" workbookViewId="0">
      <selection activeCell="D1092" sqref="D1092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7.7109375" bestFit="1" customWidth="1"/>
    <col min="4" max="4" width="24.7109375" customWidth="1"/>
    <col min="5" max="5" width="5" customWidth="1"/>
    <col min="6" max="6" width="51.5703125" bestFit="1" customWidth="1"/>
    <col min="7" max="7" width="20.85546875" customWidth="1"/>
    <col min="10" max="10" width="17.7109375" bestFit="1" customWidth="1"/>
  </cols>
  <sheetData>
    <row r="1" spans="1:7" x14ac:dyDescent="0.25">
      <c r="A1" s="40" t="s">
        <v>13</v>
      </c>
      <c r="B1" s="40"/>
      <c r="C1" s="40"/>
      <c r="D1" s="40"/>
      <c r="G1" s="1"/>
    </row>
    <row r="2" spans="1:7" x14ac:dyDescent="0.25">
      <c r="A2" s="41" t="s">
        <v>14</v>
      </c>
      <c r="B2" s="41"/>
      <c r="C2" s="41"/>
      <c r="D2" s="41"/>
      <c r="G2" s="1"/>
    </row>
    <row r="3" spans="1:7" x14ac:dyDescent="0.25">
      <c r="A3" s="42">
        <v>45779</v>
      </c>
      <c r="B3" s="42"/>
      <c r="C3" s="42"/>
      <c r="D3" s="42"/>
      <c r="G3" s="1"/>
    </row>
    <row r="4" spans="1:7" x14ac:dyDescent="0.25">
      <c r="A4" s="13"/>
      <c r="B4" s="13"/>
      <c r="C4" s="13"/>
      <c r="D4" s="13"/>
      <c r="G4" s="1"/>
    </row>
    <row r="5" spans="1:7" x14ac:dyDescent="0.25">
      <c r="A5" s="14"/>
      <c r="B5" s="15"/>
      <c r="C5" s="15"/>
      <c r="D5" s="16"/>
      <c r="F5" s="5" t="s">
        <v>26</v>
      </c>
      <c r="G5" s="1">
        <f>D44-Apr!D1172</f>
        <v>10101099.009999752</v>
      </c>
    </row>
    <row r="6" spans="1:7" x14ac:dyDescent="0.25">
      <c r="A6" s="17"/>
      <c r="D6" s="32" t="s">
        <v>16</v>
      </c>
      <c r="G6" s="1"/>
    </row>
    <row r="7" spans="1:7" x14ac:dyDescent="0.25">
      <c r="A7" s="23" t="s">
        <v>15</v>
      </c>
      <c r="D7" s="18" t="s">
        <v>17</v>
      </c>
      <c r="F7" s="26" t="s">
        <v>27</v>
      </c>
      <c r="G7" s="1"/>
    </row>
    <row r="8" spans="1:7" x14ac:dyDescent="0.25">
      <c r="A8" s="17"/>
      <c r="B8" s="24" t="s">
        <v>18</v>
      </c>
      <c r="D8" s="19"/>
      <c r="F8" s="27" t="s">
        <v>28</v>
      </c>
      <c r="G8" s="1"/>
    </row>
    <row r="9" spans="1:7" x14ac:dyDescent="0.25">
      <c r="A9" s="17"/>
      <c r="C9" s="2" t="s">
        <v>31</v>
      </c>
      <c r="D9" s="19">
        <v>3213468.8</v>
      </c>
      <c r="F9" t="s">
        <v>570</v>
      </c>
      <c r="G9" s="1">
        <v>28347000</v>
      </c>
    </row>
    <row r="10" spans="1:7" x14ac:dyDescent="0.25">
      <c r="A10" s="17"/>
      <c r="C10" s="2" t="s">
        <v>32</v>
      </c>
      <c r="D10" s="19">
        <v>165050143.05000001</v>
      </c>
      <c r="F10" t="s">
        <v>90</v>
      </c>
      <c r="G10" s="1">
        <v>135000</v>
      </c>
    </row>
    <row r="11" spans="1:7" x14ac:dyDescent="0.25">
      <c r="A11" s="17"/>
      <c r="C11" s="2" t="s">
        <v>33</v>
      </c>
      <c r="D11" s="19">
        <v>-412766416.60000002</v>
      </c>
      <c r="F11" t="s">
        <v>567</v>
      </c>
      <c r="G11" s="1">
        <v>191000</v>
      </c>
    </row>
    <row r="12" spans="1:7" x14ac:dyDescent="0.25">
      <c r="A12" s="17"/>
      <c r="C12" s="2" t="s">
        <v>34</v>
      </c>
      <c r="D12" s="19">
        <v>237896</v>
      </c>
      <c r="F12" t="s">
        <v>50</v>
      </c>
      <c r="G12" s="1">
        <v>861.44</v>
      </c>
    </row>
    <row r="13" spans="1:7" x14ac:dyDescent="0.25">
      <c r="A13" s="17"/>
      <c r="C13" s="2" t="s">
        <v>35</v>
      </c>
      <c r="D13" s="19">
        <v>24250</v>
      </c>
      <c r="F13" t="s">
        <v>69</v>
      </c>
      <c r="G13" s="1">
        <v>1099.82</v>
      </c>
    </row>
    <row r="14" spans="1:7" x14ac:dyDescent="0.25">
      <c r="A14" s="17"/>
      <c r="C14" s="2" t="s">
        <v>36</v>
      </c>
      <c r="D14" s="19">
        <v>114003565.59999999</v>
      </c>
      <c r="G14" s="30">
        <f>SUM(G9:G13)</f>
        <v>28674961.260000002</v>
      </c>
    </row>
    <row r="15" spans="1:7" x14ac:dyDescent="0.25">
      <c r="A15" s="17"/>
      <c r="C15" s="2" t="s">
        <v>37</v>
      </c>
      <c r="D15" s="19">
        <v>-135705867</v>
      </c>
      <c r="F15" s="28" t="s">
        <v>29</v>
      </c>
      <c r="G15" s="1"/>
    </row>
    <row r="16" spans="1:7" x14ac:dyDescent="0.25">
      <c r="A16" s="17"/>
      <c r="C16" s="2" t="s">
        <v>51</v>
      </c>
      <c r="D16" s="20">
        <v>130317</v>
      </c>
      <c r="F16" t="s">
        <v>565</v>
      </c>
      <c r="G16" s="1">
        <v>60000</v>
      </c>
    </row>
    <row r="17" spans="1:10" x14ac:dyDescent="0.25">
      <c r="A17" s="17"/>
      <c r="B17" s="24" t="s">
        <v>19</v>
      </c>
      <c r="D17" s="19">
        <f>SUM(D9:D16)</f>
        <v>-265812643.15000001</v>
      </c>
      <c r="F17" t="s">
        <v>99</v>
      </c>
      <c r="G17" s="1">
        <v>30000</v>
      </c>
    </row>
    <row r="18" spans="1:10" x14ac:dyDescent="0.25">
      <c r="A18" s="17"/>
      <c r="D18" s="19"/>
      <c r="F18" t="s">
        <v>566</v>
      </c>
      <c r="G18" s="1">
        <v>13478500</v>
      </c>
    </row>
    <row r="19" spans="1:10" x14ac:dyDescent="0.25">
      <c r="A19" s="17"/>
      <c r="B19" s="24" t="s">
        <v>20</v>
      </c>
      <c r="D19" s="19"/>
      <c r="F19" t="s">
        <v>569</v>
      </c>
      <c r="G19" s="1">
        <v>2000</v>
      </c>
      <c r="J19" s="38"/>
    </row>
    <row r="20" spans="1:10" x14ac:dyDescent="0.25">
      <c r="A20" s="17"/>
      <c r="C20" t="s">
        <v>7</v>
      </c>
      <c r="D20" s="19">
        <v>2875016525</v>
      </c>
      <c r="F20" t="s">
        <v>71</v>
      </c>
      <c r="G20" s="1">
        <v>172.29</v>
      </c>
    </row>
    <row r="21" spans="1:10" x14ac:dyDescent="0.25">
      <c r="A21" s="17"/>
      <c r="C21" t="s">
        <v>47</v>
      </c>
      <c r="D21" s="19">
        <v>6400000</v>
      </c>
      <c r="F21" t="s">
        <v>70</v>
      </c>
      <c r="G21" s="1">
        <v>219.96</v>
      </c>
    </row>
    <row r="22" spans="1:10" x14ac:dyDescent="0.25">
      <c r="A22" s="17"/>
      <c r="C22" t="s">
        <v>21</v>
      </c>
      <c r="D22" s="19">
        <v>792234500</v>
      </c>
      <c r="F22" t="s">
        <v>571</v>
      </c>
      <c r="G22" s="1">
        <v>2970</v>
      </c>
    </row>
    <row r="23" spans="1:10" x14ac:dyDescent="0.25">
      <c r="A23" s="17"/>
      <c r="C23" t="s">
        <v>45</v>
      </c>
      <c r="D23" s="19">
        <v>25000000</v>
      </c>
      <c r="F23" t="s">
        <v>112</v>
      </c>
      <c r="G23" s="1">
        <v>5000000</v>
      </c>
    </row>
    <row r="24" spans="1:10" x14ac:dyDescent="0.25">
      <c r="A24" s="17"/>
      <c r="C24" t="s">
        <v>48</v>
      </c>
      <c r="D24" s="19">
        <v>30000000</v>
      </c>
      <c r="G24" s="30">
        <f>SUM(G16:G23)</f>
        <v>18573862.25</v>
      </c>
    </row>
    <row r="25" spans="1:10" x14ac:dyDescent="0.25">
      <c r="A25" s="17"/>
      <c r="C25" t="s">
        <v>68</v>
      </c>
      <c r="D25" s="19">
        <v>141000000</v>
      </c>
    </row>
    <row r="26" spans="1:10" x14ac:dyDescent="0.25">
      <c r="A26" s="17"/>
      <c r="C26" t="s">
        <v>68</v>
      </c>
      <c r="D26" s="19">
        <v>145000000</v>
      </c>
      <c r="F26" s="28" t="s">
        <v>30</v>
      </c>
      <c r="G26" s="29">
        <f>G14-G24</f>
        <v>10101099.010000002</v>
      </c>
    </row>
    <row r="27" spans="1:10" x14ac:dyDescent="0.25">
      <c r="A27" s="17"/>
      <c r="C27" t="s">
        <v>518</v>
      </c>
      <c r="D27" s="19">
        <v>55000000</v>
      </c>
    </row>
    <row r="28" spans="1:10" x14ac:dyDescent="0.25">
      <c r="A28" s="17"/>
      <c r="C28" t="s">
        <v>550</v>
      </c>
      <c r="D28" s="19">
        <v>94500000</v>
      </c>
    </row>
    <row r="29" spans="1:10" x14ac:dyDescent="0.25">
      <c r="A29" s="17"/>
      <c r="C29" t="s">
        <v>554</v>
      </c>
      <c r="D29" s="19">
        <v>79650000</v>
      </c>
    </row>
    <row r="30" spans="1:10" x14ac:dyDescent="0.25">
      <c r="A30" s="17"/>
      <c r="C30" t="s">
        <v>544</v>
      </c>
      <c r="D30" s="20">
        <v>1660000</v>
      </c>
      <c r="G30" s="1"/>
    </row>
    <row r="31" spans="1:10" x14ac:dyDescent="0.25">
      <c r="A31" s="17"/>
      <c r="D31" s="19">
        <f>SUM(D20:D30)</f>
        <v>4245461025</v>
      </c>
      <c r="G31" s="1"/>
    </row>
    <row r="32" spans="1:10" x14ac:dyDescent="0.25">
      <c r="A32" s="17"/>
      <c r="D32" s="19"/>
      <c r="G32" s="1"/>
    </row>
    <row r="33" spans="1:7" x14ac:dyDescent="0.25">
      <c r="A33" s="17"/>
      <c r="B33" s="24" t="s">
        <v>46</v>
      </c>
      <c r="D33" s="19"/>
      <c r="G33" s="1"/>
    </row>
    <row r="34" spans="1:7" x14ac:dyDescent="0.25">
      <c r="A34" s="17"/>
      <c r="C34" t="s">
        <v>568</v>
      </c>
      <c r="D34" s="19">
        <v>72902500</v>
      </c>
      <c r="G34" s="1"/>
    </row>
    <row r="35" spans="1:7" x14ac:dyDescent="0.25">
      <c r="A35" s="17"/>
      <c r="C35" t="s">
        <v>266</v>
      </c>
      <c r="D35" s="20">
        <v>3012500</v>
      </c>
      <c r="G35" s="1"/>
    </row>
    <row r="36" spans="1:7" x14ac:dyDescent="0.25">
      <c r="A36" s="17"/>
      <c r="D36" s="19">
        <f>SUM(D34:D35)</f>
        <v>75915000</v>
      </c>
      <c r="G36" s="1"/>
    </row>
    <row r="37" spans="1:7" x14ac:dyDescent="0.25">
      <c r="A37" s="17"/>
      <c r="D37" s="19"/>
      <c r="G37" s="1"/>
    </row>
    <row r="38" spans="1:7" x14ac:dyDescent="0.25">
      <c r="A38" s="23" t="s">
        <v>22</v>
      </c>
      <c r="D38" s="19"/>
      <c r="G38" s="1"/>
    </row>
    <row r="39" spans="1:7" x14ac:dyDescent="0.25">
      <c r="A39" s="17"/>
      <c r="C39" t="s">
        <v>23</v>
      </c>
      <c r="D39" s="19">
        <v>1216700000</v>
      </c>
      <c r="G39" s="1"/>
    </row>
    <row r="40" spans="1:7" x14ac:dyDescent="0.25">
      <c r="A40" s="17"/>
      <c r="C40" t="s">
        <v>24</v>
      </c>
      <c r="D40" s="19">
        <v>1420726000</v>
      </c>
      <c r="G40" s="1"/>
    </row>
    <row r="41" spans="1:7" x14ac:dyDescent="0.25">
      <c r="A41" s="17"/>
      <c r="C41" t="s">
        <v>548</v>
      </c>
      <c r="D41" s="20">
        <v>14250000</v>
      </c>
      <c r="G41" s="1"/>
    </row>
    <row r="42" spans="1:7" x14ac:dyDescent="0.25">
      <c r="A42" s="17"/>
      <c r="D42" s="19">
        <f>SUM(D39:D41)</f>
        <v>2651676000</v>
      </c>
      <c r="G42" s="1"/>
    </row>
    <row r="43" spans="1:7" x14ac:dyDescent="0.25">
      <c r="A43" s="17"/>
      <c r="D43" s="19"/>
      <c r="G43" s="1"/>
    </row>
    <row r="44" spans="1:7" x14ac:dyDescent="0.25">
      <c r="A44" s="43" t="s">
        <v>25</v>
      </c>
      <c r="B44" s="44"/>
      <c r="C44" s="44"/>
      <c r="D44" s="25">
        <f>D17+D31+D36-D42</f>
        <v>1403887381.8499999</v>
      </c>
      <c r="G44" s="1"/>
    </row>
    <row r="45" spans="1:7" x14ac:dyDescent="0.25">
      <c r="A45" s="21"/>
      <c r="B45" s="22"/>
      <c r="C45" s="22"/>
      <c r="D45" s="20"/>
      <c r="G45" s="1"/>
    </row>
    <row r="47" spans="1:7" x14ac:dyDescent="0.25">
      <c r="A47" s="40" t="s">
        <v>13</v>
      </c>
      <c r="B47" s="40"/>
      <c r="C47" s="40"/>
      <c r="D47" s="40"/>
      <c r="G47" s="1"/>
    </row>
    <row r="48" spans="1:7" x14ac:dyDescent="0.25">
      <c r="A48" s="41" t="s">
        <v>14</v>
      </c>
      <c r="B48" s="41"/>
      <c r="C48" s="41"/>
      <c r="D48" s="41"/>
      <c r="G48" s="1"/>
    </row>
    <row r="49" spans="1:10" x14ac:dyDescent="0.25">
      <c r="A49" s="42">
        <v>45780</v>
      </c>
      <c r="B49" s="42"/>
      <c r="C49" s="42"/>
      <c r="D49" s="42"/>
      <c r="G49" s="1"/>
    </row>
    <row r="50" spans="1:10" x14ac:dyDescent="0.25">
      <c r="A50" s="13"/>
      <c r="B50" s="13"/>
      <c r="C50" s="13"/>
      <c r="D50" s="13"/>
      <c r="G50" s="1"/>
    </row>
    <row r="51" spans="1:10" x14ac:dyDescent="0.25">
      <c r="A51" s="14"/>
      <c r="B51" s="15"/>
      <c r="C51" s="15"/>
      <c r="D51" s="16"/>
      <c r="F51" s="5" t="s">
        <v>26</v>
      </c>
      <c r="G51" s="1">
        <f>D89-D44</f>
        <v>7511530</v>
      </c>
    </row>
    <row r="52" spans="1:10" x14ac:dyDescent="0.25">
      <c r="A52" s="17"/>
      <c r="D52" s="32" t="s">
        <v>16</v>
      </c>
      <c r="G52" s="1"/>
    </row>
    <row r="53" spans="1:10" x14ac:dyDescent="0.25">
      <c r="A53" s="23" t="s">
        <v>15</v>
      </c>
      <c r="D53" s="18" t="s">
        <v>17</v>
      </c>
      <c r="F53" s="26" t="s">
        <v>27</v>
      </c>
      <c r="G53" s="1"/>
    </row>
    <row r="54" spans="1:10" x14ac:dyDescent="0.25">
      <c r="A54" s="17"/>
      <c r="B54" s="24" t="s">
        <v>18</v>
      </c>
      <c r="D54" s="19"/>
      <c r="F54" s="27" t="s">
        <v>28</v>
      </c>
      <c r="G54" s="1"/>
    </row>
    <row r="55" spans="1:10" x14ac:dyDescent="0.25">
      <c r="A55" s="17"/>
      <c r="C55" s="2" t="s">
        <v>31</v>
      </c>
      <c r="D55" s="19">
        <v>16038468.800000001</v>
      </c>
      <c r="F55" t="s">
        <v>292</v>
      </c>
      <c r="G55" s="1">
        <v>4877000</v>
      </c>
    </row>
    <row r="56" spans="1:10" x14ac:dyDescent="0.25">
      <c r="A56" s="17"/>
      <c r="C56" s="2" t="s">
        <v>32</v>
      </c>
      <c r="D56" s="19">
        <v>165050143.05000001</v>
      </c>
      <c r="F56" t="s">
        <v>90</v>
      </c>
      <c r="G56" s="1">
        <v>2637500</v>
      </c>
    </row>
    <row r="57" spans="1:10" x14ac:dyDescent="0.25">
      <c r="A57" s="17"/>
      <c r="C57" s="2" t="s">
        <v>33</v>
      </c>
      <c r="D57" s="19">
        <v>-513291416.60000002</v>
      </c>
      <c r="G57" s="30">
        <f>SUM(G55:G56)</f>
        <v>7514500</v>
      </c>
      <c r="J57" s="38"/>
    </row>
    <row r="58" spans="1:10" x14ac:dyDescent="0.25">
      <c r="A58" s="17"/>
      <c r="C58" s="2" t="s">
        <v>34</v>
      </c>
      <c r="D58" s="19">
        <v>1062896</v>
      </c>
      <c r="F58" s="28" t="s">
        <v>29</v>
      </c>
      <c r="G58" s="1"/>
    </row>
    <row r="59" spans="1:10" x14ac:dyDescent="0.25">
      <c r="A59" s="17"/>
      <c r="C59" s="2" t="s">
        <v>35</v>
      </c>
      <c r="D59" s="19">
        <v>24250</v>
      </c>
      <c r="F59" t="s">
        <v>571</v>
      </c>
      <c r="G59" s="1">
        <v>2970</v>
      </c>
    </row>
    <row r="60" spans="1:10" x14ac:dyDescent="0.25">
      <c r="A60" s="17"/>
      <c r="C60" s="2" t="s">
        <v>36</v>
      </c>
      <c r="D60" s="19">
        <v>115353565.59999999</v>
      </c>
      <c r="G60" s="30">
        <f>SUM(G59:G59)</f>
        <v>2970</v>
      </c>
    </row>
    <row r="61" spans="1:10" x14ac:dyDescent="0.25">
      <c r="A61" s="17"/>
      <c r="C61" s="2" t="s">
        <v>37</v>
      </c>
      <c r="D61" s="19">
        <v>-18168837</v>
      </c>
    </row>
    <row r="62" spans="1:10" x14ac:dyDescent="0.25">
      <c r="A62" s="17"/>
      <c r="C62" s="2" t="s">
        <v>51</v>
      </c>
      <c r="D62" s="20">
        <v>130317</v>
      </c>
      <c r="F62" s="28" t="s">
        <v>30</v>
      </c>
      <c r="G62" s="29">
        <f>G57-G60</f>
        <v>7511530</v>
      </c>
    </row>
    <row r="63" spans="1:10" x14ac:dyDescent="0.25">
      <c r="A63" s="17"/>
      <c r="B63" s="24" t="s">
        <v>19</v>
      </c>
      <c r="D63" s="19">
        <f>SUM(D55:D62)</f>
        <v>-233800613.15000001</v>
      </c>
    </row>
    <row r="64" spans="1:10" x14ac:dyDescent="0.25">
      <c r="A64" s="17"/>
      <c r="D64" s="19"/>
    </row>
    <row r="65" spans="1:7" x14ac:dyDescent="0.25">
      <c r="A65" s="17"/>
      <c r="B65" s="24" t="s">
        <v>20</v>
      </c>
      <c r="D65" s="19"/>
    </row>
    <row r="66" spans="1:7" x14ac:dyDescent="0.25">
      <c r="A66" s="17"/>
      <c r="C66" t="s">
        <v>7</v>
      </c>
      <c r="D66" s="19">
        <v>3135991525</v>
      </c>
    </row>
    <row r="67" spans="1:7" x14ac:dyDescent="0.25">
      <c r="A67" s="17"/>
      <c r="C67" t="s">
        <v>47</v>
      </c>
      <c r="D67" s="19">
        <v>60250000</v>
      </c>
    </row>
    <row r="68" spans="1:7" x14ac:dyDescent="0.25">
      <c r="A68" s="17"/>
      <c r="C68" t="s">
        <v>21</v>
      </c>
      <c r="D68" s="19">
        <v>809719500</v>
      </c>
    </row>
    <row r="69" spans="1:7" x14ac:dyDescent="0.25">
      <c r="A69" s="17"/>
      <c r="C69" t="s">
        <v>45</v>
      </c>
      <c r="D69" s="19">
        <v>25000000</v>
      </c>
    </row>
    <row r="70" spans="1:7" x14ac:dyDescent="0.25">
      <c r="A70" s="17"/>
      <c r="C70" t="s">
        <v>48</v>
      </c>
      <c r="D70" s="19">
        <v>30000000</v>
      </c>
    </row>
    <row r="71" spans="1:7" x14ac:dyDescent="0.25">
      <c r="A71" s="17"/>
      <c r="C71" t="s">
        <v>68</v>
      </c>
      <c r="D71" s="19">
        <v>141000000</v>
      </c>
    </row>
    <row r="72" spans="1:7" x14ac:dyDescent="0.25">
      <c r="A72" s="17"/>
      <c r="C72" t="s">
        <v>68</v>
      </c>
      <c r="D72" s="19">
        <v>145000000</v>
      </c>
    </row>
    <row r="73" spans="1:7" x14ac:dyDescent="0.25">
      <c r="A73" s="17"/>
      <c r="C73" t="s">
        <v>518</v>
      </c>
      <c r="D73" s="19">
        <v>55000000</v>
      </c>
      <c r="G73" s="1"/>
    </row>
    <row r="74" spans="1:7" x14ac:dyDescent="0.25">
      <c r="A74" s="17"/>
      <c r="C74" t="s">
        <v>550</v>
      </c>
      <c r="D74" s="19">
        <v>13500000</v>
      </c>
      <c r="G74" s="1"/>
    </row>
    <row r="75" spans="1:7" x14ac:dyDescent="0.25">
      <c r="A75" s="17"/>
      <c r="C75" t="s">
        <v>554</v>
      </c>
      <c r="D75" s="19">
        <v>79650000</v>
      </c>
    </row>
    <row r="76" spans="1:7" x14ac:dyDescent="0.25">
      <c r="A76" s="17"/>
      <c r="C76" t="s">
        <v>544</v>
      </c>
      <c r="D76" s="20">
        <v>2160000</v>
      </c>
      <c r="G76" s="1"/>
    </row>
    <row r="77" spans="1:7" x14ac:dyDescent="0.25">
      <c r="A77" s="17"/>
      <c r="D77" s="19">
        <f>SUM(D66:D76)</f>
        <v>4497271025</v>
      </c>
      <c r="G77" s="1"/>
    </row>
    <row r="78" spans="1:7" x14ac:dyDescent="0.25">
      <c r="A78" s="17"/>
      <c r="D78" s="19"/>
      <c r="G78" s="1"/>
    </row>
    <row r="79" spans="1:7" x14ac:dyDescent="0.25">
      <c r="A79" s="17"/>
      <c r="B79" s="24" t="s">
        <v>46</v>
      </c>
      <c r="D79" s="19"/>
      <c r="G79" s="1"/>
    </row>
    <row r="80" spans="1:7" x14ac:dyDescent="0.25">
      <c r="A80" s="17"/>
      <c r="C80" t="s">
        <v>575</v>
      </c>
      <c r="D80" s="19">
        <v>21690000</v>
      </c>
      <c r="G80" s="1"/>
    </row>
    <row r="81" spans="1:7" x14ac:dyDescent="0.25">
      <c r="A81" s="17"/>
      <c r="C81" t="s">
        <v>266</v>
      </c>
      <c r="D81" s="20">
        <v>3012500</v>
      </c>
      <c r="G81" s="1"/>
    </row>
    <row r="82" spans="1:7" x14ac:dyDescent="0.25">
      <c r="A82" s="17"/>
      <c r="D82" s="19">
        <f>SUM(D80:D81)</f>
        <v>24702500</v>
      </c>
      <c r="G82" s="1"/>
    </row>
    <row r="83" spans="1:7" x14ac:dyDescent="0.25">
      <c r="A83" s="17"/>
      <c r="D83" s="19"/>
      <c r="G83" s="1"/>
    </row>
    <row r="84" spans="1:7" x14ac:dyDescent="0.25">
      <c r="A84" s="23" t="s">
        <v>22</v>
      </c>
      <c r="D84" s="19"/>
      <c r="G84" s="1"/>
    </row>
    <row r="85" spans="1:7" x14ac:dyDescent="0.25">
      <c r="A85" s="17"/>
      <c r="C85" t="s">
        <v>23</v>
      </c>
      <c r="D85" s="19">
        <v>1216700000</v>
      </c>
      <c r="G85" s="1"/>
    </row>
    <row r="86" spans="1:7" x14ac:dyDescent="0.25">
      <c r="A86" s="17"/>
      <c r="C86" t="s">
        <v>24</v>
      </c>
      <c r="D86" s="20">
        <v>1660074000</v>
      </c>
      <c r="G86" s="1"/>
    </row>
    <row r="87" spans="1:7" x14ac:dyDescent="0.25">
      <c r="A87" s="17"/>
      <c r="D87" s="19">
        <f>SUM(D85:D86)</f>
        <v>2876774000</v>
      </c>
      <c r="G87" s="1"/>
    </row>
    <row r="88" spans="1:7" x14ac:dyDescent="0.25">
      <c r="A88" s="17"/>
      <c r="D88" s="19"/>
      <c r="G88" s="1"/>
    </row>
    <row r="89" spans="1:7" x14ac:dyDescent="0.25">
      <c r="A89" s="43" t="s">
        <v>25</v>
      </c>
      <c r="B89" s="44"/>
      <c r="C89" s="44"/>
      <c r="D89" s="25">
        <f>D63+D77+D82-D87</f>
        <v>1411398911.8499999</v>
      </c>
      <c r="G89" s="1"/>
    </row>
    <row r="90" spans="1:7" x14ac:dyDescent="0.25">
      <c r="A90" s="21"/>
      <c r="B90" s="22"/>
      <c r="C90" s="22"/>
      <c r="D90" s="20"/>
      <c r="G90" s="1"/>
    </row>
    <row r="92" spans="1:7" x14ac:dyDescent="0.25">
      <c r="A92" s="40" t="s">
        <v>13</v>
      </c>
      <c r="B92" s="40"/>
      <c r="C92" s="40"/>
      <c r="D92" s="40"/>
      <c r="G92" s="1"/>
    </row>
    <row r="93" spans="1:7" x14ac:dyDescent="0.25">
      <c r="A93" s="41" t="s">
        <v>14</v>
      </c>
      <c r="B93" s="41"/>
      <c r="C93" s="41"/>
      <c r="D93" s="41"/>
      <c r="G93" s="1"/>
    </row>
    <row r="94" spans="1:7" x14ac:dyDescent="0.25">
      <c r="A94" s="42">
        <v>45782</v>
      </c>
      <c r="B94" s="42"/>
      <c r="C94" s="42"/>
      <c r="D94" s="42"/>
      <c r="G94" s="1"/>
    </row>
    <row r="95" spans="1:7" x14ac:dyDescent="0.25">
      <c r="A95" s="13"/>
      <c r="B95" s="13"/>
      <c r="C95" s="13"/>
      <c r="D95" s="13"/>
      <c r="G95" s="1"/>
    </row>
    <row r="96" spans="1:7" x14ac:dyDescent="0.25">
      <c r="A96" s="14"/>
      <c r="B96" s="15"/>
      <c r="C96" s="15"/>
      <c r="D96" s="16"/>
      <c r="F96" s="5" t="s">
        <v>26</v>
      </c>
      <c r="G96" s="1">
        <f>D136-D89</f>
        <v>21630030.000000477</v>
      </c>
    </row>
    <row r="97" spans="1:10" x14ac:dyDescent="0.25">
      <c r="A97" s="17"/>
      <c r="D97" s="32" t="s">
        <v>16</v>
      </c>
      <c r="G97" s="1"/>
    </row>
    <row r="98" spans="1:10" x14ac:dyDescent="0.25">
      <c r="A98" s="23" t="s">
        <v>15</v>
      </c>
      <c r="D98" s="18" t="s">
        <v>17</v>
      </c>
      <c r="F98" s="26" t="s">
        <v>27</v>
      </c>
      <c r="G98" s="1"/>
    </row>
    <row r="99" spans="1:10" x14ac:dyDescent="0.25">
      <c r="A99" s="17"/>
      <c r="B99" s="24" t="s">
        <v>18</v>
      </c>
      <c r="D99" s="19"/>
      <c r="F99" s="27" t="s">
        <v>28</v>
      </c>
      <c r="G99" s="1"/>
    </row>
    <row r="100" spans="1:10" x14ac:dyDescent="0.25">
      <c r="A100" s="17"/>
      <c r="C100" s="2" t="s">
        <v>31</v>
      </c>
      <c r="D100" s="19">
        <v>2988468.8</v>
      </c>
      <c r="F100" t="s">
        <v>578</v>
      </c>
      <c r="G100" s="1">
        <v>23584000</v>
      </c>
    </row>
    <row r="101" spans="1:10" x14ac:dyDescent="0.25">
      <c r="A101" s="17"/>
      <c r="C101" s="2" t="s">
        <v>32</v>
      </c>
      <c r="D101" s="19">
        <v>171650143.05000001</v>
      </c>
      <c r="F101" t="s">
        <v>90</v>
      </c>
      <c r="G101" s="1">
        <v>115000</v>
      </c>
    </row>
    <row r="102" spans="1:10" x14ac:dyDescent="0.25">
      <c r="A102" s="17"/>
      <c r="C102" s="2" t="s">
        <v>33</v>
      </c>
      <c r="D102" s="19">
        <v>-650101416.60000002</v>
      </c>
      <c r="F102" t="s">
        <v>577</v>
      </c>
      <c r="G102" s="1">
        <v>189000</v>
      </c>
    </row>
    <row r="103" spans="1:10" x14ac:dyDescent="0.25">
      <c r="A103" s="17"/>
      <c r="C103" s="2" t="s">
        <v>34</v>
      </c>
      <c r="D103" s="19">
        <v>2862896</v>
      </c>
      <c r="G103" s="30">
        <f>SUM(G100:G102)</f>
        <v>23888000</v>
      </c>
    </row>
    <row r="104" spans="1:10" x14ac:dyDescent="0.25">
      <c r="A104" s="17"/>
      <c r="C104" s="2" t="s">
        <v>35</v>
      </c>
      <c r="D104" s="19">
        <v>24250</v>
      </c>
      <c r="F104" s="28" t="s">
        <v>29</v>
      </c>
      <c r="G104" s="1"/>
    </row>
    <row r="105" spans="1:10" x14ac:dyDescent="0.25">
      <c r="A105" s="17"/>
      <c r="C105" s="2" t="s">
        <v>36</v>
      </c>
      <c r="D105" s="19">
        <v>115353565.59999999</v>
      </c>
      <c r="F105" t="s">
        <v>104</v>
      </c>
      <c r="G105" s="1">
        <v>2250000</v>
      </c>
      <c r="J105" s="38"/>
    </row>
    <row r="106" spans="1:10" x14ac:dyDescent="0.25">
      <c r="A106" s="17"/>
      <c r="C106" s="2" t="s">
        <v>37</v>
      </c>
      <c r="D106" s="19">
        <v>16953193</v>
      </c>
      <c r="F106" t="s">
        <v>161</v>
      </c>
      <c r="G106" s="1">
        <v>5000</v>
      </c>
    </row>
    <row r="107" spans="1:10" x14ac:dyDescent="0.25">
      <c r="A107" s="17"/>
      <c r="C107" s="2" t="s">
        <v>51</v>
      </c>
      <c r="D107" s="20">
        <v>130317</v>
      </c>
      <c r="F107" t="s">
        <v>571</v>
      </c>
      <c r="G107" s="1">
        <v>2970</v>
      </c>
    </row>
    <row r="108" spans="1:10" x14ac:dyDescent="0.25">
      <c r="A108" s="17"/>
      <c r="B108" s="24" t="s">
        <v>19</v>
      </c>
      <c r="D108" s="19">
        <f>SUM(D100:D107)</f>
        <v>-340138583.14999998</v>
      </c>
      <c r="G108" s="30">
        <f>SUM(G105:G107)</f>
        <v>2257970</v>
      </c>
    </row>
    <row r="109" spans="1:10" x14ac:dyDescent="0.25">
      <c r="A109" s="17"/>
      <c r="D109" s="19"/>
    </row>
    <row r="110" spans="1:10" x14ac:dyDescent="0.25">
      <c r="A110" s="17"/>
      <c r="B110" s="24" t="s">
        <v>20</v>
      </c>
      <c r="D110" s="19"/>
      <c r="F110" s="28" t="s">
        <v>30</v>
      </c>
      <c r="G110" s="29">
        <f>G103-G108</f>
        <v>21630030</v>
      </c>
    </row>
    <row r="111" spans="1:10" x14ac:dyDescent="0.25">
      <c r="A111" s="17"/>
      <c r="C111" t="s">
        <v>7</v>
      </c>
      <c r="D111" s="19">
        <v>3146926525</v>
      </c>
    </row>
    <row r="112" spans="1:10" x14ac:dyDescent="0.25">
      <c r="A112" s="17"/>
      <c r="C112" t="s">
        <v>47</v>
      </c>
      <c r="D112" s="19">
        <v>54970000</v>
      </c>
    </row>
    <row r="113" spans="1:7" x14ac:dyDescent="0.25">
      <c r="A113" s="17"/>
      <c r="C113" t="s">
        <v>21</v>
      </c>
      <c r="D113" s="19">
        <v>796041500</v>
      </c>
    </row>
    <row r="114" spans="1:7" x14ac:dyDescent="0.25">
      <c r="A114" s="17"/>
      <c r="C114" t="s">
        <v>45</v>
      </c>
      <c r="D114" s="19">
        <v>25000000</v>
      </c>
    </row>
    <row r="115" spans="1:7" x14ac:dyDescent="0.25">
      <c r="A115" s="17"/>
      <c r="C115" t="s">
        <v>48</v>
      </c>
      <c r="D115" s="19">
        <v>30000000</v>
      </c>
    </row>
    <row r="116" spans="1:7" x14ac:dyDescent="0.25">
      <c r="A116" s="17"/>
      <c r="C116" t="s">
        <v>68</v>
      </c>
      <c r="D116" s="19">
        <v>141000000</v>
      </c>
    </row>
    <row r="117" spans="1:7" x14ac:dyDescent="0.25">
      <c r="A117" s="17"/>
      <c r="C117" t="s">
        <v>68</v>
      </c>
      <c r="D117" s="19">
        <v>145000000</v>
      </c>
    </row>
    <row r="118" spans="1:7" x14ac:dyDescent="0.25">
      <c r="A118" s="17"/>
      <c r="C118" t="s">
        <v>518</v>
      </c>
      <c r="D118" s="19">
        <v>55000000</v>
      </c>
      <c r="G118" s="1"/>
    </row>
    <row r="119" spans="1:7" x14ac:dyDescent="0.25">
      <c r="A119" s="17"/>
      <c r="C119" t="s">
        <v>554</v>
      </c>
      <c r="D119" s="19">
        <v>79650000</v>
      </c>
    </row>
    <row r="120" spans="1:7" x14ac:dyDescent="0.25">
      <c r="A120" s="17"/>
      <c r="C120" t="s">
        <v>576</v>
      </c>
      <c r="D120" s="19">
        <v>200000000</v>
      </c>
      <c r="G120" s="1"/>
    </row>
    <row r="121" spans="1:7" x14ac:dyDescent="0.25">
      <c r="A121" s="17"/>
      <c r="C121" t="s">
        <v>534</v>
      </c>
      <c r="D121" s="19">
        <v>184625000</v>
      </c>
    </row>
    <row r="122" spans="1:7" x14ac:dyDescent="0.25">
      <c r="A122" s="17"/>
      <c r="C122" t="s">
        <v>544</v>
      </c>
      <c r="D122" s="20">
        <v>660000</v>
      </c>
      <c r="G122" s="1"/>
    </row>
    <row r="123" spans="1:7" x14ac:dyDescent="0.25">
      <c r="A123" s="17"/>
      <c r="D123" s="19">
        <f>SUM(D111:D122)</f>
        <v>4858873025</v>
      </c>
      <c r="G123" s="1"/>
    </row>
    <row r="124" spans="1:7" x14ac:dyDescent="0.25">
      <c r="A124" s="17"/>
      <c r="D124" s="19"/>
      <c r="G124" s="1"/>
    </row>
    <row r="125" spans="1:7" x14ac:dyDescent="0.25">
      <c r="A125" s="17"/>
      <c r="B125" s="24" t="s">
        <v>46</v>
      </c>
      <c r="D125" s="19"/>
      <c r="G125" s="1"/>
    </row>
    <row r="126" spans="1:7" x14ac:dyDescent="0.25">
      <c r="A126" s="17"/>
      <c r="C126" t="s">
        <v>575</v>
      </c>
      <c r="D126" s="19">
        <v>21690000</v>
      </c>
      <c r="G126" s="1"/>
    </row>
    <row r="127" spans="1:7" x14ac:dyDescent="0.25">
      <c r="A127" s="17"/>
      <c r="C127" t="s">
        <v>295</v>
      </c>
      <c r="D127" s="20">
        <v>1807500</v>
      </c>
      <c r="G127" s="1"/>
    </row>
    <row r="128" spans="1:7" x14ac:dyDescent="0.25">
      <c r="A128" s="17"/>
      <c r="D128" s="19">
        <f>SUM(D126:D127)</f>
        <v>23497500</v>
      </c>
      <c r="G128" s="1"/>
    </row>
    <row r="129" spans="1:7" x14ac:dyDescent="0.25">
      <c r="A129" s="17"/>
      <c r="D129" s="19"/>
      <c r="G129" s="1"/>
    </row>
    <row r="130" spans="1:7" x14ac:dyDescent="0.25">
      <c r="A130" s="23" t="s">
        <v>22</v>
      </c>
      <c r="D130" s="19"/>
      <c r="G130" s="1"/>
    </row>
    <row r="131" spans="1:7" x14ac:dyDescent="0.25">
      <c r="A131" s="17"/>
      <c r="C131" t="s">
        <v>23</v>
      </c>
      <c r="D131" s="19">
        <v>1301750000</v>
      </c>
      <c r="G131" s="1"/>
    </row>
    <row r="132" spans="1:7" x14ac:dyDescent="0.25">
      <c r="A132" s="17"/>
      <c r="C132" t="s">
        <v>24</v>
      </c>
      <c r="D132" s="19">
        <v>1710103000</v>
      </c>
      <c r="G132" s="1"/>
    </row>
    <row r="133" spans="1:7" x14ac:dyDescent="0.25">
      <c r="A133" s="17"/>
      <c r="C133" t="s">
        <v>548</v>
      </c>
      <c r="D133" s="20">
        <v>97350000</v>
      </c>
      <c r="G133" s="1"/>
    </row>
    <row r="134" spans="1:7" x14ac:dyDescent="0.25">
      <c r="A134" s="17"/>
      <c r="D134" s="19">
        <f>SUM(D131:D133)</f>
        <v>3109203000</v>
      </c>
      <c r="G134" s="1"/>
    </row>
    <row r="135" spans="1:7" x14ac:dyDescent="0.25">
      <c r="A135" s="17"/>
      <c r="D135" s="19"/>
      <c r="G135" s="1"/>
    </row>
    <row r="136" spans="1:7" x14ac:dyDescent="0.25">
      <c r="A136" s="43" t="s">
        <v>25</v>
      </c>
      <c r="B136" s="44"/>
      <c r="C136" s="44"/>
      <c r="D136" s="25">
        <f>D108+D123+D128-D134</f>
        <v>1433028941.8500004</v>
      </c>
      <c r="G136" s="1"/>
    </row>
    <row r="137" spans="1:7" x14ac:dyDescent="0.25">
      <c r="A137" s="21"/>
      <c r="B137" s="22"/>
      <c r="C137" s="22"/>
      <c r="D137" s="20"/>
      <c r="G137" s="1"/>
    </row>
    <row r="139" spans="1:7" x14ac:dyDescent="0.25">
      <c r="A139" s="40" t="s">
        <v>13</v>
      </c>
      <c r="B139" s="40"/>
      <c r="C139" s="40"/>
      <c r="D139" s="40"/>
      <c r="G139" s="1"/>
    </row>
    <row r="140" spans="1:7" x14ac:dyDescent="0.25">
      <c r="A140" s="41" t="s">
        <v>14</v>
      </c>
      <c r="B140" s="41"/>
      <c r="C140" s="41"/>
      <c r="D140" s="41"/>
      <c r="G140" s="1"/>
    </row>
    <row r="141" spans="1:7" x14ac:dyDescent="0.25">
      <c r="A141" s="42">
        <v>45783</v>
      </c>
      <c r="B141" s="42"/>
      <c r="C141" s="42"/>
      <c r="D141" s="42"/>
      <c r="G141" s="1"/>
    </row>
    <row r="142" spans="1:7" x14ac:dyDescent="0.25">
      <c r="A142" s="13"/>
      <c r="B142" s="13"/>
      <c r="C142" s="13"/>
      <c r="D142" s="13"/>
      <c r="G142" s="1"/>
    </row>
    <row r="143" spans="1:7" x14ac:dyDescent="0.25">
      <c r="A143" s="14"/>
      <c r="B143" s="15"/>
      <c r="C143" s="15"/>
      <c r="D143" s="16"/>
      <c r="F143" s="5" t="s">
        <v>26</v>
      </c>
      <c r="G143" s="1">
        <f>D185-D136</f>
        <v>733000</v>
      </c>
    </row>
    <row r="144" spans="1:7" x14ac:dyDescent="0.25">
      <c r="A144" s="17"/>
      <c r="D144" s="32" t="s">
        <v>16</v>
      </c>
      <c r="G144" s="1"/>
    </row>
    <row r="145" spans="1:10" x14ac:dyDescent="0.25">
      <c r="A145" s="23" t="s">
        <v>15</v>
      </c>
      <c r="D145" s="18" t="s">
        <v>17</v>
      </c>
      <c r="F145" s="26" t="s">
        <v>27</v>
      </c>
      <c r="G145" s="1"/>
    </row>
    <row r="146" spans="1:10" x14ac:dyDescent="0.25">
      <c r="A146" s="17"/>
      <c r="B146" s="24" t="s">
        <v>18</v>
      </c>
      <c r="D146" s="19"/>
      <c r="F146" s="27" t="s">
        <v>28</v>
      </c>
      <c r="G146" s="1"/>
    </row>
    <row r="147" spans="1:10" x14ac:dyDescent="0.25">
      <c r="A147" s="17"/>
      <c r="C147" s="2" t="s">
        <v>31</v>
      </c>
      <c r="D147" s="19">
        <v>384988468.80000001</v>
      </c>
      <c r="F147" t="s">
        <v>124</v>
      </c>
      <c r="G147" s="1">
        <v>9692000</v>
      </c>
    </row>
    <row r="148" spans="1:10" x14ac:dyDescent="0.25">
      <c r="A148" s="17"/>
      <c r="C148" s="2" t="s">
        <v>32</v>
      </c>
      <c r="D148" s="19">
        <v>172970143.05000001</v>
      </c>
      <c r="F148" t="s">
        <v>579</v>
      </c>
      <c r="G148" s="1">
        <v>191000</v>
      </c>
    </row>
    <row r="149" spans="1:10" x14ac:dyDescent="0.25">
      <c r="A149" s="17"/>
      <c r="C149" s="2" t="s">
        <v>33</v>
      </c>
      <c r="D149" s="19">
        <v>-557710416.60000002</v>
      </c>
      <c r="G149" s="30">
        <f>SUM(G147:G148)</f>
        <v>9883000</v>
      </c>
    </row>
    <row r="150" spans="1:10" x14ac:dyDescent="0.25">
      <c r="A150" s="17"/>
      <c r="C150" s="2" t="s">
        <v>34</v>
      </c>
      <c r="D150" s="19">
        <v>7462896</v>
      </c>
      <c r="F150" s="28" t="s">
        <v>29</v>
      </c>
      <c r="G150" s="1"/>
    </row>
    <row r="151" spans="1:10" x14ac:dyDescent="0.25">
      <c r="A151" s="17"/>
      <c r="C151" s="2" t="s">
        <v>35</v>
      </c>
      <c r="D151" s="19">
        <v>24250</v>
      </c>
      <c r="F151" t="s">
        <v>2</v>
      </c>
      <c r="G151" s="1">
        <v>2250000</v>
      </c>
      <c r="J151" s="38"/>
    </row>
    <row r="152" spans="1:10" x14ac:dyDescent="0.25">
      <c r="A152" s="17"/>
      <c r="C152" s="2" t="s">
        <v>36</v>
      </c>
      <c r="D152" s="19">
        <v>115353565.59999999</v>
      </c>
      <c r="F152" t="s">
        <v>581</v>
      </c>
      <c r="G152" s="1">
        <v>900000</v>
      </c>
    </row>
    <row r="153" spans="1:10" x14ac:dyDescent="0.25">
      <c r="A153" s="17"/>
      <c r="C153" s="2" t="s">
        <v>37</v>
      </c>
      <c r="D153" s="19">
        <v>127773193</v>
      </c>
      <c r="F153" t="s">
        <v>298</v>
      </c>
      <c r="G153" s="1">
        <v>6000000</v>
      </c>
    </row>
    <row r="154" spans="1:10" x14ac:dyDescent="0.25">
      <c r="A154" s="17"/>
      <c r="C154" s="2" t="s">
        <v>51</v>
      </c>
      <c r="D154" s="20">
        <v>130317</v>
      </c>
      <c r="G154" s="30">
        <f>SUM(G151:G153)</f>
        <v>9150000</v>
      </c>
    </row>
    <row r="155" spans="1:10" x14ac:dyDescent="0.25">
      <c r="A155" s="17"/>
      <c r="B155" s="24" t="s">
        <v>19</v>
      </c>
      <c r="D155" s="19">
        <f>SUM(D147:D154)</f>
        <v>250992416.84999999</v>
      </c>
    </row>
    <row r="156" spans="1:10" x14ac:dyDescent="0.25">
      <c r="A156" s="17"/>
      <c r="D156" s="19"/>
      <c r="F156" s="28" t="s">
        <v>30</v>
      </c>
      <c r="G156" s="29">
        <f>G149-G154</f>
        <v>733000</v>
      </c>
    </row>
    <row r="157" spans="1:10" x14ac:dyDescent="0.25">
      <c r="A157" s="17"/>
      <c r="B157" s="24" t="s">
        <v>20</v>
      </c>
      <c r="D157" s="19"/>
    </row>
    <row r="158" spans="1:10" x14ac:dyDescent="0.25">
      <c r="A158" s="17"/>
      <c r="C158" t="s">
        <v>7</v>
      </c>
      <c r="D158" s="19">
        <v>3090606525</v>
      </c>
    </row>
    <row r="159" spans="1:10" x14ac:dyDescent="0.25">
      <c r="A159" s="17"/>
      <c r="C159" t="s">
        <v>47</v>
      </c>
      <c r="D159" s="19">
        <v>53650000</v>
      </c>
    </row>
    <row r="160" spans="1:10" x14ac:dyDescent="0.25">
      <c r="A160" s="17"/>
      <c r="C160" t="s">
        <v>21</v>
      </c>
      <c r="D160" s="19">
        <v>795241500</v>
      </c>
    </row>
    <row r="161" spans="1:7" x14ac:dyDescent="0.25">
      <c r="A161" s="17"/>
      <c r="C161" t="s">
        <v>45</v>
      </c>
      <c r="D161" s="19">
        <v>25000000</v>
      </c>
    </row>
    <row r="162" spans="1:7" x14ac:dyDescent="0.25">
      <c r="A162" s="17"/>
      <c r="C162" t="s">
        <v>48</v>
      </c>
      <c r="D162" s="19">
        <v>30000000</v>
      </c>
    </row>
    <row r="163" spans="1:7" x14ac:dyDescent="0.25">
      <c r="A163" s="17"/>
      <c r="C163" t="s">
        <v>68</v>
      </c>
      <c r="D163" s="19">
        <v>141000000</v>
      </c>
    </row>
    <row r="164" spans="1:7" x14ac:dyDescent="0.25">
      <c r="A164" s="17"/>
      <c r="C164" t="s">
        <v>68</v>
      </c>
      <c r="D164" s="19">
        <v>145000000</v>
      </c>
    </row>
    <row r="165" spans="1:7" x14ac:dyDescent="0.25">
      <c r="A165" s="17"/>
      <c r="C165" t="s">
        <v>518</v>
      </c>
      <c r="D165" s="19">
        <v>55000000</v>
      </c>
      <c r="G165" s="1"/>
    </row>
    <row r="166" spans="1:7" x14ac:dyDescent="0.25">
      <c r="A166" s="17"/>
      <c r="C166" t="s">
        <v>554</v>
      </c>
      <c r="D166" s="19">
        <v>79650000</v>
      </c>
      <c r="G166" s="1"/>
    </row>
    <row r="167" spans="1:7" x14ac:dyDescent="0.25">
      <c r="A167" s="17"/>
      <c r="C167" t="s">
        <v>576</v>
      </c>
      <c r="D167" s="19">
        <v>70000000</v>
      </c>
      <c r="G167" s="1"/>
    </row>
    <row r="168" spans="1:7" x14ac:dyDescent="0.25">
      <c r="A168" s="17"/>
      <c r="C168" t="s">
        <v>534</v>
      </c>
      <c r="D168" s="19">
        <v>184625000</v>
      </c>
      <c r="G168" s="1"/>
    </row>
    <row r="169" spans="1:7" x14ac:dyDescent="0.25">
      <c r="A169" s="17"/>
      <c r="C169" t="s">
        <v>584</v>
      </c>
      <c r="D169" s="19">
        <v>46000000</v>
      </c>
      <c r="G169" s="1"/>
    </row>
    <row r="170" spans="1:7" x14ac:dyDescent="0.25">
      <c r="A170" s="17"/>
      <c r="C170" t="s">
        <v>544</v>
      </c>
      <c r="D170" s="20">
        <v>660000</v>
      </c>
      <c r="G170" s="1"/>
    </row>
    <row r="171" spans="1:7" x14ac:dyDescent="0.25">
      <c r="A171" s="17"/>
      <c r="D171" s="19">
        <f>SUM(D158:D170)</f>
        <v>4716433025</v>
      </c>
      <c r="G171" s="1"/>
    </row>
    <row r="172" spans="1:7" x14ac:dyDescent="0.25">
      <c r="A172" s="17"/>
      <c r="D172" s="19"/>
      <c r="G172" s="1"/>
    </row>
    <row r="173" spans="1:7" x14ac:dyDescent="0.25">
      <c r="A173" s="17"/>
      <c r="B173" s="24" t="s">
        <v>46</v>
      </c>
      <c r="D173" s="19"/>
      <c r="G173" s="1"/>
    </row>
    <row r="174" spans="1:7" x14ac:dyDescent="0.25">
      <c r="A174" s="17"/>
      <c r="C174" t="s">
        <v>583</v>
      </c>
      <c r="D174" s="19">
        <v>19280000</v>
      </c>
      <c r="G174" s="1"/>
    </row>
    <row r="175" spans="1:7" x14ac:dyDescent="0.25">
      <c r="A175" s="17"/>
      <c r="C175" t="s">
        <v>323</v>
      </c>
      <c r="D175" s="19">
        <v>2410000</v>
      </c>
      <c r="G175" s="1"/>
    </row>
    <row r="176" spans="1:7" x14ac:dyDescent="0.25">
      <c r="A176" s="17"/>
      <c r="C176" t="s">
        <v>295</v>
      </c>
      <c r="D176" s="20">
        <v>1807500</v>
      </c>
      <c r="G176" s="1"/>
    </row>
    <row r="177" spans="1:7" x14ac:dyDescent="0.25">
      <c r="A177" s="17"/>
      <c r="D177" s="19">
        <f>SUM(D174:D176)</f>
        <v>23497500</v>
      </c>
      <c r="G177" s="1"/>
    </row>
    <row r="178" spans="1:7" x14ac:dyDescent="0.25">
      <c r="A178" s="17"/>
      <c r="D178" s="19"/>
      <c r="G178" s="1"/>
    </row>
    <row r="179" spans="1:7" x14ac:dyDescent="0.25">
      <c r="A179" s="23" t="s">
        <v>22</v>
      </c>
      <c r="D179" s="19"/>
      <c r="G179" s="1"/>
    </row>
    <row r="180" spans="1:7" x14ac:dyDescent="0.25">
      <c r="A180" s="17"/>
      <c r="C180" t="s">
        <v>23</v>
      </c>
      <c r="D180" s="19">
        <v>1492850000</v>
      </c>
      <c r="G180" s="1"/>
    </row>
    <row r="181" spans="1:7" x14ac:dyDescent="0.25">
      <c r="A181" s="17"/>
      <c r="C181" t="s">
        <v>24</v>
      </c>
      <c r="D181" s="19">
        <v>1881711000</v>
      </c>
      <c r="G181" s="1"/>
    </row>
    <row r="182" spans="1:7" x14ac:dyDescent="0.25">
      <c r="A182" s="17"/>
      <c r="C182" t="s">
        <v>548</v>
      </c>
      <c r="D182" s="20">
        <v>182600000</v>
      </c>
      <c r="G182" s="1"/>
    </row>
    <row r="183" spans="1:7" x14ac:dyDescent="0.25">
      <c r="A183" s="17"/>
      <c r="D183" s="19">
        <f>SUM(D180:D182)</f>
        <v>3557161000</v>
      </c>
      <c r="G183" s="1"/>
    </row>
    <row r="184" spans="1:7" x14ac:dyDescent="0.25">
      <c r="A184" s="17"/>
      <c r="D184" s="19"/>
      <c r="G184" s="1"/>
    </row>
    <row r="185" spans="1:7" x14ac:dyDescent="0.25">
      <c r="A185" s="43" t="s">
        <v>25</v>
      </c>
      <c r="B185" s="44"/>
      <c r="C185" s="44"/>
      <c r="D185" s="25">
        <f>D155+D171+D177-D183</f>
        <v>1433761941.8500004</v>
      </c>
      <c r="G185" s="1"/>
    </row>
    <row r="186" spans="1:7" x14ac:dyDescent="0.25">
      <c r="A186" s="21"/>
      <c r="B186" s="22"/>
      <c r="C186" s="22"/>
      <c r="D186" s="20"/>
      <c r="G186" s="1"/>
    </row>
    <row r="188" spans="1:7" x14ac:dyDescent="0.25">
      <c r="A188" s="40" t="s">
        <v>13</v>
      </c>
      <c r="B188" s="40"/>
      <c r="C188" s="40"/>
      <c r="D188" s="40"/>
      <c r="G188" s="1"/>
    </row>
    <row r="189" spans="1:7" x14ac:dyDescent="0.25">
      <c r="A189" s="41" t="s">
        <v>14</v>
      </c>
      <c r="B189" s="41"/>
      <c r="C189" s="41"/>
      <c r="D189" s="41"/>
      <c r="G189" s="1"/>
    </row>
    <row r="190" spans="1:7" x14ac:dyDescent="0.25">
      <c r="A190" s="42">
        <v>45784</v>
      </c>
      <c r="B190" s="42"/>
      <c r="C190" s="42"/>
      <c r="D190" s="42"/>
      <c r="G190" s="1"/>
    </row>
    <row r="191" spans="1:7" x14ac:dyDescent="0.25">
      <c r="A191" s="13"/>
      <c r="B191" s="13"/>
      <c r="C191" s="13"/>
      <c r="D191" s="13"/>
      <c r="G191" s="1"/>
    </row>
    <row r="192" spans="1:7" x14ac:dyDescent="0.25">
      <c r="A192" s="14"/>
      <c r="B192" s="15"/>
      <c r="C192" s="15"/>
      <c r="D192" s="16"/>
      <c r="F192" s="5" t="s">
        <v>26</v>
      </c>
      <c r="G192" s="1">
        <f>D234-D185</f>
        <v>15535475</v>
      </c>
    </row>
    <row r="193" spans="1:7" x14ac:dyDescent="0.25">
      <c r="A193" s="17"/>
      <c r="D193" s="32" t="s">
        <v>16</v>
      </c>
      <c r="G193" s="1"/>
    </row>
    <row r="194" spans="1:7" x14ac:dyDescent="0.25">
      <c r="A194" s="23" t="s">
        <v>15</v>
      </c>
      <c r="D194" s="18" t="s">
        <v>17</v>
      </c>
      <c r="F194" s="26" t="s">
        <v>27</v>
      </c>
      <c r="G194" s="1"/>
    </row>
    <row r="195" spans="1:7" x14ac:dyDescent="0.25">
      <c r="A195" s="17"/>
      <c r="B195" s="24" t="s">
        <v>18</v>
      </c>
      <c r="D195" s="19"/>
      <c r="F195" s="27" t="s">
        <v>28</v>
      </c>
      <c r="G195" s="1"/>
    </row>
    <row r="196" spans="1:7" x14ac:dyDescent="0.25">
      <c r="A196" s="17"/>
      <c r="C196" s="2" t="s">
        <v>31</v>
      </c>
      <c r="D196" s="19">
        <v>25708868.800000001</v>
      </c>
      <c r="F196" t="s">
        <v>303</v>
      </c>
      <c r="G196" s="1">
        <v>15860000</v>
      </c>
    </row>
    <row r="197" spans="1:7" x14ac:dyDescent="0.25">
      <c r="A197" s="17"/>
      <c r="C197" s="2" t="s">
        <v>32</v>
      </c>
      <c r="D197" s="19">
        <v>172970143.05000001</v>
      </c>
      <c r="F197" t="s">
        <v>587</v>
      </c>
      <c r="G197" s="1">
        <v>169500</v>
      </c>
    </row>
    <row r="198" spans="1:7" x14ac:dyDescent="0.25">
      <c r="A198" s="17"/>
      <c r="C198" s="2" t="s">
        <v>33</v>
      </c>
      <c r="D198" s="19">
        <v>-511979956.60000002</v>
      </c>
      <c r="G198" s="30">
        <f>SUM(G196:G197)</f>
        <v>16029500</v>
      </c>
    </row>
    <row r="199" spans="1:7" x14ac:dyDescent="0.25">
      <c r="A199" s="17"/>
      <c r="C199" s="2" t="s">
        <v>34</v>
      </c>
      <c r="D199" s="19">
        <v>7462896</v>
      </c>
      <c r="F199" s="28" t="s">
        <v>29</v>
      </c>
      <c r="G199" s="1"/>
    </row>
    <row r="200" spans="1:7" x14ac:dyDescent="0.25">
      <c r="A200" s="17"/>
      <c r="C200" s="2" t="s">
        <v>35</v>
      </c>
      <c r="D200" s="19">
        <v>24250</v>
      </c>
      <c r="F200" t="s">
        <v>535</v>
      </c>
      <c r="G200" s="1">
        <v>130725</v>
      </c>
    </row>
    <row r="201" spans="1:7" x14ac:dyDescent="0.25">
      <c r="A201" s="17"/>
      <c r="C201" s="2" t="s">
        <v>36</v>
      </c>
      <c r="D201" s="19">
        <v>115353565.59999999</v>
      </c>
      <c r="F201" t="s">
        <v>585</v>
      </c>
      <c r="G201" s="1">
        <v>363300</v>
      </c>
    </row>
    <row r="202" spans="1:7" x14ac:dyDescent="0.25">
      <c r="A202" s="17"/>
      <c r="C202" s="2" t="s">
        <v>37</v>
      </c>
      <c r="D202" s="19">
        <v>522503193</v>
      </c>
      <c r="G202" s="30">
        <f>SUM(G200:G201)</f>
        <v>494025</v>
      </c>
    </row>
    <row r="203" spans="1:7" x14ac:dyDescent="0.25">
      <c r="A203" s="17"/>
      <c r="C203" s="2" t="s">
        <v>51</v>
      </c>
      <c r="D203" s="20">
        <v>130317</v>
      </c>
    </row>
    <row r="204" spans="1:7" x14ac:dyDescent="0.25">
      <c r="A204" s="17"/>
      <c r="B204" s="24" t="s">
        <v>19</v>
      </c>
      <c r="D204" s="19">
        <f>SUM(D196:D203)</f>
        <v>332173276.85000002</v>
      </c>
      <c r="F204" s="28" t="s">
        <v>30</v>
      </c>
      <c r="G204" s="29">
        <f>G198-G202</f>
        <v>15535475</v>
      </c>
    </row>
    <row r="205" spans="1:7" x14ac:dyDescent="0.25">
      <c r="A205" s="17"/>
      <c r="D205" s="19"/>
    </row>
    <row r="206" spans="1:7" x14ac:dyDescent="0.25">
      <c r="A206" s="17"/>
      <c r="B206" s="24" t="s">
        <v>20</v>
      </c>
      <c r="D206" s="19"/>
    </row>
    <row r="207" spans="1:7" x14ac:dyDescent="0.25">
      <c r="A207" s="17"/>
      <c r="C207" t="s">
        <v>7</v>
      </c>
      <c r="D207" s="19">
        <v>2839937100</v>
      </c>
    </row>
    <row r="208" spans="1:7" x14ac:dyDescent="0.25">
      <c r="A208" s="17"/>
      <c r="C208" t="s">
        <v>47</v>
      </c>
      <c r="D208" s="19">
        <v>53650000</v>
      </c>
    </row>
    <row r="209" spans="1:7" x14ac:dyDescent="0.25">
      <c r="A209" s="17"/>
      <c r="C209" t="s">
        <v>21</v>
      </c>
      <c r="D209" s="19">
        <v>745336500</v>
      </c>
    </row>
    <row r="210" spans="1:7" x14ac:dyDescent="0.25">
      <c r="A210" s="17"/>
      <c r="C210" t="s">
        <v>45</v>
      </c>
      <c r="D210" s="19">
        <v>25000000</v>
      </c>
    </row>
    <row r="211" spans="1:7" x14ac:dyDescent="0.25">
      <c r="A211" s="17"/>
      <c r="C211" t="s">
        <v>48</v>
      </c>
      <c r="D211" s="19">
        <v>30000000</v>
      </c>
    </row>
    <row r="212" spans="1:7" x14ac:dyDescent="0.25">
      <c r="A212" s="17"/>
      <c r="C212" t="s">
        <v>68</v>
      </c>
      <c r="D212" s="19">
        <v>141000000</v>
      </c>
    </row>
    <row r="213" spans="1:7" x14ac:dyDescent="0.25">
      <c r="A213" s="17"/>
      <c r="C213" t="s">
        <v>68</v>
      </c>
      <c r="D213" s="19">
        <v>145000000</v>
      </c>
    </row>
    <row r="214" spans="1:7" x14ac:dyDescent="0.25">
      <c r="A214" s="17"/>
      <c r="C214" t="s">
        <v>518</v>
      </c>
      <c r="D214" s="19">
        <v>55000000</v>
      </c>
      <c r="G214" s="1"/>
    </row>
    <row r="215" spans="1:7" x14ac:dyDescent="0.25">
      <c r="A215" s="17"/>
      <c r="C215" t="s">
        <v>554</v>
      </c>
      <c r="D215" s="19">
        <v>79650000</v>
      </c>
      <c r="G215" s="1"/>
    </row>
    <row r="216" spans="1:7" x14ac:dyDescent="0.25">
      <c r="A216" s="17"/>
      <c r="C216" t="s">
        <v>534</v>
      </c>
      <c r="D216" s="19">
        <v>384625000</v>
      </c>
      <c r="G216" s="1"/>
    </row>
    <row r="217" spans="1:7" x14ac:dyDescent="0.25">
      <c r="A217" s="17"/>
      <c r="C217" t="s">
        <v>267</v>
      </c>
      <c r="D217" s="19">
        <v>100000000</v>
      </c>
      <c r="G217" s="1"/>
    </row>
    <row r="218" spans="1:7" x14ac:dyDescent="0.25">
      <c r="A218" s="17"/>
      <c r="C218" t="s">
        <v>544</v>
      </c>
      <c r="D218" s="20">
        <v>660000</v>
      </c>
      <c r="G218" s="1"/>
    </row>
    <row r="219" spans="1:7" x14ac:dyDescent="0.25">
      <c r="A219" s="17"/>
      <c r="D219" s="19">
        <f>SUM(D207:D218)</f>
        <v>4599858600</v>
      </c>
      <c r="G219" s="1"/>
    </row>
    <row r="220" spans="1:7" x14ac:dyDescent="0.25">
      <c r="A220" s="17"/>
      <c r="D220" s="19"/>
      <c r="G220" s="1"/>
    </row>
    <row r="221" spans="1:7" x14ac:dyDescent="0.25">
      <c r="A221" s="17"/>
      <c r="B221" s="24" t="s">
        <v>46</v>
      </c>
      <c r="D221" s="19"/>
      <c r="G221" s="1"/>
    </row>
    <row r="222" spans="1:7" x14ac:dyDescent="0.25">
      <c r="A222" s="17"/>
      <c r="C222" t="s">
        <v>583</v>
      </c>
      <c r="D222" s="19">
        <v>19280000</v>
      </c>
      <c r="G222" s="1"/>
    </row>
    <row r="223" spans="1:7" x14ac:dyDescent="0.25">
      <c r="A223" s="17"/>
      <c r="C223" t="s">
        <v>323</v>
      </c>
      <c r="D223" s="19">
        <v>2410000</v>
      </c>
      <c r="G223" s="1"/>
    </row>
    <row r="224" spans="1:7" x14ac:dyDescent="0.25">
      <c r="A224" s="17"/>
      <c r="C224" t="s">
        <v>295</v>
      </c>
      <c r="D224" s="20">
        <v>1807500</v>
      </c>
      <c r="G224" s="1"/>
    </row>
    <row r="225" spans="1:7" x14ac:dyDescent="0.25">
      <c r="A225" s="17"/>
      <c r="D225" s="19">
        <f>SUM(D222:D224)</f>
        <v>23497500</v>
      </c>
      <c r="G225" s="1"/>
    </row>
    <row r="226" spans="1:7" x14ac:dyDescent="0.25">
      <c r="A226" s="17"/>
      <c r="D226" s="19"/>
      <c r="G226" s="1"/>
    </row>
    <row r="227" spans="1:7" x14ac:dyDescent="0.25">
      <c r="A227" s="23" t="s">
        <v>22</v>
      </c>
      <c r="D227" s="19"/>
      <c r="G227" s="1"/>
    </row>
    <row r="228" spans="1:7" x14ac:dyDescent="0.25">
      <c r="A228" s="17"/>
      <c r="C228" t="s">
        <v>23</v>
      </c>
      <c r="D228" s="19">
        <v>1689450000</v>
      </c>
      <c r="G228" s="1"/>
    </row>
    <row r="229" spans="1:7" x14ac:dyDescent="0.25">
      <c r="A229" s="17"/>
      <c r="C229" t="s">
        <v>24</v>
      </c>
      <c r="D229" s="19">
        <v>1619256960</v>
      </c>
      <c r="G229" s="1"/>
    </row>
    <row r="230" spans="1:7" x14ac:dyDescent="0.25">
      <c r="A230" s="17"/>
      <c r="C230" t="s">
        <v>111</v>
      </c>
      <c r="D230" s="19">
        <v>154050000</v>
      </c>
      <c r="G230" s="1"/>
    </row>
    <row r="231" spans="1:7" x14ac:dyDescent="0.25">
      <c r="A231" s="17"/>
      <c r="C231" t="s">
        <v>548</v>
      </c>
      <c r="D231" s="20">
        <v>43475000</v>
      </c>
      <c r="G231" s="1"/>
    </row>
    <row r="232" spans="1:7" x14ac:dyDescent="0.25">
      <c r="A232" s="17"/>
      <c r="D232" s="19">
        <f>SUM(D228:D231)</f>
        <v>3506231960</v>
      </c>
      <c r="G232" s="1"/>
    </row>
    <row r="233" spans="1:7" x14ac:dyDescent="0.25">
      <c r="A233" s="17"/>
      <c r="D233" s="19"/>
      <c r="G233" s="1"/>
    </row>
    <row r="234" spans="1:7" x14ac:dyDescent="0.25">
      <c r="A234" s="43" t="s">
        <v>25</v>
      </c>
      <c r="B234" s="44"/>
      <c r="C234" s="44"/>
      <c r="D234" s="25">
        <f>D204+D219+D225-D232</f>
        <v>1449297416.8500004</v>
      </c>
      <c r="G234" s="1"/>
    </row>
    <row r="235" spans="1:7" x14ac:dyDescent="0.25">
      <c r="A235" s="21"/>
      <c r="B235" s="22"/>
      <c r="C235" s="22"/>
      <c r="D235" s="20"/>
      <c r="G235" s="1"/>
    </row>
    <row r="237" spans="1:7" x14ac:dyDescent="0.25">
      <c r="A237" s="40" t="s">
        <v>13</v>
      </c>
      <c r="B237" s="40"/>
      <c r="C237" s="40"/>
      <c r="D237" s="40"/>
      <c r="G237" s="1"/>
    </row>
    <row r="238" spans="1:7" x14ac:dyDescent="0.25">
      <c r="A238" s="41" t="s">
        <v>14</v>
      </c>
      <c r="B238" s="41"/>
      <c r="C238" s="41"/>
      <c r="D238" s="41"/>
      <c r="G238" s="1"/>
    </row>
    <row r="239" spans="1:7" x14ac:dyDescent="0.25">
      <c r="A239" s="42">
        <v>45785</v>
      </c>
      <c r="B239" s="42"/>
      <c r="C239" s="42"/>
      <c r="D239" s="42"/>
      <c r="G239" s="1"/>
    </row>
    <row r="240" spans="1:7" x14ac:dyDescent="0.25">
      <c r="A240" s="13"/>
      <c r="B240" s="13"/>
      <c r="C240" s="13"/>
      <c r="D240" s="13"/>
      <c r="G240" s="1"/>
    </row>
    <row r="241" spans="1:10" x14ac:dyDescent="0.25">
      <c r="A241" s="14"/>
      <c r="B241" s="15"/>
      <c r="C241" s="15"/>
      <c r="D241" s="16"/>
      <c r="F241" s="5" t="s">
        <v>26</v>
      </c>
      <c r="G241" s="1">
        <f>D280-D234</f>
        <v>1791750</v>
      </c>
    </row>
    <row r="242" spans="1:10" x14ac:dyDescent="0.25">
      <c r="A242" s="17"/>
      <c r="D242" s="32" t="s">
        <v>16</v>
      </c>
      <c r="G242" s="1"/>
    </row>
    <row r="243" spans="1:10" x14ac:dyDescent="0.25">
      <c r="A243" s="23" t="s">
        <v>15</v>
      </c>
      <c r="D243" s="18" t="s">
        <v>17</v>
      </c>
      <c r="F243" s="26" t="s">
        <v>27</v>
      </c>
      <c r="G243" s="1"/>
    </row>
    <row r="244" spans="1:10" x14ac:dyDescent="0.25">
      <c r="A244" s="17"/>
      <c r="B244" s="24" t="s">
        <v>18</v>
      </c>
      <c r="D244" s="19"/>
      <c r="F244" s="27" t="s">
        <v>28</v>
      </c>
      <c r="G244" s="1"/>
    </row>
    <row r="245" spans="1:10" x14ac:dyDescent="0.25">
      <c r="A245" s="17"/>
      <c r="C245" s="2" t="s">
        <v>31</v>
      </c>
      <c r="D245" s="19">
        <v>25708868.800000001</v>
      </c>
      <c r="F245" t="s">
        <v>305</v>
      </c>
      <c r="G245" s="1">
        <v>3475000</v>
      </c>
    </row>
    <row r="246" spans="1:10" x14ac:dyDescent="0.25">
      <c r="A246" s="17"/>
      <c r="C246" s="2" t="s">
        <v>32</v>
      </c>
      <c r="D246" s="19">
        <v>222110143.05000001</v>
      </c>
      <c r="F246" t="s">
        <v>90</v>
      </c>
      <c r="G246" s="1">
        <v>570000</v>
      </c>
    </row>
    <row r="247" spans="1:10" x14ac:dyDescent="0.25">
      <c r="A247" s="17"/>
      <c r="C247" s="2" t="s">
        <v>33</v>
      </c>
      <c r="D247" s="19">
        <v>-270529956.60000002</v>
      </c>
      <c r="G247" s="30">
        <f>SUM(G245:G246)</f>
        <v>4045000</v>
      </c>
    </row>
    <row r="248" spans="1:10" x14ac:dyDescent="0.25">
      <c r="A248" s="17"/>
      <c r="C248" s="2" t="s">
        <v>34</v>
      </c>
      <c r="D248" s="19">
        <v>-81262104</v>
      </c>
      <c r="F248" s="28" t="s">
        <v>29</v>
      </c>
      <c r="G248" s="1"/>
      <c r="J248" s="38"/>
    </row>
    <row r="249" spans="1:10" x14ac:dyDescent="0.25">
      <c r="A249" s="17"/>
      <c r="C249" s="2" t="s">
        <v>35</v>
      </c>
      <c r="D249" s="19">
        <v>24250</v>
      </c>
      <c r="F249" t="s">
        <v>161</v>
      </c>
      <c r="G249" s="1">
        <v>2500</v>
      </c>
    </row>
    <row r="250" spans="1:10" x14ac:dyDescent="0.25">
      <c r="A250" s="17"/>
      <c r="C250" s="2" t="s">
        <v>36</v>
      </c>
      <c r="D250" s="19">
        <v>292052815.60000002</v>
      </c>
      <c r="F250" t="s">
        <v>104</v>
      </c>
      <c r="G250" s="1">
        <v>2250000</v>
      </c>
    </row>
    <row r="251" spans="1:10" x14ac:dyDescent="0.25">
      <c r="A251" s="17"/>
      <c r="C251" s="2" t="s">
        <v>37</v>
      </c>
      <c r="D251" s="19">
        <v>443200693</v>
      </c>
      <c r="F251" t="s">
        <v>209</v>
      </c>
      <c r="G251" s="1">
        <v>750</v>
      </c>
    </row>
    <row r="252" spans="1:10" x14ac:dyDescent="0.25">
      <c r="A252" s="17"/>
      <c r="C252" s="2" t="s">
        <v>51</v>
      </c>
      <c r="D252" s="20">
        <v>130317</v>
      </c>
      <c r="G252" s="30">
        <f>SUM(G249:G251)</f>
        <v>2253250</v>
      </c>
    </row>
    <row r="253" spans="1:10" x14ac:dyDescent="0.25">
      <c r="A253" s="17"/>
      <c r="B253" s="24" t="s">
        <v>19</v>
      </c>
      <c r="D253" s="19">
        <f>SUM(D245:D252)</f>
        <v>631435026.85000002</v>
      </c>
    </row>
    <row r="254" spans="1:10" x14ac:dyDescent="0.25">
      <c r="A254" s="17"/>
      <c r="D254" s="19"/>
      <c r="F254" s="28" t="s">
        <v>30</v>
      </c>
      <c r="G254" s="29">
        <f>G247-G252</f>
        <v>1791750</v>
      </c>
    </row>
    <row r="255" spans="1:10" x14ac:dyDescent="0.25">
      <c r="A255" s="17"/>
      <c r="B255" s="24" t="s">
        <v>20</v>
      </c>
      <c r="D255" s="19"/>
    </row>
    <row r="256" spans="1:10" x14ac:dyDescent="0.25">
      <c r="A256" s="17"/>
      <c r="C256" t="s">
        <v>7</v>
      </c>
      <c r="D256" s="19">
        <v>2847662100</v>
      </c>
    </row>
    <row r="257" spans="1:7" x14ac:dyDescent="0.25">
      <c r="A257" s="17"/>
      <c r="C257" t="s">
        <v>47</v>
      </c>
      <c r="D257" s="19">
        <v>15925000</v>
      </c>
    </row>
    <row r="258" spans="1:7" x14ac:dyDescent="0.25">
      <c r="A258" s="17"/>
      <c r="C258" t="s">
        <v>21</v>
      </c>
      <c r="D258" s="19">
        <v>772786500</v>
      </c>
    </row>
    <row r="259" spans="1:7" x14ac:dyDescent="0.25">
      <c r="A259" s="17"/>
      <c r="C259" t="s">
        <v>45</v>
      </c>
      <c r="D259" s="19">
        <v>25000000</v>
      </c>
    </row>
    <row r="260" spans="1:7" x14ac:dyDescent="0.25">
      <c r="A260" s="17"/>
      <c r="C260" t="s">
        <v>48</v>
      </c>
      <c r="D260" s="19">
        <v>30000000</v>
      </c>
    </row>
    <row r="261" spans="1:7" x14ac:dyDescent="0.25">
      <c r="A261" s="17"/>
      <c r="C261" t="s">
        <v>68</v>
      </c>
      <c r="D261" s="19">
        <v>141000000</v>
      </c>
      <c r="G261" s="1"/>
    </row>
    <row r="262" spans="1:7" x14ac:dyDescent="0.25">
      <c r="A262" s="17"/>
      <c r="C262" t="s">
        <v>68</v>
      </c>
      <c r="D262" s="19">
        <v>145000000</v>
      </c>
      <c r="G262" s="1"/>
    </row>
    <row r="263" spans="1:7" x14ac:dyDescent="0.25">
      <c r="A263" s="17"/>
      <c r="C263" t="s">
        <v>554</v>
      </c>
      <c r="D263" s="19">
        <v>79650000</v>
      </c>
      <c r="G263" s="1"/>
    </row>
    <row r="264" spans="1:7" x14ac:dyDescent="0.25">
      <c r="A264" s="17"/>
      <c r="C264" t="s">
        <v>534</v>
      </c>
      <c r="D264" s="19">
        <v>303175000</v>
      </c>
      <c r="G264" s="1"/>
    </row>
    <row r="265" spans="1:7" x14ac:dyDescent="0.25">
      <c r="A265" s="17"/>
      <c r="C265" t="s">
        <v>267</v>
      </c>
      <c r="D265" s="19">
        <v>100000000</v>
      </c>
      <c r="G265" s="1"/>
    </row>
    <row r="266" spans="1:7" x14ac:dyDescent="0.25">
      <c r="A266" s="17"/>
      <c r="C266" t="s">
        <v>544</v>
      </c>
      <c r="D266" s="20">
        <v>660000</v>
      </c>
      <c r="G266" s="1"/>
    </row>
    <row r="267" spans="1:7" x14ac:dyDescent="0.25">
      <c r="A267" s="17"/>
      <c r="D267" s="19">
        <f>SUM(D256:D266)</f>
        <v>4460858600</v>
      </c>
      <c r="G267" s="1"/>
    </row>
    <row r="268" spans="1:7" x14ac:dyDescent="0.25">
      <c r="A268" s="17"/>
      <c r="D268" s="19"/>
      <c r="G268" s="1"/>
    </row>
    <row r="269" spans="1:7" x14ac:dyDescent="0.25">
      <c r="A269" s="17"/>
      <c r="B269" s="24" t="s">
        <v>46</v>
      </c>
      <c r="D269" s="19"/>
      <c r="G269" s="1"/>
    </row>
    <row r="270" spans="1:7" x14ac:dyDescent="0.25">
      <c r="A270" s="17"/>
      <c r="C270" t="s">
        <v>589</v>
      </c>
      <c r="D270" s="19">
        <v>10242500</v>
      </c>
      <c r="G270" s="1"/>
    </row>
    <row r="271" spans="1:7" x14ac:dyDescent="0.25">
      <c r="A271" s="17"/>
      <c r="C271" t="s">
        <v>323</v>
      </c>
      <c r="D271" s="20">
        <v>2410000</v>
      </c>
      <c r="G271" s="1"/>
    </row>
    <row r="272" spans="1:7" x14ac:dyDescent="0.25">
      <c r="A272" s="17"/>
      <c r="D272" s="19">
        <f>SUM(D270:D271)</f>
        <v>12652500</v>
      </c>
      <c r="G272" s="1"/>
    </row>
    <row r="273" spans="1:7" x14ac:dyDescent="0.25">
      <c r="A273" s="17"/>
      <c r="D273" s="19"/>
      <c r="G273" s="1"/>
    </row>
    <row r="274" spans="1:7" x14ac:dyDescent="0.25">
      <c r="A274" s="23" t="s">
        <v>22</v>
      </c>
      <c r="D274" s="19"/>
      <c r="G274" s="1"/>
    </row>
    <row r="275" spans="1:7" x14ac:dyDescent="0.25">
      <c r="A275" s="17"/>
      <c r="C275" t="s">
        <v>23</v>
      </c>
      <c r="D275" s="19">
        <v>1880550000</v>
      </c>
      <c r="G275" s="1"/>
    </row>
    <row r="276" spans="1:7" x14ac:dyDescent="0.25">
      <c r="A276" s="17"/>
      <c r="C276" t="s">
        <v>24</v>
      </c>
      <c r="D276" s="19">
        <v>1619256960</v>
      </c>
      <c r="G276" s="1"/>
    </row>
    <row r="277" spans="1:7" x14ac:dyDescent="0.25">
      <c r="A277" s="17"/>
      <c r="C277" t="s">
        <v>111</v>
      </c>
      <c r="D277" s="20">
        <v>154050000</v>
      </c>
      <c r="G277" s="1"/>
    </row>
    <row r="278" spans="1:7" x14ac:dyDescent="0.25">
      <c r="A278" s="17"/>
      <c r="D278" s="19">
        <f>SUM(D275:D277)</f>
        <v>3653856960</v>
      </c>
      <c r="G278" s="1"/>
    </row>
    <row r="279" spans="1:7" x14ac:dyDescent="0.25">
      <c r="A279" s="17"/>
      <c r="D279" s="19"/>
      <c r="G279" s="1"/>
    </row>
    <row r="280" spans="1:7" x14ac:dyDescent="0.25">
      <c r="A280" s="43" t="s">
        <v>25</v>
      </c>
      <c r="B280" s="44"/>
      <c r="C280" s="44"/>
      <c r="D280" s="25">
        <f>D253+D267+D272-D278</f>
        <v>1451089166.8500004</v>
      </c>
      <c r="G280" s="1"/>
    </row>
    <row r="281" spans="1:7" x14ac:dyDescent="0.25">
      <c r="A281" s="21"/>
      <c r="B281" s="22"/>
      <c r="C281" s="22"/>
      <c r="D281" s="20"/>
      <c r="G281" s="1"/>
    </row>
    <row r="283" spans="1:7" x14ac:dyDescent="0.25">
      <c r="A283" s="40" t="s">
        <v>13</v>
      </c>
      <c r="B283" s="40"/>
      <c r="C283" s="40"/>
      <c r="D283" s="40"/>
      <c r="G283" s="1"/>
    </row>
    <row r="284" spans="1:7" x14ac:dyDescent="0.25">
      <c r="A284" s="41" t="s">
        <v>14</v>
      </c>
      <c r="B284" s="41"/>
      <c r="C284" s="41"/>
      <c r="D284" s="41"/>
      <c r="G284" s="1"/>
    </row>
    <row r="285" spans="1:7" x14ac:dyDescent="0.25">
      <c r="A285" s="42">
        <v>45786</v>
      </c>
      <c r="B285" s="42"/>
      <c r="C285" s="42"/>
      <c r="D285" s="42"/>
      <c r="G285" s="1"/>
    </row>
    <row r="286" spans="1:7" x14ac:dyDescent="0.25">
      <c r="A286" s="13"/>
      <c r="B286" s="13"/>
      <c r="C286" s="13"/>
      <c r="D286" s="13"/>
      <c r="G286" s="1"/>
    </row>
    <row r="287" spans="1:7" x14ac:dyDescent="0.25">
      <c r="A287" s="14"/>
      <c r="B287" s="15"/>
      <c r="C287" s="15"/>
      <c r="D287" s="16"/>
      <c r="F287" s="5" t="s">
        <v>26</v>
      </c>
      <c r="G287" s="1">
        <f>D325-D280</f>
        <v>15929000</v>
      </c>
    </row>
    <row r="288" spans="1:7" x14ac:dyDescent="0.25">
      <c r="A288" s="17"/>
      <c r="D288" s="32" t="s">
        <v>16</v>
      </c>
      <c r="G288" s="1"/>
    </row>
    <row r="289" spans="1:7" x14ac:dyDescent="0.25">
      <c r="A289" s="23" t="s">
        <v>15</v>
      </c>
      <c r="D289" s="18" t="s">
        <v>17</v>
      </c>
      <c r="F289" s="26" t="s">
        <v>27</v>
      </c>
      <c r="G289" s="1"/>
    </row>
    <row r="290" spans="1:7" x14ac:dyDescent="0.25">
      <c r="A290" s="17"/>
      <c r="B290" s="24" t="s">
        <v>18</v>
      </c>
      <c r="D290" s="19"/>
      <c r="F290" s="27" t="s">
        <v>28</v>
      </c>
      <c r="G290" s="1"/>
    </row>
    <row r="291" spans="1:7" x14ac:dyDescent="0.25">
      <c r="A291" s="17"/>
      <c r="C291" s="2" t="s">
        <v>31</v>
      </c>
      <c r="D291" s="19">
        <v>125708868.8</v>
      </c>
      <c r="F291" t="s">
        <v>147</v>
      </c>
      <c r="G291" s="1">
        <v>16915000</v>
      </c>
    </row>
    <row r="292" spans="1:7" x14ac:dyDescent="0.25">
      <c r="A292" s="17"/>
      <c r="C292" s="2" t="s">
        <v>32</v>
      </c>
      <c r="D292" s="19">
        <v>222110143.05000001</v>
      </c>
      <c r="F292" t="s">
        <v>314</v>
      </c>
      <c r="G292" s="1">
        <v>192000</v>
      </c>
    </row>
    <row r="293" spans="1:7" x14ac:dyDescent="0.25">
      <c r="A293" s="17"/>
      <c r="C293" s="2" t="s">
        <v>33</v>
      </c>
      <c r="D293" s="19">
        <v>82960083.400000006</v>
      </c>
      <c r="G293" s="30">
        <f>SUM(G291:G292)</f>
        <v>17107000</v>
      </c>
    </row>
    <row r="294" spans="1:7" x14ac:dyDescent="0.25">
      <c r="A294" s="17"/>
      <c r="C294" s="2" t="s">
        <v>34</v>
      </c>
      <c r="D294" s="19">
        <v>-78762104</v>
      </c>
      <c r="F294" s="28" t="s">
        <v>29</v>
      </c>
      <c r="G294" s="1"/>
    </row>
    <row r="295" spans="1:7" x14ac:dyDescent="0.25">
      <c r="A295" s="17"/>
      <c r="C295" s="2" t="s">
        <v>35</v>
      </c>
      <c r="D295" s="19">
        <v>24250</v>
      </c>
      <c r="F295" t="s">
        <v>122</v>
      </c>
      <c r="G295" s="1">
        <v>1156000</v>
      </c>
    </row>
    <row r="296" spans="1:7" x14ac:dyDescent="0.25">
      <c r="A296" s="17"/>
      <c r="C296" s="2" t="s">
        <v>36</v>
      </c>
      <c r="D296" s="19">
        <v>292052815.60000002</v>
      </c>
      <c r="F296" t="s">
        <v>591</v>
      </c>
      <c r="G296" s="1">
        <v>17000</v>
      </c>
    </row>
    <row r="297" spans="1:7" x14ac:dyDescent="0.25">
      <c r="A297" s="17"/>
      <c r="C297" s="2" t="s">
        <v>37</v>
      </c>
      <c r="D297" s="19">
        <v>55242693</v>
      </c>
      <c r="F297" t="s">
        <v>161</v>
      </c>
      <c r="G297" s="1">
        <v>5000</v>
      </c>
    </row>
    <row r="298" spans="1:7" x14ac:dyDescent="0.25">
      <c r="A298" s="17"/>
      <c r="C298" s="2" t="s">
        <v>51</v>
      </c>
      <c r="D298" s="20">
        <v>130317</v>
      </c>
      <c r="G298" s="30">
        <f>SUM(G295:G297)</f>
        <v>1178000</v>
      </c>
    </row>
    <row r="299" spans="1:7" x14ac:dyDescent="0.25">
      <c r="A299" s="17"/>
      <c r="B299" s="24" t="s">
        <v>19</v>
      </c>
      <c r="D299" s="19">
        <f>SUM(D291:D298)</f>
        <v>699467066.85000002</v>
      </c>
    </row>
    <row r="300" spans="1:7" x14ac:dyDescent="0.25">
      <c r="A300" s="17"/>
      <c r="D300" s="19"/>
      <c r="F300" s="28" t="s">
        <v>30</v>
      </c>
      <c r="G300" s="29">
        <f>G293-G298</f>
        <v>15929000</v>
      </c>
    </row>
    <row r="301" spans="1:7" x14ac:dyDescent="0.25">
      <c r="A301" s="17"/>
      <c r="B301" s="24" t="s">
        <v>20</v>
      </c>
      <c r="D301" s="19"/>
    </row>
    <row r="302" spans="1:7" x14ac:dyDescent="0.25">
      <c r="A302" s="17"/>
      <c r="C302" t="s">
        <v>7</v>
      </c>
      <c r="D302" s="19">
        <v>3269562100</v>
      </c>
    </row>
    <row r="303" spans="1:7" x14ac:dyDescent="0.25">
      <c r="A303" s="17"/>
      <c r="C303" t="s">
        <v>47</v>
      </c>
      <c r="D303" s="19">
        <v>15925000</v>
      </c>
      <c r="G303" s="1"/>
    </row>
    <row r="304" spans="1:7" x14ac:dyDescent="0.25">
      <c r="A304" s="17"/>
      <c r="C304" t="s">
        <v>21</v>
      </c>
      <c r="D304" s="19">
        <v>760597500</v>
      </c>
      <c r="G304" s="1"/>
    </row>
    <row r="305" spans="1:7" x14ac:dyDescent="0.25">
      <c r="A305" s="17"/>
      <c r="C305" t="s">
        <v>45</v>
      </c>
      <c r="D305" s="19">
        <v>25000000</v>
      </c>
      <c r="G305" s="1"/>
    </row>
    <row r="306" spans="1:7" x14ac:dyDescent="0.25">
      <c r="A306" s="17"/>
      <c r="C306" t="s">
        <v>48</v>
      </c>
      <c r="D306" s="19">
        <v>30000000</v>
      </c>
      <c r="G306" s="1"/>
    </row>
    <row r="307" spans="1:7" x14ac:dyDescent="0.25">
      <c r="A307" s="17"/>
      <c r="C307" t="s">
        <v>68</v>
      </c>
      <c r="D307" s="19">
        <v>141000000</v>
      </c>
      <c r="G307" s="1"/>
    </row>
    <row r="308" spans="1:7" x14ac:dyDescent="0.25">
      <c r="A308" s="17"/>
      <c r="C308" t="s">
        <v>68</v>
      </c>
      <c r="D308" s="19">
        <v>145000000</v>
      </c>
      <c r="G308" s="1"/>
    </row>
    <row r="309" spans="1:7" x14ac:dyDescent="0.25">
      <c r="A309" s="17"/>
      <c r="C309" t="s">
        <v>554</v>
      </c>
      <c r="D309" s="19">
        <v>79650000</v>
      </c>
      <c r="G309" s="1"/>
    </row>
    <row r="310" spans="1:7" x14ac:dyDescent="0.25">
      <c r="A310" s="17"/>
      <c r="C310" t="s">
        <v>534</v>
      </c>
      <c r="D310" s="19">
        <v>54300000</v>
      </c>
      <c r="G310" s="1"/>
    </row>
    <row r="311" spans="1:7" x14ac:dyDescent="0.25">
      <c r="A311" s="17"/>
      <c r="C311" t="s">
        <v>544</v>
      </c>
      <c r="D311" s="20">
        <v>660000</v>
      </c>
      <c r="G311" s="1"/>
    </row>
    <row r="312" spans="1:7" x14ac:dyDescent="0.25">
      <c r="A312" s="17"/>
      <c r="D312" s="19">
        <f>SUM(D302:D311)</f>
        <v>4521694600</v>
      </c>
      <c r="G312" s="1"/>
    </row>
    <row r="313" spans="1:7" x14ac:dyDescent="0.25">
      <c r="A313" s="17"/>
      <c r="D313" s="19"/>
      <c r="G313" s="1"/>
    </row>
    <row r="314" spans="1:7" x14ac:dyDescent="0.25">
      <c r="A314" s="17"/>
      <c r="B314" s="24" t="s">
        <v>46</v>
      </c>
      <c r="D314" s="19"/>
      <c r="G314" s="1"/>
    </row>
    <row r="315" spans="1:7" x14ac:dyDescent="0.25">
      <c r="A315" s="17"/>
      <c r="C315" t="s">
        <v>589</v>
      </c>
      <c r="D315" s="19">
        <v>10242500</v>
      </c>
      <c r="G315" s="1"/>
    </row>
    <row r="316" spans="1:7" x14ac:dyDescent="0.25">
      <c r="A316" s="17"/>
      <c r="C316" t="s">
        <v>323</v>
      </c>
      <c r="D316" s="20">
        <v>2410000</v>
      </c>
      <c r="G316" s="1"/>
    </row>
    <row r="317" spans="1:7" x14ac:dyDescent="0.25">
      <c r="A317" s="17"/>
      <c r="D317" s="19">
        <f>SUM(D315:D316)</f>
        <v>12652500</v>
      </c>
      <c r="G317" s="1"/>
    </row>
    <row r="318" spans="1:7" x14ac:dyDescent="0.25">
      <c r="A318" s="17"/>
      <c r="D318" s="19"/>
      <c r="G318" s="1"/>
    </row>
    <row r="319" spans="1:7" x14ac:dyDescent="0.25">
      <c r="A319" s="23" t="s">
        <v>22</v>
      </c>
      <c r="D319" s="19"/>
      <c r="G319" s="1"/>
    </row>
    <row r="320" spans="1:7" x14ac:dyDescent="0.25">
      <c r="A320" s="17"/>
      <c r="C320" t="s">
        <v>23</v>
      </c>
      <c r="D320" s="19">
        <v>1962450000</v>
      </c>
      <c r="G320" s="1"/>
    </row>
    <row r="321" spans="1:7" x14ac:dyDescent="0.25">
      <c r="A321" s="17"/>
      <c r="C321" t="s">
        <v>24</v>
      </c>
      <c r="D321" s="19">
        <v>1650296000</v>
      </c>
      <c r="G321" s="1"/>
    </row>
    <row r="322" spans="1:7" x14ac:dyDescent="0.25">
      <c r="A322" s="17"/>
      <c r="C322" t="s">
        <v>111</v>
      </c>
      <c r="D322" s="20">
        <v>154050000</v>
      </c>
      <c r="G322" s="1"/>
    </row>
    <row r="323" spans="1:7" x14ac:dyDescent="0.25">
      <c r="A323" s="17"/>
      <c r="D323" s="19">
        <f>SUM(D320:D322)</f>
        <v>3766796000</v>
      </c>
      <c r="G323" s="1"/>
    </row>
    <row r="324" spans="1:7" x14ac:dyDescent="0.25">
      <c r="A324" s="17"/>
      <c r="D324" s="19"/>
      <c r="G324" s="1"/>
    </row>
    <row r="325" spans="1:7" x14ac:dyDescent="0.25">
      <c r="A325" s="43" t="s">
        <v>25</v>
      </c>
      <c r="B325" s="44"/>
      <c r="C325" s="44"/>
      <c r="D325" s="25">
        <f>D299+D312+D317-D323</f>
        <v>1467018166.8500004</v>
      </c>
      <c r="G325" s="1"/>
    </row>
    <row r="326" spans="1:7" x14ac:dyDescent="0.25">
      <c r="A326" s="21"/>
      <c r="B326" s="22"/>
      <c r="C326" s="22"/>
      <c r="D326" s="20"/>
      <c r="G326" s="1"/>
    </row>
    <row r="328" spans="1:7" x14ac:dyDescent="0.25">
      <c r="A328" s="40" t="s">
        <v>13</v>
      </c>
      <c r="B328" s="40"/>
      <c r="C328" s="40"/>
      <c r="D328" s="40"/>
      <c r="G328" s="1"/>
    </row>
    <row r="329" spans="1:7" x14ac:dyDescent="0.25">
      <c r="A329" s="41" t="s">
        <v>14</v>
      </c>
      <c r="B329" s="41"/>
      <c r="C329" s="41"/>
      <c r="D329" s="41"/>
      <c r="G329" s="1"/>
    </row>
    <row r="330" spans="1:7" x14ac:dyDescent="0.25">
      <c r="A330" s="42">
        <v>45787</v>
      </c>
      <c r="B330" s="42"/>
      <c r="C330" s="42"/>
      <c r="D330" s="42"/>
      <c r="G330" s="1"/>
    </row>
    <row r="331" spans="1:7" x14ac:dyDescent="0.25">
      <c r="A331" s="13"/>
      <c r="B331" s="13"/>
      <c r="C331" s="13"/>
      <c r="D331" s="13"/>
      <c r="G331" s="1"/>
    </row>
    <row r="332" spans="1:7" x14ac:dyDescent="0.25">
      <c r="A332" s="14"/>
      <c r="B332" s="15"/>
      <c r="C332" s="15"/>
      <c r="D332" s="16"/>
      <c r="F332" s="5" t="s">
        <v>26</v>
      </c>
      <c r="G332" s="1">
        <f>D370-D325</f>
        <v>-3233500</v>
      </c>
    </row>
    <row r="333" spans="1:7" x14ac:dyDescent="0.25">
      <c r="A333" s="17"/>
      <c r="D333" s="32" t="s">
        <v>16</v>
      </c>
      <c r="G333" s="1"/>
    </row>
    <row r="334" spans="1:7" x14ac:dyDescent="0.25">
      <c r="A334" s="23" t="s">
        <v>15</v>
      </c>
      <c r="D334" s="18" t="s">
        <v>17</v>
      </c>
      <c r="F334" s="26" t="s">
        <v>27</v>
      </c>
      <c r="G334" s="1"/>
    </row>
    <row r="335" spans="1:7" x14ac:dyDescent="0.25">
      <c r="A335" s="17"/>
      <c r="B335" s="24" t="s">
        <v>18</v>
      </c>
      <c r="D335" s="19"/>
      <c r="F335" s="27" t="s">
        <v>28</v>
      </c>
      <c r="G335" s="1"/>
    </row>
    <row r="336" spans="1:7" x14ac:dyDescent="0.25">
      <c r="A336" s="17"/>
      <c r="C336" s="2" t="s">
        <v>31</v>
      </c>
      <c r="D336" s="19">
        <v>125708868.8</v>
      </c>
      <c r="F336" t="s">
        <v>148</v>
      </c>
      <c r="G336" s="1">
        <v>-3553000</v>
      </c>
    </row>
    <row r="337" spans="1:7" x14ac:dyDescent="0.25">
      <c r="A337" s="17"/>
      <c r="C337" s="2" t="s">
        <v>32</v>
      </c>
      <c r="D337" s="19">
        <v>222110143.05000001</v>
      </c>
      <c r="F337" t="s">
        <v>90</v>
      </c>
      <c r="G337" s="1">
        <v>225000</v>
      </c>
    </row>
    <row r="338" spans="1:7" x14ac:dyDescent="0.25">
      <c r="A338" s="17"/>
      <c r="C338" s="2" t="s">
        <v>33</v>
      </c>
      <c r="D338" s="19">
        <v>384129583.39999998</v>
      </c>
      <c r="F338" t="s">
        <v>594</v>
      </c>
      <c r="G338" s="1">
        <v>94500</v>
      </c>
    </row>
    <row r="339" spans="1:7" x14ac:dyDescent="0.25">
      <c r="A339" s="17"/>
      <c r="C339" s="2" t="s">
        <v>34</v>
      </c>
      <c r="D339" s="19">
        <v>-67762104</v>
      </c>
      <c r="G339" s="30">
        <f>SUM(G336:G338)</f>
        <v>-3233500</v>
      </c>
    </row>
    <row r="340" spans="1:7" x14ac:dyDescent="0.25">
      <c r="A340" s="17"/>
      <c r="C340" s="2" t="s">
        <v>35</v>
      </c>
      <c r="D340" s="19">
        <v>24250</v>
      </c>
      <c r="F340" s="28" t="s">
        <v>29</v>
      </c>
      <c r="G340" s="1"/>
    </row>
    <row r="341" spans="1:7" x14ac:dyDescent="0.25">
      <c r="A341" s="17"/>
      <c r="C341" s="2" t="s">
        <v>36</v>
      </c>
      <c r="D341" s="19">
        <v>292052815.60000002</v>
      </c>
      <c r="G341" s="1">
        <v>0</v>
      </c>
    </row>
    <row r="342" spans="1:7" x14ac:dyDescent="0.25">
      <c r="A342" s="17"/>
      <c r="C342" s="2" t="s">
        <v>37</v>
      </c>
      <c r="D342" s="19">
        <v>91242693</v>
      </c>
      <c r="G342" s="30">
        <f>SUM(G341:G341)</f>
        <v>0</v>
      </c>
    </row>
    <row r="343" spans="1:7" x14ac:dyDescent="0.25">
      <c r="A343" s="17"/>
      <c r="C343" s="2" t="s">
        <v>51</v>
      </c>
      <c r="D343" s="20">
        <v>130317</v>
      </c>
    </row>
    <row r="344" spans="1:7" x14ac:dyDescent="0.25">
      <c r="A344" s="17"/>
      <c r="B344" s="24" t="s">
        <v>19</v>
      </c>
      <c r="D344" s="19">
        <f>SUM(D336:D343)</f>
        <v>1047636566.85</v>
      </c>
      <c r="F344" s="28" t="s">
        <v>30</v>
      </c>
      <c r="G344" s="29">
        <f>G339-G342</f>
        <v>-3233500</v>
      </c>
    </row>
    <row r="345" spans="1:7" x14ac:dyDescent="0.25">
      <c r="A345" s="17"/>
      <c r="D345" s="19"/>
    </row>
    <row r="346" spans="1:7" x14ac:dyDescent="0.25">
      <c r="A346" s="17"/>
      <c r="B346" s="24" t="s">
        <v>20</v>
      </c>
      <c r="D346" s="19"/>
    </row>
    <row r="347" spans="1:7" x14ac:dyDescent="0.25">
      <c r="A347" s="17"/>
      <c r="C347" t="s">
        <v>7</v>
      </c>
      <c r="D347" s="19">
        <v>3185662100</v>
      </c>
    </row>
    <row r="348" spans="1:7" x14ac:dyDescent="0.25">
      <c r="A348" s="17"/>
      <c r="C348" t="s">
        <v>47</v>
      </c>
      <c r="D348" s="19">
        <v>22175000</v>
      </c>
      <c r="G348" s="1"/>
    </row>
    <row r="349" spans="1:7" x14ac:dyDescent="0.25">
      <c r="A349" s="17"/>
      <c r="C349" t="s">
        <v>21</v>
      </c>
      <c r="D349" s="19">
        <v>760597500</v>
      </c>
      <c r="G349" s="1"/>
    </row>
    <row r="350" spans="1:7" x14ac:dyDescent="0.25">
      <c r="A350" s="17"/>
      <c r="C350" t="s">
        <v>45</v>
      </c>
      <c r="D350" s="19">
        <v>25000000</v>
      </c>
      <c r="G350" s="1"/>
    </row>
    <row r="351" spans="1:7" x14ac:dyDescent="0.25">
      <c r="A351" s="17"/>
      <c r="C351" t="s">
        <v>48</v>
      </c>
      <c r="D351" s="19">
        <v>30000000</v>
      </c>
      <c r="G351" s="1"/>
    </row>
    <row r="352" spans="1:7" x14ac:dyDescent="0.25">
      <c r="A352" s="17"/>
      <c r="C352" t="s">
        <v>68</v>
      </c>
      <c r="D352" s="19">
        <v>141000000</v>
      </c>
      <c r="G352" s="1"/>
    </row>
    <row r="353" spans="1:7" x14ac:dyDescent="0.25">
      <c r="A353" s="17"/>
      <c r="C353" t="s">
        <v>68</v>
      </c>
      <c r="D353" s="19">
        <v>145000000</v>
      </c>
      <c r="G353" s="1"/>
    </row>
    <row r="354" spans="1:7" x14ac:dyDescent="0.25">
      <c r="A354" s="17"/>
      <c r="C354" t="s">
        <v>554</v>
      </c>
      <c r="D354" s="19">
        <v>79650000</v>
      </c>
      <c r="G354" s="1"/>
    </row>
    <row r="355" spans="1:7" x14ac:dyDescent="0.25">
      <c r="A355" s="17"/>
      <c r="C355" t="s">
        <v>534</v>
      </c>
      <c r="D355" s="19">
        <v>54300000</v>
      </c>
      <c r="G355" s="1"/>
    </row>
    <row r="356" spans="1:7" x14ac:dyDescent="0.25">
      <c r="A356" s="17"/>
      <c r="C356" t="s">
        <v>544</v>
      </c>
      <c r="D356" s="20">
        <v>660000</v>
      </c>
      <c r="G356" s="1"/>
    </row>
    <row r="357" spans="1:7" x14ac:dyDescent="0.25">
      <c r="A357" s="17"/>
      <c r="D357" s="19">
        <f>SUM(D347:D356)</f>
        <v>4444044600</v>
      </c>
      <c r="G357" s="1"/>
    </row>
    <row r="358" spans="1:7" x14ac:dyDescent="0.25">
      <c r="A358" s="17"/>
      <c r="D358" s="19"/>
      <c r="G358" s="1"/>
    </row>
    <row r="359" spans="1:7" x14ac:dyDescent="0.25">
      <c r="A359" s="17"/>
      <c r="B359" s="24" t="s">
        <v>46</v>
      </c>
      <c r="D359" s="19"/>
      <c r="G359" s="1"/>
    </row>
    <row r="360" spans="1:7" x14ac:dyDescent="0.25">
      <c r="A360" s="17"/>
      <c r="C360" t="s">
        <v>593</v>
      </c>
      <c r="D360" s="19">
        <v>4217500</v>
      </c>
      <c r="G360" s="1"/>
    </row>
    <row r="361" spans="1:7" x14ac:dyDescent="0.25">
      <c r="A361" s="17"/>
      <c r="C361" t="s">
        <v>323</v>
      </c>
      <c r="D361" s="20">
        <v>2410000</v>
      </c>
      <c r="G361" s="1"/>
    </row>
    <row r="362" spans="1:7" x14ac:dyDescent="0.25">
      <c r="A362" s="17"/>
      <c r="D362" s="19">
        <f>SUM(D360:D361)</f>
        <v>6627500</v>
      </c>
      <c r="G362" s="1"/>
    </row>
    <row r="363" spans="1:7" x14ac:dyDescent="0.25">
      <c r="A363" s="17"/>
      <c r="D363" s="19"/>
      <c r="G363" s="1"/>
    </row>
    <row r="364" spans="1:7" x14ac:dyDescent="0.25">
      <c r="A364" s="23" t="s">
        <v>22</v>
      </c>
      <c r="D364" s="19"/>
      <c r="G364" s="1"/>
    </row>
    <row r="365" spans="1:7" x14ac:dyDescent="0.25">
      <c r="A365" s="17"/>
      <c r="C365" t="s">
        <v>23</v>
      </c>
      <c r="D365" s="19">
        <v>1962450000</v>
      </c>
      <c r="G365" s="1"/>
    </row>
    <row r="366" spans="1:7" x14ac:dyDescent="0.25">
      <c r="A366" s="17"/>
      <c r="C366" t="s">
        <v>24</v>
      </c>
      <c r="D366" s="19">
        <v>1918024000</v>
      </c>
      <c r="G366" s="1"/>
    </row>
    <row r="367" spans="1:7" x14ac:dyDescent="0.25">
      <c r="A367" s="17"/>
      <c r="C367" t="s">
        <v>111</v>
      </c>
      <c r="D367" s="20">
        <v>154050000</v>
      </c>
      <c r="G367" s="1"/>
    </row>
    <row r="368" spans="1:7" x14ac:dyDescent="0.25">
      <c r="A368" s="17"/>
      <c r="D368" s="19">
        <f>SUM(D365:D367)</f>
        <v>4034524000</v>
      </c>
      <c r="G368" s="1"/>
    </row>
    <row r="369" spans="1:7" x14ac:dyDescent="0.25">
      <c r="A369" s="17"/>
      <c r="D369" s="19"/>
      <c r="G369" s="1"/>
    </row>
    <row r="370" spans="1:7" x14ac:dyDescent="0.25">
      <c r="A370" s="43" t="s">
        <v>25</v>
      </c>
      <c r="B370" s="44"/>
      <c r="C370" s="44"/>
      <c r="D370" s="25">
        <f>D344+D357+D362-D368</f>
        <v>1463784666.8500004</v>
      </c>
      <c r="G370" s="1"/>
    </row>
    <row r="371" spans="1:7" x14ac:dyDescent="0.25">
      <c r="A371" s="21"/>
      <c r="B371" s="22"/>
      <c r="C371" s="22"/>
      <c r="D371" s="20"/>
      <c r="G371" s="1"/>
    </row>
    <row r="373" spans="1:7" x14ac:dyDescent="0.25">
      <c r="A373" s="40" t="s">
        <v>13</v>
      </c>
      <c r="B373" s="40"/>
      <c r="C373" s="40"/>
      <c r="D373" s="40"/>
      <c r="G373" s="1"/>
    </row>
    <row r="374" spans="1:7" x14ac:dyDescent="0.25">
      <c r="A374" s="41" t="s">
        <v>14</v>
      </c>
      <c r="B374" s="41"/>
      <c r="C374" s="41"/>
      <c r="D374" s="41"/>
      <c r="G374" s="1"/>
    </row>
    <row r="375" spans="1:7" x14ac:dyDescent="0.25">
      <c r="A375" s="42">
        <v>45790</v>
      </c>
      <c r="B375" s="42"/>
      <c r="C375" s="42"/>
      <c r="D375" s="42"/>
      <c r="G375" s="1"/>
    </row>
    <row r="376" spans="1:7" x14ac:dyDescent="0.25">
      <c r="A376" s="13"/>
      <c r="B376" s="13"/>
      <c r="C376" s="13"/>
      <c r="D376" s="13"/>
      <c r="G376" s="1"/>
    </row>
    <row r="377" spans="1:7" x14ac:dyDescent="0.25">
      <c r="A377" s="14"/>
      <c r="B377" s="15"/>
      <c r="C377" s="15"/>
      <c r="D377" s="16"/>
      <c r="F377" s="5" t="s">
        <v>26</v>
      </c>
      <c r="G377" s="1">
        <f>D416-D370</f>
        <v>7686562</v>
      </c>
    </row>
    <row r="378" spans="1:7" x14ac:dyDescent="0.25">
      <c r="A378" s="17"/>
      <c r="D378" s="32" t="s">
        <v>16</v>
      </c>
      <c r="G378" s="1"/>
    </row>
    <row r="379" spans="1:7" x14ac:dyDescent="0.25">
      <c r="A379" s="23" t="s">
        <v>15</v>
      </c>
      <c r="D379" s="18" t="s">
        <v>17</v>
      </c>
      <c r="F379" s="26" t="s">
        <v>27</v>
      </c>
      <c r="G379" s="1"/>
    </row>
    <row r="380" spans="1:7" x14ac:dyDescent="0.25">
      <c r="A380" s="17"/>
      <c r="B380" s="24" t="s">
        <v>18</v>
      </c>
      <c r="D380" s="19"/>
      <c r="F380" s="27" t="s">
        <v>28</v>
      </c>
      <c r="G380" s="1"/>
    </row>
    <row r="381" spans="1:7" x14ac:dyDescent="0.25">
      <c r="A381" s="17"/>
      <c r="C381" s="2" t="s">
        <v>31</v>
      </c>
      <c r="D381" s="19">
        <v>168746839.80000001</v>
      </c>
      <c r="F381" t="s">
        <v>599</v>
      </c>
      <c r="G381" s="1">
        <v>16025000</v>
      </c>
    </row>
    <row r="382" spans="1:7" x14ac:dyDescent="0.25">
      <c r="A382" s="17"/>
      <c r="C382" s="2" t="s">
        <v>32</v>
      </c>
      <c r="D382" s="19">
        <v>229680143.05000001</v>
      </c>
      <c r="F382" t="s">
        <v>90</v>
      </c>
      <c r="G382" s="1">
        <v>210000</v>
      </c>
    </row>
    <row r="383" spans="1:7" x14ac:dyDescent="0.25">
      <c r="A383" s="17"/>
      <c r="C383" s="2" t="s">
        <v>33</v>
      </c>
      <c r="D383" s="19">
        <v>-18311935.600000001</v>
      </c>
      <c r="F383" t="s">
        <v>595</v>
      </c>
      <c r="G383" s="1">
        <v>192000</v>
      </c>
    </row>
    <row r="384" spans="1:7" x14ac:dyDescent="0.25">
      <c r="A384" s="17"/>
      <c r="C384" s="2" t="s">
        <v>34</v>
      </c>
      <c r="D384" s="19">
        <v>-82425994</v>
      </c>
      <c r="F384" t="s">
        <v>596</v>
      </c>
      <c r="G384" s="1">
        <v>169500</v>
      </c>
    </row>
    <row r="385" spans="1:10" x14ac:dyDescent="0.25">
      <c r="A385" s="17"/>
      <c r="C385" s="2" t="s">
        <v>35</v>
      </c>
      <c r="D385" s="19">
        <v>24250</v>
      </c>
      <c r="G385" s="30">
        <f>SUM(G381:G384)</f>
        <v>16596500</v>
      </c>
    </row>
    <row r="386" spans="1:10" x14ac:dyDescent="0.25">
      <c r="A386" s="17"/>
      <c r="C386" s="2" t="s">
        <v>36</v>
      </c>
      <c r="D386" s="19">
        <v>376202815.60000002</v>
      </c>
      <c r="F386" s="28" t="s">
        <v>29</v>
      </c>
      <c r="G386" s="1"/>
    </row>
    <row r="387" spans="1:10" x14ac:dyDescent="0.25">
      <c r="A387" s="17"/>
      <c r="C387" s="2" t="s">
        <v>37</v>
      </c>
      <c r="D387" s="19">
        <v>296472693</v>
      </c>
      <c r="F387" t="s">
        <v>2</v>
      </c>
      <c r="G387" s="1">
        <v>2250000</v>
      </c>
    </row>
    <row r="388" spans="1:10" x14ac:dyDescent="0.25">
      <c r="A388" s="17"/>
      <c r="C388" s="2" t="s">
        <v>51</v>
      </c>
      <c r="D388" s="20">
        <v>130317</v>
      </c>
      <c r="F388" t="s">
        <v>597</v>
      </c>
      <c r="G388" s="1">
        <v>815919</v>
      </c>
    </row>
    <row r="389" spans="1:10" x14ac:dyDescent="0.25">
      <c r="A389" s="17"/>
      <c r="B389" s="24" t="s">
        <v>19</v>
      </c>
      <c r="D389" s="19">
        <f>SUM(D381:D388)</f>
        <v>970519128.85000002</v>
      </c>
      <c r="F389" t="s">
        <v>598</v>
      </c>
      <c r="G389" s="1">
        <v>2051390</v>
      </c>
      <c r="J389" s="38"/>
    </row>
    <row r="390" spans="1:10" x14ac:dyDescent="0.25">
      <c r="A390" s="17"/>
      <c r="D390" s="19"/>
      <c r="F390" t="s">
        <v>443</v>
      </c>
      <c r="G390" s="1">
        <v>72404</v>
      </c>
    </row>
    <row r="391" spans="1:10" x14ac:dyDescent="0.25">
      <c r="A391" s="17"/>
      <c r="B391" s="24" t="s">
        <v>20</v>
      </c>
      <c r="D391" s="19"/>
      <c r="F391" t="s">
        <v>171</v>
      </c>
      <c r="G391" s="1">
        <v>1537125</v>
      </c>
    </row>
    <row r="392" spans="1:10" x14ac:dyDescent="0.25">
      <c r="A392" s="17"/>
      <c r="C392" t="s">
        <v>7</v>
      </c>
      <c r="D392" s="19">
        <v>3579001100</v>
      </c>
      <c r="F392" t="s">
        <v>298</v>
      </c>
      <c r="G392" s="1">
        <v>2002500</v>
      </c>
    </row>
    <row r="393" spans="1:10" x14ac:dyDescent="0.25">
      <c r="A393" s="17"/>
      <c r="C393" t="s">
        <v>47</v>
      </c>
      <c r="D393" s="19">
        <v>17225000</v>
      </c>
      <c r="F393" t="s">
        <v>600</v>
      </c>
      <c r="G393" s="1">
        <v>56700</v>
      </c>
    </row>
    <row r="394" spans="1:10" x14ac:dyDescent="0.25">
      <c r="A394" s="17"/>
      <c r="C394" t="s">
        <v>21</v>
      </c>
      <c r="D394" s="19">
        <v>844342500</v>
      </c>
      <c r="F394" t="s">
        <v>601</v>
      </c>
      <c r="G394" s="1">
        <v>123900</v>
      </c>
    </row>
    <row r="395" spans="1:10" x14ac:dyDescent="0.25">
      <c r="A395" s="17"/>
      <c r="C395" t="s">
        <v>45</v>
      </c>
      <c r="D395" s="19">
        <v>25000000</v>
      </c>
      <c r="G395" s="30">
        <f>SUM(G387:G394)</f>
        <v>8909938</v>
      </c>
    </row>
    <row r="396" spans="1:10" x14ac:dyDescent="0.25">
      <c r="A396" s="17"/>
      <c r="C396" t="s">
        <v>48</v>
      </c>
      <c r="D396" s="19">
        <v>30000000</v>
      </c>
    </row>
    <row r="397" spans="1:10" x14ac:dyDescent="0.25">
      <c r="A397" s="17"/>
      <c r="C397" t="s">
        <v>68</v>
      </c>
      <c r="D397" s="19">
        <v>141000000</v>
      </c>
      <c r="F397" s="28" t="s">
        <v>30</v>
      </c>
      <c r="G397" s="29">
        <f>G385-G395</f>
        <v>7686562</v>
      </c>
    </row>
    <row r="398" spans="1:10" x14ac:dyDescent="0.25">
      <c r="A398" s="17"/>
      <c r="C398" t="s">
        <v>68</v>
      </c>
      <c r="D398" s="19">
        <v>145000000</v>
      </c>
    </row>
    <row r="399" spans="1:10" x14ac:dyDescent="0.25">
      <c r="A399" s="17"/>
      <c r="C399" t="s">
        <v>554</v>
      </c>
      <c r="D399" s="19">
        <v>79650000</v>
      </c>
    </row>
    <row r="400" spans="1:10" x14ac:dyDescent="0.25">
      <c r="A400" s="17"/>
      <c r="C400" t="s">
        <v>604</v>
      </c>
      <c r="D400" s="19">
        <v>1500000</v>
      </c>
      <c r="G400" s="1"/>
    </row>
    <row r="401" spans="1:7" x14ac:dyDescent="0.25">
      <c r="A401" s="17"/>
      <c r="C401" t="s">
        <v>544</v>
      </c>
      <c r="D401" s="20">
        <v>660000</v>
      </c>
      <c r="G401" s="1"/>
    </row>
    <row r="402" spans="1:7" x14ac:dyDescent="0.25">
      <c r="A402" s="17"/>
      <c r="D402" s="19">
        <f>SUM(D392:D401)</f>
        <v>4863378600</v>
      </c>
      <c r="G402" s="1"/>
    </row>
    <row r="403" spans="1:7" x14ac:dyDescent="0.25">
      <c r="A403" s="17"/>
      <c r="D403" s="19"/>
      <c r="G403" s="1"/>
    </row>
    <row r="404" spans="1:7" x14ac:dyDescent="0.25">
      <c r="A404" s="17"/>
      <c r="B404" s="24" t="s">
        <v>46</v>
      </c>
      <c r="D404" s="19"/>
      <c r="G404" s="1"/>
    </row>
    <row r="405" spans="1:7" x14ac:dyDescent="0.25">
      <c r="A405" s="17"/>
      <c r="C405" t="s">
        <v>266</v>
      </c>
      <c r="D405" s="19">
        <v>3012500</v>
      </c>
      <c r="G405" s="1"/>
    </row>
    <row r="406" spans="1:7" x14ac:dyDescent="0.25">
      <c r="A406" s="17"/>
      <c r="C406" t="s">
        <v>426</v>
      </c>
      <c r="D406" s="20">
        <v>1205000</v>
      </c>
      <c r="G406" s="1"/>
    </row>
    <row r="407" spans="1:7" x14ac:dyDescent="0.25">
      <c r="A407" s="17"/>
      <c r="D407" s="19">
        <f>SUM(D405:D406)</f>
        <v>4217500</v>
      </c>
      <c r="G407" s="1"/>
    </row>
    <row r="408" spans="1:7" x14ac:dyDescent="0.25">
      <c r="A408" s="17"/>
      <c r="D408" s="19"/>
      <c r="G408" s="1"/>
    </row>
    <row r="409" spans="1:7" x14ac:dyDescent="0.25">
      <c r="A409" s="23" t="s">
        <v>22</v>
      </c>
      <c r="D409" s="19"/>
      <c r="G409" s="1"/>
    </row>
    <row r="410" spans="1:7" x14ac:dyDescent="0.25">
      <c r="A410" s="17"/>
      <c r="C410" t="s">
        <v>23</v>
      </c>
      <c r="D410" s="19">
        <v>2572150000</v>
      </c>
      <c r="G410" s="1"/>
    </row>
    <row r="411" spans="1:7" x14ac:dyDescent="0.25">
      <c r="A411" s="17"/>
      <c r="C411" t="s">
        <v>24</v>
      </c>
      <c r="D411" s="19">
        <v>1556744000</v>
      </c>
      <c r="G411" s="1"/>
    </row>
    <row r="412" spans="1:7" x14ac:dyDescent="0.25">
      <c r="A412" s="17"/>
      <c r="C412" t="s">
        <v>602</v>
      </c>
      <c r="D412" s="19">
        <v>83700000</v>
      </c>
      <c r="G412" s="1"/>
    </row>
    <row r="413" spans="1:7" x14ac:dyDescent="0.25">
      <c r="A413" s="17"/>
      <c r="C413" t="s">
        <v>111</v>
      </c>
      <c r="D413" s="20">
        <v>154050000</v>
      </c>
      <c r="G413" s="1"/>
    </row>
    <row r="414" spans="1:7" x14ac:dyDescent="0.25">
      <c r="A414" s="17"/>
      <c r="D414" s="19">
        <f>SUM(D410:D413)</f>
        <v>4366644000</v>
      </c>
      <c r="G414" s="1"/>
    </row>
    <row r="415" spans="1:7" x14ac:dyDescent="0.25">
      <c r="A415" s="17"/>
      <c r="D415" s="19"/>
      <c r="G415" s="1"/>
    </row>
    <row r="416" spans="1:7" x14ac:dyDescent="0.25">
      <c r="A416" s="43" t="s">
        <v>25</v>
      </c>
      <c r="B416" s="44"/>
      <c r="C416" s="44"/>
      <c r="D416" s="25">
        <f>D389+D402+D407-D414</f>
        <v>1471471228.8500004</v>
      </c>
      <c r="G416" s="1"/>
    </row>
    <row r="417" spans="1:7" x14ac:dyDescent="0.25">
      <c r="A417" s="21"/>
      <c r="B417" s="22"/>
      <c r="C417" s="22"/>
      <c r="D417" s="20"/>
      <c r="G417" s="1"/>
    </row>
    <row r="419" spans="1:7" x14ac:dyDescent="0.25">
      <c r="A419" s="40" t="s">
        <v>13</v>
      </c>
      <c r="B419" s="40"/>
      <c r="C419" s="40"/>
      <c r="D419" s="40"/>
      <c r="G419" s="1"/>
    </row>
    <row r="420" spans="1:7" x14ac:dyDescent="0.25">
      <c r="A420" s="41" t="s">
        <v>14</v>
      </c>
      <c r="B420" s="41"/>
      <c r="C420" s="41"/>
      <c r="D420" s="41"/>
      <c r="G420" s="1"/>
    </row>
    <row r="421" spans="1:7" x14ac:dyDescent="0.25">
      <c r="A421" s="42">
        <v>45791</v>
      </c>
      <c r="B421" s="42"/>
      <c r="C421" s="42"/>
      <c r="D421" s="42"/>
      <c r="G421" s="1"/>
    </row>
    <row r="422" spans="1:7" x14ac:dyDescent="0.25">
      <c r="A422" s="13"/>
      <c r="B422" s="13"/>
      <c r="C422" s="13"/>
      <c r="D422" s="13"/>
      <c r="G422" s="1"/>
    </row>
    <row r="423" spans="1:7" x14ac:dyDescent="0.25">
      <c r="A423" s="14"/>
      <c r="B423" s="15"/>
      <c r="C423" s="15"/>
      <c r="D423" s="16"/>
      <c r="F423" s="5" t="s">
        <v>26</v>
      </c>
      <c r="G423" s="1">
        <f>D458-D416</f>
        <v>-2925000</v>
      </c>
    </row>
    <row r="424" spans="1:7" x14ac:dyDescent="0.25">
      <c r="A424" s="17"/>
      <c r="D424" s="32" t="s">
        <v>16</v>
      </c>
      <c r="G424" s="1"/>
    </row>
    <row r="425" spans="1:7" x14ac:dyDescent="0.25">
      <c r="A425" s="23" t="s">
        <v>15</v>
      </c>
      <c r="D425" s="18" t="s">
        <v>17</v>
      </c>
      <c r="F425" s="26" t="s">
        <v>27</v>
      </c>
      <c r="G425" s="1"/>
    </row>
    <row r="426" spans="1:7" x14ac:dyDescent="0.25">
      <c r="A426" s="17"/>
      <c r="B426" s="24" t="s">
        <v>18</v>
      </c>
      <c r="D426" s="19"/>
      <c r="F426" s="27" t="s">
        <v>28</v>
      </c>
      <c r="G426" s="1"/>
    </row>
    <row r="427" spans="1:7" x14ac:dyDescent="0.25">
      <c r="A427" s="17"/>
      <c r="C427" s="2" t="s">
        <v>31</v>
      </c>
      <c r="D427" s="19">
        <v>394896839.80000001</v>
      </c>
      <c r="F427" t="s">
        <v>610</v>
      </c>
      <c r="G427" s="1">
        <v>6585000</v>
      </c>
    </row>
    <row r="428" spans="1:7" x14ac:dyDescent="0.25">
      <c r="A428" s="17"/>
      <c r="C428" s="2" t="s">
        <v>32</v>
      </c>
      <c r="D428" s="19">
        <v>62280143.049999997</v>
      </c>
      <c r="F428" t="s">
        <v>90</v>
      </c>
      <c r="G428" s="1">
        <v>45000</v>
      </c>
    </row>
    <row r="429" spans="1:7" x14ac:dyDescent="0.25">
      <c r="A429" s="17"/>
      <c r="C429" s="2" t="s">
        <v>33</v>
      </c>
      <c r="D429" s="19">
        <v>-59585935.600000001</v>
      </c>
      <c r="F429" t="s">
        <v>607</v>
      </c>
      <c r="G429" s="1">
        <v>450000</v>
      </c>
    </row>
    <row r="430" spans="1:7" x14ac:dyDescent="0.25">
      <c r="A430" s="17"/>
      <c r="C430" s="2" t="s">
        <v>34</v>
      </c>
      <c r="D430" s="19">
        <v>55499006</v>
      </c>
      <c r="G430" s="30">
        <f>SUM(G427:G429)</f>
        <v>7080000</v>
      </c>
    </row>
    <row r="431" spans="1:7" x14ac:dyDescent="0.25">
      <c r="A431" s="17"/>
      <c r="C431" s="2" t="s">
        <v>35</v>
      </c>
      <c r="D431" s="19">
        <v>24250</v>
      </c>
      <c r="F431" s="28" t="s">
        <v>29</v>
      </c>
      <c r="G431" s="1"/>
    </row>
    <row r="432" spans="1:7" x14ac:dyDescent="0.25">
      <c r="A432" s="17"/>
      <c r="C432" s="2" t="s">
        <v>36</v>
      </c>
      <c r="D432" s="19">
        <v>376202815.60000002</v>
      </c>
      <c r="F432" t="s">
        <v>112</v>
      </c>
      <c r="G432" s="1">
        <v>10000000</v>
      </c>
    </row>
    <row r="433" spans="1:7" x14ac:dyDescent="0.25">
      <c r="A433" s="17"/>
      <c r="C433" s="2" t="s">
        <v>37</v>
      </c>
      <c r="D433" s="19">
        <v>-55212307</v>
      </c>
      <c r="F433" t="s">
        <v>161</v>
      </c>
      <c r="G433" s="1">
        <v>5000</v>
      </c>
    </row>
    <row r="434" spans="1:7" x14ac:dyDescent="0.25">
      <c r="A434" s="17"/>
      <c r="C434" s="2" t="s">
        <v>51</v>
      </c>
      <c r="D434" s="20">
        <v>130317</v>
      </c>
      <c r="G434" s="30">
        <f>SUM(G432:G433)</f>
        <v>10005000</v>
      </c>
    </row>
    <row r="435" spans="1:7" x14ac:dyDescent="0.25">
      <c r="A435" s="17"/>
      <c r="B435" s="24" t="s">
        <v>19</v>
      </c>
      <c r="D435" s="19">
        <f>SUM(D427:D434)</f>
        <v>774235128.85000002</v>
      </c>
    </row>
    <row r="436" spans="1:7" x14ac:dyDescent="0.25">
      <c r="A436" s="17"/>
      <c r="D436" s="19"/>
      <c r="F436" s="28" t="s">
        <v>30</v>
      </c>
      <c r="G436" s="29">
        <f>G430-G434</f>
        <v>-2925000</v>
      </c>
    </row>
    <row r="437" spans="1:7" x14ac:dyDescent="0.25">
      <c r="A437" s="17"/>
      <c r="B437" s="24" t="s">
        <v>20</v>
      </c>
      <c r="D437" s="19"/>
    </row>
    <row r="438" spans="1:7" x14ac:dyDescent="0.25">
      <c r="A438" s="17"/>
      <c r="C438" t="s">
        <v>7</v>
      </c>
      <c r="D438" s="19">
        <v>3445331100</v>
      </c>
    </row>
    <row r="439" spans="1:7" x14ac:dyDescent="0.25">
      <c r="A439" s="17"/>
      <c r="C439" t="s">
        <v>47</v>
      </c>
      <c r="D439" s="19">
        <v>17175000</v>
      </c>
    </row>
    <row r="440" spans="1:7" x14ac:dyDescent="0.25">
      <c r="A440" s="17"/>
      <c r="C440" t="s">
        <v>21</v>
      </c>
      <c r="D440" s="19">
        <v>742848500</v>
      </c>
    </row>
    <row r="441" spans="1:7" x14ac:dyDescent="0.25">
      <c r="A441" s="17"/>
      <c r="C441" t="s">
        <v>45</v>
      </c>
      <c r="D441" s="19">
        <v>25000000</v>
      </c>
    </row>
    <row r="442" spans="1:7" x14ac:dyDescent="0.25">
      <c r="A442" s="17"/>
      <c r="C442" t="s">
        <v>48</v>
      </c>
      <c r="D442" s="19">
        <v>30000000</v>
      </c>
    </row>
    <row r="443" spans="1:7" x14ac:dyDescent="0.25">
      <c r="A443" s="17"/>
      <c r="C443" t="s">
        <v>68</v>
      </c>
      <c r="D443" s="19">
        <v>141000000</v>
      </c>
    </row>
    <row r="444" spans="1:7" x14ac:dyDescent="0.25">
      <c r="A444" s="17"/>
      <c r="C444" t="s">
        <v>68</v>
      </c>
      <c r="D444" s="19">
        <v>145000000</v>
      </c>
    </row>
    <row r="445" spans="1:7" x14ac:dyDescent="0.25">
      <c r="A445" s="17"/>
      <c r="C445" t="s">
        <v>544</v>
      </c>
      <c r="D445" s="20">
        <v>660000</v>
      </c>
      <c r="G445" s="1"/>
    </row>
    <row r="446" spans="1:7" x14ac:dyDescent="0.25">
      <c r="A446" s="17"/>
      <c r="D446" s="19">
        <f>SUM(D438:D445)</f>
        <v>4547014600</v>
      </c>
      <c r="G446" s="1"/>
    </row>
    <row r="447" spans="1:7" x14ac:dyDescent="0.25">
      <c r="A447" s="17"/>
      <c r="D447" s="19"/>
      <c r="G447" s="1"/>
    </row>
    <row r="448" spans="1:7" x14ac:dyDescent="0.25">
      <c r="A448" s="17"/>
      <c r="B448" s="24" t="s">
        <v>46</v>
      </c>
      <c r="D448" s="19"/>
      <c r="G448" s="1"/>
    </row>
    <row r="449" spans="1:7" x14ac:dyDescent="0.25">
      <c r="A449" s="17"/>
      <c r="C449" t="s">
        <v>608</v>
      </c>
      <c r="D449" s="19">
        <v>170507500</v>
      </c>
      <c r="G449" s="1"/>
    </row>
    <row r="450" spans="1:7" x14ac:dyDescent="0.25">
      <c r="A450" s="17"/>
      <c r="C450" t="s">
        <v>426</v>
      </c>
      <c r="D450" s="20">
        <v>1205000</v>
      </c>
      <c r="G450" s="1"/>
    </row>
    <row r="451" spans="1:7" x14ac:dyDescent="0.25">
      <c r="A451" s="17"/>
      <c r="D451" s="19">
        <f>SUM(D449:D450)</f>
        <v>171712500</v>
      </c>
      <c r="G451" s="1"/>
    </row>
    <row r="452" spans="1:7" x14ac:dyDescent="0.25">
      <c r="A452" s="17"/>
      <c r="D452" s="19"/>
      <c r="G452" s="1"/>
    </row>
    <row r="453" spans="1:7" x14ac:dyDescent="0.25">
      <c r="A453" s="23" t="s">
        <v>22</v>
      </c>
      <c r="D453" s="19"/>
      <c r="G453" s="1"/>
    </row>
    <row r="454" spans="1:7" x14ac:dyDescent="0.25">
      <c r="A454" s="17"/>
      <c r="C454" t="s">
        <v>23</v>
      </c>
      <c r="D454" s="19">
        <v>2612700000</v>
      </c>
      <c r="G454" s="1"/>
    </row>
    <row r="455" spans="1:7" x14ac:dyDescent="0.25">
      <c r="A455" s="17"/>
      <c r="C455" t="s">
        <v>24</v>
      </c>
      <c r="D455" s="20">
        <v>1411716000</v>
      </c>
      <c r="G455" s="1"/>
    </row>
    <row r="456" spans="1:7" x14ac:dyDescent="0.25">
      <c r="A456" s="17"/>
      <c r="D456" s="19">
        <f>SUM(D454:D455)</f>
        <v>4024416000</v>
      </c>
      <c r="G456" s="1"/>
    </row>
    <row r="457" spans="1:7" x14ac:dyDescent="0.25">
      <c r="A457" s="17"/>
      <c r="D457" s="19"/>
      <c r="G457" s="1"/>
    </row>
    <row r="458" spans="1:7" x14ac:dyDescent="0.25">
      <c r="A458" s="43" t="s">
        <v>25</v>
      </c>
      <c r="B458" s="44"/>
      <c r="C458" s="44"/>
      <c r="D458" s="25">
        <f>D435+D446+D451-D456</f>
        <v>1468546228.8500004</v>
      </c>
      <c r="G458" s="1"/>
    </row>
    <row r="459" spans="1:7" x14ac:dyDescent="0.25">
      <c r="A459" s="21"/>
      <c r="B459" s="22"/>
      <c r="C459" s="22"/>
      <c r="D459" s="20"/>
      <c r="G459" s="1"/>
    </row>
    <row r="461" spans="1:7" x14ac:dyDescent="0.25">
      <c r="A461" s="40" t="s">
        <v>13</v>
      </c>
      <c r="B461" s="40"/>
      <c r="C461" s="40"/>
      <c r="D461" s="40"/>
      <c r="G461" s="1"/>
    </row>
    <row r="462" spans="1:7" x14ac:dyDescent="0.25">
      <c r="A462" s="41" t="s">
        <v>14</v>
      </c>
      <c r="B462" s="41"/>
      <c r="C462" s="41"/>
      <c r="D462" s="41"/>
      <c r="G462" s="1"/>
    </row>
    <row r="463" spans="1:7" x14ac:dyDescent="0.25">
      <c r="A463" s="42">
        <v>45792</v>
      </c>
      <c r="B463" s="42"/>
      <c r="C463" s="42"/>
      <c r="D463" s="42"/>
      <c r="G463" s="1"/>
    </row>
    <row r="464" spans="1:7" x14ac:dyDescent="0.25">
      <c r="A464" s="13"/>
      <c r="B464" s="13"/>
      <c r="C464" s="13"/>
      <c r="D464" s="13"/>
      <c r="G464" s="1"/>
    </row>
    <row r="465" spans="1:10" x14ac:dyDescent="0.25">
      <c r="A465" s="14"/>
      <c r="B465" s="15"/>
      <c r="C465" s="15"/>
      <c r="D465" s="16"/>
      <c r="F465" s="5" t="s">
        <v>26</v>
      </c>
      <c r="G465" s="1">
        <f>D501-D458</f>
        <v>1911500</v>
      </c>
    </row>
    <row r="466" spans="1:10" x14ac:dyDescent="0.25">
      <c r="A466" s="17"/>
      <c r="D466" s="32" t="s">
        <v>16</v>
      </c>
      <c r="G466" s="1"/>
    </row>
    <row r="467" spans="1:10" x14ac:dyDescent="0.25">
      <c r="A467" s="23" t="s">
        <v>15</v>
      </c>
      <c r="D467" s="18" t="s">
        <v>17</v>
      </c>
      <c r="F467" s="26" t="s">
        <v>27</v>
      </c>
      <c r="G467" s="1"/>
    </row>
    <row r="468" spans="1:10" x14ac:dyDescent="0.25">
      <c r="A468" s="17"/>
      <c r="B468" s="24" t="s">
        <v>18</v>
      </c>
      <c r="D468" s="19"/>
      <c r="F468" s="27" t="s">
        <v>28</v>
      </c>
      <c r="G468" s="1"/>
    </row>
    <row r="469" spans="1:10" x14ac:dyDescent="0.25">
      <c r="A469" s="17"/>
      <c r="C469" s="2" t="s">
        <v>31</v>
      </c>
      <c r="D469" s="19">
        <v>392394339.80000001</v>
      </c>
      <c r="F469" t="s">
        <v>328</v>
      </c>
      <c r="G469" s="1">
        <v>6425000</v>
      </c>
    </row>
    <row r="470" spans="1:10" x14ac:dyDescent="0.25">
      <c r="A470" s="17"/>
      <c r="C470" s="2" t="s">
        <v>32</v>
      </c>
      <c r="D470" s="19">
        <v>62280143.049999997</v>
      </c>
      <c r="F470" t="s">
        <v>612</v>
      </c>
      <c r="G470" s="1">
        <v>189000</v>
      </c>
    </row>
    <row r="471" spans="1:10" x14ac:dyDescent="0.25">
      <c r="A471" s="17"/>
      <c r="C471" s="2" t="s">
        <v>33</v>
      </c>
      <c r="D471" s="19">
        <v>457124064.39999998</v>
      </c>
      <c r="F471" t="s">
        <v>615</v>
      </c>
      <c r="G471" s="1">
        <v>50000</v>
      </c>
    </row>
    <row r="472" spans="1:10" x14ac:dyDescent="0.25">
      <c r="A472" s="17"/>
      <c r="C472" s="2" t="s">
        <v>34</v>
      </c>
      <c r="D472" s="19">
        <v>4274006</v>
      </c>
      <c r="G472" s="30">
        <f>SUM(G469:G471)</f>
        <v>6664000</v>
      </c>
    </row>
    <row r="473" spans="1:10" x14ac:dyDescent="0.25">
      <c r="A473" s="17"/>
      <c r="C473" s="2" t="s">
        <v>35</v>
      </c>
      <c r="D473" s="19">
        <v>24250</v>
      </c>
      <c r="F473" s="28" t="s">
        <v>29</v>
      </c>
      <c r="G473" s="1"/>
    </row>
    <row r="474" spans="1:10" x14ac:dyDescent="0.25">
      <c r="A474" s="17"/>
      <c r="C474" s="2" t="s">
        <v>36</v>
      </c>
      <c r="D474" s="19">
        <v>376202815.60000002</v>
      </c>
      <c r="F474" t="s">
        <v>104</v>
      </c>
      <c r="G474" s="1">
        <v>2250000</v>
      </c>
      <c r="J474" s="38"/>
    </row>
    <row r="475" spans="1:10" x14ac:dyDescent="0.25">
      <c r="A475" s="17"/>
      <c r="C475" s="2" t="s">
        <v>37</v>
      </c>
      <c r="D475" s="19">
        <v>-39662307</v>
      </c>
      <c r="F475" t="s">
        <v>298</v>
      </c>
      <c r="G475" s="1">
        <v>2500000</v>
      </c>
    </row>
    <row r="476" spans="1:10" x14ac:dyDescent="0.25">
      <c r="A476" s="17"/>
      <c r="C476" s="2" t="s">
        <v>51</v>
      </c>
      <c r="D476" s="20">
        <v>130317</v>
      </c>
      <c r="F476" t="s">
        <v>611</v>
      </c>
      <c r="G476" s="1">
        <v>2500</v>
      </c>
    </row>
    <row r="477" spans="1:10" x14ac:dyDescent="0.25">
      <c r="A477" s="17"/>
      <c r="B477" s="24" t="s">
        <v>19</v>
      </c>
      <c r="D477" s="19">
        <f>SUM(D469:D476)</f>
        <v>1252767628.8499999</v>
      </c>
      <c r="G477" s="30">
        <f>SUM(G474:G476)</f>
        <v>4752500</v>
      </c>
    </row>
    <row r="478" spans="1:10" x14ac:dyDescent="0.25">
      <c r="A478" s="17"/>
      <c r="D478" s="19"/>
    </row>
    <row r="479" spans="1:10" x14ac:dyDescent="0.25">
      <c r="A479" s="17"/>
      <c r="B479" s="24" t="s">
        <v>20</v>
      </c>
      <c r="D479" s="19"/>
      <c r="F479" s="28" t="s">
        <v>30</v>
      </c>
      <c r="G479" s="29">
        <f>G472-G477</f>
        <v>1911500</v>
      </c>
    </row>
    <row r="480" spans="1:10" x14ac:dyDescent="0.25">
      <c r="A480" s="17"/>
      <c r="C480" t="s">
        <v>7</v>
      </c>
      <c r="D480" s="19">
        <v>3397281100</v>
      </c>
    </row>
    <row r="481" spans="1:7" x14ac:dyDescent="0.25">
      <c r="A481" s="17"/>
      <c r="C481" t="s">
        <v>47</v>
      </c>
      <c r="D481" s="19">
        <v>17175000</v>
      </c>
    </row>
    <row r="482" spans="1:7" x14ac:dyDescent="0.25">
      <c r="A482" s="17"/>
      <c r="C482" t="s">
        <v>21</v>
      </c>
      <c r="D482" s="19">
        <v>694838500</v>
      </c>
    </row>
    <row r="483" spans="1:7" x14ac:dyDescent="0.25">
      <c r="A483" s="17"/>
      <c r="C483" t="s">
        <v>45</v>
      </c>
      <c r="D483" s="19">
        <v>25000000</v>
      </c>
    </row>
    <row r="484" spans="1:7" x14ac:dyDescent="0.25">
      <c r="A484" s="17"/>
      <c r="C484" t="s">
        <v>48</v>
      </c>
      <c r="D484" s="19">
        <v>30000000</v>
      </c>
    </row>
    <row r="485" spans="1:7" x14ac:dyDescent="0.25">
      <c r="A485" s="17"/>
      <c r="C485" t="s">
        <v>68</v>
      </c>
      <c r="D485" s="19">
        <v>141000000</v>
      </c>
    </row>
    <row r="486" spans="1:7" x14ac:dyDescent="0.25">
      <c r="A486" s="17"/>
      <c r="C486" t="s">
        <v>68</v>
      </c>
      <c r="D486" s="19">
        <v>145000000</v>
      </c>
    </row>
    <row r="487" spans="1:7" x14ac:dyDescent="0.25">
      <c r="A487" s="17"/>
      <c r="C487" t="s">
        <v>613</v>
      </c>
      <c r="D487" s="19">
        <v>33489000</v>
      </c>
    </row>
    <row r="488" spans="1:7" x14ac:dyDescent="0.25">
      <c r="A488" s="17"/>
      <c r="C488" t="s">
        <v>544</v>
      </c>
      <c r="D488" s="20">
        <v>660000</v>
      </c>
      <c r="G488" s="1"/>
    </row>
    <row r="489" spans="1:7" x14ac:dyDescent="0.25">
      <c r="A489" s="17"/>
      <c r="D489" s="19">
        <f>SUM(D480:D488)</f>
        <v>4484443600</v>
      </c>
      <c r="G489" s="1"/>
    </row>
    <row r="490" spans="1:7" x14ac:dyDescent="0.25">
      <c r="A490" s="17"/>
      <c r="D490" s="19"/>
      <c r="G490" s="1"/>
    </row>
    <row r="491" spans="1:7" x14ac:dyDescent="0.25">
      <c r="A491" s="17"/>
      <c r="B491" s="24" t="s">
        <v>46</v>
      </c>
      <c r="D491" s="19"/>
      <c r="G491" s="1"/>
    </row>
    <row r="492" spans="1:7" x14ac:dyDescent="0.25">
      <c r="A492" s="17"/>
      <c r="C492" t="s">
        <v>608</v>
      </c>
      <c r="D492" s="19">
        <v>170507500</v>
      </c>
      <c r="G492" s="1"/>
    </row>
    <row r="493" spans="1:7" x14ac:dyDescent="0.25">
      <c r="A493" s="17"/>
      <c r="C493" t="s">
        <v>426</v>
      </c>
      <c r="D493" s="20">
        <v>1205000</v>
      </c>
      <c r="G493" s="1"/>
    </row>
    <row r="494" spans="1:7" x14ac:dyDescent="0.25">
      <c r="A494" s="17"/>
      <c r="D494" s="19">
        <f>SUM(D492:D493)</f>
        <v>171712500</v>
      </c>
      <c r="G494" s="1"/>
    </row>
    <row r="495" spans="1:7" x14ac:dyDescent="0.25">
      <c r="A495" s="17"/>
      <c r="D495" s="19"/>
      <c r="G495" s="1"/>
    </row>
    <row r="496" spans="1:7" x14ac:dyDescent="0.25">
      <c r="A496" s="23" t="s">
        <v>22</v>
      </c>
      <c r="D496" s="19"/>
      <c r="G496" s="1"/>
    </row>
    <row r="497" spans="1:7" x14ac:dyDescent="0.25">
      <c r="A497" s="17"/>
      <c r="C497" t="s">
        <v>23</v>
      </c>
      <c r="D497" s="19">
        <v>3026750000</v>
      </c>
      <c r="G497" s="1"/>
    </row>
    <row r="498" spans="1:7" x14ac:dyDescent="0.25">
      <c r="A498" s="17"/>
      <c r="C498" t="s">
        <v>24</v>
      </c>
      <c r="D498" s="20">
        <v>1411716000</v>
      </c>
      <c r="G498" s="1"/>
    </row>
    <row r="499" spans="1:7" x14ac:dyDescent="0.25">
      <c r="A499" s="17"/>
      <c r="D499" s="19">
        <f>SUM(D497:D498)</f>
        <v>4438466000</v>
      </c>
      <c r="G499" s="1"/>
    </row>
    <row r="500" spans="1:7" x14ac:dyDescent="0.25">
      <c r="A500" s="17"/>
      <c r="D500" s="19"/>
      <c r="G500" s="1"/>
    </row>
    <row r="501" spans="1:7" x14ac:dyDescent="0.25">
      <c r="A501" s="43" t="s">
        <v>25</v>
      </c>
      <c r="B501" s="44"/>
      <c r="C501" s="44"/>
      <c r="D501" s="25">
        <f>D477+D489+D494-D499</f>
        <v>1470457728.8500004</v>
      </c>
      <c r="G501" s="1"/>
    </row>
    <row r="502" spans="1:7" x14ac:dyDescent="0.25">
      <c r="A502" s="21"/>
      <c r="B502" s="22"/>
      <c r="C502" s="22"/>
      <c r="D502" s="20"/>
      <c r="G502" s="1"/>
    </row>
    <row r="504" spans="1:7" x14ac:dyDescent="0.25">
      <c r="A504" s="40" t="s">
        <v>13</v>
      </c>
      <c r="B504" s="40"/>
      <c r="C504" s="40"/>
      <c r="D504" s="40"/>
      <c r="G504" s="1"/>
    </row>
    <row r="505" spans="1:7" x14ac:dyDescent="0.25">
      <c r="A505" s="41" t="s">
        <v>14</v>
      </c>
      <c r="B505" s="41"/>
      <c r="C505" s="41"/>
      <c r="D505" s="41"/>
      <c r="G505" s="1"/>
    </row>
    <row r="506" spans="1:7" x14ac:dyDescent="0.25">
      <c r="A506" s="42">
        <v>45793</v>
      </c>
      <c r="B506" s="42"/>
      <c r="C506" s="42"/>
      <c r="D506" s="42"/>
      <c r="G506" s="1"/>
    </row>
    <row r="507" spans="1:7" x14ac:dyDescent="0.25">
      <c r="A507" s="13"/>
      <c r="B507" s="13"/>
      <c r="C507" s="13"/>
      <c r="D507" s="13"/>
      <c r="G507" s="1"/>
    </row>
    <row r="508" spans="1:7" x14ac:dyDescent="0.25">
      <c r="A508" s="14"/>
      <c r="B508" s="15"/>
      <c r="C508" s="15"/>
      <c r="D508" s="16"/>
      <c r="F508" s="5" t="s">
        <v>26</v>
      </c>
      <c r="G508" s="1">
        <f>D544-D501</f>
        <v>6196000</v>
      </c>
    </row>
    <row r="509" spans="1:7" x14ac:dyDescent="0.25">
      <c r="A509" s="17"/>
      <c r="D509" s="32" t="s">
        <v>16</v>
      </c>
      <c r="G509" s="1"/>
    </row>
    <row r="510" spans="1:7" x14ac:dyDescent="0.25">
      <c r="A510" s="23" t="s">
        <v>15</v>
      </c>
      <c r="D510" s="18" t="s">
        <v>17</v>
      </c>
      <c r="F510" s="26" t="s">
        <v>27</v>
      </c>
      <c r="G510" s="1"/>
    </row>
    <row r="511" spans="1:7" x14ac:dyDescent="0.25">
      <c r="A511" s="17"/>
      <c r="B511" s="24" t="s">
        <v>18</v>
      </c>
      <c r="D511" s="19"/>
      <c r="F511" s="27" t="s">
        <v>28</v>
      </c>
      <c r="G511" s="1"/>
    </row>
    <row r="512" spans="1:7" x14ac:dyDescent="0.25">
      <c r="A512" s="17"/>
      <c r="C512" s="2" t="s">
        <v>31</v>
      </c>
      <c r="D512" s="19">
        <v>289891339.80000001</v>
      </c>
      <c r="F512" t="s">
        <v>616</v>
      </c>
      <c r="G512" s="1">
        <v>13636000</v>
      </c>
    </row>
    <row r="513" spans="1:7" x14ac:dyDescent="0.25">
      <c r="A513" s="17"/>
      <c r="C513" s="2" t="s">
        <v>32</v>
      </c>
      <c r="D513" s="19">
        <v>63600143.049999997</v>
      </c>
      <c r="F513" t="s">
        <v>90</v>
      </c>
      <c r="G513" s="1">
        <v>275000</v>
      </c>
    </row>
    <row r="514" spans="1:7" x14ac:dyDescent="0.25">
      <c r="A514" s="17"/>
      <c r="C514" s="2" t="s">
        <v>33</v>
      </c>
      <c r="D514" s="19">
        <v>123139064.40000001</v>
      </c>
      <c r="F514" t="s">
        <v>618</v>
      </c>
      <c r="G514" s="1">
        <v>288000</v>
      </c>
    </row>
    <row r="515" spans="1:7" x14ac:dyDescent="0.25">
      <c r="A515" s="17"/>
      <c r="C515" s="2" t="s">
        <v>34</v>
      </c>
      <c r="D515" s="19">
        <v>499006</v>
      </c>
      <c r="G515" s="30">
        <f>SUM(G512:G514)</f>
        <v>14199000</v>
      </c>
    </row>
    <row r="516" spans="1:7" x14ac:dyDescent="0.25">
      <c r="A516" s="17"/>
      <c r="C516" s="2" t="s">
        <v>35</v>
      </c>
      <c r="D516" s="19">
        <v>24250</v>
      </c>
      <c r="F516" s="28" t="s">
        <v>29</v>
      </c>
      <c r="G516" s="1"/>
    </row>
    <row r="517" spans="1:7" x14ac:dyDescent="0.25">
      <c r="A517" s="17"/>
      <c r="C517" s="2" t="s">
        <v>36</v>
      </c>
      <c r="D517" s="19">
        <v>376202815.60000002</v>
      </c>
      <c r="F517" t="s">
        <v>298</v>
      </c>
      <c r="G517" s="1">
        <v>1003000</v>
      </c>
    </row>
    <row r="518" spans="1:7" x14ac:dyDescent="0.25">
      <c r="A518" s="17"/>
      <c r="C518" s="2" t="s">
        <v>37</v>
      </c>
      <c r="D518" s="19">
        <v>117789693</v>
      </c>
      <c r="F518" t="s">
        <v>298</v>
      </c>
      <c r="G518" s="1">
        <v>7000000</v>
      </c>
    </row>
    <row r="519" spans="1:7" x14ac:dyDescent="0.25">
      <c r="A519" s="17"/>
      <c r="C519" s="2" t="s">
        <v>51</v>
      </c>
      <c r="D519" s="20">
        <v>130317</v>
      </c>
      <c r="G519" s="30">
        <f>SUM(G517:G518)</f>
        <v>8003000</v>
      </c>
    </row>
    <row r="520" spans="1:7" x14ac:dyDescent="0.25">
      <c r="A520" s="17"/>
      <c r="B520" s="24" t="s">
        <v>19</v>
      </c>
      <c r="D520" s="19">
        <f>SUM(D512:D519)</f>
        <v>971276628.85000002</v>
      </c>
    </row>
    <row r="521" spans="1:7" x14ac:dyDescent="0.25">
      <c r="A521" s="17"/>
      <c r="D521" s="19"/>
      <c r="F521" s="28" t="s">
        <v>30</v>
      </c>
      <c r="G521" s="29">
        <f>G515-G519</f>
        <v>6196000</v>
      </c>
    </row>
    <row r="522" spans="1:7" x14ac:dyDescent="0.25">
      <c r="A522" s="17"/>
      <c r="B522" s="24" t="s">
        <v>20</v>
      </c>
      <c r="D522" s="19"/>
    </row>
    <row r="523" spans="1:7" x14ac:dyDescent="0.25">
      <c r="A523" s="17"/>
      <c r="C523" t="s">
        <v>7</v>
      </c>
      <c r="D523" s="19">
        <v>3265706100</v>
      </c>
    </row>
    <row r="524" spans="1:7" x14ac:dyDescent="0.25">
      <c r="A524" s="17"/>
      <c r="C524" t="s">
        <v>47</v>
      </c>
      <c r="D524" s="19">
        <v>19745000</v>
      </c>
    </row>
    <row r="525" spans="1:7" x14ac:dyDescent="0.25">
      <c r="A525" s="17"/>
      <c r="C525" t="s">
        <v>21</v>
      </c>
      <c r="D525" s="19">
        <v>664450500</v>
      </c>
    </row>
    <row r="526" spans="1:7" x14ac:dyDescent="0.25">
      <c r="A526" s="17"/>
      <c r="C526" t="s">
        <v>45</v>
      </c>
      <c r="D526" s="19">
        <v>25000000</v>
      </c>
    </row>
    <row r="527" spans="1:7" x14ac:dyDescent="0.25">
      <c r="A527" s="17"/>
      <c r="C527" t="s">
        <v>48</v>
      </c>
      <c r="D527" s="19">
        <v>30000000</v>
      </c>
    </row>
    <row r="528" spans="1:7" x14ac:dyDescent="0.25">
      <c r="A528" s="17"/>
      <c r="C528" t="s">
        <v>68</v>
      </c>
      <c r="D528" s="19">
        <v>141000000</v>
      </c>
    </row>
    <row r="529" spans="1:7" x14ac:dyDescent="0.25">
      <c r="A529" s="17"/>
      <c r="C529" t="s">
        <v>68</v>
      </c>
      <c r="D529" s="19">
        <v>145000000</v>
      </c>
    </row>
    <row r="530" spans="1:7" x14ac:dyDescent="0.25">
      <c r="A530" s="17"/>
      <c r="C530" t="s">
        <v>518</v>
      </c>
      <c r="D530" s="19">
        <v>100000000</v>
      </c>
    </row>
    <row r="531" spans="1:7" x14ac:dyDescent="0.25">
      <c r="A531" s="17"/>
      <c r="C531" t="s">
        <v>620</v>
      </c>
      <c r="D531" s="19">
        <v>83700000</v>
      </c>
    </row>
    <row r="532" spans="1:7" x14ac:dyDescent="0.25">
      <c r="A532" s="17"/>
      <c r="C532" t="s">
        <v>544</v>
      </c>
      <c r="D532" s="20">
        <v>660000</v>
      </c>
      <c r="G532" s="1"/>
    </row>
    <row r="533" spans="1:7" x14ac:dyDescent="0.25">
      <c r="A533" s="17"/>
      <c r="D533" s="19">
        <f>SUM(D523:D532)</f>
        <v>4475261600</v>
      </c>
      <c r="G533" s="1"/>
    </row>
    <row r="534" spans="1:7" x14ac:dyDescent="0.25">
      <c r="A534" s="17"/>
      <c r="D534" s="19"/>
      <c r="G534" s="1"/>
    </row>
    <row r="535" spans="1:7" x14ac:dyDescent="0.25">
      <c r="A535" s="17"/>
      <c r="B535" s="24" t="s">
        <v>46</v>
      </c>
      <c r="D535" s="19"/>
      <c r="G535" s="1"/>
    </row>
    <row r="536" spans="1:7" x14ac:dyDescent="0.25">
      <c r="A536" s="17"/>
      <c r="C536" t="s">
        <v>617</v>
      </c>
      <c r="D536" s="20">
        <f>279*602500</f>
        <v>168097500</v>
      </c>
      <c r="G536" s="1"/>
    </row>
    <row r="537" spans="1:7" x14ac:dyDescent="0.25">
      <c r="A537" s="17"/>
      <c r="D537" s="19">
        <f>SUM(D536:D536)</f>
        <v>168097500</v>
      </c>
      <c r="G537" s="1"/>
    </row>
    <row r="538" spans="1:7" x14ac:dyDescent="0.25">
      <c r="A538" s="17"/>
      <c r="D538" s="19"/>
      <c r="G538" s="1"/>
    </row>
    <row r="539" spans="1:7" x14ac:dyDescent="0.25">
      <c r="A539" s="23" t="s">
        <v>22</v>
      </c>
      <c r="D539" s="19"/>
      <c r="G539" s="1"/>
    </row>
    <row r="540" spans="1:7" x14ac:dyDescent="0.25">
      <c r="A540" s="17"/>
      <c r="C540" t="s">
        <v>23</v>
      </c>
      <c r="D540" s="19">
        <v>2716350000</v>
      </c>
      <c r="G540" s="1"/>
    </row>
    <row r="541" spans="1:7" x14ac:dyDescent="0.25">
      <c r="A541" s="17"/>
      <c r="C541" t="s">
        <v>24</v>
      </c>
      <c r="D541" s="20">
        <v>1421632000</v>
      </c>
      <c r="G541" s="1"/>
    </row>
    <row r="542" spans="1:7" x14ac:dyDescent="0.25">
      <c r="A542" s="17"/>
      <c r="D542" s="19">
        <f>SUM(D540:D541)</f>
        <v>4137982000</v>
      </c>
      <c r="G542" s="1"/>
    </row>
    <row r="543" spans="1:7" x14ac:dyDescent="0.25">
      <c r="A543" s="17"/>
      <c r="D543" s="19"/>
      <c r="G543" s="1"/>
    </row>
    <row r="544" spans="1:7" x14ac:dyDescent="0.25">
      <c r="A544" s="43" t="s">
        <v>25</v>
      </c>
      <c r="B544" s="44"/>
      <c r="C544" s="44"/>
      <c r="D544" s="25">
        <f>D520+D533+D537-D542</f>
        <v>1476653728.8500004</v>
      </c>
      <c r="G544" s="1"/>
    </row>
    <row r="545" spans="1:10" x14ac:dyDescent="0.25">
      <c r="A545" s="21"/>
      <c r="B545" s="22"/>
      <c r="C545" s="22"/>
      <c r="D545" s="20"/>
      <c r="G545" s="1"/>
    </row>
    <row r="547" spans="1:10" x14ac:dyDescent="0.25">
      <c r="A547" s="40" t="s">
        <v>13</v>
      </c>
      <c r="B547" s="40"/>
      <c r="C547" s="40"/>
      <c r="D547" s="40"/>
      <c r="G547" s="1"/>
    </row>
    <row r="548" spans="1:10" x14ac:dyDescent="0.25">
      <c r="A548" s="41" t="s">
        <v>14</v>
      </c>
      <c r="B548" s="41"/>
      <c r="C548" s="41"/>
      <c r="D548" s="41"/>
      <c r="G548" s="1"/>
    </row>
    <row r="549" spans="1:10" x14ac:dyDescent="0.25">
      <c r="A549" s="42">
        <v>45794</v>
      </c>
      <c r="B549" s="42"/>
      <c r="C549" s="42"/>
      <c r="D549" s="42"/>
      <c r="G549" s="1"/>
    </row>
    <row r="550" spans="1:10" x14ac:dyDescent="0.25">
      <c r="A550" s="13"/>
      <c r="B550" s="13"/>
      <c r="C550" s="13"/>
      <c r="D550" s="13"/>
      <c r="G550" s="1"/>
    </row>
    <row r="551" spans="1:10" x14ac:dyDescent="0.25">
      <c r="A551" s="14"/>
      <c r="B551" s="15"/>
      <c r="C551" s="15"/>
      <c r="D551" s="16"/>
      <c r="F551" s="5" t="s">
        <v>26</v>
      </c>
      <c r="G551" s="1">
        <f>D587-D544</f>
        <v>5727500</v>
      </c>
    </row>
    <row r="552" spans="1:10" x14ac:dyDescent="0.25">
      <c r="A552" s="17"/>
      <c r="D552" s="32" t="s">
        <v>16</v>
      </c>
      <c r="G552" s="1"/>
    </row>
    <row r="553" spans="1:10" x14ac:dyDescent="0.25">
      <c r="A553" s="23" t="s">
        <v>15</v>
      </c>
      <c r="D553" s="18" t="s">
        <v>17</v>
      </c>
      <c r="F553" s="26" t="s">
        <v>27</v>
      </c>
      <c r="G553" s="1"/>
    </row>
    <row r="554" spans="1:10" x14ac:dyDescent="0.25">
      <c r="A554" s="17"/>
      <c r="B554" s="24" t="s">
        <v>18</v>
      </c>
      <c r="D554" s="19"/>
      <c r="F554" s="27" t="s">
        <v>28</v>
      </c>
      <c r="G554" s="1"/>
    </row>
    <row r="555" spans="1:10" x14ac:dyDescent="0.25">
      <c r="A555" s="17"/>
      <c r="C555" s="2" t="s">
        <v>31</v>
      </c>
      <c r="D555" s="19">
        <v>289871339.80000001</v>
      </c>
      <c r="F555" t="s">
        <v>185</v>
      </c>
      <c r="G555" s="1">
        <v>5480000</v>
      </c>
    </row>
    <row r="556" spans="1:10" x14ac:dyDescent="0.25">
      <c r="A556" s="17"/>
      <c r="C556" s="2" t="s">
        <v>32</v>
      </c>
      <c r="D556" s="19">
        <v>63580143.049999997</v>
      </c>
      <c r="F556" t="s">
        <v>90</v>
      </c>
      <c r="G556" s="1">
        <v>287500</v>
      </c>
    </row>
    <row r="557" spans="1:10" x14ac:dyDescent="0.25">
      <c r="A557" s="17"/>
      <c r="C557" s="2" t="s">
        <v>33</v>
      </c>
      <c r="D557" s="19">
        <v>190139064.40000001</v>
      </c>
      <c r="G557" s="30">
        <f>SUM(G555:G556)</f>
        <v>5767500</v>
      </c>
    </row>
    <row r="558" spans="1:10" x14ac:dyDescent="0.25">
      <c r="A558" s="17"/>
      <c r="C558" s="2" t="s">
        <v>34</v>
      </c>
      <c r="D558" s="19">
        <v>86361506</v>
      </c>
      <c r="F558" s="28" t="s">
        <v>29</v>
      </c>
      <c r="G558" s="1"/>
      <c r="J558" s="38"/>
    </row>
    <row r="559" spans="1:10" x14ac:dyDescent="0.25">
      <c r="A559" s="17"/>
      <c r="C559" s="2" t="s">
        <v>35</v>
      </c>
      <c r="D559" s="19">
        <v>24250</v>
      </c>
      <c r="F559" t="s">
        <v>346</v>
      </c>
      <c r="G559" s="1">
        <v>40000</v>
      </c>
    </row>
    <row r="560" spans="1:10" x14ac:dyDescent="0.25">
      <c r="A560" s="17"/>
      <c r="C560" s="2" t="s">
        <v>36</v>
      </c>
      <c r="D560" s="19">
        <v>376202815.60000002</v>
      </c>
      <c r="G560" s="30">
        <f>SUM(G559:G559)</f>
        <v>40000</v>
      </c>
    </row>
    <row r="561" spans="1:7" x14ac:dyDescent="0.25">
      <c r="A561" s="17"/>
      <c r="C561" s="2" t="s">
        <v>37</v>
      </c>
      <c r="D561" s="19">
        <v>197264693</v>
      </c>
    </row>
    <row r="562" spans="1:7" x14ac:dyDescent="0.25">
      <c r="A562" s="17"/>
      <c r="C562" s="2" t="s">
        <v>51</v>
      </c>
      <c r="D562" s="20">
        <v>130317</v>
      </c>
      <c r="F562" s="28" t="s">
        <v>30</v>
      </c>
      <c r="G562" s="29">
        <f>G557-G560</f>
        <v>5727500</v>
      </c>
    </row>
    <row r="563" spans="1:7" x14ac:dyDescent="0.25">
      <c r="A563" s="17"/>
      <c r="B563" s="24" t="s">
        <v>19</v>
      </c>
      <c r="D563" s="19">
        <f>SUM(D555:D562)</f>
        <v>1203574128.8499999</v>
      </c>
    </row>
    <row r="564" spans="1:7" x14ac:dyDescent="0.25">
      <c r="A564" s="17"/>
      <c r="D564" s="19"/>
    </row>
    <row r="565" spans="1:7" x14ac:dyDescent="0.25">
      <c r="A565" s="17"/>
      <c r="B565" s="24" t="s">
        <v>20</v>
      </c>
      <c r="D565" s="19"/>
    </row>
    <row r="566" spans="1:7" x14ac:dyDescent="0.25">
      <c r="A566" s="17"/>
      <c r="C566" t="s">
        <v>7</v>
      </c>
      <c r="D566" s="19">
        <v>3385968600</v>
      </c>
    </row>
    <row r="567" spans="1:7" x14ac:dyDescent="0.25">
      <c r="A567" s="17"/>
      <c r="C567" t="s">
        <v>47</v>
      </c>
      <c r="D567" s="19">
        <v>23045000</v>
      </c>
    </row>
    <row r="568" spans="1:7" x14ac:dyDescent="0.25">
      <c r="A568" s="17"/>
      <c r="C568" t="s">
        <v>21</v>
      </c>
      <c r="D568" s="19">
        <v>664450500</v>
      </c>
    </row>
    <row r="569" spans="1:7" x14ac:dyDescent="0.25">
      <c r="A569" s="17"/>
      <c r="C569" t="s">
        <v>45</v>
      </c>
      <c r="D569" s="19">
        <v>25000000</v>
      </c>
    </row>
    <row r="570" spans="1:7" x14ac:dyDescent="0.25">
      <c r="A570" s="17"/>
      <c r="C570" t="s">
        <v>48</v>
      </c>
      <c r="D570" s="19">
        <v>30000000</v>
      </c>
    </row>
    <row r="571" spans="1:7" x14ac:dyDescent="0.25">
      <c r="A571" s="17"/>
      <c r="C571" t="s">
        <v>68</v>
      </c>
      <c r="D571" s="19">
        <v>141000000</v>
      </c>
    </row>
    <row r="572" spans="1:7" x14ac:dyDescent="0.25">
      <c r="A572" s="17"/>
      <c r="C572" t="s">
        <v>68</v>
      </c>
      <c r="D572" s="19">
        <v>145000000</v>
      </c>
    </row>
    <row r="573" spans="1:7" x14ac:dyDescent="0.25">
      <c r="A573" s="17"/>
      <c r="C573" t="s">
        <v>518</v>
      </c>
      <c r="D573" s="19">
        <v>100000000</v>
      </c>
    </row>
    <row r="574" spans="1:7" x14ac:dyDescent="0.25">
      <c r="A574" s="17"/>
      <c r="C574" t="s">
        <v>620</v>
      </c>
      <c r="D574" s="19">
        <v>83700000</v>
      </c>
    </row>
    <row r="575" spans="1:7" x14ac:dyDescent="0.25">
      <c r="A575" s="17"/>
      <c r="C575" t="s">
        <v>544</v>
      </c>
      <c r="D575" s="20">
        <v>660000</v>
      </c>
      <c r="G575" s="1"/>
    </row>
    <row r="576" spans="1:7" x14ac:dyDescent="0.25">
      <c r="A576" s="17"/>
      <c r="D576" s="19">
        <f>SUM(D566:D575)</f>
        <v>4598824100</v>
      </c>
      <c r="G576" s="1"/>
    </row>
    <row r="577" spans="1:7" x14ac:dyDescent="0.25">
      <c r="A577" s="17"/>
      <c r="D577" s="19"/>
      <c r="G577" s="1"/>
    </row>
    <row r="578" spans="1:7" x14ac:dyDescent="0.25">
      <c r="A578" s="17"/>
      <c r="B578" s="24" t="s">
        <v>46</v>
      </c>
      <c r="D578" s="19"/>
      <c r="G578" s="1"/>
    </row>
    <row r="579" spans="1:7" x14ac:dyDescent="0.25">
      <c r="A579" s="17"/>
      <c r="C579" t="s">
        <v>621</v>
      </c>
      <c r="D579" s="20">
        <f>274*602500</f>
        <v>165085000</v>
      </c>
      <c r="G579" s="1"/>
    </row>
    <row r="580" spans="1:7" x14ac:dyDescent="0.25">
      <c r="A580" s="17"/>
      <c r="D580" s="19">
        <f>SUM(D579:D579)</f>
        <v>165085000</v>
      </c>
      <c r="G580" s="1"/>
    </row>
    <row r="581" spans="1:7" x14ac:dyDescent="0.25">
      <c r="A581" s="17"/>
      <c r="D581" s="19"/>
      <c r="G581" s="1"/>
    </row>
    <row r="582" spans="1:7" x14ac:dyDescent="0.25">
      <c r="A582" s="23" t="s">
        <v>22</v>
      </c>
      <c r="D582" s="19"/>
      <c r="G582" s="1"/>
    </row>
    <row r="583" spans="1:7" x14ac:dyDescent="0.25">
      <c r="A583" s="17"/>
      <c r="C583" t="s">
        <v>23</v>
      </c>
      <c r="D583" s="19">
        <v>2971150000</v>
      </c>
      <c r="G583" s="1"/>
    </row>
    <row r="584" spans="1:7" x14ac:dyDescent="0.25">
      <c r="A584" s="17"/>
      <c r="C584" t="s">
        <v>24</v>
      </c>
      <c r="D584" s="20">
        <v>1513952000</v>
      </c>
      <c r="G584" s="1"/>
    </row>
    <row r="585" spans="1:7" x14ac:dyDescent="0.25">
      <c r="A585" s="17"/>
      <c r="D585" s="19">
        <f>SUM(D583:D584)</f>
        <v>4485102000</v>
      </c>
      <c r="G585" s="1"/>
    </row>
    <row r="586" spans="1:7" x14ac:dyDescent="0.25">
      <c r="A586" s="17"/>
      <c r="D586" s="19"/>
      <c r="G586" s="1"/>
    </row>
    <row r="587" spans="1:7" x14ac:dyDescent="0.25">
      <c r="A587" s="43" t="s">
        <v>25</v>
      </c>
      <c r="B587" s="44"/>
      <c r="C587" s="44"/>
      <c r="D587" s="25">
        <f>D563+D576+D580-D585</f>
        <v>1482381228.8500004</v>
      </c>
      <c r="G587" s="1"/>
    </row>
    <row r="588" spans="1:7" x14ac:dyDescent="0.25">
      <c r="A588" s="21"/>
      <c r="B588" s="22"/>
      <c r="C588" s="22"/>
      <c r="D588" s="20"/>
      <c r="G588" s="1"/>
    </row>
    <row r="590" spans="1:7" x14ac:dyDescent="0.25">
      <c r="A590" s="40" t="s">
        <v>13</v>
      </c>
      <c r="B590" s="40"/>
      <c r="C590" s="40"/>
      <c r="D590" s="40"/>
      <c r="G590" s="1"/>
    </row>
    <row r="591" spans="1:7" x14ac:dyDescent="0.25">
      <c r="A591" s="41" t="s">
        <v>14</v>
      </c>
      <c r="B591" s="41"/>
      <c r="C591" s="41"/>
      <c r="D591" s="41"/>
      <c r="G591" s="1"/>
    </row>
    <row r="592" spans="1:7" x14ac:dyDescent="0.25">
      <c r="A592" s="42">
        <v>45796</v>
      </c>
      <c r="B592" s="42"/>
      <c r="C592" s="42"/>
      <c r="D592" s="42"/>
      <c r="G592" s="1"/>
    </row>
    <row r="593" spans="1:10" x14ac:dyDescent="0.25">
      <c r="A593" s="13"/>
      <c r="B593" s="13"/>
      <c r="C593" s="13"/>
      <c r="D593" s="13"/>
      <c r="G593" s="1"/>
    </row>
    <row r="594" spans="1:10" x14ac:dyDescent="0.25">
      <c r="A594" s="14"/>
      <c r="B594" s="15"/>
      <c r="C594" s="15"/>
      <c r="D594" s="16"/>
      <c r="F594" s="5" t="s">
        <v>26</v>
      </c>
      <c r="G594" s="1">
        <f>D633-D587</f>
        <v>142280376</v>
      </c>
    </row>
    <row r="595" spans="1:10" x14ac:dyDescent="0.25">
      <c r="A595" s="17"/>
      <c r="D595" s="32" t="s">
        <v>16</v>
      </c>
      <c r="G595" s="1"/>
    </row>
    <row r="596" spans="1:10" x14ac:dyDescent="0.25">
      <c r="A596" s="23" t="s">
        <v>15</v>
      </c>
      <c r="D596" s="18" t="s">
        <v>17</v>
      </c>
      <c r="F596" s="26" t="s">
        <v>27</v>
      </c>
      <c r="G596" s="1"/>
    </row>
    <row r="597" spans="1:10" x14ac:dyDescent="0.25">
      <c r="A597" s="17"/>
      <c r="B597" s="24" t="s">
        <v>18</v>
      </c>
      <c r="D597" s="19"/>
      <c r="F597" s="27" t="s">
        <v>28</v>
      </c>
      <c r="G597" s="1"/>
    </row>
    <row r="598" spans="1:10" x14ac:dyDescent="0.25">
      <c r="A598" s="17"/>
      <c r="C598" s="2" t="s">
        <v>31</v>
      </c>
      <c r="D598" s="19">
        <v>98719139.799999997</v>
      </c>
      <c r="F598" t="s">
        <v>633</v>
      </c>
      <c r="G598" s="1">
        <v>10621000</v>
      </c>
    </row>
    <row r="599" spans="1:10" x14ac:dyDescent="0.25">
      <c r="A599" s="17"/>
      <c r="C599" s="2" t="s">
        <v>32</v>
      </c>
      <c r="D599" s="19">
        <v>4877643.05</v>
      </c>
      <c r="F599" t="s">
        <v>623</v>
      </c>
      <c r="G599" s="1">
        <v>160000000</v>
      </c>
    </row>
    <row r="600" spans="1:10" x14ac:dyDescent="0.25">
      <c r="A600" s="17"/>
      <c r="C600" s="2" t="s">
        <v>33</v>
      </c>
      <c r="D600" s="19">
        <v>60321064.399999999</v>
      </c>
      <c r="F600" t="s">
        <v>626</v>
      </c>
      <c r="G600" s="1">
        <v>189000</v>
      </c>
    </row>
    <row r="601" spans="1:10" x14ac:dyDescent="0.25">
      <c r="A601" s="17"/>
      <c r="C601" s="2" t="s">
        <v>34</v>
      </c>
      <c r="D601" s="19">
        <v>2361506</v>
      </c>
      <c r="G601" s="30">
        <f>SUM(G598:G600)</f>
        <v>170810000</v>
      </c>
    </row>
    <row r="602" spans="1:10" x14ac:dyDescent="0.25">
      <c r="A602" s="17"/>
      <c r="C602" s="2" t="s">
        <v>35</v>
      </c>
      <c r="D602" s="19">
        <v>16250</v>
      </c>
      <c r="F602" s="28" t="s">
        <v>29</v>
      </c>
      <c r="G602" s="1"/>
    </row>
    <row r="603" spans="1:10" x14ac:dyDescent="0.25">
      <c r="A603" s="17"/>
      <c r="C603" s="2" t="s">
        <v>36</v>
      </c>
      <c r="D603" s="19">
        <v>122401170.59999999</v>
      </c>
      <c r="F603" t="s">
        <v>624</v>
      </c>
      <c r="G603" s="1">
        <v>3586524</v>
      </c>
    </row>
    <row r="604" spans="1:10" x14ac:dyDescent="0.25">
      <c r="A604" s="17"/>
      <c r="C604" s="2" t="s">
        <v>37</v>
      </c>
      <c r="D604" s="19">
        <v>84141914</v>
      </c>
      <c r="F604" t="s">
        <v>625</v>
      </c>
      <c r="G604" s="1">
        <v>14550000</v>
      </c>
    </row>
    <row r="605" spans="1:10" x14ac:dyDescent="0.25">
      <c r="A605" s="17"/>
      <c r="C605" s="2" t="s">
        <v>51</v>
      </c>
      <c r="D605" s="20">
        <v>130317</v>
      </c>
      <c r="F605" t="s">
        <v>230</v>
      </c>
      <c r="G605" s="1">
        <v>2500</v>
      </c>
    </row>
    <row r="606" spans="1:10" x14ac:dyDescent="0.25">
      <c r="A606" s="17"/>
      <c r="B606" s="24" t="s">
        <v>19</v>
      </c>
      <c r="D606" s="19">
        <f>SUM(D598:D605)</f>
        <v>372969004.85000002</v>
      </c>
      <c r="F606" t="s">
        <v>161</v>
      </c>
      <c r="G606" s="1">
        <v>5000</v>
      </c>
      <c r="J606" s="38"/>
    </row>
    <row r="607" spans="1:10" x14ac:dyDescent="0.25">
      <c r="A607" s="17"/>
      <c r="D607" s="19"/>
      <c r="F607" t="s">
        <v>628</v>
      </c>
      <c r="G607" s="1">
        <v>163200</v>
      </c>
    </row>
    <row r="608" spans="1:10" x14ac:dyDescent="0.25">
      <c r="A608" s="17"/>
      <c r="B608" s="24" t="s">
        <v>20</v>
      </c>
      <c r="D608" s="19"/>
      <c r="F608" t="s">
        <v>629</v>
      </c>
      <c r="G608" s="1">
        <v>84000</v>
      </c>
    </row>
    <row r="609" spans="1:7" x14ac:dyDescent="0.25">
      <c r="A609" s="17"/>
      <c r="C609" t="s">
        <v>7</v>
      </c>
      <c r="D609" s="19">
        <v>4020798600</v>
      </c>
      <c r="F609" t="s">
        <v>630</v>
      </c>
      <c r="G609" s="1">
        <v>8000</v>
      </c>
    </row>
    <row r="610" spans="1:7" x14ac:dyDescent="0.25">
      <c r="A610" s="17"/>
      <c r="C610" t="s">
        <v>47</v>
      </c>
      <c r="D610" s="19">
        <v>21745000</v>
      </c>
      <c r="F610" t="s">
        <v>631</v>
      </c>
      <c r="G610" s="1">
        <v>5099145</v>
      </c>
    </row>
    <row r="611" spans="1:7" x14ac:dyDescent="0.25">
      <c r="A611" s="17"/>
      <c r="C611" t="s">
        <v>21</v>
      </c>
      <c r="D611" s="19">
        <v>647048500</v>
      </c>
      <c r="F611" t="s">
        <v>632</v>
      </c>
      <c r="G611" s="1">
        <v>5031255</v>
      </c>
    </row>
    <row r="612" spans="1:7" x14ac:dyDescent="0.25">
      <c r="A612" s="17"/>
      <c r="C612" t="s">
        <v>45</v>
      </c>
      <c r="D612" s="19">
        <v>25000000</v>
      </c>
      <c r="G612" s="30">
        <f>SUM(G603:G611)</f>
        <v>28529624</v>
      </c>
    </row>
    <row r="613" spans="1:7" x14ac:dyDescent="0.25">
      <c r="A613" s="17"/>
      <c r="C613" t="s">
        <v>48</v>
      </c>
      <c r="D613" s="19">
        <v>30000000</v>
      </c>
    </row>
    <row r="614" spans="1:7" x14ac:dyDescent="0.25">
      <c r="A614" s="17"/>
      <c r="C614" t="s">
        <v>68</v>
      </c>
      <c r="D614" s="19">
        <v>141000000</v>
      </c>
      <c r="F614" s="28" t="s">
        <v>30</v>
      </c>
      <c r="G614" s="29">
        <f>G601-G612</f>
        <v>142280376</v>
      </c>
    </row>
    <row r="615" spans="1:7" x14ac:dyDescent="0.25">
      <c r="A615" s="17"/>
      <c r="C615" t="s">
        <v>68</v>
      </c>
      <c r="D615" s="19">
        <v>145000000</v>
      </c>
    </row>
    <row r="616" spans="1:7" x14ac:dyDescent="0.25">
      <c r="A616" s="17"/>
      <c r="C616" t="s">
        <v>518</v>
      </c>
      <c r="D616" s="19">
        <v>100000000</v>
      </c>
    </row>
    <row r="617" spans="1:7" x14ac:dyDescent="0.25">
      <c r="A617" s="17"/>
      <c r="C617" t="s">
        <v>627</v>
      </c>
      <c r="D617" s="19">
        <v>60002500</v>
      </c>
    </row>
    <row r="618" spans="1:7" x14ac:dyDescent="0.25">
      <c r="A618" s="17"/>
      <c r="C618" t="s">
        <v>544</v>
      </c>
      <c r="D618" s="20">
        <v>660000</v>
      </c>
      <c r="G618" s="1"/>
    </row>
    <row r="619" spans="1:7" x14ac:dyDescent="0.25">
      <c r="A619" s="17"/>
      <c r="D619" s="19">
        <f>SUM(D609:D618)</f>
        <v>5191254600</v>
      </c>
      <c r="G619" s="1"/>
    </row>
    <row r="620" spans="1:7" x14ac:dyDescent="0.25">
      <c r="A620" s="17"/>
      <c r="D620" s="19"/>
      <c r="G620" s="1"/>
    </row>
    <row r="621" spans="1:7" x14ac:dyDescent="0.25">
      <c r="A621" s="17"/>
      <c r="B621" s="24" t="s">
        <v>46</v>
      </c>
      <c r="D621" s="19"/>
      <c r="G621" s="1"/>
    </row>
    <row r="622" spans="1:7" x14ac:dyDescent="0.25">
      <c r="A622" s="17"/>
      <c r="B622" s="24"/>
      <c r="C622" t="s">
        <v>622</v>
      </c>
      <c r="D622" s="19">
        <f>264*602500</f>
        <v>159060000</v>
      </c>
      <c r="G622" s="1"/>
    </row>
    <row r="623" spans="1:7" x14ac:dyDescent="0.25">
      <c r="A623" s="17"/>
      <c r="C623" t="s">
        <v>227</v>
      </c>
      <c r="D623" s="20">
        <f>10*602500</f>
        <v>6025000</v>
      </c>
      <c r="G623" s="1"/>
    </row>
    <row r="624" spans="1:7" x14ac:dyDescent="0.25">
      <c r="A624" s="17"/>
      <c r="D624" s="19">
        <f>SUM(D622:D623)</f>
        <v>165085000</v>
      </c>
      <c r="G624" s="1"/>
    </row>
    <row r="625" spans="1:7" x14ac:dyDescent="0.25">
      <c r="A625" s="17"/>
      <c r="D625" s="19"/>
      <c r="G625" s="1"/>
    </row>
    <row r="626" spans="1:7" x14ac:dyDescent="0.25">
      <c r="A626" s="23" t="s">
        <v>22</v>
      </c>
      <c r="D626" s="19"/>
      <c r="G626" s="1"/>
    </row>
    <row r="627" spans="1:7" x14ac:dyDescent="0.25">
      <c r="A627" s="17"/>
      <c r="C627" t="s">
        <v>23</v>
      </c>
      <c r="D627" s="19">
        <v>2279550000</v>
      </c>
      <c r="G627" s="1"/>
    </row>
    <row r="628" spans="1:7" x14ac:dyDescent="0.25">
      <c r="A628" s="17"/>
      <c r="C628" t="s">
        <v>24</v>
      </c>
      <c r="D628" s="19">
        <v>1500772000</v>
      </c>
      <c r="G628" s="1"/>
    </row>
    <row r="629" spans="1:7" x14ac:dyDescent="0.25">
      <c r="A629" s="17"/>
      <c r="C629" t="s">
        <v>111</v>
      </c>
      <c r="D629" s="19">
        <v>245700000</v>
      </c>
      <c r="G629" s="1"/>
    </row>
    <row r="630" spans="1:7" x14ac:dyDescent="0.25">
      <c r="A630" s="17"/>
      <c r="C630" t="s">
        <v>44</v>
      </c>
      <c r="D630" s="20">
        <v>78625000</v>
      </c>
      <c r="G630" s="1"/>
    </row>
    <row r="631" spans="1:7" x14ac:dyDescent="0.25">
      <c r="A631" s="17"/>
      <c r="D631" s="19">
        <f>SUM(D627:D630)</f>
        <v>4104647000</v>
      </c>
      <c r="G631" s="1"/>
    </row>
    <row r="632" spans="1:7" x14ac:dyDescent="0.25">
      <c r="A632" s="17"/>
      <c r="D632" s="19"/>
      <c r="G632" s="1"/>
    </row>
    <row r="633" spans="1:7" x14ac:dyDescent="0.25">
      <c r="A633" s="43" t="s">
        <v>25</v>
      </c>
      <c r="B633" s="44"/>
      <c r="C633" s="44"/>
      <c r="D633" s="25">
        <f>D606+D619+D624-D631</f>
        <v>1624661604.8500004</v>
      </c>
      <c r="G633" s="1"/>
    </row>
    <row r="634" spans="1:7" x14ac:dyDescent="0.25">
      <c r="A634" s="21"/>
      <c r="B634" s="22"/>
      <c r="C634" s="22"/>
      <c r="D634" s="20"/>
      <c r="G634" s="1"/>
    </row>
    <row r="636" spans="1:7" x14ac:dyDescent="0.25">
      <c r="A636" s="40" t="s">
        <v>13</v>
      </c>
      <c r="B636" s="40"/>
      <c r="C636" s="40"/>
      <c r="D636" s="40"/>
      <c r="G636" s="1"/>
    </row>
    <row r="637" spans="1:7" x14ac:dyDescent="0.25">
      <c r="A637" s="41" t="s">
        <v>14</v>
      </c>
      <c r="B637" s="41"/>
      <c r="C637" s="41"/>
      <c r="D637" s="41"/>
      <c r="G637" s="1"/>
    </row>
    <row r="638" spans="1:7" x14ac:dyDescent="0.25">
      <c r="A638" s="42">
        <v>45797</v>
      </c>
      <c r="B638" s="42"/>
      <c r="C638" s="42"/>
      <c r="D638" s="42"/>
      <c r="G638" s="1"/>
    </row>
    <row r="639" spans="1:7" x14ac:dyDescent="0.25">
      <c r="A639" s="13"/>
      <c r="B639" s="13"/>
      <c r="C639" s="13"/>
      <c r="D639" s="13"/>
      <c r="G639" s="1"/>
    </row>
    <row r="640" spans="1:7" x14ac:dyDescent="0.25">
      <c r="A640" s="14"/>
      <c r="B640" s="15"/>
      <c r="C640" s="15"/>
      <c r="D640" s="16"/>
      <c r="F640" s="5" t="s">
        <v>26</v>
      </c>
      <c r="G640" s="1">
        <f>D680-D633</f>
        <v>7579000</v>
      </c>
    </row>
    <row r="641" spans="1:7" x14ac:dyDescent="0.25">
      <c r="A641" s="17"/>
      <c r="D641" s="32" t="s">
        <v>16</v>
      </c>
      <c r="G641" s="1"/>
    </row>
    <row r="642" spans="1:7" x14ac:dyDescent="0.25">
      <c r="A642" s="23" t="s">
        <v>15</v>
      </c>
      <c r="D642" s="18" t="s">
        <v>17</v>
      </c>
      <c r="F642" s="26" t="s">
        <v>27</v>
      </c>
      <c r="G642" s="1"/>
    </row>
    <row r="643" spans="1:7" x14ac:dyDescent="0.25">
      <c r="A643" s="17"/>
      <c r="B643" s="24" t="s">
        <v>18</v>
      </c>
      <c r="D643" s="19"/>
      <c r="F643" s="27" t="s">
        <v>28</v>
      </c>
      <c r="G643" s="1"/>
    </row>
    <row r="644" spans="1:7" x14ac:dyDescent="0.25">
      <c r="A644" s="17"/>
      <c r="C644" s="2" t="s">
        <v>31</v>
      </c>
      <c r="D644" s="19">
        <v>74616139.799999997</v>
      </c>
      <c r="F644" t="s">
        <v>203</v>
      </c>
      <c r="G644" s="1">
        <v>15102000</v>
      </c>
    </row>
    <row r="645" spans="1:7" x14ac:dyDescent="0.25">
      <c r="A645" s="17"/>
      <c r="C645" s="2" t="s">
        <v>32</v>
      </c>
      <c r="D645" s="19">
        <v>4877643.05</v>
      </c>
      <c r="G645" s="30">
        <f>SUM(G644:G644)</f>
        <v>15102000</v>
      </c>
    </row>
    <row r="646" spans="1:7" x14ac:dyDescent="0.25">
      <c r="A646" s="17"/>
      <c r="C646" s="2" t="s">
        <v>33</v>
      </c>
      <c r="D646" s="19">
        <v>125227064.40000001</v>
      </c>
      <c r="F646" s="28" t="s">
        <v>29</v>
      </c>
      <c r="G646" s="1"/>
    </row>
    <row r="647" spans="1:7" x14ac:dyDescent="0.25">
      <c r="A647" s="17"/>
      <c r="C647" s="2" t="s">
        <v>34</v>
      </c>
      <c r="D647" s="19">
        <v>4021506</v>
      </c>
      <c r="F647" t="s">
        <v>2</v>
      </c>
      <c r="G647" s="1">
        <v>2250000</v>
      </c>
    </row>
    <row r="648" spans="1:7" x14ac:dyDescent="0.25">
      <c r="A648" s="17"/>
      <c r="C648" s="2" t="s">
        <v>35</v>
      </c>
      <c r="D648" s="19">
        <v>16250</v>
      </c>
      <c r="F648" t="s">
        <v>181</v>
      </c>
      <c r="G648" s="1">
        <v>1320000</v>
      </c>
    </row>
    <row r="649" spans="1:7" x14ac:dyDescent="0.25">
      <c r="A649" s="17"/>
      <c r="C649" s="2" t="s">
        <v>36</v>
      </c>
      <c r="D649" s="19">
        <v>122401170.59999999</v>
      </c>
      <c r="F649" t="s">
        <v>182</v>
      </c>
      <c r="G649" s="1">
        <v>500000</v>
      </c>
    </row>
    <row r="650" spans="1:7" x14ac:dyDescent="0.25">
      <c r="A650" s="17"/>
      <c r="C650" s="2" t="s">
        <v>37</v>
      </c>
      <c r="D650" s="19">
        <v>195041914</v>
      </c>
      <c r="F650" t="s">
        <v>298</v>
      </c>
      <c r="G650" s="1">
        <v>3003000</v>
      </c>
    </row>
    <row r="651" spans="1:7" x14ac:dyDescent="0.25">
      <c r="A651" s="17"/>
      <c r="C651" s="2" t="s">
        <v>51</v>
      </c>
      <c r="D651" s="20">
        <v>130317</v>
      </c>
      <c r="F651" t="s">
        <v>634</v>
      </c>
      <c r="G651" s="1">
        <v>450000</v>
      </c>
    </row>
    <row r="652" spans="1:7" x14ac:dyDescent="0.25">
      <c r="A652" s="17"/>
      <c r="B652" s="24" t="s">
        <v>19</v>
      </c>
      <c r="D652" s="19">
        <f>SUM(D644:D651)</f>
        <v>526332004.85000002</v>
      </c>
      <c r="G652" s="30">
        <f>SUM(G647:G651)</f>
        <v>7523000</v>
      </c>
    </row>
    <row r="653" spans="1:7" x14ac:dyDescent="0.25">
      <c r="A653" s="17"/>
      <c r="D653" s="19"/>
    </row>
    <row r="654" spans="1:7" x14ac:dyDescent="0.25">
      <c r="A654" s="17"/>
      <c r="B654" s="24" t="s">
        <v>20</v>
      </c>
      <c r="D654" s="19"/>
      <c r="F654" s="28" t="s">
        <v>30</v>
      </c>
      <c r="G654" s="29">
        <f>G645-G652</f>
        <v>7579000</v>
      </c>
    </row>
    <row r="655" spans="1:7" x14ac:dyDescent="0.25">
      <c r="A655" s="17"/>
      <c r="C655" t="s">
        <v>7</v>
      </c>
      <c r="D655" s="19">
        <v>3778018600</v>
      </c>
    </row>
    <row r="656" spans="1:7" x14ac:dyDescent="0.25">
      <c r="A656" s="17"/>
      <c r="C656" t="s">
        <v>47</v>
      </c>
      <c r="D656" s="19">
        <v>21745000</v>
      </c>
    </row>
    <row r="657" spans="1:7" x14ac:dyDescent="0.25">
      <c r="A657" s="17"/>
      <c r="C657" t="s">
        <v>21</v>
      </c>
      <c r="D657" s="19">
        <v>699948500</v>
      </c>
    </row>
    <row r="658" spans="1:7" x14ac:dyDescent="0.25">
      <c r="A658" s="17"/>
      <c r="C658" t="s">
        <v>45</v>
      </c>
      <c r="D658" s="19">
        <v>25000000</v>
      </c>
    </row>
    <row r="659" spans="1:7" x14ac:dyDescent="0.25">
      <c r="A659" s="17"/>
      <c r="C659" t="s">
        <v>48</v>
      </c>
      <c r="D659" s="19">
        <v>30000000</v>
      </c>
    </row>
    <row r="660" spans="1:7" x14ac:dyDescent="0.25">
      <c r="A660" s="17"/>
      <c r="C660" t="s">
        <v>68</v>
      </c>
      <c r="D660" s="19">
        <v>141000000</v>
      </c>
    </row>
    <row r="661" spans="1:7" x14ac:dyDescent="0.25">
      <c r="A661" s="17"/>
      <c r="C661" t="s">
        <v>68</v>
      </c>
      <c r="D661" s="19">
        <v>145000000</v>
      </c>
    </row>
    <row r="662" spans="1:7" x14ac:dyDescent="0.25">
      <c r="A662" s="17"/>
      <c r="C662" t="s">
        <v>518</v>
      </c>
      <c r="D662" s="19">
        <v>100000000</v>
      </c>
    </row>
    <row r="663" spans="1:7" x14ac:dyDescent="0.25">
      <c r="A663" s="17"/>
      <c r="C663" t="s">
        <v>627</v>
      </c>
      <c r="D663" s="19">
        <v>60002500</v>
      </c>
    </row>
    <row r="664" spans="1:7" x14ac:dyDescent="0.25">
      <c r="A664" s="17"/>
      <c r="C664" t="s">
        <v>544</v>
      </c>
      <c r="D664" s="20">
        <v>660000</v>
      </c>
      <c r="G664" s="1"/>
    </row>
    <row r="665" spans="1:7" x14ac:dyDescent="0.25">
      <c r="A665" s="17"/>
      <c r="D665" s="19">
        <f>SUM(D655:D664)</f>
        <v>5001374600</v>
      </c>
      <c r="G665" s="1"/>
    </row>
    <row r="666" spans="1:7" x14ac:dyDescent="0.25">
      <c r="A666" s="17"/>
      <c r="D666" s="19"/>
      <c r="G666" s="1"/>
    </row>
    <row r="667" spans="1:7" x14ac:dyDescent="0.25">
      <c r="A667" s="17"/>
      <c r="B667" s="24" t="s">
        <v>46</v>
      </c>
      <c r="D667" s="19"/>
      <c r="G667" s="1"/>
    </row>
    <row r="668" spans="1:7" x14ac:dyDescent="0.25">
      <c r="A668" s="17"/>
      <c r="B668" s="24"/>
      <c r="C668" t="s">
        <v>640</v>
      </c>
      <c r="D668" s="19">
        <f>260*602500</f>
        <v>156650000</v>
      </c>
      <c r="G668" s="1"/>
    </row>
    <row r="669" spans="1:7" x14ac:dyDescent="0.25">
      <c r="A669" s="17"/>
      <c r="B669" s="24"/>
      <c r="C669" t="s">
        <v>227</v>
      </c>
      <c r="D669" s="19">
        <v>6025000</v>
      </c>
      <c r="G669" s="1"/>
    </row>
    <row r="670" spans="1:7" x14ac:dyDescent="0.25">
      <c r="A670" s="17"/>
      <c r="C670" t="s">
        <v>323</v>
      </c>
      <c r="D670" s="20">
        <f>4*602500</f>
        <v>2410000</v>
      </c>
      <c r="G670" s="1"/>
    </row>
    <row r="671" spans="1:7" x14ac:dyDescent="0.25">
      <c r="A671" s="17"/>
      <c r="D671" s="19">
        <f>SUM(D668:D670)</f>
        <v>165085000</v>
      </c>
      <c r="G671" s="1"/>
    </row>
    <row r="672" spans="1:7" x14ac:dyDescent="0.25">
      <c r="A672" s="17"/>
      <c r="D672" s="19"/>
      <c r="G672" s="1"/>
    </row>
    <row r="673" spans="1:7" x14ac:dyDescent="0.25">
      <c r="A673" s="23" t="s">
        <v>22</v>
      </c>
      <c r="D673" s="19"/>
      <c r="G673" s="1"/>
    </row>
    <row r="674" spans="1:7" x14ac:dyDescent="0.25">
      <c r="A674" s="17"/>
      <c r="C674" t="s">
        <v>23</v>
      </c>
      <c r="D674" s="19">
        <v>2416050000</v>
      </c>
      <c r="G674" s="1"/>
    </row>
    <row r="675" spans="1:7" x14ac:dyDescent="0.25">
      <c r="A675" s="17"/>
      <c r="C675" t="s">
        <v>24</v>
      </c>
      <c r="D675" s="19">
        <v>1320176000</v>
      </c>
      <c r="G675" s="1"/>
    </row>
    <row r="676" spans="1:7" x14ac:dyDescent="0.25">
      <c r="A676" s="17"/>
      <c r="C676" t="s">
        <v>111</v>
      </c>
      <c r="D676" s="19">
        <v>245700000</v>
      </c>
      <c r="G676" s="1"/>
    </row>
    <row r="677" spans="1:7" x14ac:dyDescent="0.25">
      <c r="A677" s="17"/>
      <c r="C677" t="s">
        <v>44</v>
      </c>
      <c r="D677" s="20">
        <v>78625000</v>
      </c>
      <c r="G677" s="1"/>
    </row>
    <row r="678" spans="1:7" x14ac:dyDescent="0.25">
      <c r="A678" s="17"/>
      <c r="D678" s="19">
        <f>SUM(D674:D677)</f>
        <v>4060551000</v>
      </c>
      <c r="G678" s="1"/>
    </row>
    <row r="679" spans="1:7" x14ac:dyDescent="0.25">
      <c r="A679" s="17"/>
      <c r="D679" s="19"/>
      <c r="G679" s="1"/>
    </row>
    <row r="680" spans="1:7" x14ac:dyDescent="0.25">
      <c r="A680" s="43" t="s">
        <v>25</v>
      </c>
      <c r="B680" s="44"/>
      <c r="C680" s="44"/>
      <c r="D680" s="25">
        <f>D652+D665+D671-D678</f>
        <v>1632240604.8500004</v>
      </c>
      <c r="G680" s="1"/>
    </row>
    <row r="681" spans="1:7" x14ac:dyDescent="0.25">
      <c r="A681" s="21"/>
      <c r="B681" s="22"/>
      <c r="C681" s="22"/>
      <c r="D681" s="20"/>
      <c r="G681" s="1"/>
    </row>
    <row r="683" spans="1:7" x14ac:dyDescent="0.25">
      <c r="A683" s="40" t="s">
        <v>13</v>
      </c>
      <c r="B683" s="40"/>
      <c r="C683" s="40"/>
      <c r="D683" s="40"/>
      <c r="G683" s="1"/>
    </row>
    <row r="684" spans="1:7" x14ac:dyDescent="0.25">
      <c r="A684" s="41" t="s">
        <v>14</v>
      </c>
      <c r="B684" s="41"/>
      <c r="C684" s="41"/>
      <c r="D684" s="41"/>
      <c r="G684" s="1"/>
    </row>
    <row r="685" spans="1:7" x14ac:dyDescent="0.25">
      <c r="A685" s="42">
        <v>45798</v>
      </c>
      <c r="B685" s="42"/>
      <c r="C685" s="42"/>
      <c r="D685" s="42"/>
      <c r="G685" s="1"/>
    </row>
    <row r="686" spans="1:7" x14ac:dyDescent="0.25">
      <c r="A686" s="13"/>
      <c r="B686" s="13"/>
      <c r="C686" s="13"/>
      <c r="D686" s="13"/>
      <c r="G686" s="1"/>
    </row>
    <row r="687" spans="1:7" x14ac:dyDescent="0.25">
      <c r="A687" s="14"/>
      <c r="B687" s="15"/>
      <c r="C687" s="15"/>
      <c r="D687" s="16"/>
      <c r="F687" s="5" t="s">
        <v>26</v>
      </c>
      <c r="G687" s="1">
        <f>D728-D680</f>
        <v>7995856</v>
      </c>
    </row>
    <row r="688" spans="1:7" x14ac:dyDescent="0.25">
      <c r="A688" s="17"/>
      <c r="D688" s="32" t="s">
        <v>16</v>
      </c>
      <c r="G688" s="1"/>
    </row>
    <row r="689" spans="1:7" x14ac:dyDescent="0.25">
      <c r="A689" s="23" t="s">
        <v>15</v>
      </c>
      <c r="D689" s="18" t="s">
        <v>17</v>
      </c>
      <c r="F689" s="26" t="s">
        <v>27</v>
      </c>
      <c r="G689" s="1"/>
    </row>
    <row r="690" spans="1:7" x14ac:dyDescent="0.25">
      <c r="A690" s="17"/>
      <c r="B690" s="24" t="s">
        <v>18</v>
      </c>
      <c r="D690" s="19"/>
      <c r="F690" s="27" t="s">
        <v>28</v>
      </c>
      <c r="G690" s="1"/>
    </row>
    <row r="691" spans="1:7" x14ac:dyDescent="0.25">
      <c r="A691" s="17"/>
      <c r="C691" s="2" t="s">
        <v>31</v>
      </c>
      <c r="D691" s="19">
        <v>67983212.799999997</v>
      </c>
      <c r="F691" t="s">
        <v>204</v>
      </c>
      <c r="G691" s="1">
        <v>5965000</v>
      </c>
    </row>
    <row r="692" spans="1:7" x14ac:dyDescent="0.25">
      <c r="A692" s="17"/>
      <c r="C692" s="2" t="s">
        <v>32</v>
      </c>
      <c r="D692" s="19">
        <v>8027643.0499999998</v>
      </c>
      <c r="F692" t="s">
        <v>90</v>
      </c>
      <c r="G692" s="1">
        <v>137500</v>
      </c>
    </row>
    <row r="693" spans="1:7" x14ac:dyDescent="0.25">
      <c r="A693" s="17"/>
      <c r="C693" s="2" t="s">
        <v>33</v>
      </c>
      <c r="D693" s="19">
        <v>368777064.39999998</v>
      </c>
      <c r="F693" t="s">
        <v>343</v>
      </c>
      <c r="G693" s="1">
        <v>2102973</v>
      </c>
    </row>
    <row r="694" spans="1:7" x14ac:dyDescent="0.25">
      <c r="A694" s="17"/>
      <c r="C694" s="2" t="s">
        <v>34</v>
      </c>
      <c r="D694" s="19">
        <v>31071506</v>
      </c>
      <c r="F694" t="s">
        <v>635</v>
      </c>
      <c r="G694" s="1">
        <v>450000</v>
      </c>
    </row>
    <row r="695" spans="1:7" x14ac:dyDescent="0.25">
      <c r="A695" s="17"/>
      <c r="C695" s="2" t="s">
        <v>35</v>
      </c>
      <c r="D695" s="19">
        <v>16250</v>
      </c>
      <c r="G695" s="30">
        <f>SUM(G691:G694)</f>
        <v>8655473</v>
      </c>
    </row>
    <row r="696" spans="1:7" x14ac:dyDescent="0.25">
      <c r="A696" s="17"/>
      <c r="C696" s="2" t="s">
        <v>36</v>
      </c>
      <c r="D696" s="19">
        <v>122401170.59999999</v>
      </c>
      <c r="F696" s="28" t="s">
        <v>29</v>
      </c>
      <c r="G696" s="1"/>
    </row>
    <row r="697" spans="1:7" x14ac:dyDescent="0.25">
      <c r="A697" s="17"/>
      <c r="C697" s="2" t="s">
        <v>37</v>
      </c>
      <c r="D697" s="19">
        <v>331514292</v>
      </c>
      <c r="F697" t="s">
        <v>344</v>
      </c>
      <c r="G697" s="1">
        <v>420595</v>
      </c>
    </row>
    <row r="698" spans="1:7" x14ac:dyDescent="0.25">
      <c r="A698" s="17"/>
      <c r="C698" s="2" t="s">
        <v>51</v>
      </c>
      <c r="D698" s="20">
        <v>130317</v>
      </c>
      <c r="F698" t="s">
        <v>636</v>
      </c>
      <c r="G698" s="1">
        <v>27300</v>
      </c>
    </row>
    <row r="699" spans="1:7" x14ac:dyDescent="0.25">
      <c r="A699" s="17"/>
      <c r="B699" s="24" t="s">
        <v>19</v>
      </c>
      <c r="D699" s="19">
        <f>SUM(D691:D698)</f>
        <v>929921455.85000002</v>
      </c>
      <c r="F699" t="s">
        <v>637</v>
      </c>
      <c r="G699" s="1">
        <v>50400</v>
      </c>
    </row>
    <row r="700" spans="1:7" x14ac:dyDescent="0.25">
      <c r="A700" s="17"/>
      <c r="D700" s="19"/>
      <c r="F700" t="s">
        <v>637</v>
      </c>
      <c r="G700" s="1">
        <v>161322</v>
      </c>
    </row>
    <row r="701" spans="1:7" x14ac:dyDescent="0.25">
      <c r="A701" s="17"/>
      <c r="B701" s="24" t="s">
        <v>20</v>
      </c>
      <c r="D701" s="19"/>
      <c r="G701" s="30">
        <f>SUM(G697:G700)</f>
        <v>659617</v>
      </c>
    </row>
    <row r="702" spans="1:7" x14ac:dyDescent="0.25">
      <c r="A702" s="17"/>
      <c r="C702" t="s">
        <v>7</v>
      </c>
      <c r="D702" s="19">
        <v>3473987505</v>
      </c>
    </row>
    <row r="703" spans="1:7" x14ac:dyDescent="0.25">
      <c r="A703" s="17"/>
      <c r="C703" t="s">
        <v>47</v>
      </c>
      <c r="D703" s="19">
        <v>21745000</v>
      </c>
      <c r="F703" s="28" t="s">
        <v>30</v>
      </c>
      <c r="G703" s="29">
        <f>G695-G701</f>
        <v>7995856</v>
      </c>
    </row>
    <row r="704" spans="1:7" x14ac:dyDescent="0.25">
      <c r="A704" s="17"/>
      <c r="C704" t="s">
        <v>21</v>
      </c>
      <c r="D704" s="19">
        <v>691258500</v>
      </c>
    </row>
    <row r="705" spans="1:7" x14ac:dyDescent="0.25">
      <c r="A705" s="17"/>
      <c r="C705" t="s">
        <v>45</v>
      </c>
      <c r="D705" s="19">
        <v>25000000</v>
      </c>
    </row>
    <row r="706" spans="1:7" x14ac:dyDescent="0.25">
      <c r="A706" s="17"/>
      <c r="C706" t="s">
        <v>48</v>
      </c>
      <c r="D706" s="19">
        <v>30000000</v>
      </c>
    </row>
    <row r="707" spans="1:7" x14ac:dyDescent="0.25">
      <c r="A707" s="17"/>
      <c r="C707" t="s">
        <v>68</v>
      </c>
      <c r="D707" s="19">
        <v>141000000</v>
      </c>
    </row>
    <row r="708" spans="1:7" x14ac:dyDescent="0.25">
      <c r="A708" s="17"/>
      <c r="C708" t="s">
        <v>68</v>
      </c>
      <c r="D708" s="19">
        <v>145000000</v>
      </c>
    </row>
    <row r="709" spans="1:7" x14ac:dyDescent="0.25">
      <c r="A709" s="17"/>
      <c r="C709" t="s">
        <v>518</v>
      </c>
      <c r="D709" s="19">
        <v>100000000</v>
      </c>
    </row>
    <row r="710" spans="1:7" x14ac:dyDescent="0.25">
      <c r="A710" s="17"/>
      <c r="C710" t="s">
        <v>627</v>
      </c>
      <c r="D710" s="19">
        <v>60002500</v>
      </c>
    </row>
    <row r="711" spans="1:7" x14ac:dyDescent="0.25">
      <c r="A711" s="17"/>
      <c r="C711" t="s">
        <v>638</v>
      </c>
      <c r="D711" s="19">
        <v>92000000</v>
      </c>
    </row>
    <row r="712" spans="1:7" x14ac:dyDescent="0.25">
      <c r="A712" s="17"/>
      <c r="C712" t="s">
        <v>544</v>
      </c>
      <c r="D712" s="20">
        <v>960000</v>
      </c>
      <c r="G712" s="1"/>
    </row>
    <row r="713" spans="1:7" x14ac:dyDescent="0.25">
      <c r="A713" s="17"/>
      <c r="D713" s="19">
        <f>SUM(D702:D712)</f>
        <v>4780953505</v>
      </c>
      <c r="G713" s="1"/>
    </row>
    <row r="714" spans="1:7" x14ac:dyDescent="0.25">
      <c r="A714" s="17"/>
      <c r="D714" s="19"/>
      <c r="G714" s="1"/>
    </row>
    <row r="715" spans="1:7" x14ac:dyDescent="0.25">
      <c r="A715" s="17"/>
      <c r="B715" s="24" t="s">
        <v>46</v>
      </c>
      <c r="D715" s="19"/>
      <c r="G715" s="1"/>
    </row>
    <row r="716" spans="1:7" x14ac:dyDescent="0.25">
      <c r="A716" s="17"/>
      <c r="B716" s="24"/>
      <c r="C716" t="s">
        <v>640</v>
      </c>
      <c r="D716" s="19">
        <f>260*602500</f>
        <v>156650000</v>
      </c>
      <c r="G716" s="1"/>
    </row>
    <row r="717" spans="1:7" x14ac:dyDescent="0.25">
      <c r="A717" s="17"/>
      <c r="B717" s="24"/>
      <c r="C717" t="s">
        <v>266</v>
      </c>
      <c r="D717" s="19">
        <f>5*602500</f>
        <v>3012500</v>
      </c>
      <c r="G717" s="1"/>
    </row>
    <row r="718" spans="1:7" x14ac:dyDescent="0.25">
      <c r="A718" s="17"/>
      <c r="C718" t="s">
        <v>323</v>
      </c>
      <c r="D718" s="20">
        <f>4*602500</f>
        <v>2410000</v>
      </c>
      <c r="G718" s="1"/>
    </row>
    <row r="719" spans="1:7" x14ac:dyDescent="0.25">
      <c r="A719" s="17"/>
      <c r="D719" s="19">
        <f>SUM(D716:D718)</f>
        <v>162072500</v>
      </c>
      <c r="G719" s="1"/>
    </row>
    <row r="720" spans="1:7" x14ac:dyDescent="0.25">
      <c r="A720" s="17"/>
      <c r="D720" s="19"/>
      <c r="G720" s="1"/>
    </row>
    <row r="721" spans="1:7" x14ac:dyDescent="0.25">
      <c r="A721" s="23" t="s">
        <v>22</v>
      </c>
      <c r="D721" s="19"/>
      <c r="G721" s="1"/>
    </row>
    <row r="722" spans="1:7" x14ac:dyDescent="0.25">
      <c r="A722" s="17"/>
      <c r="C722" t="s">
        <v>23</v>
      </c>
      <c r="D722" s="19">
        <v>2416050000</v>
      </c>
      <c r="G722" s="1"/>
    </row>
    <row r="723" spans="1:7" x14ac:dyDescent="0.25">
      <c r="A723" s="17"/>
      <c r="C723" t="s">
        <v>24</v>
      </c>
      <c r="D723" s="19">
        <v>1481736000</v>
      </c>
      <c r="G723" s="1"/>
    </row>
    <row r="724" spans="1:7" x14ac:dyDescent="0.25">
      <c r="A724" s="17"/>
      <c r="C724" t="s">
        <v>111</v>
      </c>
      <c r="D724" s="19">
        <v>163800000</v>
      </c>
      <c r="G724" s="1"/>
    </row>
    <row r="725" spans="1:7" x14ac:dyDescent="0.25">
      <c r="A725" s="17"/>
      <c r="C725" t="s">
        <v>44</v>
      </c>
      <c r="D725" s="20">
        <v>171125000</v>
      </c>
      <c r="G725" s="1"/>
    </row>
    <row r="726" spans="1:7" x14ac:dyDescent="0.25">
      <c r="A726" s="17"/>
      <c r="D726" s="19">
        <f>SUM(D722:D725)</f>
        <v>4232711000</v>
      </c>
      <c r="G726" s="1"/>
    </row>
    <row r="727" spans="1:7" x14ac:dyDescent="0.25">
      <c r="A727" s="17"/>
      <c r="D727" s="19"/>
      <c r="G727" s="1"/>
    </row>
    <row r="728" spans="1:7" x14ac:dyDescent="0.25">
      <c r="A728" s="43" t="s">
        <v>25</v>
      </c>
      <c r="B728" s="44"/>
      <c r="C728" s="44"/>
      <c r="D728" s="25">
        <f>D699+D713+D719-D726</f>
        <v>1640236460.8500004</v>
      </c>
      <c r="G728" s="1"/>
    </row>
    <row r="729" spans="1:7" x14ac:dyDescent="0.25">
      <c r="A729" s="21"/>
      <c r="B729" s="22"/>
      <c r="C729" s="22"/>
      <c r="D729" s="20"/>
      <c r="G729" s="1"/>
    </row>
    <row r="731" spans="1:7" x14ac:dyDescent="0.25">
      <c r="A731" s="40" t="s">
        <v>13</v>
      </c>
      <c r="B731" s="40"/>
      <c r="C731" s="40"/>
      <c r="D731" s="40"/>
      <c r="G731" s="1"/>
    </row>
    <row r="732" spans="1:7" x14ac:dyDescent="0.25">
      <c r="A732" s="41" t="s">
        <v>14</v>
      </c>
      <c r="B732" s="41"/>
      <c r="C732" s="41"/>
      <c r="D732" s="41"/>
      <c r="G732" s="1"/>
    </row>
    <row r="733" spans="1:7" x14ac:dyDescent="0.25">
      <c r="A733" s="42">
        <v>45799</v>
      </c>
      <c r="B733" s="42"/>
      <c r="C733" s="42"/>
      <c r="D733" s="42"/>
      <c r="G733" s="1"/>
    </row>
    <row r="734" spans="1:7" x14ac:dyDescent="0.25">
      <c r="A734" s="13"/>
      <c r="B734" s="13"/>
      <c r="C734" s="13"/>
      <c r="D734" s="13"/>
      <c r="G734" s="1"/>
    </row>
    <row r="735" spans="1:7" x14ac:dyDescent="0.25">
      <c r="A735" s="14"/>
      <c r="B735" s="15"/>
      <c r="C735" s="15"/>
      <c r="D735" s="16"/>
      <c r="F735" s="5" t="s">
        <v>26</v>
      </c>
      <c r="G735" s="1">
        <f>D777-D728</f>
        <v>-1764500</v>
      </c>
    </row>
    <row r="736" spans="1:7" x14ac:dyDescent="0.25">
      <c r="A736" s="17"/>
      <c r="D736" s="32" t="s">
        <v>16</v>
      </c>
      <c r="G736" s="1"/>
    </row>
    <row r="737" spans="1:10" x14ac:dyDescent="0.25">
      <c r="A737" s="23" t="s">
        <v>15</v>
      </c>
      <c r="D737" s="18" t="s">
        <v>17</v>
      </c>
      <c r="F737" s="26" t="s">
        <v>27</v>
      </c>
      <c r="G737" s="1"/>
    </row>
    <row r="738" spans="1:10" x14ac:dyDescent="0.25">
      <c r="A738" s="17"/>
      <c r="B738" s="24" t="s">
        <v>18</v>
      </c>
      <c r="D738" s="19"/>
      <c r="F738" s="27" t="s">
        <v>28</v>
      </c>
      <c r="G738" s="1"/>
    </row>
    <row r="739" spans="1:10" x14ac:dyDescent="0.25">
      <c r="A739" s="17"/>
      <c r="C739" s="2" t="s">
        <v>31</v>
      </c>
      <c r="D739" s="19">
        <v>4383212.8</v>
      </c>
      <c r="F739" t="s">
        <v>216</v>
      </c>
      <c r="G739" s="1">
        <v>6414000</v>
      </c>
    </row>
    <row r="740" spans="1:10" x14ac:dyDescent="0.25">
      <c r="A740" s="17"/>
      <c r="C740" s="2" t="s">
        <v>32</v>
      </c>
      <c r="D740" s="19">
        <v>17552643.050000001</v>
      </c>
      <c r="F740" t="s">
        <v>90</v>
      </c>
      <c r="G740" s="1">
        <v>95000</v>
      </c>
    </row>
    <row r="741" spans="1:10" x14ac:dyDescent="0.25">
      <c r="A741" s="17"/>
      <c r="C741" s="2" t="s">
        <v>33</v>
      </c>
      <c r="D741" s="19">
        <v>-145476485.59999999</v>
      </c>
      <c r="F741" t="s">
        <v>639</v>
      </c>
      <c r="G741" s="1">
        <v>96000</v>
      </c>
    </row>
    <row r="742" spans="1:10" x14ac:dyDescent="0.25">
      <c r="A742" s="17"/>
      <c r="C742" s="2" t="s">
        <v>34</v>
      </c>
      <c r="D742" s="19">
        <v>10371506</v>
      </c>
      <c r="F742" t="s">
        <v>641</v>
      </c>
      <c r="G742" s="1">
        <v>94500</v>
      </c>
    </row>
    <row r="743" spans="1:10" x14ac:dyDescent="0.25">
      <c r="A743" s="17"/>
      <c r="C743" s="2" t="s">
        <v>35</v>
      </c>
      <c r="D743" s="19">
        <v>16250</v>
      </c>
      <c r="G743" s="30">
        <f>SUM(G739:G742)</f>
        <v>6699500</v>
      </c>
    </row>
    <row r="744" spans="1:10" x14ac:dyDescent="0.25">
      <c r="A744" s="17"/>
      <c r="C744" s="2" t="s">
        <v>36</v>
      </c>
      <c r="D744" s="19">
        <v>122401170.59999999</v>
      </c>
      <c r="F744" s="28" t="s">
        <v>29</v>
      </c>
      <c r="G744" s="1"/>
    </row>
    <row r="745" spans="1:10" x14ac:dyDescent="0.25">
      <c r="A745" s="17"/>
      <c r="C745" s="2" t="s">
        <v>37</v>
      </c>
      <c r="D745" s="19">
        <v>329264292</v>
      </c>
      <c r="F745" t="s">
        <v>104</v>
      </c>
      <c r="G745" s="1">
        <v>2250000</v>
      </c>
      <c r="J745" s="38"/>
    </row>
    <row r="746" spans="1:10" x14ac:dyDescent="0.25">
      <c r="A746" s="17"/>
      <c r="C746" s="2" t="s">
        <v>51</v>
      </c>
      <c r="D746" s="20">
        <v>130317</v>
      </c>
      <c r="F746" t="s">
        <v>122</v>
      </c>
      <c r="G746" s="1">
        <v>1214000</v>
      </c>
    </row>
    <row r="747" spans="1:10" x14ac:dyDescent="0.25">
      <c r="A747" s="17"/>
      <c r="B747" s="24" t="s">
        <v>19</v>
      </c>
      <c r="D747" s="19">
        <f>SUM(D739:D746)</f>
        <v>338642905.85000002</v>
      </c>
      <c r="F747" t="s">
        <v>112</v>
      </c>
      <c r="G747" s="1">
        <v>5000000</v>
      </c>
    </row>
    <row r="748" spans="1:10" x14ac:dyDescent="0.25">
      <c r="A748" s="17"/>
      <c r="D748" s="19"/>
      <c r="G748" s="30">
        <f>SUM(G745:G747)</f>
        <v>8464000</v>
      </c>
    </row>
    <row r="749" spans="1:10" x14ac:dyDescent="0.25">
      <c r="A749" s="17"/>
      <c r="B749" s="24" t="s">
        <v>20</v>
      </c>
      <c r="D749" s="19"/>
    </row>
    <row r="750" spans="1:10" x14ac:dyDescent="0.25">
      <c r="A750" s="17"/>
      <c r="C750" t="s">
        <v>7</v>
      </c>
      <c r="D750" s="19">
        <v>3599937505</v>
      </c>
      <c r="F750" s="28" t="s">
        <v>30</v>
      </c>
      <c r="G750" s="29">
        <f>G743-G748</f>
        <v>-1764500</v>
      </c>
    </row>
    <row r="751" spans="1:10" x14ac:dyDescent="0.25">
      <c r="A751" s="17"/>
      <c r="C751" t="s">
        <v>47</v>
      </c>
      <c r="D751" s="19">
        <v>13520000</v>
      </c>
    </row>
    <row r="752" spans="1:10" x14ac:dyDescent="0.25">
      <c r="A752" s="17"/>
      <c r="C752" t="s">
        <v>21</v>
      </c>
      <c r="D752" s="19">
        <v>862608500</v>
      </c>
    </row>
    <row r="753" spans="1:7" x14ac:dyDescent="0.25">
      <c r="A753" s="17"/>
      <c r="C753" t="s">
        <v>45</v>
      </c>
      <c r="D753" s="19">
        <v>25000000</v>
      </c>
    </row>
    <row r="754" spans="1:7" x14ac:dyDescent="0.25">
      <c r="A754" s="17"/>
      <c r="C754" t="s">
        <v>48</v>
      </c>
      <c r="D754" s="19">
        <v>30000000</v>
      </c>
    </row>
    <row r="755" spans="1:7" x14ac:dyDescent="0.25">
      <c r="A755" s="17"/>
      <c r="C755" t="s">
        <v>68</v>
      </c>
      <c r="D755" s="19">
        <v>141000000</v>
      </c>
    </row>
    <row r="756" spans="1:7" x14ac:dyDescent="0.25">
      <c r="A756" s="17"/>
      <c r="C756" t="s">
        <v>68</v>
      </c>
      <c r="D756" s="19">
        <v>145000000</v>
      </c>
    </row>
    <row r="757" spans="1:7" x14ac:dyDescent="0.25">
      <c r="A757" s="17"/>
      <c r="C757" t="s">
        <v>518</v>
      </c>
      <c r="D757" s="19">
        <v>100000000</v>
      </c>
    </row>
    <row r="758" spans="1:7" x14ac:dyDescent="0.25">
      <c r="A758" s="17"/>
      <c r="C758" t="s">
        <v>627</v>
      </c>
      <c r="D758" s="19">
        <v>60002500</v>
      </c>
    </row>
    <row r="759" spans="1:7" x14ac:dyDescent="0.25">
      <c r="A759" s="17"/>
      <c r="C759" t="s">
        <v>643</v>
      </c>
      <c r="D759" s="19">
        <v>156395550</v>
      </c>
    </row>
    <row r="760" spans="1:7" x14ac:dyDescent="0.25">
      <c r="A760" s="17"/>
      <c r="C760" t="s">
        <v>644</v>
      </c>
      <c r="D760" s="19">
        <v>19000000</v>
      </c>
    </row>
    <row r="761" spans="1:7" x14ac:dyDescent="0.25">
      <c r="A761" s="17"/>
      <c r="C761" t="s">
        <v>642</v>
      </c>
      <c r="D761" s="20">
        <v>2954500</v>
      </c>
      <c r="G761" s="1"/>
    </row>
    <row r="762" spans="1:7" x14ac:dyDescent="0.25">
      <c r="A762" s="17"/>
      <c r="D762" s="19">
        <f>SUM(D750:D761)</f>
        <v>5155418555</v>
      </c>
      <c r="G762" s="1"/>
    </row>
    <row r="763" spans="1:7" x14ac:dyDescent="0.25">
      <c r="A763" s="17"/>
      <c r="D763" s="19"/>
      <c r="G763" s="1"/>
    </row>
    <row r="764" spans="1:7" x14ac:dyDescent="0.25">
      <c r="A764" s="17"/>
      <c r="B764" s="24" t="s">
        <v>46</v>
      </c>
      <c r="D764" s="19"/>
      <c r="G764" s="1"/>
    </row>
    <row r="765" spans="1:7" x14ac:dyDescent="0.25">
      <c r="A765" s="17"/>
      <c r="B765" s="24"/>
      <c r="C765" t="s">
        <v>413</v>
      </c>
      <c r="D765" s="19">
        <f>258*602500</f>
        <v>155445000</v>
      </c>
      <c r="G765" s="1"/>
    </row>
    <row r="766" spans="1:7" x14ac:dyDescent="0.25">
      <c r="A766" s="17"/>
      <c r="B766" s="24"/>
      <c r="C766" t="s">
        <v>266</v>
      </c>
      <c r="D766" s="19">
        <f>5*602500</f>
        <v>3012500</v>
      </c>
      <c r="G766" s="1"/>
    </row>
    <row r="767" spans="1:7" x14ac:dyDescent="0.25">
      <c r="A767" s="17"/>
      <c r="C767" t="s">
        <v>323</v>
      </c>
      <c r="D767" s="20">
        <f>4*602500</f>
        <v>2410000</v>
      </c>
      <c r="G767" s="1"/>
    </row>
    <row r="768" spans="1:7" x14ac:dyDescent="0.25">
      <c r="A768" s="17"/>
      <c r="D768" s="19">
        <f>SUM(D765:D767)</f>
        <v>160867500</v>
      </c>
      <c r="G768" s="1"/>
    </row>
    <row r="769" spans="1:7" x14ac:dyDescent="0.25">
      <c r="A769" s="17"/>
      <c r="D769" s="19"/>
      <c r="G769" s="1"/>
    </row>
    <row r="770" spans="1:7" x14ac:dyDescent="0.25">
      <c r="A770" s="23" t="s">
        <v>22</v>
      </c>
      <c r="D770" s="19"/>
      <c r="G770" s="1"/>
    </row>
    <row r="771" spans="1:7" x14ac:dyDescent="0.25">
      <c r="A771" s="17"/>
      <c r="C771" t="s">
        <v>23</v>
      </c>
      <c r="D771" s="19">
        <v>2325050000</v>
      </c>
      <c r="G771" s="1"/>
    </row>
    <row r="772" spans="1:7" x14ac:dyDescent="0.25">
      <c r="A772" s="17"/>
      <c r="C772" t="s">
        <v>24</v>
      </c>
      <c r="D772" s="19">
        <v>1264682000</v>
      </c>
      <c r="G772" s="1"/>
    </row>
    <row r="773" spans="1:7" x14ac:dyDescent="0.25">
      <c r="A773" s="17"/>
      <c r="C773" t="s">
        <v>111</v>
      </c>
      <c r="D773" s="19">
        <v>255600000</v>
      </c>
      <c r="G773" s="1"/>
    </row>
    <row r="774" spans="1:7" x14ac:dyDescent="0.25">
      <c r="A774" s="17"/>
      <c r="C774" t="s">
        <v>44</v>
      </c>
      <c r="D774" s="20">
        <v>171125000</v>
      </c>
      <c r="G774" s="1"/>
    </row>
    <row r="775" spans="1:7" x14ac:dyDescent="0.25">
      <c r="A775" s="17"/>
      <c r="D775" s="19">
        <f>SUM(D771:D774)</f>
        <v>4016457000</v>
      </c>
      <c r="G775" s="1"/>
    </row>
    <row r="776" spans="1:7" x14ac:dyDescent="0.25">
      <c r="A776" s="17"/>
      <c r="D776" s="19"/>
      <c r="G776" s="1"/>
    </row>
    <row r="777" spans="1:7" x14ac:dyDescent="0.25">
      <c r="A777" s="43" t="s">
        <v>25</v>
      </c>
      <c r="B777" s="44"/>
      <c r="C777" s="44"/>
      <c r="D777" s="25">
        <f>D747+D762+D768-D775</f>
        <v>1638471960.8500004</v>
      </c>
      <c r="G777" s="1"/>
    </row>
    <row r="778" spans="1:7" x14ac:dyDescent="0.25">
      <c r="A778" s="21"/>
      <c r="B778" s="22"/>
      <c r="C778" s="22"/>
      <c r="D778" s="20"/>
      <c r="G778" s="1"/>
    </row>
    <row r="780" spans="1:7" x14ac:dyDescent="0.25">
      <c r="A780" s="40" t="s">
        <v>13</v>
      </c>
      <c r="B780" s="40"/>
      <c r="C780" s="40"/>
      <c r="D780" s="40"/>
      <c r="G780" s="1"/>
    </row>
    <row r="781" spans="1:7" x14ac:dyDescent="0.25">
      <c r="A781" s="41" t="s">
        <v>14</v>
      </c>
      <c r="B781" s="41"/>
      <c r="C781" s="41"/>
      <c r="D781" s="41"/>
      <c r="G781" s="1"/>
    </row>
    <row r="782" spans="1:7" x14ac:dyDescent="0.25">
      <c r="A782" s="42">
        <v>45800</v>
      </c>
      <c r="B782" s="42"/>
      <c r="C782" s="42"/>
      <c r="D782" s="42"/>
      <c r="G782" s="1"/>
    </row>
    <row r="783" spans="1:7" x14ac:dyDescent="0.25">
      <c r="A783" s="13"/>
      <c r="B783" s="13"/>
      <c r="C783" s="13"/>
      <c r="D783" s="13"/>
      <c r="G783" s="1"/>
    </row>
    <row r="784" spans="1:7" x14ac:dyDescent="0.25">
      <c r="A784" s="14"/>
      <c r="B784" s="15"/>
      <c r="C784" s="15"/>
      <c r="D784" s="16"/>
      <c r="F784" s="5" t="s">
        <v>26</v>
      </c>
      <c r="G784" s="1">
        <f>D825-D777</f>
        <v>4774478</v>
      </c>
    </row>
    <row r="785" spans="1:10" x14ac:dyDescent="0.25">
      <c r="A785" s="17"/>
      <c r="D785" s="32" t="s">
        <v>16</v>
      </c>
      <c r="G785" s="1"/>
    </row>
    <row r="786" spans="1:10" x14ac:dyDescent="0.25">
      <c r="A786" s="23" t="s">
        <v>15</v>
      </c>
      <c r="D786" s="18" t="s">
        <v>17</v>
      </c>
      <c r="F786" s="26" t="s">
        <v>27</v>
      </c>
      <c r="G786" s="1"/>
    </row>
    <row r="787" spans="1:10" x14ac:dyDescent="0.25">
      <c r="A787" s="17"/>
      <c r="B787" s="24" t="s">
        <v>18</v>
      </c>
      <c r="D787" s="19"/>
      <c r="F787" s="27" t="s">
        <v>28</v>
      </c>
      <c r="G787" s="1"/>
    </row>
    <row r="788" spans="1:10" x14ac:dyDescent="0.25">
      <c r="A788" s="17"/>
      <c r="C788" s="2" t="s">
        <v>31</v>
      </c>
      <c r="D788" s="19">
        <v>99933212.799999997</v>
      </c>
      <c r="F788" t="s">
        <v>223</v>
      </c>
      <c r="G788" s="1">
        <v>4017000</v>
      </c>
    </row>
    <row r="789" spans="1:10" x14ac:dyDescent="0.25">
      <c r="A789" s="17"/>
      <c r="C789" s="2" t="s">
        <v>32</v>
      </c>
      <c r="D789" s="19">
        <v>18852643.050000001</v>
      </c>
      <c r="F789" t="s">
        <v>90</v>
      </c>
      <c r="G789" s="1">
        <v>402500</v>
      </c>
    </row>
    <row r="790" spans="1:10" x14ac:dyDescent="0.25">
      <c r="A790" s="17"/>
      <c r="C790" s="2" t="s">
        <v>33</v>
      </c>
      <c r="D790" s="19">
        <v>295912514.39999998</v>
      </c>
      <c r="F790" t="s">
        <v>645</v>
      </c>
      <c r="G790" s="1">
        <v>189000</v>
      </c>
    </row>
    <row r="791" spans="1:10" x14ac:dyDescent="0.25">
      <c r="A791" s="17"/>
      <c r="C791" s="2" t="s">
        <v>34</v>
      </c>
      <c r="D791" s="19">
        <v>4871506</v>
      </c>
      <c r="F791" t="s">
        <v>647</v>
      </c>
      <c r="G791" s="1">
        <v>213722</v>
      </c>
    </row>
    <row r="792" spans="1:10" x14ac:dyDescent="0.25">
      <c r="A792" s="17"/>
      <c r="C792" s="2" t="s">
        <v>35</v>
      </c>
      <c r="D792" s="19">
        <v>16250</v>
      </c>
      <c r="G792" s="30">
        <f>SUM(G788:G791)</f>
        <v>4822222</v>
      </c>
      <c r="J792" s="38"/>
    </row>
    <row r="793" spans="1:10" x14ac:dyDescent="0.25">
      <c r="A793" s="17"/>
      <c r="C793" s="2" t="s">
        <v>36</v>
      </c>
      <c r="D793" s="19">
        <v>215472148.59999999</v>
      </c>
      <c r="F793" s="28" t="s">
        <v>29</v>
      </c>
      <c r="G793" s="1"/>
    </row>
    <row r="794" spans="1:10" x14ac:dyDescent="0.25">
      <c r="A794" s="17"/>
      <c r="C794" s="2" t="s">
        <v>37</v>
      </c>
      <c r="D794" s="19">
        <v>121986292</v>
      </c>
      <c r="F794" t="s">
        <v>161</v>
      </c>
      <c r="G794" s="1">
        <v>5000</v>
      </c>
    </row>
    <row r="795" spans="1:10" x14ac:dyDescent="0.25">
      <c r="A795" s="17"/>
      <c r="C795" s="2" t="s">
        <v>51</v>
      </c>
      <c r="D795" s="20">
        <v>130317</v>
      </c>
      <c r="F795" t="s">
        <v>648</v>
      </c>
      <c r="G795" s="1">
        <v>42744</v>
      </c>
    </row>
    <row r="796" spans="1:10" x14ac:dyDescent="0.25">
      <c r="A796" s="17"/>
      <c r="B796" s="24" t="s">
        <v>19</v>
      </c>
      <c r="D796" s="19">
        <f>SUM(D788:D795)</f>
        <v>757174883.85000002</v>
      </c>
      <c r="G796" s="30">
        <f>SUM(G794:G795)</f>
        <v>47744</v>
      </c>
    </row>
    <row r="797" spans="1:10" x14ac:dyDescent="0.25">
      <c r="A797" s="17"/>
      <c r="D797" s="19"/>
    </row>
    <row r="798" spans="1:10" x14ac:dyDescent="0.25">
      <c r="A798" s="17"/>
      <c r="B798" s="24" t="s">
        <v>20</v>
      </c>
      <c r="D798" s="19"/>
      <c r="F798" s="28" t="s">
        <v>30</v>
      </c>
      <c r="G798" s="29">
        <f>G792-G796</f>
        <v>4774478</v>
      </c>
    </row>
    <row r="799" spans="1:10" x14ac:dyDescent="0.25">
      <c r="A799" s="17"/>
      <c r="C799" t="s">
        <v>7</v>
      </c>
      <c r="D799" s="19">
        <v>3532612505</v>
      </c>
    </row>
    <row r="800" spans="1:10" x14ac:dyDescent="0.25">
      <c r="A800" s="17"/>
      <c r="C800" t="s">
        <v>47</v>
      </c>
      <c r="D800" s="19">
        <v>16840000</v>
      </c>
    </row>
    <row r="801" spans="1:7" x14ac:dyDescent="0.25">
      <c r="A801" s="17"/>
      <c r="C801" t="s">
        <v>21</v>
      </c>
      <c r="D801" s="19">
        <v>916481500</v>
      </c>
    </row>
    <row r="802" spans="1:7" x14ac:dyDescent="0.25">
      <c r="A802" s="17"/>
      <c r="C802" t="s">
        <v>45</v>
      </c>
      <c r="D802" s="19">
        <v>25000000</v>
      </c>
    </row>
    <row r="803" spans="1:7" x14ac:dyDescent="0.25">
      <c r="A803" s="17"/>
      <c r="C803" t="s">
        <v>48</v>
      </c>
      <c r="D803" s="19">
        <v>30000000</v>
      </c>
    </row>
    <row r="804" spans="1:7" x14ac:dyDescent="0.25">
      <c r="A804" s="17"/>
      <c r="C804" t="s">
        <v>68</v>
      </c>
      <c r="D804" s="19">
        <v>141000000</v>
      </c>
    </row>
    <row r="805" spans="1:7" x14ac:dyDescent="0.25">
      <c r="A805" s="17"/>
      <c r="C805" t="s">
        <v>68</v>
      </c>
      <c r="D805" s="19">
        <v>145000000</v>
      </c>
    </row>
    <row r="806" spans="1:7" x14ac:dyDescent="0.25">
      <c r="A806" s="17"/>
      <c r="C806" t="s">
        <v>518</v>
      </c>
      <c r="D806" s="19">
        <v>100000000</v>
      </c>
    </row>
    <row r="807" spans="1:7" x14ac:dyDescent="0.25">
      <c r="A807" s="17"/>
      <c r="C807" t="s">
        <v>627</v>
      </c>
      <c r="D807" s="19">
        <v>60002500</v>
      </c>
    </row>
    <row r="808" spans="1:7" x14ac:dyDescent="0.25">
      <c r="A808" s="17"/>
      <c r="C808" t="s">
        <v>643</v>
      </c>
      <c r="D808" s="19">
        <v>156395550</v>
      </c>
    </row>
    <row r="809" spans="1:7" x14ac:dyDescent="0.25">
      <c r="A809" s="17"/>
      <c r="C809" t="s">
        <v>642</v>
      </c>
      <c r="D809" s="20">
        <v>2954500</v>
      </c>
      <c r="G809" s="1"/>
    </row>
    <row r="810" spans="1:7" x14ac:dyDescent="0.25">
      <c r="A810" s="17"/>
      <c r="D810" s="19">
        <f>SUM(D799:D809)</f>
        <v>5126286555</v>
      </c>
      <c r="G810" s="1"/>
    </row>
    <row r="811" spans="1:7" x14ac:dyDescent="0.25">
      <c r="A811" s="17"/>
      <c r="D811" s="19"/>
      <c r="G811" s="1"/>
    </row>
    <row r="812" spans="1:7" x14ac:dyDescent="0.25">
      <c r="A812" s="17"/>
      <c r="B812" s="24" t="s">
        <v>46</v>
      </c>
      <c r="D812" s="19"/>
      <c r="G812" s="1"/>
    </row>
    <row r="813" spans="1:7" x14ac:dyDescent="0.25">
      <c r="A813" s="17"/>
      <c r="B813" s="24"/>
      <c r="C813" t="s">
        <v>646</v>
      </c>
      <c r="D813" s="19">
        <f>251*602500</f>
        <v>151227500</v>
      </c>
      <c r="G813" s="1"/>
    </row>
    <row r="814" spans="1:7" x14ac:dyDescent="0.25">
      <c r="A814" s="17"/>
      <c r="B814" s="24"/>
      <c r="C814" t="s">
        <v>266</v>
      </c>
      <c r="D814" s="19">
        <f>5*602500</f>
        <v>3012500</v>
      </c>
      <c r="G814" s="1"/>
    </row>
    <row r="815" spans="1:7" x14ac:dyDescent="0.25">
      <c r="A815" s="17"/>
      <c r="C815" t="s">
        <v>323</v>
      </c>
      <c r="D815" s="20">
        <f>4*602500</f>
        <v>2410000</v>
      </c>
      <c r="G815" s="1"/>
    </row>
    <row r="816" spans="1:7" x14ac:dyDescent="0.25">
      <c r="A816" s="17"/>
      <c r="D816" s="19">
        <f>SUM(D813:D815)</f>
        <v>156650000</v>
      </c>
      <c r="G816" s="1"/>
    </row>
    <row r="817" spans="1:7" x14ac:dyDescent="0.25">
      <c r="A817" s="17"/>
      <c r="D817" s="19"/>
      <c r="G817" s="1"/>
    </row>
    <row r="818" spans="1:7" x14ac:dyDescent="0.25">
      <c r="A818" s="23" t="s">
        <v>22</v>
      </c>
      <c r="D818" s="19"/>
      <c r="G818" s="1"/>
    </row>
    <row r="819" spans="1:7" x14ac:dyDescent="0.25">
      <c r="A819" s="17"/>
      <c r="C819" t="s">
        <v>23</v>
      </c>
      <c r="D819" s="19">
        <v>2434250000</v>
      </c>
      <c r="G819" s="1"/>
    </row>
    <row r="820" spans="1:7" x14ac:dyDescent="0.25">
      <c r="A820" s="17"/>
      <c r="C820" t="s">
        <v>24</v>
      </c>
      <c r="D820" s="19">
        <v>1443890000</v>
      </c>
      <c r="G820" s="1"/>
    </row>
    <row r="821" spans="1:7" x14ac:dyDescent="0.25">
      <c r="A821" s="17"/>
      <c r="C821" t="s">
        <v>111</v>
      </c>
      <c r="D821" s="19">
        <v>347600000</v>
      </c>
      <c r="G821" s="1"/>
    </row>
    <row r="822" spans="1:7" x14ac:dyDescent="0.25">
      <c r="A822" s="17"/>
      <c r="C822" t="s">
        <v>44</v>
      </c>
      <c r="D822" s="20">
        <v>171125000</v>
      </c>
      <c r="G822" s="1"/>
    </row>
    <row r="823" spans="1:7" x14ac:dyDescent="0.25">
      <c r="A823" s="17"/>
      <c r="D823" s="19">
        <f>SUM(D819:D822)</f>
        <v>4396865000</v>
      </c>
      <c r="G823" s="1"/>
    </row>
    <row r="824" spans="1:7" x14ac:dyDescent="0.25">
      <c r="A824" s="17"/>
      <c r="D824" s="19"/>
      <c r="G824" s="1"/>
    </row>
    <row r="825" spans="1:7" x14ac:dyDescent="0.25">
      <c r="A825" s="43" t="s">
        <v>25</v>
      </c>
      <c r="B825" s="44"/>
      <c r="C825" s="44"/>
      <c r="D825" s="25">
        <f>D796+D810+D816-D823</f>
        <v>1643246438.8500004</v>
      </c>
      <c r="G825" s="1"/>
    </row>
    <row r="826" spans="1:7" x14ac:dyDescent="0.25">
      <c r="A826" s="21"/>
      <c r="B826" s="22"/>
      <c r="C826" s="22"/>
      <c r="D826" s="20"/>
      <c r="G826" s="1"/>
    </row>
    <row r="828" spans="1:7" x14ac:dyDescent="0.25">
      <c r="A828" s="40" t="s">
        <v>13</v>
      </c>
      <c r="B828" s="40"/>
      <c r="C828" s="40"/>
      <c r="D828" s="40"/>
      <c r="G828" s="1"/>
    </row>
    <row r="829" spans="1:7" x14ac:dyDescent="0.25">
      <c r="A829" s="41" t="s">
        <v>14</v>
      </c>
      <c r="B829" s="41"/>
      <c r="C829" s="41"/>
      <c r="D829" s="41"/>
      <c r="G829" s="1"/>
    </row>
    <row r="830" spans="1:7" x14ac:dyDescent="0.25">
      <c r="A830" s="42">
        <v>45801</v>
      </c>
      <c r="B830" s="42"/>
      <c r="C830" s="42"/>
      <c r="D830" s="42"/>
      <c r="G830" s="1"/>
    </row>
    <row r="831" spans="1:7" x14ac:dyDescent="0.25">
      <c r="A831" s="13"/>
      <c r="B831" s="13"/>
      <c r="C831" s="13"/>
      <c r="D831" s="13"/>
      <c r="G831" s="1"/>
    </row>
    <row r="832" spans="1:7" x14ac:dyDescent="0.25">
      <c r="A832" s="14"/>
      <c r="B832" s="15"/>
      <c r="C832" s="15"/>
      <c r="D832" s="16"/>
      <c r="F832" s="5" t="s">
        <v>26</v>
      </c>
      <c r="G832" s="1">
        <f>D873-D825</f>
        <v>14041145</v>
      </c>
    </row>
    <row r="833" spans="1:7" x14ac:dyDescent="0.25">
      <c r="A833" s="17"/>
      <c r="D833" s="32" t="s">
        <v>16</v>
      </c>
      <c r="G833" s="1"/>
    </row>
    <row r="834" spans="1:7" x14ac:dyDescent="0.25">
      <c r="A834" s="23" t="s">
        <v>15</v>
      </c>
      <c r="D834" s="18" t="s">
        <v>17</v>
      </c>
      <c r="F834" s="26" t="s">
        <v>27</v>
      </c>
      <c r="G834" s="1"/>
    </row>
    <row r="835" spans="1:7" x14ac:dyDescent="0.25">
      <c r="A835" s="17"/>
      <c r="B835" s="24" t="s">
        <v>18</v>
      </c>
      <c r="D835" s="19"/>
      <c r="F835" s="27" t="s">
        <v>28</v>
      </c>
      <c r="G835" s="1"/>
    </row>
    <row r="836" spans="1:7" x14ac:dyDescent="0.25">
      <c r="A836" s="17"/>
      <c r="C836" s="2" t="s">
        <v>31</v>
      </c>
      <c r="D836" s="19">
        <v>53506462.799999997</v>
      </c>
      <c r="F836" t="s">
        <v>348</v>
      </c>
      <c r="G836" s="1">
        <v>13842000</v>
      </c>
    </row>
    <row r="837" spans="1:7" x14ac:dyDescent="0.25">
      <c r="A837" s="17"/>
      <c r="C837" s="2" t="s">
        <v>32</v>
      </c>
      <c r="D837" s="19">
        <v>20172643.050000001</v>
      </c>
      <c r="F837" t="s">
        <v>649</v>
      </c>
      <c r="G837" s="1">
        <v>150000</v>
      </c>
    </row>
    <row r="838" spans="1:7" x14ac:dyDescent="0.25">
      <c r="A838" s="17"/>
      <c r="C838" s="2" t="s">
        <v>33</v>
      </c>
      <c r="D838" s="19">
        <v>443456514.39999998</v>
      </c>
      <c r="F838" t="s">
        <v>653</v>
      </c>
      <c r="G838" s="1">
        <v>189000</v>
      </c>
    </row>
    <row r="839" spans="1:7" x14ac:dyDescent="0.25">
      <c r="A839" s="17"/>
      <c r="C839" s="2" t="s">
        <v>34</v>
      </c>
      <c r="D839" s="19">
        <v>1171506</v>
      </c>
      <c r="G839" s="30">
        <f>SUM(G836:G838)</f>
        <v>14181000</v>
      </c>
    </row>
    <row r="840" spans="1:7" x14ac:dyDescent="0.25">
      <c r="A840" s="17"/>
      <c r="C840" s="2" t="s">
        <v>35</v>
      </c>
      <c r="D840" s="19">
        <v>16250</v>
      </c>
      <c r="F840" s="28" t="s">
        <v>29</v>
      </c>
      <c r="G840" s="1"/>
    </row>
    <row r="841" spans="1:7" x14ac:dyDescent="0.25">
      <c r="A841" s="17"/>
      <c r="C841" s="2" t="s">
        <v>36</v>
      </c>
      <c r="D841" s="19">
        <v>213419148.59999999</v>
      </c>
      <c r="F841" t="s">
        <v>650</v>
      </c>
      <c r="G841" s="1">
        <v>3355</v>
      </c>
    </row>
    <row r="842" spans="1:7" x14ac:dyDescent="0.25">
      <c r="A842" s="17"/>
      <c r="C842" s="2" t="s">
        <v>37</v>
      </c>
      <c r="D842" s="19">
        <v>214419937</v>
      </c>
      <c r="F842" t="s">
        <v>651</v>
      </c>
      <c r="G842" s="1">
        <v>50400</v>
      </c>
    </row>
    <row r="843" spans="1:7" x14ac:dyDescent="0.25">
      <c r="A843" s="17"/>
      <c r="C843" s="2" t="s">
        <v>51</v>
      </c>
      <c r="D843" s="20">
        <v>130317</v>
      </c>
      <c r="F843" t="s">
        <v>652</v>
      </c>
      <c r="G843" s="1">
        <v>86100</v>
      </c>
    </row>
    <row r="844" spans="1:7" x14ac:dyDescent="0.25">
      <c r="A844" s="17"/>
      <c r="B844" s="24" t="s">
        <v>19</v>
      </c>
      <c r="D844" s="19">
        <f>SUM(D836:D843)</f>
        <v>946292778.85000002</v>
      </c>
      <c r="G844" s="30">
        <f>SUM(G841:G843)</f>
        <v>139855</v>
      </c>
    </row>
    <row r="845" spans="1:7" x14ac:dyDescent="0.25">
      <c r="A845" s="17"/>
      <c r="D845" s="19"/>
    </row>
    <row r="846" spans="1:7" x14ac:dyDescent="0.25">
      <c r="A846" s="17"/>
      <c r="B846" s="24" t="s">
        <v>20</v>
      </c>
      <c r="D846" s="19"/>
      <c r="F846" s="28" t="s">
        <v>30</v>
      </c>
      <c r="G846" s="29">
        <f>G839-G844</f>
        <v>14041145</v>
      </c>
    </row>
    <row r="847" spans="1:7" x14ac:dyDescent="0.25">
      <c r="A847" s="17"/>
      <c r="C847" t="s">
        <v>7</v>
      </c>
      <c r="D847" s="19">
        <v>3658847755</v>
      </c>
    </row>
    <row r="848" spans="1:7" x14ac:dyDescent="0.25">
      <c r="A848" s="17"/>
      <c r="C848" t="s">
        <v>47</v>
      </c>
      <c r="D848" s="19">
        <v>15520000</v>
      </c>
    </row>
    <row r="849" spans="1:7" x14ac:dyDescent="0.25">
      <c r="A849" s="17"/>
      <c r="C849" t="s">
        <v>21</v>
      </c>
      <c r="D849" s="19">
        <v>904897500</v>
      </c>
    </row>
    <row r="850" spans="1:7" x14ac:dyDescent="0.25">
      <c r="A850" s="17"/>
      <c r="C850" t="s">
        <v>45</v>
      </c>
      <c r="D850" s="19">
        <v>25000000</v>
      </c>
    </row>
    <row r="851" spans="1:7" x14ac:dyDescent="0.25">
      <c r="A851" s="17"/>
      <c r="C851" t="s">
        <v>48</v>
      </c>
      <c r="D851" s="19">
        <v>30000000</v>
      </c>
    </row>
    <row r="852" spans="1:7" x14ac:dyDescent="0.25">
      <c r="A852" s="17"/>
      <c r="C852" t="s">
        <v>68</v>
      </c>
      <c r="D852" s="19">
        <v>141000000</v>
      </c>
    </row>
    <row r="853" spans="1:7" x14ac:dyDescent="0.25">
      <c r="A853" s="17"/>
      <c r="C853" t="s">
        <v>68</v>
      </c>
      <c r="D853" s="19">
        <v>145000000</v>
      </c>
    </row>
    <row r="854" spans="1:7" x14ac:dyDescent="0.25">
      <c r="A854" s="17"/>
      <c r="C854" t="s">
        <v>518</v>
      </c>
      <c r="D854" s="19">
        <v>100000000</v>
      </c>
    </row>
    <row r="855" spans="1:7" x14ac:dyDescent="0.25">
      <c r="A855" s="17"/>
      <c r="C855" t="s">
        <v>627</v>
      </c>
      <c r="D855" s="19">
        <v>60002500</v>
      </c>
    </row>
    <row r="856" spans="1:7" x14ac:dyDescent="0.25">
      <c r="A856" s="17"/>
      <c r="C856" t="s">
        <v>643</v>
      </c>
      <c r="D856" s="19">
        <v>156395550</v>
      </c>
    </row>
    <row r="857" spans="1:7" x14ac:dyDescent="0.25">
      <c r="A857" s="17"/>
      <c r="C857" t="s">
        <v>642</v>
      </c>
      <c r="D857" s="20">
        <v>2954500</v>
      </c>
      <c r="G857" s="1"/>
    </row>
    <row r="858" spans="1:7" x14ac:dyDescent="0.25">
      <c r="A858" s="17"/>
      <c r="D858" s="19">
        <f>SUM(D847:D857)</f>
        <v>5239617805</v>
      </c>
      <c r="G858" s="1"/>
    </row>
    <row r="859" spans="1:7" x14ac:dyDescent="0.25">
      <c r="A859" s="17"/>
      <c r="D859" s="19"/>
      <c r="G859" s="1"/>
    </row>
    <row r="860" spans="1:7" x14ac:dyDescent="0.25">
      <c r="A860" s="17"/>
      <c r="B860" s="24" t="s">
        <v>46</v>
      </c>
      <c r="D860" s="19"/>
      <c r="G860" s="1"/>
    </row>
    <row r="861" spans="1:7" x14ac:dyDescent="0.25">
      <c r="A861" s="17"/>
      <c r="B861" s="24"/>
      <c r="C861" t="s">
        <v>646</v>
      </c>
      <c r="D861" s="19">
        <f>251*602500</f>
        <v>151227500</v>
      </c>
      <c r="G861" s="1"/>
    </row>
    <row r="862" spans="1:7" x14ac:dyDescent="0.25">
      <c r="A862" s="17"/>
      <c r="B862" s="24"/>
      <c r="C862" t="s">
        <v>266</v>
      </c>
      <c r="D862" s="19">
        <f>5*602500</f>
        <v>3012500</v>
      </c>
      <c r="G862" s="1"/>
    </row>
    <row r="863" spans="1:7" x14ac:dyDescent="0.25">
      <c r="A863" s="17"/>
      <c r="C863" t="s">
        <v>323</v>
      </c>
      <c r="D863" s="20">
        <f>4*602500</f>
        <v>2410000</v>
      </c>
      <c r="G863" s="1"/>
    </row>
    <row r="864" spans="1:7" x14ac:dyDescent="0.25">
      <c r="A864" s="17"/>
      <c r="D864" s="19">
        <f>SUM(D861:D863)</f>
        <v>156650000</v>
      </c>
      <c r="G864" s="1"/>
    </row>
    <row r="865" spans="1:7" x14ac:dyDescent="0.25">
      <c r="A865" s="17"/>
      <c r="D865" s="19"/>
      <c r="G865" s="1"/>
    </row>
    <row r="866" spans="1:7" x14ac:dyDescent="0.25">
      <c r="A866" s="23" t="s">
        <v>22</v>
      </c>
      <c r="D866" s="19"/>
      <c r="G866" s="1"/>
    </row>
    <row r="867" spans="1:7" x14ac:dyDescent="0.25">
      <c r="A867" s="17"/>
      <c r="C867" t="s">
        <v>23</v>
      </c>
      <c r="D867" s="19">
        <v>2543450000</v>
      </c>
      <c r="G867" s="1"/>
    </row>
    <row r="868" spans="1:7" x14ac:dyDescent="0.25">
      <c r="A868" s="17"/>
      <c r="C868" t="s">
        <v>24</v>
      </c>
      <c r="D868" s="19">
        <v>1623098000</v>
      </c>
      <c r="G868" s="1"/>
    </row>
    <row r="869" spans="1:7" x14ac:dyDescent="0.25">
      <c r="A869" s="17"/>
      <c r="C869" t="s">
        <v>111</v>
      </c>
      <c r="D869" s="19">
        <v>347600000</v>
      </c>
      <c r="G869" s="1"/>
    </row>
    <row r="870" spans="1:7" x14ac:dyDescent="0.25">
      <c r="A870" s="17"/>
      <c r="C870" t="s">
        <v>44</v>
      </c>
      <c r="D870" s="20">
        <v>171125000</v>
      </c>
      <c r="G870" s="1"/>
    </row>
    <row r="871" spans="1:7" x14ac:dyDescent="0.25">
      <c r="A871" s="17"/>
      <c r="D871" s="19">
        <f>SUM(D867:D870)</f>
        <v>4685273000</v>
      </c>
      <c r="G871" s="1"/>
    </row>
    <row r="872" spans="1:7" x14ac:dyDescent="0.25">
      <c r="A872" s="17"/>
      <c r="D872" s="19"/>
      <c r="G872" s="1"/>
    </row>
    <row r="873" spans="1:7" x14ac:dyDescent="0.25">
      <c r="A873" s="43" t="s">
        <v>25</v>
      </c>
      <c r="B873" s="44"/>
      <c r="C873" s="44"/>
      <c r="D873" s="25">
        <f>D844+D858+D864-D871</f>
        <v>1657287583.8500004</v>
      </c>
      <c r="G873" s="1"/>
    </row>
    <row r="874" spans="1:7" x14ac:dyDescent="0.25">
      <c r="A874" s="21"/>
      <c r="B874" s="22"/>
      <c r="C874" s="22"/>
      <c r="D874" s="20"/>
      <c r="G874" s="1"/>
    </row>
    <row r="876" spans="1:7" x14ac:dyDescent="0.25">
      <c r="A876" s="40" t="s">
        <v>13</v>
      </c>
      <c r="B876" s="40"/>
      <c r="C876" s="40"/>
      <c r="D876" s="40"/>
      <c r="G876" s="1"/>
    </row>
    <row r="877" spans="1:7" x14ac:dyDescent="0.25">
      <c r="A877" s="41" t="s">
        <v>14</v>
      </c>
      <c r="B877" s="41"/>
      <c r="C877" s="41"/>
      <c r="D877" s="41"/>
      <c r="G877" s="1"/>
    </row>
    <row r="878" spans="1:7" x14ac:dyDescent="0.25">
      <c r="A878" s="42">
        <v>45803</v>
      </c>
      <c r="B878" s="42"/>
      <c r="C878" s="42"/>
      <c r="D878" s="42"/>
      <c r="G878" s="1"/>
    </row>
    <row r="879" spans="1:7" x14ac:dyDescent="0.25">
      <c r="A879" s="13"/>
      <c r="B879" s="13"/>
      <c r="C879" s="13"/>
      <c r="D879" s="13"/>
      <c r="G879" s="1"/>
    </row>
    <row r="880" spans="1:7" x14ac:dyDescent="0.25">
      <c r="A880" s="14"/>
      <c r="B880" s="15"/>
      <c r="C880" s="15"/>
      <c r="D880" s="16"/>
      <c r="F880" s="5" t="s">
        <v>26</v>
      </c>
      <c r="G880" s="1">
        <f>D921-D873</f>
        <v>-54129000</v>
      </c>
    </row>
    <row r="881" spans="1:7" x14ac:dyDescent="0.25">
      <c r="A881" s="17"/>
      <c r="D881" s="32" t="s">
        <v>16</v>
      </c>
      <c r="G881" s="1"/>
    </row>
    <row r="882" spans="1:7" x14ac:dyDescent="0.25">
      <c r="A882" s="23" t="s">
        <v>15</v>
      </c>
      <c r="D882" s="18" t="s">
        <v>17</v>
      </c>
      <c r="F882" s="26" t="s">
        <v>27</v>
      </c>
      <c r="G882" s="1"/>
    </row>
    <row r="883" spans="1:7" x14ac:dyDescent="0.25">
      <c r="A883" s="17"/>
      <c r="B883" s="24" t="s">
        <v>18</v>
      </c>
      <c r="D883" s="19"/>
      <c r="F883" s="27" t="s">
        <v>28</v>
      </c>
      <c r="G883" s="1"/>
    </row>
    <row r="884" spans="1:7" x14ac:dyDescent="0.25">
      <c r="A884" s="17"/>
      <c r="C884" s="2" t="s">
        <v>31</v>
      </c>
      <c r="D884" s="19">
        <v>47006462.799999997</v>
      </c>
      <c r="F884" t="s">
        <v>656</v>
      </c>
      <c r="G884" s="1">
        <v>4731000</v>
      </c>
    </row>
    <row r="885" spans="1:7" x14ac:dyDescent="0.25">
      <c r="A885" s="17"/>
      <c r="C885" s="2" t="s">
        <v>32</v>
      </c>
      <c r="D885" s="19">
        <v>21422643.050000001</v>
      </c>
      <c r="G885" s="30">
        <f>SUM(G884:G884)</f>
        <v>4731000</v>
      </c>
    </row>
    <row r="886" spans="1:7" x14ac:dyDescent="0.25">
      <c r="A886" s="17"/>
      <c r="C886" s="2" t="s">
        <v>33</v>
      </c>
      <c r="D886" s="19">
        <v>-52542485.600000001</v>
      </c>
      <c r="F886" s="28" t="s">
        <v>29</v>
      </c>
      <c r="G886" s="1"/>
    </row>
    <row r="887" spans="1:7" x14ac:dyDescent="0.25">
      <c r="A887" s="17"/>
      <c r="C887" s="2" t="s">
        <v>34</v>
      </c>
      <c r="D887" s="19">
        <v>159996506</v>
      </c>
      <c r="F887" t="s">
        <v>161</v>
      </c>
      <c r="G887" s="1">
        <v>2500</v>
      </c>
    </row>
    <row r="888" spans="1:7" x14ac:dyDescent="0.25">
      <c r="A888" s="17"/>
      <c r="C888" s="2" t="s">
        <v>35</v>
      </c>
      <c r="D888" s="19">
        <v>16250</v>
      </c>
      <c r="F888" t="s">
        <v>539</v>
      </c>
      <c r="G888" s="1">
        <v>697500</v>
      </c>
    </row>
    <row r="889" spans="1:7" x14ac:dyDescent="0.25">
      <c r="A889" s="17"/>
      <c r="C889" s="2" t="s">
        <v>36</v>
      </c>
      <c r="D889" s="19">
        <v>213419148.59999999</v>
      </c>
      <c r="F889" t="s">
        <v>540</v>
      </c>
      <c r="G889" s="1">
        <v>1960000</v>
      </c>
    </row>
    <row r="890" spans="1:7" x14ac:dyDescent="0.25">
      <c r="A890" s="17"/>
      <c r="C890" s="2" t="s">
        <v>37</v>
      </c>
      <c r="D890" s="19">
        <v>158596937</v>
      </c>
      <c r="F890" t="s">
        <v>655</v>
      </c>
      <c r="G890" s="1">
        <v>46200000</v>
      </c>
    </row>
    <row r="891" spans="1:7" x14ac:dyDescent="0.25">
      <c r="A891" s="17"/>
      <c r="C891" s="2" t="s">
        <v>51</v>
      </c>
      <c r="D891" s="20">
        <v>130317</v>
      </c>
      <c r="F891" t="s">
        <v>112</v>
      </c>
      <c r="G891" s="1">
        <v>10000000</v>
      </c>
    </row>
    <row r="892" spans="1:7" x14ac:dyDescent="0.25">
      <c r="A892" s="17"/>
      <c r="B892" s="24" t="s">
        <v>19</v>
      </c>
      <c r="D892" s="19">
        <f>SUM(D884:D891)</f>
        <v>548045778.85000002</v>
      </c>
      <c r="G892" s="30">
        <f>SUM(G887:G891)</f>
        <v>58860000</v>
      </c>
    </row>
    <row r="893" spans="1:7" x14ac:dyDescent="0.25">
      <c r="A893" s="17"/>
      <c r="D893" s="19"/>
    </row>
    <row r="894" spans="1:7" x14ac:dyDescent="0.25">
      <c r="A894" s="17"/>
      <c r="B894" s="24" t="s">
        <v>20</v>
      </c>
      <c r="D894" s="19"/>
      <c r="F894" s="28" t="s">
        <v>30</v>
      </c>
      <c r="G894" s="29">
        <f>G885-G892</f>
        <v>-54129000</v>
      </c>
    </row>
    <row r="895" spans="1:7" x14ac:dyDescent="0.25">
      <c r="A895" s="17"/>
      <c r="C895" t="s">
        <v>7</v>
      </c>
      <c r="D895" s="19">
        <v>3685697755</v>
      </c>
    </row>
    <row r="896" spans="1:7" x14ac:dyDescent="0.25">
      <c r="A896" s="17"/>
      <c r="C896" t="s">
        <v>47</v>
      </c>
      <c r="D896" s="19">
        <v>14270000</v>
      </c>
    </row>
    <row r="897" spans="1:7" x14ac:dyDescent="0.25">
      <c r="A897" s="17"/>
      <c r="C897" t="s">
        <v>21</v>
      </c>
      <c r="D897" s="19">
        <v>935485500</v>
      </c>
    </row>
    <row r="898" spans="1:7" x14ac:dyDescent="0.25">
      <c r="A898" s="17"/>
      <c r="C898" t="s">
        <v>45</v>
      </c>
      <c r="D898" s="19">
        <v>25000000</v>
      </c>
    </row>
    <row r="899" spans="1:7" x14ac:dyDescent="0.25">
      <c r="A899" s="17"/>
      <c r="C899" t="s">
        <v>48</v>
      </c>
      <c r="D899" s="19">
        <v>30000000</v>
      </c>
    </row>
    <row r="900" spans="1:7" x14ac:dyDescent="0.25">
      <c r="A900" s="17"/>
      <c r="C900" t="s">
        <v>68</v>
      </c>
      <c r="D900" s="19">
        <v>141000000</v>
      </c>
    </row>
    <row r="901" spans="1:7" x14ac:dyDescent="0.25">
      <c r="A901" s="17"/>
      <c r="C901" t="s">
        <v>68</v>
      </c>
      <c r="D901" s="19">
        <v>145000000</v>
      </c>
    </row>
    <row r="902" spans="1:7" x14ac:dyDescent="0.25">
      <c r="A902" s="17"/>
      <c r="C902" t="s">
        <v>518</v>
      </c>
      <c r="D902" s="19">
        <v>100000000</v>
      </c>
      <c r="G902" s="1"/>
    </row>
    <row r="903" spans="1:7" x14ac:dyDescent="0.25">
      <c r="A903" s="17"/>
      <c r="C903" t="s">
        <v>627</v>
      </c>
      <c r="D903" s="19">
        <v>60002500</v>
      </c>
      <c r="G903" s="1"/>
    </row>
    <row r="904" spans="1:7" x14ac:dyDescent="0.25">
      <c r="A904" s="17"/>
      <c r="C904" t="s">
        <v>643</v>
      </c>
      <c r="D904" s="19">
        <v>156395550</v>
      </c>
      <c r="G904" s="1"/>
    </row>
    <row r="905" spans="1:7" x14ac:dyDescent="0.25">
      <c r="A905" s="17"/>
      <c r="C905" t="s">
        <v>654</v>
      </c>
      <c r="D905" s="19">
        <v>60125000</v>
      </c>
      <c r="G905" s="1"/>
    </row>
    <row r="906" spans="1:7" x14ac:dyDescent="0.25">
      <c r="A906" s="17"/>
      <c r="C906" t="s">
        <v>642</v>
      </c>
      <c r="D906" s="20">
        <v>2954500</v>
      </c>
      <c r="G906" s="1"/>
    </row>
    <row r="907" spans="1:7" x14ac:dyDescent="0.25">
      <c r="A907" s="17"/>
      <c r="D907" s="19">
        <f>SUM(D895:D906)</f>
        <v>5355930805</v>
      </c>
      <c r="G907" s="1"/>
    </row>
    <row r="908" spans="1:7" x14ac:dyDescent="0.25">
      <c r="A908" s="17"/>
      <c r="D908" s="19"/>
      <c r="G908" s="1"/>
    </row>
    <row r="909" spans="1:7" x14ac:dyDescent="0.25">
      <c r="A909" s="17"/>
      <c r="B909" s="24" t="s">
        <v>46</v>
      </c>
      <c r="D909" s="19"/>
      <c r="G909" s="1"/>
    </row>
    <row r="910" spans="1:7" x14ac:dyDescent="0.25">
      <c r="A910" s="17"/>
      <c r="B910" s="24"/>
      <c r="C910" t="s">
        <v>646</v>
      </c>
      <c r="D910" s="19">
        <f>251*602500</f>
        <v>151227500</v>
      </c>
      <c r="G910" s="1"/>
    </row>
    <row r="911" spans="1:7" x14ac:dyDescent="0.25">
      <c r="A911" s="17"/>
      <c r="B911" s="24"/>
      <c r="C911" t="s">
        <v>266</v>
      </c>
      <c r="D911" s="19">
        <f>5*602500</f>
        <v>3012500</v>
      </c>
      <c r="G911" s="1"/>
    </row>
    <row r="912" spans="1:7" x14ac:dyDescent="0.25">
      <c r="A912" s="17"/>
      <c r="C912" t="s">
        <v>323</v>
      </c>
      <c r="D912" s="20">
        <f>4*602500</f>
        <v>2410000</v>
      </c>
      <c r="G912" s="1"/>
    </row>
    <row r="913" spans="1:7" x14ac:dyDescent="0.25">
      <c r="A913" s="17"/>
      <c r="D913" s="19">
        <f>SUM(D910:D912)</f>
        <v>156650000</v>
      </c>
      <c r="G913" s="1"/>
    </row>
    <row r="914" spans="1:7" x14ac:dyDescent="0.25">
      <c r="A914" s="17"/>
      <c r="D914" s="19"/>
      <c r="G914" s="1"/>
    </row>
    <row r="915" spans="1:7" x14ac:dyDescent="0.25">
      <c r="A915" s="23" t="s">
        <v>22</v>
      </c>
      <c r="D915" s="19"/>
      <c r="G915" s="1"/>
    </row>
    <row r="916" spans="1:7" x14ac:dyDescent="0.25">
      <c r="A916" s="17"/>
      <c r="C916" t="s">
        <v>23</v>
      </c>
      <c r="D916" s="19">
        <v>2570750000</v>
      </c>
      <c r="G916" s="1"/>
    </row>
    <row r="917" spans="1:7" x14ac:dyDescent="0.25">
      <c r="A917" s="17"/>
      <c r="C917" t="s">
        <v>24</v>
      </c>
      <c r="D917" s="19">
        <v>1610918000</v>
      </c>
      <c r="G917" s="1"/>
    </row>
    <row r="918" spans="1:7" x14ac:dyDescent="0.25">
      <c r="A918" s="17"/>
      <c r="C918" t="s">
        <v>111</v>
      </c>
      <c r="D918" s="20">
        <v>275800000</v>
      </c>
      <c r="G918" s="1"/>
    </row>
    <row r="919" spans="1:7" x14ac:dyDescent="0.25">
      <c r="A919" s="17"/>
      <c r="D919" s="19">
        <f>SUM(D916:D918)</f>
        <v>4457468000</v>
      </c>
      <c r="G919" s="1"/>
    </row>
    <row r="920" spans="1:7" x14ac:dyDescent="0.25">
      <c r="A920" s="17"/>
      <c r="D920" s="19"/>
      <c r="G920" s="1"/>
    </row>
    <row r="921" spans="1:7" x14ac:dyDescent="0.25">
      <c r="A921" s="43" t="s">
        <v>25</v>
      </c>
      <c r="B921" s="44"/>
      <c r="C921" s="44"/>
      <c r="D921" s="25">
        <f>D892+D907+D913-D919</f>
        <v>1603158583.8500004</v>
      </c>
      <c r="G921" s="1"/>
    </row>
    <row r="922" spans="1:7" x14ac:dyDescent="0.25">
      <c r="A922" s="21"/>
      <c r="B922" s="22"/>
      <c r="C922" s="22"/>
      <c r="D922" s="20"/>
      <c r="G922" s="1"/>
    </row>
    <row r="924" spans="1:7" x14ac:dyDescent="0.25">
      <c r="A924" s="40" t="s">
        <v>13</v>
      </c>
      <c r="B924" s="40"/>
      <c r="C924" s="40"/>
      <c r="D924" s="40"/>
      <c r="G924" s="1"/>
    </row>
    <row r="925" spans="1:7" x14ac:dyDescent="0.25">
      <c r="A925" s="41" t="s">
        <v>14</v>
      </c>
      <c r="B925" s="41"/>
      <c r="C925" s="41"/>
      <c r="D925" s="41"/>
      <c r="G925" s="1"/>
    </row>
    <row r="926" spans="1:7" x14ac:dyDescent="0.25">
      <c r="A926" s="42">
        <v>45804</v>
      </c>
      <c r="B926" s="42"/>
      <c r="C926" s="42"/>
      <c r="D926" s="42"/>
      <c r="G926" s="1"/>
    </row>
    <row r="927" spans="1:7" x14ac:dyDescent="0.25">
      <c r="A927" s="13"/>
      <c r="B927" s="13"/>
      <c r="C927" s="13"/>
      <c r="D927" s="13"/>
      <c r="G927" s="1"/>
    </row>
    <row r="928" spans="1:7" x14ac:dyDescent="0.25">
      <c r="A928" s="14"/>
      <c r="B928" s="15"/>
      <c r="C928" s="15"/>
      <c r="D928" s="16"/>
      <c r="F928" s="5" t="s">
        <v>26</v>
      </c>
      <c r="G928" s="1">
        <f>D969-D921</f>
        <v>1675500</v>
      </c>
    </row>
    <row r="929" spans="1:10" x14ac:dyDescent="0.25">
      <c r="A929" s="17"/>
      <c r="D929" s="32" t="s">
        <v>16</v>
      </c>
      <c r="G929" s="1"/>
    </row>
    <row r="930" spans="1:10" x14ac:dyDescent="0.25">
      <c r="A930" s="23" t="s">
        <v>15</v>
      </c>
      <c r="D930" s="18" t="s">
        <v>17</v>
      </c>
      <c r="F930" s="26" t="s">
        <v>27</v>
      </c>
      <c r="G930" s="1"/>
    </row>
    <row r="931" spans="1:10" x14ac:dyDescent="0.25">
      <c r="A931" s="17"/>
      <c r="B931" s="24" t="s">
        <v>18</v>
      </c>
      <c r="D931" s="19"/>
      <c r="F931" s="27" t="s">
        <v>28</v>
      </c>
      <c r="G931" s="1"/>
    </row>
    <row r="932" spans="1:10" x14ac:dyDescent="0.25">
      <c r="A932" s="17"/>
      <c r="C932" s="2" t="s">
        <v>31</v>
      </c>
      <c r="D932" s="19">
        <v>90456462.799999997</v>
      </c>
      <c r="F932" t="s">
        <v>360</v>
      </c>
      <c r="G932" s="1">
        <v>4142000</v>
      </c>
    </row>
    <row r="933" spans="1:10" x14ac:dyDescent="0.25">
      <c r="A933" s="17"/>
      <c r="C933" s="2" t="s">
        <v>32</v>
      </c>
      <c r="D933" s="19">
        <v>21422643.050000001</v>
      </c>
      <c r="F933" t="s">
        <v>657</v>
      </c>
      <c r="G933" s="1">
        <v>283500</v>
      </c>
    </row>
    <row r="934" spans="1:10" x14ac:dyDescent="0.25">
      <c r="A934" s="17"/>
      <c r="C934" s="2" t="s">
        <v>33</v>
      </c>
      <c r="D934" s="19">
        <v>12762014.4</v>
      </c>
      <c r="G934" s="30">
        <f>SUM(G932:G933)</f>
        <v>4425500</v>
      </c>
    </row>
    <row r="935" spans="1:10" x14ac:dyDescent="0.25">
      <c r="A935" s="17"/>
      <c r="C935" s="2" t="s">
        <v>34</v>
      </c>
      <c r="D935" s="19">
        <v>179796506</v>
      </c>
      <c r="F935" s="28" t="s">
        <v>29</v>
      </c>
      <c r="G935" s="1"/>
    </row>
    <row r="936" spans="1:10" x14ac:dyDescent="0.25">
      <c r="A936" s="17"/>
      <c r="C936" s="2" t="s">
        <v>35</v>
      </c>
      <c r="D936" s="19">
        <v>16250</v>
      </c>
      <c r="F936" t="s">
        <v>2</v>
      </c>
      <c r="G936" s="1">
        <v>2250000</v>
      </c>
      <c r="J936" s="38"/>
    </row>
    <row r="937" spans="1:10" x14ac:dyDescent="0.25">
      <c r="A937" s="17"/>
      <c r="C937" s="2" t="s">
        <v>36</v>
      </c>
      <c r="D937" s="19">
        <v>213419148.59999999</v>
      </c>
      <c r="F937" t="s">
        <v>659</v>
      </c>
      <c r="G937" s="1">
        <v>500000</v>
      </c>
    </row>
    <row r="938" spans="1:10" x14ac:dyDescent="0.25">
      <c r="A938" s="17"/>
      <c r="C938" s="2" t="s">
        <v>37</v>
      </c>
      <c r="D938" s="19">
        <v>337246937</v>
      </c>
      <c r="G938" s="30">
        <f>SUM(G936:G937)</f>
        <v>2750000</v>
      </c>
    </row>
    <row r="939" spans="1:10" x14ac:dyDescent="0.25">
      <c r="A939" s="17"/>
      <c r="C939" s="2" t="s">
        <v>51</v>
      </c>
      <c r="D939" s="20">
        <v>130317</v>
      </c>
    </row>
    <row r="940" spans="1:10" x14ac:dyDescent="0.25">
      <c r="A940" s="17"/>
      <c r="B940" s="24" t="s">
        <v>19</v>
      </c>
      <c r="D940" s="19">
        <f>SUM(D932:D939)</f>
        <v>855250278.85000002</v>
      </c>
      <c r="F940" s="28" t="s">
        <v>30</v>
      </c>
      <c r="G940" s="29">
        <f>G934-G938</f>
        <v>1675500</v>
      </c>
    </row>
    <row r="941" spans="1:10" x14ac:dyDescent="0.25">
      <c r="A941" s="17"/>
      <c r="D941" s="19"/>
    </row>
    <row r="942" spans="1:10" x14ac:dyDescent="0.25">
      <c r="A942" s="17"/>
      <c r="B942" s="24" t="s">
        <v>20</v>
      </c>
      <c r="D942" s="19"/>
    </row>
    <row r="943" spans="1:10" x14ac:dyDescent="0.25">
      <c r="A943" s="17"/>
      <c r="C943" t="s">
        <v>7</v>
      </c>
      <c r="D943" s="19">
        <v>3431326755</v>
      </c>
    </row>
    <row r="944" spans="1:10" x14ac:dyDescent="0.25">
      <c r="A944" s="17"/>
      <c r="C944" t="s">
        <v>47</v>
      </c>
      <c r="D944" s="19">
        <v>14270000</v>
      </c>
    </row>
    <row r="945" spans="1:7" x14ac:dyDescent="0.25">
      <c r="A945" s="17"/>
      <c r="C945" t="s">
        <v>21</v>
      </c>
      <c r="D945" s="19">
        <v>903235500</v>
      </c>
    </row>
    <row r="946" spans="1:7" x14ac:dyDescent="0.25">
      <c r="A946" s="17"/>
      <c r="C946" t="s">
        <v>45</v>
      </c>
      <c r="D946" s="19">
        <v>25000000</v>
      </c>
    </row>
    <row r="947" spans="1:7" x14ac:dyDescent="0.25">
      <c r="A947" s="17"/>
      <c r="C947" t="s">
        <v>48</v>
      </c>
      <c r="D947" s="19">
        <v>30000000</v>
      </c>
    </row>
    <row r="948" spans="1:7" x14ac:dyDescent="0.25">
      <c r="A948" s="17"/>
      <c r="C948" t="s">
        <v>68</v>
      </c>
      <c r="D948" s="19">
        <v>141000000</v>
      </c>
    </row>
    <row r="949" spans="1:7" x14ac:dyDescent="0.25">
      <c r="A949" s="17"/>
      <c r="C949" t="s">
        <v>68</v>
      </c>
      <c r="D949" s="19">
        <v>145000000</v>
      </c>
    </row>
    <row r="950" spans="1:7" x14ac:dyDescent="0.25">
      <c r="A950" s="17"/>
      <c r="C950" t="s">
        <v>518</v>
      </c>
      <c r="D950" s="19">
        <v>100000000</v>
      </c>
      <c r="G950" s="1"/>
    </row>
    <row r="951" spans="1:7" x14ac:dyDescent="0.25">
      <c r="A951" s="17"/>
      <c r="C951" t="s">
        <v>658</v>
      </c>
      <c r="D951" s="19">
        <v>155002500</v>
      </c>
      <c r="G951" s="1"/>
    </row>
    <row r="952" spans="1:7" x14ac:dyDescent="0.25">
      <c r="A952" s="17"/>
      <c r="C952" t="s">
        <v>643</v>
      </c>
      <c r="D952" s="19">
        <v>156395550</v>
      </c>
      <c r="G952" s="1"/>
    </row>
    <row r="953" spans="1:7" x14ac:dyDescent="0.25">
      <c r="A953" s="17"/>
      <c r="C953" t="s">
        <v>654</v>
      </c>
      <c r="D953" s="19">
        <v>60125000</v>
      </c>
      <c r="G953" s="1"/>
    </row>
    <row r="954" spans="1:7" x14ac:dyDescent="0.25">
      <c r="A954" s="17"/>
      <c r="C954" t="s">
        <v>642</v>
      </c>
      <c r="D954" s="20">
        <v>2954500</v>
      </c>
      <c r="G954" s="1"/>
    </row>
    <row r="955" spans="1:7" x14ac:dyDescent="0.25">
      <c r="A955" s="17"/>
      <c r="D955" s="19">
        <f>SUM(D943:D954)</f>
        <v>5164309805</v>
      </c>
      <c r="G955" s="1"/>
    </row>
    <row r="956" spans="1:7" x14ac:dyDescent="0.25">
      <c r="A956" s="17"/>
      <c r="D956" s="19"/>
      <c r="G956" s="1"/>
    </row>
    <row r="957" spans="1:7" x14ac:dyDescent="0.25">
      <c r="A957" s="17"/>
      <c r="B957" s="24" t="s">
        <v>46</v>
      </c>
      <c r="D957" s="19"/>
      <c r="G957" s="1"/>
    </row>
    <row r="958" spans="1:7" x14ac:dyDescent="0.25">
      <c r="A958" s="17"/>
      <c r="B958" s="24"/>
      <c r="C958" t="s">
        <v>646</v>
      </c>
      <c r="D958" s="19">
        <f>251*602500</f>
        <v>151227500</v>
      </c>
      <c r="G958" s="1"/>
    </row>
    <row r="959" spans="1:7" x14ac:dyDescent="0.25">
      <c r="A959" s="17"/>
      <c r="B959" s="24"/>
      <c r="C959" t="s">
        <v>266</v>
      </c>
      <c r="D959" s="19">
        <f>5*602500</f>
        <v>3012500</v>
      </c>
      <c r="G959" s="1"/>
    </row>
    <row r="960" spans="1:7" x14ac:dyDescent="0.25">
      <c r="A960" s="17"/>
      <c r="C960" t="s">
        <v>323</v>
      </c>
      <c r="D960" s="20">
        <f>4*602500</f>
        <v>2410000</v>
      </c>
      <c r="G960" s="1"/>
    </row>
    <row r="961" spans="1:7" x14ac:dyDescent="0.25">
      <c r="A961" s="17"/>
      <c r="D961" s="19">
        <f>SUM(D958:D960)</f>
        <v>156650000</v>
      </c>
      <c r="G961" s="1"/>
    </row>
    <row r="962" spans="1:7" x14ac:dyDescent="0.25">
      <c r="A962" s="17"/>
      <c r="D962" s="19"/>
      <c r="G962" s="1"/>
    </row>
    <row r="963" spans="1:7" x14ac:dyDescent="0.25">
      <c r="A963" s="23" t="s">
        <v>22</v>
      </c>
      <c r="D963" s="19"/>
      <c r="G963" s="1"/>
    </row>
    <row r="964" spans="1:7" x14ac:dyDescent="0.25">
      <c r="A964" s="17"/>
      <c r="C964" t="s">
        <v>23</v>
      </c>
      <c r="D964" s="19">
        <v>2514450000</v>
      </c>
      <c r="G964" s="1"/>
    </row>
    <row r="965" spans="1:7" x14ac:dyDescent="0.25">
      <c r="A965" s="17"/>
      <c r="C965" t="s">
        <v>24</v>
      </c>
      <c r="D965" s="19">
        <v>1790126000</v>
      </c>
      <c r="G965" s="1"/>
    </row>
    <row r="966" spans="1:7" x14ac:dyDescent="0.25">
      <c r="A966" s="17"/>
      <c r="C966" t="s">
        <v>111</v>
      </c>
      <c r="D966" s="20">
        <v>266800000</v>
      </c>
      <c r="G966" s="1"/>
    </row>
    <row r="967" spans="1:7" x14ac:dyDescent="0.25">
      <c r="A967" s="17"/>
      <c r="D967" s="19">
        <f>SUM(D964:D966)</f>
        <v>4571376000</v>
      </c>
      <c r="G967" s="1"/>
    </row>
    <row r="968" spans="1:7" x14ac:dyDescent="0.25">
      <c r="A968" s="17"/>
      <c r="D968" s="19"/>
      <c r="G968" s="1"/>
    </row>
    <row r="969" spans="1:7" x14ac:dyDescent="0.25">
      <c r="A969" s="43" t="s">
        <v>25</v>
      </c>
      <c r="B969" s="44"/>
      <c r="C969" s="44"/>
      <c r="D969" s="25">
        <f>D940+D955+D961-D967</f>
        <v>1604834083.8500004</v>
      </c>
      <c r="G969" s="1"/>
    </row>
    <row r="970" spans="1:7" x14ac:dyDescent="0.25">
      <c r="A970" s="21"/>
      <c r="B970" s="22"/>
      <c r="C970" s="22"/>
      <c r="D970" s="20"/>
      <c r="G970" s="1"/>
    </row>
    <row r="972" spans="1:7" x14ac:dyDescent="0.25">
      <c r="A972" s="40" t="s">
        <v>13</v>
      </c>
      <c r="B972" s="40"/>
      <c r="C972" s="40"/>
      <c r="D972" s="40"/>
      <c r="G972" s="1"/>
    </row>
    <row r="973" spans="1:7" x14ac:dyDescent="0.25">
      <c r="A973" s="41" t="s">
        <v>14</v>
      </c>
      <c r="B973" s="41"/>
      <c r="C973" s="41"/>
      <c r="D973" s="41"/>
      <c r="G973" s="1"/>
    </row>
    <row r="974" spans="1:7" x14ac:dyDescent="0.25">
      <c r="A974" s="42">
        <v>45805</v>
      </c>
      <c r="B974" s="42"/>
      <c r="C974" s="42"/>
      <c r="D974" s="42"/>
      <c r="G974" s="1"/>
    </row>
    <row r="975" spans="1:7" x14ac:dyDescent="0.25">
      <c r="A975" s="13"/>
      <c r="B975" s="13"/>
      <c r="C975" s="13"/>
      <c r="D975" s="13"/>
      <c r="G975" s="1"/>
    </row>
    <row r="976" spans="1:7" x14ac:dyDescent="0.25">
      <c r="A976" s="14"/>
      <c r="B976" s="15"/>
      <c r="C976" s="15"/>
      <c r="D976" s="16"/>
      <c r="F976" s="5" t="s">
        <v>26</v>
      </c>
      <c r="G976" s="1">
        <f>D1016-D969</f>
        <v>5727500</v>
      </c>
    </row>
    <row r="977" spans="1:10" x14ac:dyDescent="0.25">
      <c r="A977" s="17"/>
      <c r="D977" s="32" t="s">
        <v>16</v>
      </c>
      <c r="G977" s="1"/>
    </row>
    <row r="978" spans="1:10" x14ac:dyDescent="0.25">
      <c r="A978" s="23" t="s">
        <v>15</v>
      </c>
      <c r="D978" s="18" t="s">
        <v>17</v>
      </c>
      <c r="F978" s="26" t="s">
        <v>27</v>
      </c>
      <c r="G978" s="1"/>
    </row>
    <row r="979" spans="1:10" x14ac:dyDescent="0.25">
      <c r="A979" s="17"/>
      <c r="B979" s="24" t="s">
        <v>18</v>
      </c>
      <c r="D979" s="19"/>
      <c r="F979" s="27" t="s">
        <v>28</v>
      </c>
      <c r="G979" s="1"/>
    </row>
    <row r="980" spans="1:10" x14ac:dyDescent="0.25">
      <c r="A980" s="17"/>
      <c r="C980" s="2" t="s">
        <v>31</v>
      </c>
      <c r="D980" s="19">
        <v>15456462.800000001</v>
      </c>
      <c r="F980" t="s">
        <v>254</v>
      </c>
      <c r="G980" s="1">
        <v>7630000</v>
      </c>
    </row>
    <row r="981" spans="1:10" x14ac:dyDescent="0.25">
      <c r="A981" s="17"/>
      <c r="C981" s="2" t="s">
        <v>32</v>
      </c>
      <c r="D981" s="19">
        <v>31732643.050000001</v>
      </c>
      <c r="F981" t="s">
        <v>90</v>
      </c>
      <c r="G981" s="1">
        <v>165000</v>
      </c>
    </row>
    <row r="982" spans="1:10" x14ac:dyDescent="0.25">
      <c r="A982" s="17"/>
      <c r="C982" s="2" t="s">
        <v>33</v>
      </c>
      <c r="D982" s="19">
        <v>458196514.39999998</v>
      </c>
      <c r="G982" s="30">
        <f>SUM(G980:G981)</f>
        <v>7795000</v>
      </c>
    </row>
    <row r="983" spans="1:10" x14ac:dyDescent="0.25">
      <c r="A983" s="17"/>
      <c r="C983" s="2" t="s">
        <v>34</v>
      </c>
      <c r="D983" s="19">
        <v>65126506</v>
      </c>
      <c r="F983" s="28" t="s">
        <v>29</v>
      </c>
      <c r="G983" s="1"/>
    </row>
    <row r="984" spans="1:10" x14ac:dyDescent="0.25">
      <c r="A984" s="17"/>
      <c r="C984" s="2" t="s">
        <v>35</v>
      </c>
      <c r="D984" s="19">
        <v>16250</v>
      </c>
      <c r="F984" t="s">
        <v>161</v>
      </c>
      <c r="G984" s="1">
        <v>5000</v>
      </c>
      <c r="J984" s="38"/>
    </row>
    <row r="985" spans="1:10" x14ac:dyDescent="0.25">
      <c r="A985" s="17"/>
      <c r="C985" s="2" t="s">
        <v>36</v>
      </c>
      <c r="D985" s="19">
        <v>56916648.600000001</v>
      </c>
      <c r="F985" t="s">
        <v>230</v>
      </c>
      <c r="G985" s="1">
        <v>2500</v>
      </c>
    </row>
    <row r="986" spans="1:10" x14ac:dyDescent="0.25">
      <c r="A986" s="17"/>
      <c r="C986" s="2" t="s">
        <v>37</v>
      </c>
      <c r="D986" s="19">
        <v>-62038063</v>
      </c>
      <c r="F986" t="s">
        <v>181</v>
      </c>
      <c r="G986" s="1">
        <v>1560000</v>
      </c>
    </row>
    <row r="987" spans="1:10" x14ac:dyDescent="0.25">
      <c r="A987" s="17"/>
      <c r="C987" s="2" t="s">
        <v>51</v>
      </c>
      <c r="D987" s="20">
        <v>130317</v>
      </c>
      <c r="F987" t="s">
        <v>182</v>
      </c>
      <c r="G987" s="1">
        <v>500000</v>
      </c>
    </row>
    <row r="988" spans="1:10" x14ac:dyDescent="0.25">
      <c r="A988" s="17"/>
      <c r="B988" s="24" t="s">
        <v>19</v>
      </c>
      <c r="D988" s="19">
        <f>SUM(D980:D987)</f>
        <v>565537278.85000002</v>
      </c>
      <c r="G988" s="30">
        <f>SUM(G984:G987)</f>
        <v>2067500</v>
      </c>
    </row>
    <row r="989" spans="1:10" x14ac:dyDescent="0.25">
      <c r="A989" s="17"/>
      <c r="D989" s="19"/>
    </row>
    <row r="990" spans="1:10" x14ac:dyDescent="0.25">
      <c r="A990" s="17"/>
      <c r="B990" s="24" t="s">
        <v>20</v>
      </c>
      <c r="D990" s="19"/>
      <c r="F990" s="28" t="s">
        <v>30</v>
      </c>
      <c r="G990" s="29">
        <f>G982-G988</f>
        <v>5727500</v>
      </c>
    </row>
    <row r="991" spans="1:10" x14ac:dyDescent="0.25">
      <c r="A991" s="17"/>
      <c r="C991" t="s">
        <v>7</v>
      </c>
      <c r="D991" s="19">
        <v>3797436755</v>
      </c>
    </row>
    <row r="992" spans="1:10" x14ac:dyDescent="0.25">
      <c r="A992" s="17"/>
      <c r="C992" t="s">
        <v>47</v>
      </c>
      <c r="D992" s="19">
        <v>8400000</v>
      </c>
    </row>
    <row r="993" spans="1:7" x14ac:dyDescent="0.25">
      <c r="A993" s="17"/>
      <c r="C993" t="s">
        <v>21</v>
      </c>
      <c r="D993" s="19">
        <v>814677500</v>
      </c>
    </row>
    <row r="994" spans="1:7" x14ac:dyDescent="0.25">
      <c r="A994" s="17"/>
      <c r="C994" t="s">
        <v>45</v>
      </c>
      <c r="D994" s="19">
        <v>25000000</v>
      </c>
    </row>
    <row r="995" spans="1:7" x14ac:dyDescent="0.25">
      <c r="A995" s="17"/>
      <c r="C995" t="s">
        <v>48</v>
      </c>
      <c r="D995" s="19">
        <v>30000000</v>
      </c>
    </row>
    <row r="996" spans="1:7" x14ac:dyDescent="0.25">
      <c r="A996" s="17"/>
      <c r="C996" t="s">
        <v>68</v>
      </c>
      <c r="D996" s="19">
        <v>141000000</v>
      </c>
    </row>
    <row r="997" spans="1:7" x14ac:dyDescent="0.25">
      <c r="A997" s="17"/>
      <c r="C997" t="s">
        <v>68</v>
      </c>
      <c r="D997" s="19">
        <v>145000000</v>
      </c>
    </row>
    <row r="998" spans="1:7" x14ac:dyDescent="0.25">
      <c r="A998" s="17"/>
      <c r="C998" t="s">
        <v>518</v>
      </c>
      <c r="D998" s="19">
        <v>100000000</v>
      </c>
      <c r="G998" s="1"/>
    </row>
    <row r="999" spans="1:7" x14ac:dyDescent="0.25">
      <c r="A999" s="17"/>
      <c r="C999" t="s">
        <v>658</v>
      </c>
      <c r="D999" s="19">
        <v>155002500</v>
      </c>
      <c r="G999" s="1"/>
    </row>
    <row r="1000" spans="1:7" x14ac:dyDescent="0.25">
      <c r="A1000" s="17"/>
      <c r="C1000" t="s">
        <v>643</v>
      </c>
      <c r="D1000" s="19">
        <v>156395550</v>
      </c>
      <c r="G1000" s="1"/>
    </row>
    <row r="1001" spans="1:7" x14ac:dyDescent="0.25">
      <c r="A1001" s="17"/>
      <c r="C1001" t="s">
        <v>654</v>
      </c>
      <c r="D1001" s="20">
        <v>60125000</v>
      </c>
      <c r="G1001" s="1"/>
    </row>
    <row r="1002" spans="1:7" x14ac:dyDescent="0.25">
      <c r="A1002" s="17"/>
      <c r="D1002" s="19">
        <f>SUM(D991:D1001)</f>
        <v>5433037305</v>
      </c>
      <c r="G1002" s="1"/>
    </row>
    <row r="1003" spans="1:7" x14ac:dyDescent="0.25">
      <c r="A1003" s="17"/>
      <c r="D1003" s="19"/>
      <c r="G1003" s="1"/>
    </row>
    <row r="1004" spans="1:7" x14ac:dyDescent="0.25">
      <c r="A1004" s="17"/>
      <c r="B1004" s="24" t="s">
        <v>46</v>
      </c>
      <c r="D1004" s="19"/>
      <c r="G1004" s="1"/>
    </row>
    <row r="1005" spans="1:7" x14ac:dyDescent="0.25">
      <c r="A1005" s="17"/>
      <c r="B1005" s="24"/>
      <c r="C1005" t="s">
        <v>646</v>
      </c>
      <c r="D1005" s="19">
        <f>251*602500</f>
        <v>151227500</v>
      </c>
      <c r="G1005" s="1"/>
    </row>
    <row r="1006" spans="1:7" x14ac:dyDescent="0.25">
      <c r="A1006" s="17"/>
      <c r="B1006" s="24"/>
      <c r="C1006" t="s">
        <v>426</v>
      </c>
      <c r="D1006" s="19">
        <f>2*602500</f>
        <v>1205000</v>
      </c>
      <c r="G1006" s="1"/>
    </row>
    <row r="1007" spans="1:7" x14ac:dyDescent="0.25">
      <c r="A1007" s="17"/>
      <c r="C1007" t="s">
        <v>408</v>
      </c>
      <c r="D1007" s="20">
        <f>1*602500</f>
        <v>602500</v>
      </c>
      <c r="G1007" s="1"/>
    </row>
    <row r="1008" spans="1:7" x14ac:dyDescent="0.25">
      <c r="A1008" s="17"/>
      <c r="D1008" s="19">
        <f>SUM(D1005:D1007)</f>
        <v>153035000</v>
      </c>
      <c r="G1008" s="1"/>
    </row>
    <row r="1009" spans="1:7" x14ac:dyDescent="0.25">
      <c r="A1009" s="17"/>
      <c r="D1009" s="19"/>
      <c r="G1009" s="1"/>
    </row>
    <row r="1010" spans="1:7" x14ac:dyDescent="0.25">
      <c r="A1010" s="23" t="s">
        <v>22</v>
      </c>
      <c r="D1010" s="19"/>
      <c r="G1010" s="1"/>
    </row>
    <row r="1011" spans="1:7" x14ac:dyDescent="0.25">
      <c r="A1011" s="17"/>
      <c r="C1011" t="s">
        <v>23</v>
      </c>
      <c r="D1011" s="19">
        <v>2488150000</v>
      </c>
      <c r="G1011" s="1"/>
    </row>
    <row r="1012" spans="1:7" x14ac:dyDescent="0.25">
      <c r="A1012" s="17"/>
      <c r="C1012" t="s">
        <v>24</v>
      </c>
      <c r="D1012" s="19">
        <v>1878098000</v>
      </c>
      <c r="G1012" s="1"/>
    </row>
    <row r="1013" spans="1:7" x14ac:dyDescent="0.25">
      <c r="A1013" s="17"/>
      <c r="C1013" t="s">
        <v>111</v>
      </c>
      <c r="D1013" s="20">
        <v>174800000</v>
      </c>
      <c r="G1013" s="1"/>
    </row>
    <row r="1014" spans="1:7" x14ac:dyDescent="0.25">
      <c r="A1014" s="17"/>
      <c r="D1014" s="19">
        <f>SUM(D1011:D1013)</f>
        <v>4541048000</v>
      </c>
      <c r="G1014" s="1"/>
    </row>
    <row r="1015" spans="1:7" x14ac:dyDescent="0.25">
      <c r="A1015" s="17"/>
      <c r="D1015" s="19"/>
      <c r="G1015" s="1"/>
    </row>
    <row r="1016" spans="1:7" x14ac:dyDescent="0.25">
      <c r="A1016" s="43" t="s">
        <v>25</v>
      </c>
      <c r="B1016" s="44"/>
      <c r="C1016" s="44"/>
      <c r="D1016" s="25">
        <f>D988+D1002+D1008-D1014</f>
        <v>1610561583.8500004</v>
      </c>
      <c r="G1016" s="1"/>
    </row>
    <row r="1017" spans="1:7" x14ac:dyDescent="0.25">
      <c r="A1017" s="21"/>
      <c r="B1017" s="22"/>
      <c r="C1017" s="22"/>
      <c r="D1017" s="20"/>
      <c r="G1017" s="1"/>
    </row>
    <row r="1019" spans="1:7" x14ac:dyDescent="0.25">
      <c r="A1019" s="40" t="s">
        <v>13</v>
      </c>
      <c r="B1019" s="40"/>
      <c r="C1019" s="40"/>
      <c r="D1019" s="40"/>
      <c r="G1019" s="1"/>
    </row>
    <row r="1020" spans="1:7" x14ac:dyDescent="0.25">
      <c r="A1020" s="41" t="s">
        <v>14</v>
      </c>
      <c r="B1020" s="41"/>
      <c r="C1020" s="41"/>
      <c r="D1020" s="41"/>
      <c r="G1020" s="1"/>
    </row>
    <row r="1021" spans="1:7" x14ac:dyDescent="0.25">
      <c r="A1021" s="42">
        <v>45807</v>
      </c>
      <c r="B1021" s="42"/>
      <c r="C1021" s="42"/>
      <c r="D1021" s="42"/>
      <c r="G1021" s="1"/>
    </row>
    <row r="1022" spans="1:7" x14ac:dyDescent="0.25">
      <c r="A1022" s="13"/>
      <c r="B1022" s="13"/>
      <c r="C1022" s="13"/>
      <c r="D1022" s="13"/>
      <c r="G1022" s="1"/>
    </row>
    <row r="1023" spans="1:7" x14ac:dyDescent="0.25">
      <c r="A1023" s="14"/>
      <c r="B1023" s="15"/>
      <c r="C1023" s="15"/>
      <c r="D1023" s="16"/>
      <c r="F1023" s="5" t="s">
        <v>26</v>
      </c>
      <c r="G1023" s="1">
        <f>D1062-D1016</f>
        <v>16138000</v>
      </c>
    </row>
    <row r="1024" spans="1:7" x14ac:dyDescent="0.25">
      <c r="A1024" s="17"/>
      <c r="D1024" s="32" t="s">
        <v>16</v>
      </c>
      <c r="G1024" s="1"/>
    </row>
    <row r="1025" spans="1:10" x14ac:dyDescent="0.25">
      <c r="A1025" s="23" t="s">
        <v>15</v>
      </c>
      <c r="D1025" s="18" t="s">
        <v>17</v>
      </c>
      <c r="F1025" s="26" t="s">
        <v>27</v>
      </c>
      <c r="G1025" s="1"/>
    </row>
    <row r="1026" spans="1:10" x14ac:dyDescent="0.25">
      <c r="A1026" s="17"/>
      <c r="B1026" s="24" t="s">
        <v>18</v>
      </c>
      <c r="D1026" s="19"/>
      <c r="F1026" s="27" t="s">
        <v>28</v>
      </c>
      <c r="G1026" s="1"/>
    </row>
    <row r="1027" spans="1:10" x14ac:dyDescent="0.25">
      <c r="A1027" s="17"/>
      <c r="C1027" s="2" t="s">
        <v>31</v>
      </c>
      <c r="D1027" s="19">
        <v>59982212.799999997</v>
      </c>
      <c r="F1027" t="s">
        <v>669</v>
      </c>
      <c r="G1027" s="1">
        <v>17899500</v>
      </c>
    </row>
    <row r="1028" spans="1:10" x14ac:dyDescent="0.25">
      <c r="A1028" s="17"/>
      <c r="C1028" s="2" t="s">
        <v>32</v>
      </c>
      <c r="D1028" s="19">
        <v>32992643.050000001</v>
      </c>
      <c r="F1028" t="s">
        <v>90</v>
      </c>
      <c r="G1028" s="1">
        <v>237500</v>
      </c>
    </row>
    <row r="1029" spans="1:10" x14ac:dyDescent="0.25">
      <c r="A1029" s="17"/>
      <c r="C1029" s="2" t="s">
        <v>33</v>
      </c>
      <c r="D1029" s="19">
        <v>-173947485.59999999</v>
      </c>
      <c r="F1029" t="s">
        <v>664</v>
      </c>
      <c r="G1029" s="1">
        <v>189000</v>
      </c>
    </row>
    <row r="1030" spans="1:10" x14ac:dyDescent="0.25">
      <c r="A1030" s="17"/>
      <c r="C1030" s="2" t="s">
        <v>34</v>
      </c>
      <c r="D1030" s="19">
        <v>776506</v>
      </c>
      <c r="F1030" t="s">
        <v>665</v>
      </c>
      <c r="G1030" s="1">
        <v>285000</v>
      </c>
    </row>
    <row r="1031" spans="1:10" x14ac:dyDescent="0.25">
      <c r="A1031" s="17"/>
      <c r="C1031" s="2" t="s">
        <v>35</v>
      </c>
      <c r="D1031" s="19">
        <v>16250</v>
      </c>
      <c r="G1031" s="30">
        <f>SUM(G1027:G1030)</f>
        <v>18611000</v>
      </c>
    </row>
    <row r="1032" spans="1:10" x14ac:dyDescent="0.25">
      <c r="A1032" s="17"/>
      <c r="C1032" s="2" t="s">
        <v>36</v>
      </c>
      <c r="D1032" s="19">
        <v>56916648.600000001</v>
      </c>
      <c r="F1032" s="28" t="s">
        <v>29</v>
      </c>
      <c r="G1032" s="1"/>
      <c r="J1032" s="38"/>
    </row>
    <row r="1033" spans="1:10" x14ac:dyDescent="0.25">
      <c r="A1033" s="17"/>
      <c r="C1033" s="2" t="s">
        <v>37</v>
      </c>
      <c r="D1033" s="19">
        <v>18609437</v>
      </c>
      <c r="F1033" t="s">
        <v>104</v>
      </c>
      <c r="G1033" s="1">
        <v>2250000</v>
      </c>
    </row>
    <row r="1034" spans="1:10" x14ac:dyDescent="0.25">
      <c r="A1034" s="17"/>
      <c r="C1034" s="2" t="s">
        <v>51</v>
      </c>
      <c r="D1034" s="20">
        <v>130317</v>
      </c>
      <c r="F1034" t="s">
        <v>161</v>
      </c>
      <c r="G1034" s="1">
        <v>2500</v>
      </c>
    </row>
    <row r="1035" spans="1:10" x14ac:dyDescent="0.25">
      <c r="A1035" s="17"/>
      <c r="B1035" s="24" t="s">
        <v>19</v>
      </c>
      <c r="D1035" s="19">
        <f>SUM(D1027:D1034)</f>
        <v>-4523471.1499999985</v>
      </c>
      <c r="F1035" t="s">
        <v>666</v>
      </c>
      <c r="G1035" s="1">
        <v>90300</v>
      </c>
    </row>
    <row r="1036" spans="1:10" x14ac:dyDescent="0.25">
      <c r="A1036" s="17"/>
      <c r="D1036" s="19"/>
      <c r="F1036" t="s">
        <v>667</v>
      </c>
      <c r="G1036" s="1">
        <v>46200</v>
      </c>
    </row>
    <row r="1037" spans="1:10" x14ac:dyDescent="0.25">
      <c r="A1037" s="17"/>
      <c r="B1037" s="24" t="s">
        <v>20</v>
      </c>
      <c r="D1037" s="19"/>
      <c r="F1037" t="s">
        <v>668</v>
      </c>
      <c r="G1037" s="1">
        <v>84000</v>
      </c>
    </row>
    <row r="1038" spans="1:10" x14ac:dyDescent="0.25">
      <c r="A1038" s="17"/>
      <c r="C1038" t="s">
        <v>7</v>
      </c>
      <c r="D1038" s="19">
        <v>4064238005</v>
      </c>
      <c r="G1038" s="30">
        <f>SUM(G1033:G1037)</f>
        <v>2473000</v>
      </c>
    </row>
    <row r="1039" spans="1:10" x14ac:dyDescent="0.25">
      <c r="A1039" s="17"/>
      <c r="C1039" t="s">
        <v>47</v>
      </c>
      <c r="D1039" s="19">
        <v>11595000</v>
      </c>
    </row>
    <row r="1040" spans="1:10" x14ac:dyDescent="0.25">
      <c r="A1040" s="17"/>
      <c r="C1040" t="s">
        <v>21</v>
      </c>
      <c r="D1040" s="19">
        <v>916167500</v>
      </c>
      <c r="F1040" s="28" t="s">
        <v>30</v>
      </c>
      <c r="G1040" s="29">
        <f>G1031-G1038</f>
        <v>16138000</v>
      </c>
    </row>
    <row r="1041" spans="1:7" x14ac:dyDescent="0.25">
      <c r="A1041" s="17"/>
      <c r="C1041" t="s">
        <v>45</v>
      </c>
      <c r="D1041" s="19">
        <v>25000000</v>
      </c>
    </row>
    <row r="1042" spans="1:7" x14ac:dyDescent="0.25">
      <c r="A1042" s="17"/>
      <c r="C1042" t="s">
        <v>48</v>
      </c>
      <c r="D1042" s="19">
        <v>30000000</v>
      </c>
    </row>
    <row r="1043" spans="1:7" x14ac:dyDescent="0.25">
      <c r="A1043" s="17"/>
      <c r="C1043" t="s">
        <v>68</v>
      </c>
      <c r="D1043" s="19">
        <v>141000000</v>
      </c>
    </row>
    <row r="1044" spans="1:7" x14ac:dyDescent="0.25">
      <c r="A1044" s="17"/>
      <c r="C1044" t="s">
        <v>68</v>
      </c>
      <c r="D1044" s="19">
        <v>145000000</v>
      </c>
    </row>
    <row r="1045" spans="1:7" x14ac:dyDescent="0.25">
      <c r="A1045" s="17"/>
      <c r="C1045" t="s">
        <v>518</v>
      </c>
      <c r="D1045" s="19">
        <v>100000000</v>
      </c>
      <c r="G1045" s="1"/>
    </row>
    <row r="1046" spans="1:7" x14ac:dyDescent="0.25">
      <c r="A1046" s="17"/>
      <c r="C1046" t="s">
        <v>658</v>
      </c>
      <c r="D1046" s="19">
        <v>155002500</v>
      </c>
      <c r="G1046" s="1"/>
    </row>
    <row r="1047" spans="1:7" x14ac:dyDescent="0.25">
      <c r="A1047" s="17"/>
      <c r="C1047" t="s">
        <v>643</v>
      </c>
      <c r="D1047" s="19">
        <v>156395550</v>
      </c>
      <c r="G1047" s="1"/>
    </row>
    <row r="1048" spans="1:7" x14ac:dyDescent="0.25">
      <c r="A1048" s="17"/>
      <c r="C1048" t="s">
        <v>654</v>
      </c>
      <c r="D1048" s="20">
        <v>60125000</v>
      </c>
      <c r="G1048" s="1"/>
    </row>
    <row r="1049" spans="1:7" x14ac:dyDescent="0.25">
      <c r="A1049" s="17"/>
      <c r="D1049" s="19">
        <f>SUM(D1038:D1048)</f>
        <v>5804523555</v>
      </c>
      <c r="G1049" s="1"/>
    </row>
    <row r="1050" spans="1:7" x14ac:dyDescent="0.25">
      <c r="A1050" s="17"/>
      <c r="D1050" s="19"/>
      <c r="G1050" s="1"/>
    </row>
    <row r="1051" spans="1:7" x14ac:dyDescent="0.25">
      <c r="A1051" s="17"/>
      <c r="B1051" s="24" t="s">
        <v>46</v>
      </c>
      <c r="D1051" s="19"/>
      <c r="G1051" s="1"/>
    </row>
    <row r="1052" spans="1:7" x14ac:dyDescent="0.25">
      <c r="A1052" s="17"/>
      <c r="B1052" s="24"/>
      <c r="C1052" t="s">
        <v>663</v>
      </c>
      <c r="D1052" s="19">
        <f>246*602500</f>
        <v>148215000</v>
      </c>
      <c r="G1052" s="1"/>
    </row>
    <row r="1053" spans="1:7" x14ac:dyDescent="0.25">
      <c r="A1053" s="17"/>
      <c r="C1053" t="s">
        <v>408</v>
      </c>
      <c r="D1053" s="20">
        <f>1*602500</f>
        <v>602500</v>
      </c>
      <c r="G1053" s="1"/>
    </row>
    <row r="1054" spans="1:7" x14ac:dyDescent="0.25">
      <c r="A1054" s="17"/>
      <c r="D1054" s="19">
        <f>SUM(D1052:D1053)</f>
        <v>148817500</v>
      </c>
      <c r="G1054" s="1"/>
    </row>
    <row r="1055" spans="1:7" x14ac:dyDescent="0.25">
      <c r="A1055" s="17"/>
      <c r="D1055" s="19"/>
      <c r="G1055" s="1"/>
    </row>
    <row r="1056" spans="1:7" x14ac:dyDescent="0.25">
      <c r="A1056" s="23" t="s">
        <v>22</v>
      </c>
      <c r="D1056" s="19"/>
      <c r="G1056" s="1"/>
    </row>
    <row r="1057" spans="1:7" x14ac:dyDescent="0.25">
      <c r="A1057" s="17"/>
      <c r="C1057" t="s">
        <v>23</v>
      </c>
      <c r="D1057" s="19">
        <v>2741950000</v>
      </c>
      <c r="G1057" s="1"/>
    </row>
    <row r="1058" spans="1:7" x14ac:dyDescent="0.25">
      <c r="A1058" s="17"/>
      <c r="C1058" t="s">
        <v>24</v>
      </c>
      <c r="D1058" s="19">
        <v>1405368000</v>
      </c>
      <c r="G1058" s="1"/>
    </row>
    <row r="1059" spans="1:7" x14ac:dyDescent="0.25">
      <c r="A1059" s="17"/>
      <c r="C1059" t="s">
        <v>111</v>
      </c>
      <c r="D1059" s="20">
        <v>174800000</v>
      </c>
      <c r="G1059" s="1"/>
    </row>
    <row r="1060" spans="1:7" x14ac:dyDescent="0.25">
      <c r="A1060" s="17"/>
      <c r="D1060" s="19">
        <f>SUM(D1057:D1059)</f>
        <v>4322118000</v>
      </c>
      <c r="G1060" s="1"/>
    </row>
    <row r="1061" spans="1:7" x14ac:dyDescent="0.25">
      <c r="A1061" s="17"/>
      <c r="D1061" s="19"/>
      <c r="G1061" s="1"/>
    </row>
    <row r="1062" spans="1:7" x14ac:dyDescent="0.25">
      <c r="A1062" s="43" t="s">
        <v>25</v>
      </c>
      <c r="B1062" s="44"/>
      <c r="C1062" s="44"/>
      <c r="D1062" s="25">
        <f>D1035+D1049+D1054-D1060</f>
        <v>1626699583.8500004</v>
      </c>
      <c r="G1062" s="1"/>
    </row>
    <row r="1063" spans="1:7" x14ac:dyDescent="0.25">
      <c r="A1063" s="21"/>
      <c r="B1063" s="22"/>
      <c r="C1063" s="22"/>
      <c r="D1063" s="20"/>
      <c r="G1063" s="1"/>
    </row>
    <row r="1065" spans="1:7" x14ac:dyDescent="0.25">
      <c r="A1065" s="40" t="s">
        <v>13</v>
      </c>
      <c r="B1065" s="40"/>
      <c r="C1065" s="40"/>
      <c r="D1065" s="40"/>
      <c r="G1065" s="1"/>
    </row>
    <row r="1066" spans="1:7" x14ac:dyDescent="0.25">
      <c r="A1066" s="41" t="s">
        <v>14</v>
      </c>
      <c r="B1066" s="41"/>
      <c r="C1066" s="41"/>
      <c r="D1066" s="41"/>
      <c r="G1066" s="1"/>
    </row>
    <row r="1067" spans="1:7" x14ac:dyDescent="0.25">
      <c r="A1067" s="42">
        <v>45808</v>
      </c>
      <c r="B1067" s="42"/>
      <c r="C1067" s="42"/>
      <c r="D1067" s="42"/>
      <c r="G1067" s="1"/>
    </row>
    <row r="1068" spans="1:7" x14ac:dyDescent="0.25">
      <c r="A1068" s="13"/>
      <c r="B1068" s="13"/>
      <c r="C1068" s="13"/>
      <c r="D1068" s="13"/>
      <c r="G1068" s="1"/>
    </row>
    <row r="1069" spans="1:7" x14ac:dyDescent="0.25">
      <c r="A1069" s="14"/>
      <c r="B1069" s="15"/>
      <c r="C1069" s="15"/>
      <c r="D1069" s="16"/>
      <c r="F1069" s="5" t="s">
        <v>26</v>
      </c>
      <c r="G1069" s="1">
        <f>D1107-D1062</f>
        <v>-24243000</v>
      </c>
    </row>
    <row r="1070" spans="1:7" x14ac:dyDescent="0.25">
      <c r="A1070" s="17"/>
      <c r="D1070" s="32" t="s">
        <v>16</v>
      </c>
      <c r="G1070" s="1"/>
    </row>
    <row r="1071" spans="1:7" x14ac:dyDescent="0.25">
      <c r="A1071" s="23" t="s">
        <v>15</v>
      </c>
      <c r="D1071" s="18" t="s">
        <v>17</v>
      </c>
      <c r="F1071" s="26" t="s">
        <v>27</v>
      </c>
      <c r="G1071" s="1"/>
    </row>
    <row r="1072" spans="1:7" x14ac:dyDescent="0.25">
      <c r="A1072" s="17"/>
      <c r="B1072" s="24" t="s">
        <v>18</v>
      </c>
      <c r="D1072" s="19"/>
      <c r="F1072" s="27" t="s">
        <v>28</v>
      </c>
      <c r="G1072" s="1"/>
    </row>
    <row r="1073" spans="1:7" x14ac:dyDescent="0.25">
      <c r="A1073" s="17"/>
      <c r="C1073" s="2" t="s">
        <v>31</v>
      </c>
      <c r="D1073" s="19">
        <v>3482212.8</v>
      </c>
      <c r="F1073" t="s">
        <v>11</v>
      </c>
      <c r="G1073" s="1">
        <v>-878000</v>
      </c>
    </row>
    <row r="1074" spans="1:7" x14ac:dyDescent="0.25">
      <c r="A1074" s="17"/>
      <c r="C1074" s="2" t="s">
        <v>32</v>
      </c>
      <c r="D1074" s="19">
        <v>32992643.050000001</v>
      </c>
      <c r="F1074" t="s">
        <v>90</v>
      </c>
      <c r="G1074" s="1">
        <v>100000</v>
      </c>
    </row>
    <row r="1075" spans="1:7" x14ac:dyDescent="0.25">
      <c r="A1075" s="17"/>
      <c r="C1075" s="2" t="s">
        <v>33</v>
      </c>
      <c r="D1075" s="19">
        <v>-234566985.59999999</v>
      </c>
      <c r="F1075" t="s">
        <v>122</v>
      </c>
      <c r="G1075" s="1">
        <v>661000</v>
      </c>
    </row>
    <row r="1076" spans="1:7" x14ac:dyDescent="0.25">
      <c r="A1076" s="17"/>
      <c r="C1076" s="2" t="s">
        <v>34</v>
      </c>
      <c r="D1076" s="19">
        <v>12676506</v>
      </c>
      <c r="G1076" s="30">
        <f>SUM(G1073:G1075)</f>
        <v>-117000</v>
      </c>
    </row>
    <row r="1077" spans="1:7" x14ac:dyDescent="0.25">
      <c r="A1077" s="17"/>
      <c r="C1077" s="2" t="s">
        <v>35</v>
      </c>
      <c r="D1077" s="19">
        <v>16250</v>
      </c>
      <c r="F1077" s="28" t="s">
        <v>29</v>
      </c>
      <c r="G1077" s="1"/>
    </row>
    <row r="1078" spans="1:7" x14ac:dyDescent="0.25">
      <c r="A1078" s="17"/>
      <c r="C1078" s="2" t="s">
        <v>36</v>
      </c>
      <c r="D1078" s="19">
        <v>149916648.59999999</v>
      </c>
      <c r="F1078" t="s">
        <v>670</v>
      </c>
      <c r="G1078" s="1">
        <v>6500</v>
      </c>
    </row>
    <row r="1079" spans="1:7" x14ac:dyDescent="0.25">
      <c r="A1079" s="17"/>
      <c r="C1079" s="2" t="s">
        <v>37</v>
      </c>
      <c r="D1079" s="19">
        <v>-46397063</v>
      </c>
      <c r="F1079" t="s">
        <v>671</v>
      </c>
      <c r="G1079" s="1">
        <v>24100000</v>
      </c>
    </row>
    <row r="1080" spans="1:7" x14ac:dyDescent="0.25">
      <c r="A1080" s="17"/>
      <c r="C1080" s="2" t="s">
        <v>51</v>
      </c>
      <c r="D1080" s="20">
        <v>130317</v>
      </c>
      <c r="F1080" t="s">
        <v>307</v>
      </c>
      <c r="G1080" s="1">
        <v>19500</v>
      </c>
    </row>
    <row r="1081" spans="1:7" x14ac:dyDescent="0.25">
      <c r="A1081" s="17"/>
      <c r="B1081" s="24" t="s">
        <v>19</v>
      </c>
      <c r="D1081" s="19">
        <f>SUM(D1073:D1080)</f>
        <v>-81749471.150000006</v>
      </c>
      <c r="G1081" s="30">
        <f>SUM(G1078:G1080)</f>
        <v>24126000</v>
      </c>
    </row>
    <row r="1082" spans="1:7" x14ac:dyDescent="0.25">
      <c r="A1082" s="17"/>
      <c r="D1082" s="19"/>
    </row>
    <row r="1083" spans="1:7" x14ac:dyDescent="0.25">
      <c r="A1083" s="17"/>
      <c r="B1083" s="24" t="s">
        <v>20</v>
      </c>
      <c r="D1083" s="19"/>
      <c r="F1083" s="28" t="s">
        <v>30</v>
      </c>
      <c r="G1083" s="29">
        <f>G1076-G1081</f>
        <v>-24243000</v>
      </c>
    </row>
    <row r="1084" spans="1:7" x14ac:dyDescent="0.25">
      <c r="A1084" s="17"/>
      <c r="C1084" t="s">
        <v>7</v>
      </c>
      <c r="D1084" s="19">
        <v>4388488005</v>
      </c>
    </row>
    <row r="1085" spans="1:7" x14ac:dyDescent="0.25">
      <c r="A1085" s="17"/>
      <c r="C1085" t="s">
        <v>47</v>
      </c>
      <c r="D1085" s="19">
        <v>14105000</v>
      </c>
    </row>
    <row r="1086" spans="1:7" x14ac:dyDescent="0.25">
      <c r="A1086" s="17"/>
      <c r="C1086" t="s">
        <v>21</v>
      </c>
      <c r="D1086" s="19">
        <v>943917500</v>
      </c>
    </row>
    <row r="1087" spans="1:7" x14ac:dyDescent="0.25">
      <c r="A1087" s="17"/>
      <c r="C1087" t="s">
        <v>45</v>
      </c>
      <c r="D1087" s="19">
        <v>25000000</v>
      </c>
    </row>
    <row r="1088" spans="1:7" x14ac:dyDescent="0.25">
      <c r="A1088" s="17"/>
      <c r="C1088" t="s">
        <v>48</v>
      </c>
      <c r="D1088" s="19">
        <v>30000000</v>
      </c>
    </row>
    <row r="1089" spans="1:7" x14ac:dyDescent="0.25">
      <c r="A1089" s="17"/>
      <c r="C1089" t="s">
        <v>68</v>
      </c>
      <c r="D1089" s="19">
        <v>141000000</v>
      </c>
    </row>
    <row r="1090" spans="1:7" x14ac:dyDescent="0.25">
      <c r="A1090" s="17"/>
      <c r="C1090" t="s">
        <v>68</v>
      </c>
      <c r="D1090" s="19">
        <v>145000000</v>
      </c>
    </row>
    <row r="1091" spans="1:7" x14ac:dyDescent="0.25">
      <c r="A1091" s="17"/>
      <c r="C1091" t="s">
        <v>518</v>
      </c>
      <c r="D1091" s="19">
        <v>100000000</v>
      </c>
      <c r="G1091" s="1"/>
    </row>
    <row r="1092" spans="1:7" x14ac:dyDescent="0.25">
      <c r="A1092" s="17"/>
      <c r="C1092" t="s">
        <v>658</v>
      </c>
      <c r="D1092" s="19">
        <v>155002500</v>
      </c>
      <c r="G1092" s="1"/>
    </row>
    <row r="1093" spans="1:7" x14ac:dyDescent="0.25">
      <c r="A1093" s="17"/>
      <c r="C1093" t="s">
        <v>643</v>
      </c>
      <c r="D1093" s="19">
        <v>156395550</v>
      </c>
      <c r="G1093" s="1"/>
    </row>
    <row r="1094" spans="1:7" x14ac:dyDescent="0.25">
      <c r="A1094" s="17"/>
      <c r="C1094" t="s">
        <v>654</v>
      </c>
      <c r="D1094" s="20">
        <v>60125000</v>
      </c>
      <c r="G1094" s="1"/>
    </row>
    <row r="1095" spans="1:7" x14ac:dyDescent="0.25">
      <c r="A1095" s="17"/>
      <c r="D1095" s="19">
        <f>SUM(D1084:D1094)</f>
        <v>6159033555</v>
      </c>
      <c r="G1095" s="1"/>
    </row>
    <row r="1096" spans="1:7" x14ac:dyDescent="0.25">
      <c r="A1096" s="17"/>
      <c r="D1096" s="19"/>
      <c r="G1096" s="1"/>
    </row>
    <row r="1097" spans="1:7" x14ac:dyDescent="0.25">
      <c r="A1097" s="17"/>
      <c r="B1097" s="24" t="s">
        <v>46</v>
      </c>
      <c r="D1097" s="19"/>
      <c r="G1097" s="1"/>
    </row>
    <row r="1098" spans="1:7" x14ac:dyDescent="0.25">
      <c r="A1098" s="17"/>
      <c r="B1098" s="24"/>
      <c r="C1098" t="s">
        <v>437</v>
      </c>
      <c r="D1098" s="20">
        <f>243*602500</f>
        <v>146407500</v>
      </c>
      <c r="G1098" s="1"/>
    </row>
    <row r="1099" spans="1:7" x14ac:dyDescent="0.25">
      <c r="A1099" s="17"/>
      <c r="D1099" s="19">
        <f>SUM(D1098:D1098)</f>
        <v>146407500</v>
      </c>
      <c r="G1099" s="1"/>
    </row>
    <row r="1100" spans="1:7" x14ac:dyDescent="0.25">
      <c r="A1100" s="17"/>
      <c r="D1100" s="19"/>
      <c r="G1100" s="1"/>
    </row>
    <row r="1101" spans="1:7" x14ac:dyDescent="0.25">
      <c r="A1101" s="23" t="s">
        <v>22</v>
      </c>
      <c r="D1101" s="19"/>
      <c r="G1101" s="1"/>
    </row>
    <row r="1102" spans="1:7" x14ac:dyDescent="0.25">
      <c r="A1102" s="17"/>
      <c r="C1102" t="s">
        <v>23</v>
      </c>
      <c r="D1102" s="19">
        <v>2769550000</v>
      </c>
      <c r="G1102" s="1"/>
    </row>
    <row r="1103" spans="1:7" x14ac:dyDescent="0.25">
      <c r="A1103" s="17"/>
      <c r="C1103" t="s">
        <v>24</v>
      </c>
      <c r="D1103" s="19">
        <v>1676885000</v>
      </c>
      <c r="G1103" s="1"/>
    </row>
    <row r="1104" spans="1:7" x14ac:dyDescent="0.25">
      <c r="A1104" s="17"/>
      <c r="C1104" t="s">
        <v>111</v>
      </c>
      <c r="D1104" s="20">
        <v>174800000</v>
      </c>
      <c r="G1104" s="1"/>
    </row>
    <row r="1105" spans="1:7" x14ac:dyDescent="0.25">
      <c r="A1105" s="17"/>
      <c r="D1105" s="19">
        <f>SUM(D1102:D1104)</f>
        <v>4621235000</v>
      </c>
      <c r="G1105" s="1"/>
    </row>
    <row r="1106" spans="1:7" x14ac:dyDescent="0.25">
      <c r="A1106" s="17"/>
      <c r="D1106" s="19"/>
      <c r="G1106" s="1"/>
    </row>
    <row r="1107" spans="1:7" x14ac:dyDescent="0.25">
      <c r="A1107" s="43" t="s">
        <v>25</v>
      </c>
      <c r="B1107" s="44"/>
      <c r="C1107" s="44"/>
      <c r="D1107" s="25">
        <f>D1081+D1095+D1099-D1105</f>
        <v>1602456583.8500004</v>
      </c>
      <c r="G1107" s="1"/>
    </row>
    <row r="1108" spans="1:7" x14ac:dyDescent="0.25">
      <c r="A1108" s="21"/>
      <c r="B1108" s="22"/>
      <c r="C1108" s="22"/>
      <c r="D1108" s="20"/>
      <c r="G1108" s="1"/>
    </row>
  </sheetData>
  <mergeCells count="96">
    <mergeCell ref="A1065:D1065"/>
    <mergeCell ref="A1066:D1066"/>
    <mergeCell ref="A1067:D1067"/>
    <mergeCell ref="A1107:C1107"/>
    <mergeCell ref="A370:C370"/>
    <mergeCell ref="A731:D731"/>
    <mergeCell ref="A732:D732"/>
    <mergeCell ref="A733:D733"/>
    <mergeCell ref="A420:D420"/>
    <mergeCell ref="A373:D373"/>
    <mergeCell ref="A374:D374"/>
    <mergeCell ref="A375:D375"/>
    <mergeCell ref="A416:C416"/>
    <mergeCell ref="A419:D419"/>
    <mergeCell ref="A547:D547"/>
    <mergeCell ref="A548:D548"/>
    <mergeCell ref="A421:D421"/>
    <mergeCell ref="A501:C501"/>
    <mergeCell ref="A592:D592"/>
    <mergeCell ref="A633:C633"/>
    <mergeCell ref="A280:C280"/>
    <mergeCell ref="A328:D328"/>
    <mergeCell ref="A329:D329"/>
    <mergeCell ref="A330:D330"/>
    <mergeCell ref="A505:D505"/>
    <mergeCell ref="A506:D506"/>
    <mergeCell ref="A544:C544"/>
    <mergeCell ref="A590:D590"/>
    <mergeCell ref="A591:D591"/>
    <mergeCell ref="A549:D549"/>
    <mergeCell ref="A587:C587"/>
    <mergeCell ref="A458:C458"/>
    <mergeCell ref="A237:D237"/>
    <mergeCell ref="A238:D238"/>
    <mergeCell ref="A239:D239"/>
    <mergeCell ref="A285:D285"/>
    <mergeCell ref="A325:C325"/>
    <mergeCell ref="A283:D283"/>
    <mergeCell ref="A284:D284"/>
    <mergeCell ref="A188:D188"/>
    <mergeCell ref="A185:C185"/>
    <mergeCell ref="A234:C234"/>
    <mergeCell ref="A48:D48"/>
    <mergeCell ref="A49:D49"/>
    <mergeCell ref="A89:C89"/>
    <mergeCell ref="A189:D189"/>
    <mergeCell ref="A190:D190"/>
    <mergeCell ref="A139:D139"/>
    <mergeCell ref="A94:D94"/>
    <mergeCell ref="A92:D92"/>
    <mergeCell ref="A93:D93"/>
    <mergeCell ref="A136:C136"/>
    <mergeCell ref="A140:D140"/>
    <mergeCell ref="A141:D141"/>
    <mergeCell ref="A1:D1"/>
    <mergeCell ref="A2:D2"/>
    <mergeCell ref="A3:D3"/>
    <mergeCell ref="A44:C44"/>
    <mergeCell ref="A47:D47"/>
    <mergeCell ref="A461:D461"/>
    <mergeCell ref="A462:D462"/>
    <mergeCell ref="A463:D463"/>
    <mergeCell ref="A504:D504"/>
    <mergeCell ref="A636:D636"/>
    <mergeCell ref="A637:D637"/>
    <mergeCell ref="A638:D638"/>
    <mergeCell ref="A680:C680"/>
    <mergeCell ref="A683:D683"/>
    <mergeCell ref="A777:C777"/>
    <mergeCell ref="A876:D876"/>
    <mergeCell ref="A877:D877"/>
    <mergeCell ref="A684:D684"/>
    <mergeCell ref="A685:D685"/>
    <mergeCell ref="A728:C728"/>
    <mergeCell ref="A780:D780"/>
    <mergeCell ref="A781:D781"/>
    <mergeCell ref="A828:D828"/>
    <mergeCell ref="A829:D829"/>
    <mergeCell ref="A830:D830"/>
    <mergeCell ref="A873:C873"/>
    <mergeCell ref="A1019:D1019"/>
    <mergeCell ref="A1020:D1020"/>
    <mergeCell ref="A1021:D1021"/>
    <mergeCell ref="A1062:C1062"/>
    <mergeCell ref="A782:D782"/>
    <mergeCell ref="A825:C825"/>
    <mergeCell ref="A973:D973"/>
    <mergeCell ref="A974:D974"/>
    <mergeCell ref="A1016:C1016"/>
    <mergeCell ref="A972:D972"/>
    <mergeCell ref="A924:D924"/>
    <mergeCell ref="A925:D925"/>
    <mergeCell ref="A926:D926"/>
    <mergeCell ref="A969:C969"/>
    <mergeCell ref="A878:D878"/>
    <mergeCell ref="A921:C92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64CA-146B-4C00-8A11-A7F40F139E21}">
  <dimension ref="A1:J1134"/>
  <sheetViews>
    <sheetView topLeftCell="A1088" zoomScale="80" zoomScaleNormal="80" workbookViewId="0">
      <selection activeCell="G1105" sqref="G1105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7.7109375" bestFit="1" customWidth="1"/>
    <col min="4" max="4" width="24.7109375" customWidth="1"/>
    <col min="5" max="5" width="5" customWidth="1"/>
    <col min="6" max="6" width="51.5703125" bestFit="1" customWidth="1"/>
    <col min="7" max="7" width="20.85546875" customWidth="1"/>
    <col min="10" max="10" width="18.85546875" bestFit="1" customWidth="1"/>
  </cols>
  <sheetData>
    <row r="1" spans="1:7" x14ac:dyDescent="0.25">
      <c r="A1" s="40" t="s">
        <v>13</v>
      </c>
      <c r="B1" s="40"/>
      <c r="C1" s="40"/>
      <c r="D1" s="40"/>
      <c r="G1" s="1"/>
    </row>
    <row r="2" spans="1:7" x14ac:dyDescent="0.25">
      <c r="A2" s="41" t="s">
        <v>14</v>
      </c>
      <c r="B2" s="41"/>
      <c r="C2" s="41"/>
      <c r="D2" s="41"/>
      <c r="G2" s="1"/>
    </row>
    <row r="3" spans="1:7" x14ac:dyDescent="0.25">
      <c r="A3" s="42">
        <v>45810</v>
      </c>
      <c r="B3" s="42"/>
      <c r="C3" s="42"/>
      <c r="D3" s="42"/>
      <c r="G3" s="1"/>
    </row>
    <row r="4" spans="1:7" x14ac:dyDescent="0.25">
      <c r="A4" s="13"/>
      <c r="B4" s="13"/>
      <c r="C4" s="13"/>
      <c r="D4" s="13"/>
      <c r="G4" s="1"/>
    </row>
    <row r="5" spans="1:7" x14ac:dyDescent="0.25">
      <c r="A5" s="14"/>
      <c r="B5" s="15"/>
      <c r="C5" s="15"/>
      <c r="D5" s="16"/>
      <c r="F5" s="5" t="s">
        <v>26</v>
      </c>
      <c r="G5" s="1">
        <f>D44-Mei!D1107</f>
        <v>-18900969.800000191</v>
      </c>
    </row>
    <row r="6" spans="1:7" x14ac:dyDescent="0.25">
      <c r="A6" s="17"/>
      <c r="D6" s="32" t="s">
        <v>16</v>
      </c>
      <c r="G6" s="1"/>
    </row>
    <row r="7" spans="1:7" x14ac:dyDescent="0.25">
      <c r="A7" s="23" t="s">
        <v>15</v>
      </c>
      <c r="D7" s="18" t="s">
        <v>17</v>
      </c>
      <c r="F7" s="26" t="s">
        <v>27</v>
      </c>
      <c r="G7" s="1"/>
    </row>
    <row r="8" spans="1:7" x14ac:dyDescent="0.25">
      <c r="A8" s="17"/>
      <c r="B8" s="24" t="s">
        <v>18</v>
      </c>
      <c r="D8" s="19"/>
      <c r="F8" s="27" t="s">
        <v>28</v>
      </c>
      <c r="G8" s="1"/>
    </row>
    <row r="9" spans="1:7" x14ac:dyDescent="0.25">
      <c r="A9" s="17"/>
      <c r="C9" s="2" t="s">
        <v>31</v>
      </c>
      <c r="D9" s="19">
        <v>111108087.54000001</v>
      </c>
      <c r="F9" t="s">
        <v>86</v>
      </c>
      <c r="G9" s="1">
        <v>2922000</v>
      </c>
    </row>
    <row r="10" spans="1:7" x14ac:dyDescent="0.25">
      <c r="A10" s="17"/>
      <c r="C10" s="2" t="s">
        <v>32</v>
      </c>
      <c r="D10" s="19">
        <v>39938298.509999998</v>
      </c>
      <c r="F10" t="s">
        <v>90</v>
      </c>
      <c r="G10" s="1">
        <v>375000</v>
      </c>
    </row>
    <row r="11" spans="1:7" x14ac:dyDescent="0.25">
      <c r="A11" s="17"/>
      <c r="C11" s="2" t="s">
        <v>33</v>
      </c>
      <c r="D11" s="19">
        <v>406633014.39999998</v>
      </c>
      <c r="F11" t="s">
        <v>675</v>
      </c>
      <c r="G11" s="1">
        <v>819.33</v>
      </c>
    </row>
    <row r="12" spans="1:7" x14ac:dyDescent="0.25">
      <c r="A12" s="17"/>
      <c r="C12" s="2" t="s">
        <v>34</v>
      </c>
      <c r="D12" s="19">
        <v>90506</v>
      </c>
      <c r="F12" t="s">
        <v>676</v>
      </c>
      <c r="G12" s="1">
        <v>1093.42</v>
      </c>
    </row>
    <row r="13" spans="1:7" x14ac:dyDescent="0.25">
      <c r="A13" s="17"/>
      <c r="C13" s="2" t="s">
        <v>35</v>
      </c>
      <c r="D13" s="19">
        <v>16250</v>
      </c>
      <c r="G13" s="30">
        <f>SUM(G9:G12)</f>
        <v>3298912.75</v>
      </c>
    </row>
    <row r="14" spans="1:7" x14ac:dyDescent="0.25">
      <c r="A14" s="17"/>
      <c r="C14" s="2" t="s">
        <v>36</v>
      </c>
      <c r="D14" s="19">
        <v>149916648.59999999</v>
      </c>
      <c r="F14" s="28" t="s">
        <v>29</v>
      </c>
      <c r="G14" s="1"/>
    </row>
    <row r="15" spans="1:7" x14ac:dyDescent="0.25">
      <c r="A15" s="17"/>
      <c r="C15" s="2" t="s">
        <v>37</v>
      </c>
      <c r="D15" s="19">
        <v>-42077063</v>
      </c>
      <c r="F15" t="s">
        <v>672</v>
      </c>
      <c r="G15" s="1">
        <v>6000</v>
      </c>
    </row>
    <row r="16" spans="1:7" x14ac:dyDescent="0.25">
      <c r="A16" s="17"/>
      <c r="C16" s="2" t="s">
        <v>51</v>
      </c>
      <c r="D16" s="20">
        <v>130317</v>
      </c>
      <c r="F16" t="s">
        <v>674</v>
      </c>
      <c r="G16" s="1">
        <v>60000</v>
      </c>
    </row>
    <row r="17" spans="1:7" x14ac:dyDescent="0.25">
      <c r="A17" s="17"/>
      <c r="B17" s="24" t="s">
        <v>19</v>
      </c>
      <c r="D17" s="19">
        <f>SUM(D9:D16)</f>
        <v>665756059.05000007</v>
      </c>
      <c r="F17" t="s">
        <v>677</v>
      </c>
      <c r="G17" s="1">
        <v>163.87</v>
      </c>
    </row>
    <row r="18" spans="1:7" x14ac:dyDescent="0.25">
      <c r="A18" s="17"/>
      <c r="D18" s="19"/>
      <c r="F18" t="s">
        <v>678</v>
      </c>
      <c r="G18" s="1">
        <v>218.68</v>
      </c>
    </row>
    <row r="19" spans="1:7" x14ac:dyDescent="0.25">
      <c r="A19" s="17"/>
      <c r="B19" s="24" t="s">
        <v>20</v>
      </c>
      <c r="D19" s="19"/>
      <c r="F19" t="s">
        <v>161</v>
      </c>
      <c r="G19" s="1">
        <v>5000</v>
      </c>
    </row>
    <row r="20" spans="1:7" x14ac:dyDescent="0.25">
      <c r="A20" s="17"/>
      <c r="C20" t="s">
        <v>7</v>
      </c>
      <c r="D20" s="19">
        <v>3238321505</v>
      </c>
      <c r="F20" t="s">
        <v>679</v>
      </c>
      <c r="G20" s="1">
        <v>14550000</v>
      </c>
    </row>
    <row r="21" spans="1:7" x14ac:dyDescent="0.25">
      <c r="A21" s="17"/>
      <c r="C21" t="s">
        <v>47</v>
      </c>
      <c r="D21" s="19">
        <v>12355000</v>
      </c>
      <c r="F21" t="s">
        <v>680</v>
      </c>
      <c r="G21" s="1">
        <v>7578500</v>
      </c>
    </row>
    <row r="22" spans="1:7" x14ac:dyDescent="0.25">
      <c r="A22" s="17"/>
      <c r="C22" t="s">
        <v>21</v>
      </c>
      <c r="D22" s="19">
        <v>957417500</v>
      </c>
      <c r="G22" s="30">
        <f>SUM(G15:G21)</f>
        <v>22199882.550000001</v>
      </c>
    </row>
    <row r="23" spans="1:7" x14ac:dyDescent="0.25">
      <c r="A23" s="17"/>
      <c r="C23" t="s">
        <v>45</v>
      </c>
      <c r="D23" s="19">
        <v>25000000</v>
      </c>
    </row>
    <row r="24" spans="1:7" x14ac:dyDescent="0.25">
      <c r="A24" s="17"/>
      <c r="C24" t="s">
        <v>48</v>
      </c>
      <c r="D24" s="19">
        <v>30000000</v>
      </c>
      <c r="F24" s="28" t="s">
        <v>30</v>
      </c>
      <c r="G24" s="29">
        <f>G13-G22</f>
        <v>-18900969.800000001</v>
      </c>
    </row>
    <row r="25" spans="1:7" x14ac:dyDescent="0.25">
      <c r="A25" s="17"/>
      <c r="C25" t="s">
        <v>68</v>
      </c>
      <c r="D25" s="19">
        <v>141000000</v>
      </c>
    </row>
    <row r="26" spans="1:7" x14ac:dyDescent="0.25">
      <c r="A26" s="17"/>
      <c r="C26" t="s">
        <v>68</v>
      </c>
      <c r="D26" s="19">
        <v>145000000</v>
      </c>
    </row>
    <row r="27" spans="1:7" x14ac:dyDescent="0.25">
      <c r="A27" s="17"/>
      <c r="C27" t="s">
        <v>518</v>
      </c>
      <c r="D27" s="19">
        <v>100000000</v>
      </c>
    </row>
    <row r="28" spans="1:7" x14ac:dyDescent="0.25">
      <c r="A28" s="17"/>
      <c r="C28" t="s">
        <v>658</v>
      </c>
      <c r="D28" s="19">
        <v>155002500</v>
      </c>
      <c r="G28" s="1"/>
    </row>
    <row r="29" spans="1:7" x14ac:dyDescent="0.25">
      <c r="A29" s="17"/>
      <c r="C29" t="s">
        <v>643</v>
      </c>
      <c r="D29" s="19">
        <v>156395550</v>
      </c>
      <c r="G29" s="1"/>
    </row>
    <row r="30" spans="1:7" x14ac:dyDescent="0.25">
      <c r="A30" s="17"/>
      <c r="C30" t="s">
        <v>654</v>
      </c>
      <c r="D30" s="20">
        <v>60125000</v>
      </c>
      <c r="G30" s="1"/>
    </row>
    <row r="31" spans="1:7" x14ac:dyDescent="0.25">
      <c r="A31" s="17"/>
      <c r="D31" s="19">
        <f>SUM(D20:D30)</f>
        <v>5020617055</v>
      </c>
      <c r="G31" s="1"/>
    </row>
    <row r="32" spans="1:7" x14ac:dyDescent="0.25">
      <c r="A32" s="17"/>
      <c r="D32" s="19"/>
      <c r="G32" s="1"/>
    </row>
    <row r="33" spans="1:7" x14ac:dyDescent="0.25">
      <c r="A33" s="17"/>
      <c r="B33" s="24" t="s">
        <v>46</v>
      </c>
      <c r="D33" s="19"/>
      <c r="G33" s="1"/>
    </row>
    <row r="34" spans="1:7" x14ac:dyDescent="0.25">
      <c r="A34" s="17"/>
      <c r="B34" s="24"/>
      <c r="C34" t="s">
        <v>673</v>
      </c>
      <c r="D34" s="19">
        <f>229*602500</f>
        <v>137972500</v>
      </c>
      <c r="G34" s="1"/>
    </row>
    <row r="35" spans="1:7" x14ac:dyDescent="0.25">
      <c r="A35" s="17"/>
      <c r="B35" s="24"/>
      <c r="C35" t="s">
        <v>126</v>
      </c>
      <c r="D35" s="20">
        <f>6*602500</f>
        <v>3615000</v>
      </c>
      <c r="G35" s="1"/>
    </row>
    <row r="36" spans="1:7" x14ac:dyDescent="0.25">
      <c r="A36" s="17"/>
      <c r="D36" s="19">
        <f>SUM(D34:D35)</f>
        <v>141587500</v>
      </c>
      <c r="G36" s="1"/>
    </row>
    <row r="37" spans="1:7" x14ac:dyDescent="0.25">
      <c r="A37" s="17"/>
      <c r="D37" s="19"/>
      <c r="G37" s="1"/>
    </row>
    <row r="38" spans="1:7" x14ac:dyDescent="0.25">
      <c r="A38" s="23" t="s">
        <v>22</v>
      </c>
      <c r="D38" s="19"/>
      <c r="G38" s="1"/>
    </row>
    <row r="39" spans="1:7" x14ac:dyDescent="0.25">
      <c r="A39" s="17"/>
      <c r="C39" t="s">
        <v>23</v>
      </c>
      <c r="D39" s="19">
        <v>2301300000</v>
      </c>
      <c r="G39" s="1"/>
    </row>
    <row r="40" spans="1:7" x14ac:dyDescent="0.25">
      <c r="A40" s="17"/>
      <c r="C40" t="s">
        <v>24</v>
      </c>
      <c r="D40" s="19">
        <v>1768305000</v>
      </c>
      <c r="G40" s="1"/>
    </row>
    <row r="41" spans="1:7" x14ac:dyDescent="0.25">
      <c r="A41" s="17"/>
      <c r="C41" t="s">
        <v>111</v>
      </c>
      <c r="D41" s="20">
        <v>174800000</v>
      </c>
      <c r="G41" s="1"/>
    </row>
    <row r="42" spans="1:7" x14ac:dyDescent="0.25">
      <c r="A42" s="17"/>
      <c r="D42" s="19">
        <f>SUM(D39:D41)</f>
        <v>4244405000</v>
      </c>
      <c r="G42" s="1"/>
    </row>
    <row r="43" spans="1:7" x14ac:dyDescent="0.25">
      <c r="A43" s="17"/>
      <c r="D43" s="19"/>
      <c r="G43" s="1"/>
    </row>
    <row r="44" spans="1:7" x14ac:dyDescent="0.25">
      <c r="A44" s="43" t="s">
        <v>25</v>
      </c>
      <c r="B44" s="44"/>
      <c r="C44" s="44"/>
      <c r="D44" s="25">
        <f>D17+D31+D36-D42</f>
        <v>1583555614.0500002</v>
      </c>
      <c r="G44" s="1"/>
    </row>
    <row r="45" spans="1:7" x14ac:dyDescent="0.25">
      <c r="A45" s="21"/>
      <c r="B45" s="22"/>
      <c r="C45" s="22"/>
      <c r="D45" s="20"/>
      <c r="G45" s="1"/>
    </row>
    <row r="47" spans="1:7" x14ac:dyDescent="0.25">
      <c r="A47" s="40" t="s">
        <v>13</v>
      </c>
      <c r="B47" s="40"/>
      <c r="C47" s="40"/>
      <c r="D47" s="40"/>
      <c r="G47" s="1"/>
    </row>
    <row r="48" spans="1:7" x14ac:dyDescent="0.25">
      <c r="A48" s="41" t="s">
        <v>14</v>
      </c>
      <c r="B48" s="41"/>
      <c r="C48" s="41"/>
      <c r="D48" s="41"/>
      <c r="G48" s="1"/>
    </row>
    <row r="49" spans="1:7" x14ac:dyDescent="0.25">
      <c r="A49" s="42">
        <v>45811</v>
      </c>
      <c r="B49" s="42"/>
      <c r="C49" s="42"/>
      <c r="D49" s="42"/>
      <c r="G49" s="1"/>
    </row>
    <row r="50" spans="1:7" x14ac:dyDescent="0.25">
      <c r="A50" s="13"/>
      <c r="B50" s="13"/>
      <c r="C50" s="13"/>
      <c r="D50" s="13"/>
      <c r="G50" s="1"/>
    </row>
    <row r="51" spans="1:7" x14ac:dyDescent="0.25">
      <c r="A51" s="14"/>
      <c r="B51" s="15"/>
      <c r="C51" s="15"/>
      <c r="D51" s="16"/>
      <c r="F51" s="5" t="s">
        <v>26</v>
      </c>
      <c r="G51" s="1">
        <f>D92-D44</f>
        <v>-13815600</v>
      </c>
    </row>
    <row r="52" spans="1:7" x14ac:dyDescent="0.25">
      <c r="A52" s="17"/>
      <c r="D52" s="32" t="s">
        <v>16</v>
      </c>
      <c r="G52" s="1"/>
    </row>
    <row r="53" spans="1:7" x14ac:dyDescent="0.25">
      <c r="A53" s="23" t="s">
        <v>15</v>
      </c>
      <c r="D53" s="18" t="s">
        <v>17</v>
      </c>
      <c r="F53" s="26" t="s">
        <v>27</v>
      </c>
      <c r="G53" s="1"/>
    </row>
    <row r="54" spans="1:7" x14ac:dyDescent="0.25">
      <c r="A54" s="17"/>
      <c r="B54" s="24" t="s">
        <v>18</v>
      </c>
      <c r="D54" s="19"/>
      <c r="F54" s="27" t="s">
        <v>28</v>
      </c>
      <c r="G54" s="1"/>
    </row>
    <row r="55" spans="1:7" x14ac:dyDescent="0.25">
      <c r="A55" s="17"/>
      <c r="C55" s="2" t="s">
        <v>31</v>
      </c>
      <c r="D55" s="19">
        <v>88185587.540000007</v>
      </c>
      <c r="F55" t="s">
        <v>292</v>
      </c>
      <c r="G55" s="1">
        <v>2889000</v>
      </c>
    </row>
    <row r="56" spans="1:7" x14ac:dyDescent="0.25">
      <c r="A56" s="17"/>
      <c r="C56" s="2" t="s">
        <v>32</v>
      </c>
      <c r="D56" s="19">
        <v>39938298.509999998</v>
      </c>
      <c r="F56" t="s">
        <v>90</v>
      </c>
      <c r="G56" s="1">
        <v>115000</v>
      </c>
    </row>
    <row r="57" spans="1:7" x14ac:dyDescent="0.25">
      <c r="A57" s="17"/>
      <c r="C57" s="2" t="s">
        <v>33</v>
      </c>
      <c r="D57" s="19">
        <v>901899414.39999998</v>
      </c>
      <c r="F57" t="s">
        <v>684</v>
      </c>
      <c r="G57" s="1">
        <v>189000</v>
      </c>
    </row>
    <row r="58" spans="1:7" x14ac:dyDescent="0.25">
      <c r="A58" s="17"/>
      <c r="C58" s="2" t="s">
        <v>34</v>
      </c>
      <c r="D58" s="19">
        <v>1290506</v>
      </c>
      <c r="G58" s="30">
        <f>SUM(G55:G57)</f>
        <v>3193000</v>
      </c>
    </row>
    <row r="59" spans="1:7" x14ac:dyDescent="0.25">
      <c r="A59" s="17"/>
      <c r="C59" s="2" t="s">
        <v>35</v>
      </c>
      <c r="D59" s="19">
        <v>16250</v>
      </c>
      <c r="F59" s="28" t="s">
        <v>29</v>
      </c>
      <c r="G59" s="1"/>
    </row>
    <row r="60" spans="1:7" x14ac:dyDescent="0.25">
      <c r="A60" s="17"/>
      <c r="C60" s="2" t="s">
        <v>36</v>
      </c>
      <c r="D60" s="19">
        <v>2914148.6</v>
      </c>
      <c r="F60" t="s">
        <v>2</v>
      </c>
      <c r="G60" s="1">
        <v>2250000</v>
      </c>
    </row>
    <row r="61" spans="1:7" x14ac:dyDescent="0.25">
      <c r="A61" s="17"/>
      <c r="C61" s="2" t="s">
        <v>37</v>
      </c>
      <c r="D61" s="19">
        <v>-13828563</v>
      </c>
      <c r="F61" t="s">
        <v>318</v>
      </c>
      <c r="G61" s="1">
        <v>9528600</v>
      </c>
    </row>
    <row r="62" spans="1:7" x14ac:dyDescent="0.25">
      <c r="A62" s="17"/>
      <c r="C62" s="2" t="s">
        <v>51</v>
      </c>
      <c r="D62" s="20">
        <v>130317</v>
      </c>
      <c r="F62" t="s">
        <v>230</v>
      </c>
      <c r="G62" s="1">
        <v>2500</v>
      </c>
    </row>
    <row r="63" spans="1:7" x14ac:dyDescent="0.25">
      <c r="A63" s="17"/>
      <c r="B63" s="24" t="s">
        <v>19</v>
      </c>
      <c r="D63" s="19">
        <f>SUM(D55:D62)</f>
        <v>1020545959.0500001</v>
      </c>
      <c r="F63" t="s">
        <v>161</v>
      </c>
      <c r="G63" s="1">
        <v>2500</v>
      </c>
    </row>
    <row r="64" spans="1:7" x14ac:dyDescent="0.25">
      <c r="A64" s="17"/>
      <c r="D64" s="19"/>
      <c r="F64" t="s">
        <v>112</v>
      </c>
      <c r="G64" s="1">
        <v>5000000</v>
      </c>
    </row>
    <row r="65" spans="1:7" x14ac:dyDescent="0.25">
      <c r="A65" s="17"/>
      <c r="B65" s="24" t="s">
        <v>20</v>
      </c>
      <c r="D65" s="19"/>
      <c r="F65" t="s">
        <v>685</v>
      </c>
      <c r="G65" s="1">
        <v>225000</v>
      </c>
    </row>
    <row r="66" spans="1:7" x14ac:dyDescent="0.25">
      <c r="A66" s="17"/>
      <c r="C66" t="s">
        <v>7</v>
      </c>
      <c r="D66" s="19">
        <v>2805931505</v>
      </c>
      <c r="G66" s="30">
        <f>SUM(G60:G65)</f>
        <v>17008600</v>
      </c>
    </row>
    <row r="67" spans="1:7" x14ac:dyDescent="0.25">
      <c r="A67" s="17"/>
      <c r="C67" t="s">
        <v>47</v>
      </c>
      <c r="D67" s="19">
        <v>13675000</v>
      </c>
    </row>
    <row r="68" spans="1:7" x14ac:dyDescent="0.25">
      <c r="A68" s="17"/>
      <c r="C68" t="s">
        <v>21</v>
      </c>
      <c r="D68" s="19">
        <v>826536500</v>
      </c>
      <c r="F68" s="28" t="s">
        <v>30</v>
      </c>
      <c r="G68" s="29">
        <f>G58-G66</f>
        <v>-13815600</v>
      </c>
    </row>
    <row r="69" spans="1:7" x14ac:dyDescent="0.25">
      <c r="A69" s="17"/>
      <c r="C69" t="s">
        <v>45</v>
      </c>
      <c r="D69" s="19">
        <v>25000000</v>
      </c>
    </row>
    <row r="70" spans="1:7" x14ac:dyDescent="0.25">
      <c r="A70" s="17"/>
      <c r="C70" t="s">
        <v>48</v>
      </c>
      <c r="D70" s="19">
        <v>30000000</v>
      </c>
    </row>
    <row r="71" spans="1:7" x14ac:dyDescent="0.25">
      <c r="A71" s="17"/>
      <c r="C71" t="s">
        <v>68</v>
      </c>
      <c r="D71" s="19">
        <v>141000000</v>
      </c>
    </row>
    <row r="72" spans="1:7" x14ac:dyDescent="0.25">
      <c r="A72" s="17"/>
      <c r="C72" t="s">
        <v>68</v>
      </c>
      <c r="D72" s="19">
        <v>145000000</v>
      </c>
    </row>
    <row r="73" spans="1:7" x14ac:dyDescent="0.25">
      <c r="A73" s="17"/>
      <c r="C73" t="s">
        <v>518</v>
      </c>
      <c r="D73" s="19">
        <v>100000000</v>
      </c>
    </row>
    <row r="74" spans="1:7" x14ac:dyDescent="0.25">
      <c r="A74" s="17"/>
      <c r="C74" t="s">
        <v>658</v>
      </c>
      <c r="D74" s="19">
        <v>155002500</v>
      </c>
      <c r="G74" s="1"/>
    </row>
    <row r="75" spans="1:7" x14ac:dyDescent="0.25">
      <c r="A75" s="17"/>
      <c r="C75" t="s">
        <v>643</v>
      </c>
      <c r="D75" s="19">
        <v>156395550</v>
      </c>
      <c r="G75" s="1"/>
    </row>
    <row r="76" spans="1:7" x14ac:dyDescent="0.25">
      <c r="A76" s="17"/>
      <c r="C76" t="s">
        <v>691</v>
      </c>
      <c r="D76" s="19">
        <v>103002500</v>
      </c>
      <c r="G76" s="1"/>
    </row>
    <row r="77" spans="1:7" x14ac:dyDescent="0.25">
      <c r="A77" s="17"/>
      <c r="C77" t="s">
        <v>654</v>
      </c>
      <c r="D77" s="20">
        <v>60125000</v>
      </c>
      <c r="G77" s="1"/>
    </row>
    <row r="78" spans="1:7" x14ac:dyDescent="0.25">
      <c r="A78" s="17"/>
      <c r="D78" s="19">
        <f>SUM(D66:D77)</f>
        <v>4561668555</v>
      </c>
      <c r="G78" s="1"/>
    </row>
    <row r="79" spans="1:7" x14ac:dyDescent="0.25">
      <c r="A79" s="17"/>
      <c r="D79" s="19"/>
      <c r="G79" s="1"/>
    </row>
    <row r="80" spans="1:7" x14ac:dyDescent="0.25">
      <c r="A80" s="17"/>
      <c r="B80" s="24" t="s">
        <v>46</v>
      </c>
      <c r="D80" s="19"/>
      <c r="G80" s="1"/>
    </row>
    <row r="81" spans="1:7" x14ac:dyDescent="0.25">
      <c r="A81" s="17"/>
      <c r="B81" s="24"/>
      <c r="C81" t="s">
        <v>683</v>
      </c>
      <c r="D81" s="19">
        <f>223*602500</f>
        <v>134357500</v>
      </c>
      <c r="G81" s="1"/>
    </row>
    <row r="82" spans="1:7" x14ac:dyDescent="0.25">
      <c r="A82" s="17"/>
      <c r="B82" s="24"/>
      <c r="C82" t="s">
        <v>323</v>
      </c>
      <c r="D82" s="19">
        <f>4*602500</f>
        <v>2410000</v>
      </c>
      <c r="G82" s="1"/>
    </row>
    <row r="83" spans="1:7" x14ac:dyDescent="0.25">
      <c r="A83" s="17"/>
      <c r="B83" s="24"/>
      <c r="C83" t="s">
        <v>126</v>
      </c>
      <c r="D83" s="20">
        <f>6*602500</f>
        <v>3615000</v>
      </c>
      <c r="G83" s="1"/>
    </row>
    <row r="84" spans="1:7" x14ac:dyDescent="0.25">
      <c r="A84" s="17"/>
      <c r="D84" s="19">
        <f>SUM(D81:D83)</f>
        <v>140382500</v>
      </c>
      <c r="G84" s="1"/>
    </row>
    <row r="85" spans="1:7" x14ac:dyDescent="0.25">
      <c r="A85" s="17"/>
      <c r="D85" s="19"/>
      <c r="G85" s="1"/>
    </row>
    <row r="86" spans="1:7" x14ac:dyDescent="0.25">
      <c r="A86" s="23" t="s">
        <v>22</v>
      </c>
      <c r="D86" s="19"/>
      <c r="G86" s="1"/>
    </row>
    <row r="87" spans="1:7" x14ac:dyDescent="0.25">
      <c r="A87" s="17"/>
      <c r="C87" t="s">
        <v>23</v>
      </c>
      <c r="D87" s="19">
        <v>2554500000</v>
      </c>
      <c r="G87" s="1"/>
    </row>
    <row r="88" spans="1:7" x14ac:dyDescent="0.25">
      <c r="A88" s="17"/>
      <c r="C88" t="s">
        <v>24</v>
      </c>
      <c r="D88" s="19">
        <v>1515557000</v>
      </c>
      <c r="G88" s="1"/>
    </row>
    <row r="89" spans="1:7" x14ac:dyDescent="0.25">
      <c r="A89" s="17"/>
      <c r="C89" t="s">
        <v>111</v>
      </c>
      <c r="D89" s="20">
        <v>82800000</v>
      </c>
      <c r="G89" s="1"/>
    </row>
    <row r="90" spans="1:7" x14ac:dyDescent="0.25">
      <c r="A90" s="17"/>
      <c r="D90" s="19">
        <f>SUM(D87:D89)</f>
        <v>4152857000</v>
      </c>
      <c r="G90" s="1"/>
    </row>
    <row r="91" spans="1:7" x14ac:dyDescent="0.25">
      <c r="A91" s="17"/>
      <c r="D91" s="19"/>
      <c r="G91" s="1"/>
    </row>
    <row r="92" spans="1:7" x14ac:dyDescent="0.25">
      <c r="A92" s="43" t="s">
        <v>25</v>
      </c>
      <c r="B92" s="44"/>
      <c r="C92" s="44"/>
      <c r="D92" s="25">
        <f>D63+D78+D84-D90</f>
        <v>1569740014.0500002</v>
      </c>
      <c r="G92" s="1"/>
    </row>
    <row r="93" spans="1:7" x14ac:dyDescent="0.25">
      <c r="A93" s="21"/>
      <c r="B93" s="22"/>
      <c r="C93" s="22"/>
      <c r="D93" s="20"/>
      <c r="G93" s="1"/>
    </row>
    <row r="95" spans="1:7" x14ac:dyDescent="0.25">
      <c r="A95" s="40" t="s">
        <v>13</v>
      </c>
      <c r="B95" s="40"/>
      <c r="C95" s="40"/>
      <c r="D95" s="40"/>
      <c r="G95" s="1"/>
    </row>
    <row r="96" spans="1:7" x14ac:dyDescent="0.25">
      <c r="A96" s="41" t="s">
        <v>14</v>
      </c>
      <c r="B96" s="41"/>
      <c r="C96" s="41"/>
      <c r="D96" s="41"/>
      <c r="G96" s="1"/>
    </row>
    <row r="97" spans="1:10" x14ac:dyDescent="0.25">
      <c r="A97" s="42">
        <v>45812</v>
      </c>
      <c r="B97" s="42"/>
      <c r="C97" s="42"/>
      <c r="D97" s="42"/>
      <c r="G97" s="1"/>
    </row>
    <row r="98" spans="1:10" x14ac:dyDescent="0.25">
      <c r="A98" s="13"/>
      <c r="B98" s="13"/>
      <c r="C98" s="13"/>
      <c r="D98" s="13"/>
      <c r="G98" s="1"/>
    </row>
    <row r="99" spans="1:10" x14ac:dyDescent="0.25">
      <c r="A99" s="14"/>
      <c r="B99" s="15"/>
      <c r="C99" s="15"/>
      <c r="D99" s="16"/>
      <c r="F99" s="5" t="s">
        <v>26</v>
      </c>
      <c r="G99" s="1">
        <f>D141-D92</f>
        <v>12837300</v>
      </c>
    </row>
    <row r="100" spans="1:10" x14ac:dyDescent="0.25">
      <c r="A100" s="17"/>
      <c r="D100" s="32" t="s">
        <v>16</v>
      </c>
      <c r="G100" s="1"/>
    </row>
    <row r="101" spans="1:10" x14ac:dyDescent="0.25">
      <c r="A101" s="23" t="s">
        <v>15</v>
      </c>
      <c r="D101" s="18" t="s">
        <v>17</v>
      </c>
      <c r="F101" s="26" t="s">
        <v>27</v>
      </c>
      <c r="G101" s="1"/>
    </row>
    <row r="102" spans="1:10" x14ac:dyDescent="0.25">
      <c r="A102" s="17"/>
      <c r="B102" s="24" t="s">
        <v>18</v>
      </c>
      <c r="D102" s="19"/>
      <c r="F102" s="27" t="s">
        <v>28</v>
      </c>
      <c r="G102" s="1"/>
    </row>
    <row r="103" spans="1:10" x14ac:dyDescent="0.25">
      <c r="A103" s="17"/>
      <c r="C103" s="2" t="s">
        <v>31</v>
      </c>
      <c r="D103" s="19">
        <v>179255587.53999999</v>
      </c>
      <c r="F103" t="s">
        <v>693</v>
      </c>
      <c r="G103" s="1">
        <v>14475000</v>
      </c>
    </row>
    <row r="104" spans="1:10" x14ac:dyDescent="0.25">
      <c r="A104" s="17"/>
      <c r="C104" s="2" t="s">
        <v>32</v>
      </c>
      <c r="D104" s="19">
        <v>39938298.509999998</v>
      </c>
      <c r="F104" t="s">
        <v>90</v>
      </c>
      <c r="G104" s="1">
        <v>475000</v>
      </c>
    </row>
    <row r="105" spans="1:10" x14ac:dyDescent="0.25">
      <c r="A105" s="17"/>
      <c r="C105" s="2" t="s">
        <v>33</v>
      </c>
      <c r="D105" s="19">
        <v>-205155285.59999999</v>
      </c>
      <c r="F105" t="s">
        <v>689</v>
      </c>
      <c r="G105" s="1">
        <v>189000</v>
      </c>
    </row>
    <row r="106" spans="1:10" x14ac:dyDescent="0.25">
      <c r="A106" s="17"/>
      <c r="C106" s="2" t="s">
        <v>34</v>
      </c>
      <c r="D106" s="19">
        <v>3163506</v>
      </c>
      <c r="G106" s="30">
        <f>SUM(G103:G105)</f>
        <v>15139000</v>
      </c>
      <c r="J106" s="38"/>
    </row>
    <row r="107" spans="1:10" x14ac:dyDescent="0.25">
      <c r="A107" s="17"/>
      <c r="C107" s="2" t="s">
        <v>35</v>
      </c>
      <c r="D107" s="19">
        <v>16250</v>
      </c>
      <c r="F107" s="28" t="s">
        <v>29</v>
      </c>
      <c r="G107" s="1"/>
    </row>
    <row r="108" spans="1:10" x14ac:dyDescent="0.25">
      <c r="A108" s="17"/>
      <c r="C108" s="2" t="s">
        <v>36</v>
      </c>
      <c r="D108" s="19">
        <v>2914148.6</v>
      </c>
      <c r="F108" t="s">
        <v>161</v>
      </c>
      <c r="G108" s="1">
        <v>2500</v>
      </c>
    </row>
    <row r="109" spans="1:10" x14ac:dyDescent="0.25">
      <c r="A109" s="17"/>
      <c r="C109" s="2" t="s">
        <v>37</v>
      </c>
      <c r="D109" s="19">
        <v>-44356063</v>
      </c>
      <c r="F109" t="s">
        <v>692</v>
      </c>
      <c r="G109" s="1">
        <v>223200</v>
      </c>
    </row>
    <row r="110" spans="1:10" x14ac:dyDescent="0.25">
      <c r="A110" s="17"/>
      <c r="C110" s="2" t="s">
        <v>51</v>
      </c>
      <c r="D110" s="20">
        <v>130317</v>
      </c>
      <c r="F110" t="s">
        <v>181</v>
      </c>
      <c r="G110" s="1">
        <v>1576000</v>
      </c>
    </row>
    <row r="111" spans="1:10" x14ac:dyDescent="0.25">
      <c r="A111" s="17"/>
      <c r="B111" s="24" t="s">
        <v>19</v>
      </c>
      <c r="D111" s="19">
        <f>SUM(D103:D110)</f>
        <v>-24093240.95000001</v>
      </c>
      <c r="F111" t="s">
        <v>182</v>
      </c>
      <c r="G111" s="1">
        <v>500000</v>
      </c>
    </row>
    <row r="112" spans="1:10" x14ac:dyDescent="0.25">
      <c r="A112" s="17"/>
      <c r="D112" s="19"/>
      <c r="G112" s="30">
        <f>SUM(G108:G111)</f>
        <v>2301700</v>
      </c>
    </row>
    <row r="113" spans="1:7" x14ac:dyDescent="0.25">
      <c r="A113" s="17"/>
      <c r="B113" s="24" t="s">
        <v>20</v>
      </c>
      <c r="D113" s="19"/>
    </row>
    <row r="114" spans="1:7" x14ac:dyDescent="0.25">
      <c r="A114" s="17"/>
      <c r="C114" t="s">
        <v>7</v>
      </c>
      <c r="D114" s="19">
        <v>3182185005</v>
      </c>
      <c r="F114" s="28" t="s">
        <v>30</v>
      </c>
      <c r="G114" s="29">
        <f>G106-G112</f>
        <v>12837300</v>
      </c>
    </row>
    <row r="115" spans="1:7" x14ac:dyDescent="0.25">
      <c r="A115" s="17"/>
      <c r="C115" t="s">
        <v>47</v>
      </c>
      <c r="D115" s="19">
        <v>20175000</v>
      </c>
    </row>
    <row r="116" spans="1:7" x14ac:dyDescent="0.25">
      <c r="A116" s="17"/>
      <c r="C116" t="s">
        <v>21</v>
      </c>
      <c r="D116" s="19">
        <v>854436500</v>
      </c>
    </row>
    <row r="117" spans="1:7" x14ac:dyDescent="0.25">
      <c r="A117" s="17"/>
      <c r="C117" t="s">
        <v>45</v>
      </c>
      <c r="D117" s="19">
        <v>25000000</v>
      </c>
    </row>
    <row r="118" spans="1:7" x14ac:dyDescent="0.25">
      <c r="A118" s="17"/>
      <c r="C118" t="s">
        <v>48</v>
      </c>
      <c r="D118" s="19">
        <v>30000000</v>
      </c>
    </row>
    <row r="119" spans="1:7" x14ac:dyDescent="0.25">
      <c r="A119" s="17"/>
      <c r="C119" t="s">
        <v>68</v>
      </c>
      <c r="D119" s="19">
        <v>141000000</v>
      </c>
    </row>
    <row r="120" spans="1:7" x14ac:dyDescent="0.25">
      <c r="A120" s="17"/>
      <c r="C120" t="s">
        <v>68</v>
      </c>
      <c r="D120" s="19">
        <v>145000000</v>
      </c>
    </row>
    <row r="121" spans="1:7" x14ac:dyDescent="0.25">
      <c r="A121" s="17"/>
      <c r="C121" t="s">
        <v>518</v>
      </c>
      <c r="D121" s="19">
        <v>100000000</v>
      </c>
    </row>
    <row r="122" spans="1:7" x14ac:dyDescent="0.25">
      <c r="A122" s="17"/>
      <c r="C122" t="s">
        <v>658</v>
      </c>
      <c r="D122" s="19">
        <v>155002500</v>
      </c>
      <c r="G122" s="1"/>
    </row>
    <row r="123" spans="1:7" x14ac:dyDescent="0.25">
      <c r="A123" s="17"/>
      <c r="C123" t="s">
        <v>643</v>
      </c>
      <c r="D123" s="19">
        <v>156395550</v>
      </c>
      <c r="G123" s="1"/>
    </row>
    <row r="124" spans="1:7" x14ac:dyDescent="0.25">
      <c r="A124" s="17"/>
      <c r="C124" t="s">
        <v>691</v>
      </c>
      <c r="D124" s="19">
        <v>103002500</v>
      </c>
      <c r="G124" s="1"/>
    </row>
    <row r="125" spans="1:7" x14ac:dyDescent="0.25">
      <c r="A125" s="17"/>
      <c r="C125" t="s">
        <v>694</v>
      </c>
      <c r="D125" s="19">
        <v>450000</v>
      </c>
      <c r="G125" s="1"/>
    </row>
    <row r="126" spans="1:7" x14ac:dyDescent="0.25">
      <c r="A126" s="17"/>
      <c r="C126" t="s">
        <v>654</v>
      </c>
      <c r="D126" s="20">
        <v>60125000</v>
      </c>
      <c r="G126" s="1"/>
    </row>
    <row r="127" spans="1:7" x14ac:dyDescent="0.25">
      <c r="A127" s="17"/>
      <c r="D127" s="19">
        <f>SUM(D114:D126)</f>
        <v>4972772055</v>
      </c>
      <c r="G127" s="1"/>
    </row>
    <row r="128" spans="1:7" x14ac:dyDescent="0.25">
      <c r="A128" s="17"/>
      <c r="D128" s="19"/>
      <c r="G128" s="1"/>
    </row>
    <row r="129" spans="1:7" x14ac:dyDescent="0.25">
      <c r="A129" s="17"/>
      <c r="B129" s="24" t="s">
        <v>46</v>
      </c>
      <c r="D129" s="19"/>
      <c r="G129" s="1"/>
    </row>
    <row r="130" spans="1:7" x14ac:dyDescent="0.25">
      <c r="A130" s="17"/>
      <c r="B130" s="24"/>
      <c r="C130" t="s">
        <v>690</v>
      </c>
      <c r="D130" s="19">
        <f>213*602500</f>
        <v>128332500</v>
      </c>
      <c r="G130" s="1"/>
    </row>
    <row r="131" spans="1:7" x14ac:dyDescent="0.25">
      <c r="A131" s="17"/>
      <c r="B131" s="24"/>
      <c r="C131" t="s">
        <v>323</v>
      </c>
      <c r="D131" s="19">
        <f>4*602500</f>
        <v>2410000</v>
      </c>
      <c r="G131" s="1"/>
    </row>
    <row r="132" spans="1:7" x14ac:dyDescent="0.25">
      <c r="A132" s="17"/>
      <c r="B132" s="24"/>
      <c r="C132" t="s">
        <v>126</v>
      </c>
      <c r="D132" s="20">
        <f>6*602500</f>
        <v>3615000</v>
      </c>
      <c r="G132" s="1"/>
    </row>
    <row r="133" spans="1:7" x14ac:dyDescent="0.25">
      <c r="A133" s="17"/>
      <c r="D133" s="19">
        <f>SUM(D130:D132)</f>
        <v>134357500</v>
      </c>
      <c r="G133" s="1"/>
    </row>
    <row r="134" spans="1:7" x14ac:dyDescent="0.25">
      <c r="A134" s="17"/>
      <c r="D134" s="19"/>
      <c r="G134" s="1"/>
    </row>
    <row r="135" spans="1:7" x14ac:dyDescent="0.25">
      <c r="A135" s="23" t="s">
        <v>22</v>
      </c>
      <c r="D135" s="19"/>
      <c r="G135" s="1"/>
    </row>
    <row r="136" spans="1:7" x14ac:dyDescent="0.25">
      <c r="A136" s="17"/>
      <c r="C136" t="s">
        <v>23</v>
      </c>
      <c r="D136" s="19">
        <v>1826000000</v>
      </c>
      <c r="G136" s="1"/>
    </row>
    <row r="137" spans="1:7" x14ac:dyDescent="0.25">
      <c r="A137" s="17"/>
      <c r="C137" t="s">
        <v>24</v>
      </c>
      <c r="D137" s="19">
        <v>1499659000</v>
      </c>
      <c r="G137" s="1"/>
    </row>
    <row r="138" spans="1:7" x14ac:dyDescent="0.25">
      <c r="A138" s="17"/>
      <c r="C138" t="s">
        <v>111</v>
      </c>
      <c r="D138" s="20">
        <v>174800000</v>
      </c>
      <c r="G138" s="1"/>
    </row>
    <row r="139" spans="1:7" x14ac:dyDescent="0.25">
      <c r="A139" s="17"/>
      <c r="D139" s="19">
        <f>SUM(D136:D138)</f>
        <v>3500459000</v>
      </c>
      <c r="G139" s="1"/>
    </row>
    <row r="140" spans="1:7" x14ac:dyDescent="0.25">
      <c r="A140" s="17"/>
      <c r="D140" s="19"/>
      <c r="G140" s="1"/>
    </row>
    <row r="141" spans="1:7" x14ac:dyDescent="0.25">
      <c r="A141" s="43" t="s">
        <v>25</v>
      </c>
      <c r="B141" s="44"/>
      <c r="C141" s="44"/>
      <c r="D141" s="25">
        <f>D111+D127+D133-D139</f>
        <v>1582577314.0500002</v>
      </c>
      <c r="G141" s="1"/>
    </row>
    <row r="142" spans="1:7" x14ac:dyDescent="0.25">
      <c r="A142" s="21"/>
      <c r="B142" s="22"/>
      <c r="C142" s="22"/>
      <c r="D142" s="20"/>
      <c r="G142" s="1"/>
    </row>
    <row r="144" spans="1:7" x14ac:dyDescent="0.25">
      <c r="A144" s="40" t="s">
        <v>13</v>
      </c>
      <c r="B144" s="40"/>
      <c r="C144" s="40"/>
      <c r="D144" s="40"/>
      <c r="G144" s="1"/>
    </row>
    <row r="145" spans="1:10" x14ac:dyDescent="0.25">
      <c r="A145" s="41" t="s">
        <v>14</v>
      </c>
      <c r="B145" s="41"/>
      <c r="C145" s="41"/>
      <c r="D145" s="41"/>
      <c r="G145" s="1"/>
    </row>
    <row r="146" spans="1:10" x14ac:dyDescent="0.25">
      <c r="A146" s="42">
        <v>45813</v>
      </c>
      <c r="B146" s="42"/>
      <c r="C146" s="42"/>
      <c r="D146" s="42"/>
      <c r="G146" s="1"/>
    </row>
    <row r="147" spans="1:10" x14ac:dyDescent="0.25">
      <c r="A147" s="13"/>
      <c r="B147" s="13"/>
      <c r="C147" s="13"/>
      <c r="D147" s="13"/>
      <c r="G147" s="1"/>
    </row>
    <row r="148" spans="1:10" x14ac:dyDescent="0.25">
      <c r="A148" s="14"/>
      <c r="B148" s="15"/>
      <c r="C148" s="15"/>
      <c r="D148" s="16"/>
      <c r="F148" s="5" t="s">
        <v>26</v>
      </c>
      <c r="G148" s="1">
        <f>D191-D141</f>
        <v>3479500</v>
      </c>
    </row>
    <row r="149" spans="1:10" x14ac:dyDescent="0.25">
      <c r="A149" s="17"/>
      <c r="D149" s="32" t="s">
        <v>16</v>
      </c>
      <c r="G149" s="1"/>
    </row>
    <row r="150" spans="1:10" x14ac:dyDescent="0.25">
      <c r="A150" s="23" t="s">
        <v>15</v>
      </c>
      <c r="D150" s="18" t="s">
        <v>17</v>
      </c>
      <c r="F150" s="26" t="s">
        <v>27</v>
      </c>
      <c r="G150" s="1"/>
    </row>
    <row r="151" spans="1:10" x14ac:dyDescent="0.25">
      <c r="A151" s="17"/>
      <c r="B151" s="24" t="s">
        <v>18</v>
      </c>
      <c r="D151" s="19"/>
      <c r="F151" s="27" t="s">
        <v>28</v>
      </c>
      <c r="G151" s="1"/>
    </row>
    <row r="152" spans="1:10" x14ac:dyDescent="0.25">
      <c r="A152" s="17"/>
      <c r="C152" s="2" t="s">
        <v>31</v>
      </c>
      <c r="D152" s="19">
        <v>256005587.53999999</v>
      </c>
      <c r="F152" t="s">
        <v>299</v>
      </c>
      <c r="G152" s="1">
        <v>5537000</v>
      </c>
    </row>
    <row r="153" spans="1:10" x14ac:dyDescent="0.25">
      <c r="A153" s="17"/>
      <c r="C153" s="2" t="s">
        <v>32</v>
      </c>
      <c r="D153" s="19">
        <v>43678298.509999998</v>
      </c>
      <c r="F153" t="s">
        <v>90</v>
      </c>
      <c r="G153" s="1">
        <v>225000</v>
      </c>
    </row>
    <row r="154" spans="1:10" x14ac:dyDescent="0.25">
      <c r="A154" s="17"/>
      <c r="C154" s="2" t="s">
        <v>33</v>
      </c>
      <c r="D154" s="19">
        <v>298063714.39999998</v>
      </c>
      <c r="G154" s="30">
        <f>SUM(G152:G153)</f>
        <v>5762000</v>
      </c>
    </row>
    <row r="155" spans="1:10" x14ac:dyDescent="0.25">
      <c r="A155" s="17"/>
      <c r="C155" s="2" t="s">
        <v>34</v>
      </c>
      <c r="D155" s="19">
        <v>3431506</v>
      </c>
      <c r="F155" s="28" t="s">
        <v>29</v>
      </c>
      <c r="G155" s="1"/>
    </row>
    <row r="156" spans="1:10" x14ac:dyDescent="0.25">
      <c r="A156" s="17"/>
      <c r="C156" s="2" t="s">
        <v>35</v>
      </c>
      <c r="D156" s="19">
        <v>16250</v>
      </c>
      <c r="F156" t="s">
        <v>695</v>
      </c>
      <c r="G156" s="1">
        <v>30000</v>
      </c>
      <c r="J156" s="38"/>
    </row>
    <row r="157" spans="1:10" x14ac:dyDescent="0.25">
      <c r="A157" s="17"/>
      <c r="C157" s="2" t="s">
        <v>36</v>
      </c>
      <c r="D157" s="19">
        <v>851648.6</v>
      </c>
      <c r="F157" t="s">
        <v>696</v>
      </c>
      <c r="G157" s="1">
        <v>2500</v>
      </c>
    </row>
    <row r="158" spans="1:10" x14ac:dyDescent="0.25">
      <c r="A158" s="17"/>
      <c r="C158" s="2" t="s">
        <v>37</v>
      </c>
      <c r="D158" s="19">
        <v>-12636063</v>
      </c>
      <c r="F158" t="s">
        <v>104</v>
      </c>
      <c r="G158" s="1">
        <v>2250000</v>
      </c>
    </row>
    <row r="159" spans="1:10" x14ac:dyDescent="0.25">
      <c r="A159" s="17"/>
      <c r="C159" s="2" t="s">
        <v>51</v>
      </c>
      <c r="D159" s="20">
        <v>130317</v>
      </c>
      <c r="G159" s="30">
        <f>SUM(G156:G158)</f>
        <v>2282500</v>
      </c>
    </row>
    <row r="160" spans="1:10" x14ac:dyDescent="0.25">
      <c r="A160" s="17"/>
      <c r="B160" s="24" t="s">
        <v>19</v>
      </c>
      <c r="D160" s="19">
        <f>SUM(D152:D159)</f>
        <v>589541259.05000007</v>
      </c>
    </row>
    <row r="161" spans="1:7" x14ac:dyDescent="0.25">
      <c r="A161" s="17"/>
      <c r="D161" s="19"/>
      <c r="F161" s="28" t="s">
        <v>30</v>
      </c>
      <c r="G161" s="29">
        <f>G154-G159</f>
        <v>3479500</v>
      </c>
    </row>
    <row r="162" spans="1:7" x14ac:dyDescent="0.25">
      <c r="A162" s="17"/>
      <c r="B162" s="24" t="s">
        <v>20</v>
      </c>
      <c r="D162" s="19"/>
    </row>
    <row r="163" spans="1:7" x14ac:dyDescent="0.25">
      <c r="A163" s="17"/>
      <c r="C163" t="s">
        <v>7</v>
      </c>
      <c r="D163" s="19">
        <v>2972949005</v>
      </c>
    </row>
    <row r="164" spans="1:7" x14ac:dyDescent="0.25">
      <c r="A164" s="17"/>
      <c r="C164" t="s">
        <v>47</v>
      </c>
      <c r="D164" s="19">
        <v>14780000</v>
      </c>
    </row>
    <row r="165" spans="1:7" x14ac:dyDescent="0.25">
      <c r="A165" s="17"/>
      <c r="C165" t="s">
        <v>21</v>
      </c>
      <c r="D165" s="19">
        <v>904900500</v>
      </c>
    </row>
    <row r="166" spans="1:7" x14ac:dyDescent="0.25">
      <c r="A166" s="17"/>
      <c r="C166" t="s">
        <v>45</v>
      </c>
      <c r="D166" s="19">
        <v>25000000</v>
      </c>
    </row>
    <row r="167" spans="1:7" x14ac:dyDescent="0.25">
      <c r="A167" s="17"/>
      <c r="C167" t="s">
        <v>48</v>
      </c>
      <c r="D167" s="19">
        <v>30000000</v>
      </c>
    </row>
    <row r="168" spans="1:7" x14ac:dyDescent="0.25">
      <c r="A168" s="17"/>
      <c r="C168" t="s">
        <v>68</v>
      </c>
      <c r="D168" s="19">
        <v>141000000</v>
      </c>
    </row>
    <row r="169" spans="1:7" x14ac:dyDescent="0.25">
      <c r="A169" s="17"/>
      <c r="C169" t="s">
        <v>68</v>
      </c>
      <c r="D169" s="19">
        <v>145000000</v>
      </c>
    </row>
    <row r="170" spans="1:7" x14ac:dyDescent="0.25">
      <c r="A170" s="17"/>
      <c r="C170" t="s">
        <v>518</v>
      </c>
      <c r="D170" s="19">
        <v>100000000</v>
      </c>
    </row>
    <row r="171" spans="1:7" x14ac:dyDescent="0.25">
      <c r="A171" s="17"/>
      <c r="C171" t="s">
        <v>658</v>
      </c>
      <c r="D171" s="19">
        <v>155002500</v>
      </c>
      <c r="G171" s="1"/>
    </row>
    <row r="172" spans="1:7" x14ac:dyDescent="0.25">
      <c r="A172" s="17"/>
      <c r="C172" t="s">
        <v>643</v>
      </c>
      <c r="D172" s="19">
        <v>156395550</v>
      </c>
      <c r="G172" s="1"/>
    </row>
    <row r="173" spans="1:7" x14ac:dyDescent="0.25">
      <c r="A173" s="17"/>
      <c r="C173" t="s">
        <v>697</v>
      </c>
      <c r="D173" s="19">
        <v>7875000</v>
      </c>
      <c r="G173" s="1"/>
    </row>
    <row r="174" spans="1:7" x14ac:dyDescent="0.25">
      <c r="A174" s="17"/>
      <c r="C174" t="s">
        <v>691</v>
      </c>
      <c r="D174" s="19">
        <v>103002500</v>
      </c>
      <c r="G174" s="1"/>
    </row>
    <row r="175" spans="1:7" x14ac:dyDescent="0.25">
      <c r="A175" s="17"/>
      <c r="C175" t="s">
        <v>654</v>
      </c>
      <c r="D175" s="20">
        <v>60125000</v>
      </c>
      <c r="G175" s="1"/>
    </row>
    <row r="176" spans="1:7" x14ac:dyDescent="0.25">
      <c r="A176" s="17"/>
      <c r="D176" s="19">
        <f>SUM(D163:D175)</f>
        <v>4816030055</v>
      </c>
      <c r="G176" s="1"/>
    </row>
    <row r="177" spans="1:7" x14ac:dyDescent="0.25">
      <c r="A177" s="17"/>
      <c r="D177" s="19"/>
      <c r="G177" s="1"/>
    </row>
    <row r="178" spans="1:7" x14ac:dyDescent="0.25">
      <c r="A178" s="17"/>
      <c r="B178" s="24" t="s">
        <v>46</v>
      </c>
      <c r="D178" s="19"/>
      <c r="G178" s="1"/>
    </row>
    <row r="179" spans="1:7" x14ac:dyDescent="0.25">
      <c r="A179" s="17"/>
      <c r="B179" s="24"/>
      <c r="C179" t="s">
        <v>482</v>
      </c>
      <c r="D179" s="19">
        <f>203*602500</f>
        <v>122307500</v>
      </c>
      <c r="G179" s="1"/>
    </row>
    <row r="180" spans="1:7" x14ac:dyDescent="0.25">
      <c r="A180" s="17"/>
      <c r="B180" s="24"/>
      <c r="C180" t="s">
        <v>323</v>
      </c>
      <c r="D180" s="19">
        <f>4*602500</f>
        <v>2410000</v>
      </c>
      <c r="G180" s="1"/>
    </row>
    <row r="181" spans="1:7" x14ac:dyDescent="0.25">
      <c r="A181" s="17"/>
      <c r="B181" s="24"/>
      <c r="C181" t="s">
        <v>126</v>
      </c>
      <c r="D181" s="20">
        <f>6*602500</f>
        <v>3615000</v>
      </c>
      <c r="G181" s="1"/>
    </row>
    <row r="182" spans="1:7" x14ac:dyDescent="0.25">
      <c r="A182" s="17"/>
      <c r="D182" s="19">
        <f>SUM(D179:D181)</f>
        <v>128332500</v>
      </c>
      <c r="G182" s="1"/>
    </row>
    <row r="183" spans="1:7" x14ac:dyDescent="0.25">
      <c r="A183" s="17"/>
      <c r="D183" s="19"/>
      <c r="G183" s="1"/>
    </row>
    <row r="184" spans="1:7" x14ac:dyDescent="0.25">
      <c r="A184" s="23" t="s">
        <v>22</v>
      </c>
      <c r="D184" s="19"/>
      <c r="G184" s="1"/>
    </row>
    <row r="185" spans="1:7" x14ac:dyDescent="0.25">
      <c r="A185" s="17"/>
      <c r="C185" t="s">
        <v>23</v>
      </c>
      <c r="D185" s="19">
        <v>2098400000</v>
      </c>
      <c r="G185" s="1"/>
    </row>
    <row r="186" spans="1:7" x14ac:dyDescent="0.25">
      <c r="A186" s="17"/>
      <c r="C186" t="s">
        <v>24</v>
      </c>
      <c r="D186" s="19">
        <v>1583647000</v>
      </c>
      <c r="G186" s="1"/>
    </row>
    <row r="187" spans="1:7" x14ac:dyDescent="0.25">
      <c r="A187" s="17"/>
      <c r="C187" t="s">
        <v>602</v>
      </c>
      <c r="D187" s="19">
        <v>91000000</v>
      </c>
      <c r="G187" s="1"/>
    </row>
    <row r="188" spans="1:7" x14ac:dyDescent="0.25">
      <c r="A188" s="17"/>
      <c r="C188" t="s">
        <v>111</v>
      </c>
      <c r="D188" s="20">
        <v>174800000</v>
      </c>
      <c r="G188" s="1"/>
    </row>
    <row r="189" spans="1:7" x14ac:dyDescent="0.25">
      <c r="A189" s="17"/>
      <c r="D189" s="19">
        <f>SUM(D185:D188)</f>
        <v>3947847000</v>
      </c>
      <c r="G189" s="1"/>
    </row>
    <row r="190" spans="1:7" x14ac:dyDescent="0.25">
      <c r="A190" s="17"/>
      <c r="D190" s="19"/>
      <c r="G190" s="1"/>
    </row>
    <row r="191" spans="1:7" x14ac:dyDescent="0.25">
      <c r="A191" s="43" t="s">
        <v>25</v>
      </c>
      <c r="B191" s="44"/>
      <c r="C191" s="44"/>
      <c r="D191" s="25">
        <f>D160+D176+D182-D189</f>
        <v>1586056814.0500002</v>
      </c>
      <c r="G191" s="1"/>
    </row>
    <row r="192" spans="1:7" x14ac:dyDescent="0.25">
      <c r="A192" s="21"/>
      <c r="B192" s="22"/>
      <c r="C192" s="22"/>
      <c r="D192" s="20"/>
      <c r="G192" s="1"/>
    </row>
    <row r="194" spans="1:10" x14ac:dyDescent="0.25">
      <c r="A194" s="40" t="s">
        <v>13</v>
      </c>
      <c r="B194" s="40"/>
      <c r="C194" s="40"/>
      <c r="D194" s="40"/>
      <c r="G194" s="1"/>
    </row>
    <row r="195" spans="1:10" x14ac:dyDescent="0.25">
      <c r="A195" s="41" t="s">
        <v>14</v>
      </c>
      <c r="B195" s="41"/>
      <c r="C195" s="41"/>
      <c r="D195" s="41"/>
      <c r="G195" s="1"/>
    </row>
    <row r="196" spans="1:10" x14ac:dyDescent="0.25">
      <c r="A196" s="42">
        <v>45815</v>
      </c>
      <c r="B196" s="42"/>
      <c r="C196" s="42"/>
      <c r="D196" s="42"/>
      <c r="G196" s="1"/>
    </row>
    <row r="197" spans="1:10" x14ac:dyDescent="0.25">
      <c r="A197" s="13"/>
      <c r="B197" s="13"/>
      <c r="C197" s="13"/>
      <c r="D197" s="13"/>
      <c r="G197" s="1"/>
    </row>
    <row r="198" spans="1:10" x14ac:dyDescent="0.25">
      <c r="A198" s="14"/>
      <c r="B198" s="15"/>
      <c r="C198" s="15"/>
      <c r="D198" s="16"/>
      <c r="F198" s="5" t="s">
        <v>26</v>
      </c>
      <c r="G198" s="1">
        <f>D239-D191</f>
        <v>4927500</v>
      </c>
    </row>
    <row r="199" spans="1:10" x14ac:dyDescent="0.25">
      <c r="A199" s="17"/>
      <c r="D199" s="32" t="s">
        <v>16</v>
      </c>
      <c r="G199" s="1"/>
    </row>
    <row r="200" spans="1:10" x14ac:dyDescent="0.25">
      <c r="A200" s="23" t="s">
        <v>15</v>
      </c>
      <c r="D200" s="18" t="s">
        <v>17</v>
      </c>
      <c r="F200" s="26" t="s">
        <v>27</v>
      </c>
      <c r="G200" s="1"/>
    </row>
    <row r="201" spans="1:10" x14ac:dyDescent="0.25">
      <c r="A201" s="17"/>
      <c r="B201" s="24" t="s">
        <v>18</v>
      </c>
      <c r="D201" s="19"/>
      <c r="F201" s="27" t="s">
        <v>28</v>
      </c>
      <c r="G201" s="1"/>
    </row>
    <row r="202" spans="1:10" x14ac:dyDescent="0.25">
      <c r="A202" s="17"/>
      <c r="C202" s="2" t="s">
        <v>31</v>
      </c>
      <c r="D202" s="19">
        <v>373258087.54000002</v>
      </c>
      <c r="F202" t="s">
        <v>303</v>
      </c>
      <c r="G202" s="1">
        <v>4900000</v>
      </c>
    </row>
    <row r="203" spans="1:10" x14ac:dyDescent="0.25">
      <c r="A203" s="17"/>
      <c r="C203" s="2" t="s">
        <v>32</v>
      </c>
      <c r="D203" s="19">
        <v>58555798.509999998</v>
      </c>
      <c r="F203" t="s">
        <v>90</v>
      </c>
      <c r="G203" s="1">
        <v>27500</v>
      </c>
    </row>
    <row r="204" spans="1:10" x14ac:dyDescent="0.25">
      <c r="A204" s="17"/>
      <c r="C204" s="2" t="s">
        <v>33</v>
      </c>
      <c r="D204" s="19">
        <v>-47886285.600000001</v>
      </c>
      <c r="G204" s="30">
        <f>SUM(G202:G203)</f>
        <v>4927500</v>
      </c>
    </row>
    <row r="205" spans="1:10" x14ac:dyDescent="0.25">
      <c r="A205" s="17"/>
      <c r="C205" s="2" t="s">
        <v>34</v>
      </c>
      <c r="D205" s="19">
        <v>1181506</v>
      </c>
      <c r="F205" s="28" t="s">
        <v>29</v>
      </c>
      <c r="G205" s="1"/>
      <c r="J205" s="38"/>
    </row>
    <row r="206" spans="1:10" x14ac:dyDescent="0.25">
      <c r="A206" s="17"/>
      <c r="C206" s="2" t="s">
        <v>35</v>
      </c>
      <c r="D206" s="19">
        <v>16250</v>
      </c>
      <c r="G206" s="1">
        <v>0</v>
      </c>
    </row>
    <row r="207" spans="1:10" x14ac:dyDescent="0.25">
      <c r="A207" s="17"/>
      <c r="C207" s="2" t="s">
        <v>36</v>
      </c>
      <c r="D207" s="19">
        <v>851648.6</v>
      </c>
      <c r="G207" s="30">
        <f>SUM(G206:G206)</f>
        <v>0</v>
      </c>
    </row>
    <row r="208" spans="1:10" x14ac:dyDescent="0.25">
      <c r="A208" s="17"/>
      <c r="C208" s="2" t="s">
        <v>37</v>
      </c>
      <c r="D208" s="19">
        <v>71963937</v>
      </c>
    </row>
    <row r="209" spans="1:7" x14ac:dyDescent="0.25">
      <c r="A209" s="17"/>
      <c r="C209" s="2" t="s">
        <v>51</v>
      </c>
      <c r="D209" s="20">
        <v>130317</v>
      </c>
      <c r="F209" s="28" t="s">
        <v>30</v>
      </c>
      <c r="G209" s="29">
        <f>G204-G207</f>
        <v>4927500</v>
      </c>
    </row>
    <row r="210" spans="1:7" x14ac:dyDescent="0.25">
      <c r="A210" s="17"/>
      <c r="B210" s="24" t="s">
        <v>19</v>
      </c>
      <c r="D210" s="19">
        <f>SUM(D202:D209)</f>
        <v>458071259.05000001</v>
      </c>
    </row>
    <row r="211" spans="1:7" x14ac:dyDescent="0.25">
      <c r="A211" s="17"/>
      <c r="D211" s="19"/>
    </row>
    <row r="212" spans="1:7" x14ac:dyDescent="0.25">
      <c r="A212" s="17"/>
      <c r="B212" s="24" t="s">
        <v>20</v>
      </c>
      <c r="D212" s="19"/>
    </row>
    <row r="213" spans="1:7" x14ac:dyDescent="0.25">
      <c r="A213" s="17"/>
      <c r="C213" t="s">
        <v>7</v>
      </c>
      <c r="D213" s="19">
        <v>3241449005</v>
      </c>
    </row>
    <row r="214" spans="1:7" x14ac:dyDescent="0.25">
      <c r="A214" s="17"/>
      <c r="C214" t="s">
        <v>47</v>
      </c>
      <c r="D214" s="19">
        <v>8530000</v>
      </c>
    </row>
    <row r="215" spans="1:7" x14ac:dyDescent="0.25">
      <c r="A215" s="17"/>
      <c r="C215" t="s">
        <v>21</v>
      </c>
      <c r="D215" s="19">
        <v>890650500</v>
      </c>
    </row>
    <row r="216" spans="1:7" x14ac:dyDescent="0.25">
      <c r="A216" s="17"/>
      <c r="C216" t="s">
        <v>45</v>
      </c>
      <c r="D216" s="19">
        <v>25000000</v>
      </c>
    </row>
    <row r="217" spans="1:7" x14ac:dyDescent="0.25">
      <c r="A217" s="17"/>
      <c r="C217" t="s">
        <v>48</v>
      </c>
      <c r="D217" s="19">
        <v>30000000</v>
      </c>
    </row>
    <row r="218" spans="1:7" x14ac:dyDescent="0.25">
      <c r="A218" s="17"/>
      <c r="C218" t="s">
        <v>68</v>
      </c>
      <c r="D218" s="19">
        <v>141000000</v>
      </c>
    </row>
    <row r="219" spans="1:7" x14ac:dyDescent="0.25">
      <c r="A219" s="17"/>
      <c r="C219" t="s">
        <v>68</v>
      </c>
      <c r="D219" s="19">
        <v>145000000</v>
      </c>
    </row>
    <row r="220" spans="1:7" x14ac:dyDescent="0.25">
      <c r="A220" s="17"/>
      <c r="C220" t="s">
        <v>518</v>
      </c>
      <c r="D220" s="19">
        <v>100000000</v>
      </c>
    </row>
    <row r="221" spans="1:7" x14ac:dyDescent="0.25">
      <c r="A221" s="17"/>
      <c r="C221" t="s">
        <v>658</v>
      </c>
      <c r="D221" s="19">
        <v>154880000</v>
      </c>
      <c r="G221" s="1"/>
    </row>
    <row r="222" spans="1:7" x14ac:dyDescent="0.25">
      <c r="A222" s="17"/>
      <c r="C222" t="s">
        <v>643</v>
      </c>
      <c r="D222" s="19">
        <v>156395550</v>
      </c>
      <c r="G222" s="1"/>
    </row>
    <row r="223" spans="1:7" x14ac:dyDescent="0.25">
      <c r="A223" s="17"/>
      <c r="C223" t="s">
        <v>654</v>
      </c>
      <c r="D223" s="20">
        <v>60125000</v>
      </c>
      <c r="G223" s="1"/>
    </row>
    <row r="224" spans="1:7" x14ac:dyDescent="0.25">
      <c r="A224" s="17"/>
      <c r="D224" s="19">
        <f>SUM(D213:D223)</f>
        <v>4953030055</v>
      </c>
      <c r="G224" s="1"/>
    </row>
    <row r="225" spans="1:7" x14ac:dyDescent="0.25">
      <c r="A225" s="17"/>
      <c r="D225" s="19"/>
      <c r="G225" s="1"/>
    </row>
    <row r="226" spans="1:7" x14ac:dyDescent="0.25">
      <c r="A226" s="17"/>
      <c r="B226" s="24" t="s">
        <v>46</v>
      </c>
      <c r="D226" s="19"/>
      <c r="G226" s="1"/>
    </row>
    <row r="227" spans="1:7" x14ac:dyDescent="0.25">
      <c r="A227" s="17"/>
      <c r="B227" s="24"/>
      <c r="C227" t="s">
        <v>482</v>
      </c>
      <c r="D227" s="19">
        <f>203*602500</f>
        <v>122307500</v>
      </c>
      <c r="G227" s="1"/>
    </row>
    <row r="228" spans="1:7" x14ac:dyDescent="0.25">
      <c r="A228" s="17"/>
      <c r="B228" s="24"/>
      <c r="C228" t="s">
        <v>323</v>
      </c>
      <c r="D228" s="19">
        <f>4*602500</f>
        <v>2410000</v>
      </c>
      <c r="G228" s="1"/>
    </row>
    <row r="229" spans="1:7" x14ac:dyDescent="0.25">
      <c r="A229" s="17"/>
      <c r="B229" s="24"/>
      <c r="C229" t="s">
        <v>266</v>
      </c>
      <c r="D229" s="20">
        <f>5*602500</f>
        <v>3012500</v>
      </c>
      <c r="G229" s="1"/>
    </row>
    <row r="230" spans="1:7" x14ac:dyDescent="0.25">
      <c r="A230" s="17"/>
      <c r="D230" s="19">
        <f>SUM(D227:D229)</f>
        <v>127730000</v>
      </c>
      <c r="G230" s="1"/>
    </row>
    <row r="231" spans="1:7" x14ac:dyDescent="0.25">
      <c r="A231" s="17"/>
      <c r="D231" s="19"/>
      <c r="G231" s="1"/>
    </row>
    <row r="232" spans="1:7" x14ac:dyDescent="0.25">
      <c r="A232" s="23" t="s">
        <v>22</v>
      </c>
      <c r="D232" s="19"/>
      <c r="G232" s="1"/>
    </row>
    <row r="233" spans="1:7" x14ac:dyDescent="0.25">
      <c r="A233" s="17"/>
      <c r="C233" t="s">
        <v>23</v>
      </c>
      <c r="D233" s="19">
        <v>2098400000</v>
      </c>
      <c r="G233" s="1"/>
    </row>
    <row r="234" spans="1:7" x14ac:dyDescent="0.25">
      <c r="A234" s="17"/>
      <c r="C234" t="s">
        <v>24</v>
      </c>
      <c r="D234" s="19">
        <v>1583647000</v>
      </c>
      <c r="G234" s="1"/>
    </row>
    <row r="235" spans="1:7" x14ac:dyDescent="0.25">
      <c r="A235" s="17"/>
      <c r="C235" t="s">
        <v>602</v>
      </c>
      <c r="D235" s="19">
        <v>91000000</v>
      </c>
      <c r="G235" s="1"/>
    </row>
    <row r="236" spans="1:7" x14ac:dyDescent="0.25">
      <c r="A236" s="17"/>
      <c r="C236" t="s">
        <v>111</v>
      </c>
      <c r="D236" s="20">
        <v>174800000</v>
      </c>
      <c r="G236" s="1"/>
    </row>
    <row r="237" spans="1:7" x14ac:dyDescent="0.25">
      <c r="A237" s="17"/>
      <c r="D237" s="19">
        <f>SUM(D233:D236)</f>
        <v>3947847000</v>
      </c>
      <c r="G237" s="1"/>
    </row>
    <row r="238" spans="1:7" x14ac:dyDescent="0.25">
      <c r="A238" s="17"/>
      <c r="D238" s="19"/>
      <c r="G238" s="1"/>
    </row>
    <row r="239" spans="1:7" x14ac:dyDescent="0.25">
      <c r="A239" s="43" t="s">
        <v>25</v>
      </c>
      <c r="B239" s="44"/>
      <c r="C239" s="44"/>
      <c r="D239" s="25">
        <f>D210+D224+D230-D237</f>
        <v>1590984314.0500002</v>
      </c>
      <c r="G239" s="1"/>
    </row>
    <row r="240" spans="1:7" x14ac:dyDescent="0.25">
      <c r="A240" s="21"/>
      <c r="B240" s="22"/>
      <c r="C240" s="22"/>
      <c r="D240" s="20"/>
      <c r="G240" s="1"/>
    </row>
    <row r="242" spans="1:10" x14ac:dyDescent="0.25">
      <c r="A242" s="40" t="s">
        <v>13</v>
      </c>
      <c r="B242" s="40"/>
      <c r="C242" s="40"/>
      <c r="D242" s="40"/>
      <c r="G242" s="1"/>
    </row>
    <row r="243" spans="1:10" x14ac:dyDescent="0.25">
      <c r="A243" s="41" t="s">
        <v>14</v>
      </c>
      <c r="B243" s="41"/>
      <c r="C243" s="41"/>
      <c r="D243" s="41"/>
      <c r="G243" s="1"/>
    </row>
    <row r="244" spans="1:10" x14ac:dyDescent="0.25">
      <c r="A244" s="42">
        <v>45817</v>
      </c>
      <c r="B244" s="42"/>
      <c r="C244" s="42"/>
      <c r="D244" s="42"/>
      <c r="G244" s="1"/>
    </row>
    <row r="245" spans="1:10" x14ac:dyDescent="0.25">
      <c r="A245" s="13"/>
      <c r="B245" s="13"/>
      <c r="C245" s="13"/>
      <c r="D245" s="13"/>
      <c r="G245" s="1"/>
    </row>
    <row r="246" spans="1:10" x14ac:dyDescent="0.25">
      <c r="A246" s="14"/>
      <c r="B246" s="15"/>
      <c r="C246" s="15"/>
      <c r="D246" s="16"/>
      <c r="F246" s="5" t="s">
        <v>26</v>
      </c>
      <c r="G246" s="1">
        <f>D287-D239</f>
        <v>451500</v>
      </c>
    </row>
    <row r="247" spans="1:10" x14ac:dyDescent="0.25">
      <c r="A247" s="17"/>
      <c r="D247" s="32" t="s">
        <v>16</v>
      </c>
      <c r="G247" s="1"/>
    </row>
    <row r="248" spans="1:10" x14ac:dyDescent="0.25">
      <c r="A248" s="23" t="s">
        <v>15</v>
      </c>
      <c r="D248" s="18" t="s">
        <v>17</v>
      </c>
      <c r="F248" s="26" t="s">
        <v>27</v>
      </c>
      <c r="G248" s="1"/>
    </row>
    <row r="249" spans="1:10" x14ac:dyDescent="0.25">
      <c r="A249" s="17"/>
      <c r="B249" s="24" t="s">
        <v>18</v>
      </c>
      <c r="D249" s="19"/>
      <c r="F249" s="27" t="s">
        <v>28</v>
      </c>
      <c r="G249" s="1"/>
    </row>
    <row r="250" spans="1:10" x14ac:dyDescent="0.25">
      <c r="A250" s="17"/>
      <c r="C250" s="2" t="s">
        <v>31</v>
      </c>
      <c r="D250" s="19">
        <v>373258087.54000002</v>
      </c>
      <c r="F250" t="s">
        <v>467</v>
      </c>
      <c r="G250" s="1">
        <v>454000</v>
      </c>
    </row>
    <row r="251" spans="1:10" x14ac:dyDescent="0.25">
      <c r="A251" s="17"/>
      <c r="C251" s="2" t="s">
        <v>32</v>
      </c>
      <c r="D251" s="19">
        <v>58555798.509999998</v>
      </c>
      <c r="G251" s="30">
        <f>SUM(G250:G250)</f>
        <v>454000</v>
      </c>
    </row>
    <row r="252" spans="1:10" x14ac:dyDescent="0.25">
      <c r="A252" s="17"/>
      <c r="C252" s="2" t="s">
        <v>33</v>
      </c>
      <c r="D252" s="19">
        <v>31513714.399999999</v>
      </c>
      <c r="F252" s="28" t="s">
        <v>29</v>
      </c>
      <c r="G252" s="1"/>
    </row>
    <row r="253" spans="1:10" x14ac:dyDescent="0.25">
      <c r="A253" s="17"/>
      <c r="C253" s="2" t="s">
        <v>34</v>
      </c>
      <c r="D253" s="19">
        <v>1556506</v>
      </c>
      <c r="F253" t="s">
        <v>230</v>
      </c>
      <c r="G253" s="1">
        <v>2500</v>
      </c>
      <c r="J253" s="38"/>
    </row>
    <row r="254" spans="1:10" x14ac:dyDescent="0.25">
      <c r="A254" s="17"/>
      <c r="C254" s="2" t="s">
        <v>35</v>
      </c>
      <c r="D254" s="19">
        <v>16250</v>
      </c>
      <c r="G254" s="30">
        <f>SUM(G253:G253)</f>
        <v>2500</v>
      </c>
    </row>
    <row r="255" spans="1:10" x14ac:dyDescent="0.25">
      <c r="A255" s="17"/>
      <c r="C255" s="2" t="s">
        <v>36</v>
      </c>
      <c r="D255" s="19">
        <v>549148.6</v>
      </c>
    </row>
    <row r="256" spans="1:10" x14ac:dyDescent="0.25">
      <c r="A256" s="17"/>
      <c r="C256" s="2" t="s">
        <v>37</v>
      </c>
      <c r="D256" s="19">
        <v>155963937</v>
      </c>
      <c r="F256" s="28" t="s">
        <v>30</v>
      </c>
      <c r="G256" s="29">
        <f>G251-G254</f>
        <v>451500</v>
      </c>
    </row>
    <row r="257" spans="1:7" x14ac:dyDescent="0.25">
      <c r="A257" s="17"/>
      <c r="C257" s="2" t="s">
        <v>51</v>
      </c>
      <c r="D257" s="20">
        <v>130317</v>
      </c>
    </row>
    <row r="258" spans="1:7" x14ac:dyDescent="0.25">
      <c r="A258" s="17"/>
      <c r="B258" s="24" t="s">
        <v>19</v>
      </c>
      <c r="D258" s="19">
        <f>SUM(D250:D257)</f>
        <v>621543759.04999995</v>
      </c>
    </row>
    <row r="259" spans="1:7" x14ac:dyDescent="0.25">
      <c r="A259" s="17"/>
      <c r="D259" s="19"/>
    </row>
    <row r="260" spans="1:7" x14ac:dyDescent="0.25">
      <c r="A260" s="17"/>
      <c r="B260" s="24" t="s">
        <v>20</v>
      </c>
      <c r="D260" s="19"/>
    </row>
    <row r="261" spans="1:7" x14ac:dyDescent="0.25">
      <c r="A261" s="17"/>
      <c r="C261" t="s">
        <v>7</v>
      </c>
      <c r="D261" s="19">
        <v>3309624005</v>
      </c>
    </row>
    <row r="262" spans="1:7" x14ac:dyDescent="0.25">
      <c r="A262" s="17"/>
      <c r="C262" t="s">
        <v>47</v>
      </c>
      <c r="D262" s="19">
        <v>8530000</v>
      </c>
    </row>
    <row r="263" spans="1:7" x14ac:dyDescent="0.25">
      <c r="A263" s="17"/>
      <c r="C263" t="s">
        <v>21</v>
      </c>
      <c r="D263" s="19">
        <v>945550500</v>
      </c>
    </row>
    <row r="264" spans="1:7" x14ac:dyDescent="0.25">
      <c r="A264" s="17"/>
      <c r="C264" t="s">
        <v>45</v>
      </c>
      <c r="D264" s="19">
        <v>25000000</v>
      </c>
    </row>
    <row r="265" spans="1:7" x14ac:dyDescent="0.25">
      <c r="A265" s="17"/>
      <c r="C265" t="s">
        <v>48</v>
      </c>
      <c r="D265" s="19">
        <v>30000000</v>
      </c>
    </row>
    <row r="266" spans="1:7" x14ac:dyDescent="0.25">
      <c r="A266" s="17"/>
      <c r="C266" t="s">
        <v>68</v>
      </c>
      <c r="D266" s="19">
        <v>141000000</v>
      </c>
    </row>
    <row r="267" spans="1:7" x14ac:dyDescent="0.25">
      <c r="A267" s="17"/>
      <c r="C267" t="s">
        <v>68</v>
      </c>
      <c r="D267" s="19">
        <v>145000000</v>
      </c>
    </row>
    <row r="268" spans="1:7" x14ac:dyDescent="0.25">
      <c r="A268" s="17"/>
      <c r="C268" t="s">
        <v>518</v>
      </c>
      <c r="D268" s="19">
        <v>100000000</v>
      </c>
    </row>
    <row r="269" spans="1:7" x14ac:dyDescent="0.25">
      <c r="A269" s="17"/>
      <c r="C269" t="s">
        <v>658</v>
      </c>
      <c r="D269" s="19">
        <v>154880000</v>
      </c>
      <c r="G269" s="1"/>
    </row>
    <row r="270" spans="1:7" x14ac:dyDescent="0.25">
      <c r="A270" s="17"/>
      <c r="C270" t="s">
        <v>643</v>
      </c>
      <c r="D270" s="19">
        <v>156395550</v>
      </c>
      <c r="G270" s="1"/>
    </row>
    <row r="271" spans="1:7" x14ac:dyDescent="0.25">
      <c r="A271" s="17"/>
      <c r="C271" t="s">
        <v>698</v>
      </c>
      <c r="D271" s="19">
        <v>1800000</v>
      </c>
      <c r="G271" s="1"/>
    </row>
    <row r="272" spans="1:7" x14ac:dyDescent="0.25">
      <c r="A272" s="17"/>
      <c r="C272" t="s">
        <v>654</v>
      </c>
      <c r="D272" s="20">
        <v>60125000</v>
      </c>
      <c r="G272" s="1"/>
    </row>
    <row r="273" spans="1:7" x14ac:dyDescent="0.25">
      <c r="A273" s="17"/>
      <c r="D273" s="19">
        <f>SUM(D261:D272)</f>
        <v>5077905055</v>
      </c>
      <c r="G273" s="1"/>
    </row>
    <row r="274" spans="1:7" x14ac:dyDescent="0.25">
      <c r="A274" s="17"/>
      <c r="D274" s="19"/>
      <c r="G274" s="1"/>
    </row>
    <row r="275" spans="1:7" x14ac:dyDescent="0.25">
      <c r="A275" s="17"/>
      <c r="B275" s="24" t="s">
        <v>46</v>
      </c>
      <c r="D275" s="19"/>
      <c r="G275" s="1"/>
    </row>
    <row r="276" spans="1:7" x14ac:dyDescent="0.25">
      <c r="A276" s="17"/>
      <c r="B276" s="24"/>
      <c r="C276" t="s">
        <v>482</v>
      </c>
      <c r="D276" s="19">
        <f>203*602500</f>
        <v>122307500</v>
      </c>
      <c r="G276" s="1"/>
    </row>
    <row r="277" spans="1:7" x14ac:dyDescent="0.25">
      <c r="A277" s="17"/>
      <c r="B277" s="24"/>
      <c r="C277" t="s">
        <v>323</v>
      </c>
      <c r="D277" s="19">
        <f>4*602500</f>
        <v>2410000</v>
      </c>
      <c r="G277" s="1"/>
    </row>
    <row r="278" spans="1:7" x14ac:dyDescent="0.25">
      <c r="A278" s="17"/>
      <c r="B278" s="24"/>
      <c r="C278" t="s">
        <v>266</v>
      </c>
      <c r="D278" s="20">
        <f>5*602500</f>
        <v>3012500</v>
      </c>
      <c r="G278" s="1"/>
    </row>
    <row r="279" spans="1:7" x14ac:dyDescent="0.25">
      <c r="A279" s="17"/>
      <c r="D279" s="19">
        <f>SUM(D276:D278)</f>
        <v>127730000</v>
      </c>
      <c r="G279" s="1"/>
    </row>
    <row r="280" spans="1:7" x14ac:dyDescent="0.25">
      <c r="A280" s="17"/>
      <c r="D280" s="19"/>
      <c r="G280" s="1"/>
    </row>
    <row r="281" spans="1:7" x14ac:dyDescent="0.25">
      <c r="A281" s="23" t="s">
        <v>22</v>
      </c>
      <c r="D281" s="19"/>
      <c r="G281" s="1"/>
    </row>
    <row r="282" spans="1:7" x14ac:dyDescent="0.25">
      <c r="A282" s="17"/>
      <c r="C282" t="s">
        <v>23</v>
      </c>
      <c r="D282" s="19">
        <v>2216000000</v>
      </c>
      <c r="G282" s="1"/>
    </row>
    <row r="283" spans="1:7" x14ac:dyDescent="0.25">
      <c r="A283" s="17"/>
      <c r="C283" t="s">
        <v>24</v>
      </c>
      <c r="D283" s="19">
        <v>1844943000</v>
      </c>
      <c r="G283" s="1"/>
    </row>
    <row r="284" spans="1:7" x14ac:dyDescent="0.25">
      <c r="A284" s="17"/>
      <c r="C284" t="s">
        <v>111</v>
      </c>
      <c r="D284" s="20">
        <v>174800000</v>
      </c>
      <c r="G284" s="1"/>
    </row>
    <row r="285" spans="1:7" x14ac:dyDescent="0.25">
      <c r="A285" s="17"/>
      <c r="D285" s="19">
        <f>SUM(D282:D284)</f>
        <v>4235743000</v>
      </c>
      <c r="G285" s="1"/>
    </row>
    <row r="286" spans="1:7" x14ac:dyDescent="0.25">
      <c r="A286" s="17"/>
      <c r="D286" s="19"/>
      <c r="G286" s="1"/>
    </row>
    <row r="287" spans="1:7" x14ac:dyDescent="0.25">
      <c r="A287" s="43" t="s">
        <v>25</v>
      </c>
      <c r="B287" s="44"/>
      <c r="C287" s="44"/>
      <c r="D287" s="25">
        <f>D258+D273+D279-D285</f>
        <v>1591435814.0500002</v>
      </c>
      <c r="G287" s="1"/>
    </row>
    <row r="288" spans="1:7" x14ac:dyDescent="0.25">
      <c r="A288" s="21"/>
      <c r="B288" s="22"/>
      <c r="C288" s="22"/>
      <c r="D288" s="20"/>
      <c r="G288" s="1"/>
    </row>
    <row r="290" spans="1:10" x14ac:dyDescent="0.25">
      <c r="A290" s="40" t="s">
        <v>13</v>
      </c>
      <c r="B290" s="40"/>
      <c r="C290" s="40"/>
      <c r="D290" s="40"/>
      <c r="G290" s="1"/>
    </row>
    <row r="291" spans="1:10" x14ac:dyDescent="0.25">
      <c r="A291" s="41" t="s">
        <v>14</v>
      </c>
      <c r="B291" s="41"/>
      <c r="C291" s="41"/>
      <c r="D291" s="41"/>
      <c r="G291" s="1"/>
    </row>
    <row r="292" spans="1:10" x14ac:dyDescent="0.25">
      <c r="A292" s="42">
        <v>45818</v>
      </c>
      <c r="B292" s="42"/>
      <c r="C292" s="42"/>
      <c r="D292" s="42"/>
      <c r="G292" s="1"/>
    </row>
    <row r="293" spans="1:10" x14ac:dyDescent="0.25">
      <c r="A293" s="13"/>
      <c r="B293" s="13"/>
      <c r="C293" s="13"/>
      <c r="D293" s="13"/>
      <c r="G293" s="1"/>
    </row>
    <row r="294" spans="1:10" x14ac:dyDescent="0.25">
      <c r="A294" s="14"/>
      <c r="B294" s="15"/>
      <c r="C294" s="15"/>
      <c r="D294" s="16"/>
      <c r="F294" s="5" t="s">
        <v>26</v>
      </c>
      <c r="G294" s="1">
        <f>D336-D287</f>
        <v>10940135</v>
      </c>
    </row>
    <row r="295" spans="1:10" x14ac:dyDescent="0.25">
      <c r="A295" s="17"/>
      <c r="D295" s="32" t="s">
        <v>16</v>
      </c>
      <c r="G295" s="1"/>
    </row>
    <row r="296" spans="1:10" x14ac:dyDescent="0.25">
      <c r="A296" s="23" t="s">
        <v>15</v>
      </c>
      <c r="D296" s="18" t="s">
        <v>17</v>
      </c>
      <c r="F296" s="26" t="s">
        <v>27</v>
      </c>
      <c r="G296" s="1"/>
    </row>
    <row r="297" spans="1:10" x14ac:dyDescent="0.25">
      <c r="A297" s="17"/>
      <c r="B297" s="24" t="s">
        <v>18</v>
      </c>
      <c r="D297" s="19"/>
      <c r="F297" s="27" t="s">
        <v>28</v>
      </c>
      <c r="G297" s="1"/>
    </row>
    <row r="298" spans="1:10" x14ac:dyDescent="0.25">
      <c r="A298" s="17"/>
      <c r="C298" s="2" t="s">
        <v>31</v>
      </c>
      <c r="D298" s="19">
        <v>243458087.53999999</v>
      </c>
      <c r="F298" t="s">
        <v>148</v>
      </c>
      <c r="G298" s="1">
        <v>15105000</v>
      </c>
    </row>
    <row r="299" spans="1:10" x14ac:dyDescent="0.25">
      <c r="A299" s="17"/>
      <c r="C299" s="2" t="s">
        <v>32</v>
      </c>
      <c r="D299" s="19">
        <v>58555798.509999998</v>
      </c>
      <c r="F299" t="s">
        <v>701</v>
      </c>
      <c r="G299" s="1">
        <v>190000</v>
      </c>
    </row>
    <row r="300" spans="1:10" x14ac:dyDescent="0.25">
      <c r="A300" s="17"/>
      <c r="C300" s="2" t="s">
        <v>33</v>
      </c>
      <c r="D300" s="19">
        <v>259051464.40000001</v>
      </c>
      <c r="F300" t="s">
        <v>702</v>
      </c>
      <c r="G300" s="1">
        <v>93500</v>
      </c>
    </row>
    <row r="301" spans="1:10" x14ac:dyDescent="0.25">
      <c r="A301" s="17"/>
      <c r="C301" s="2" t="s">
        <v>34</v>
      </c>
      <c r="D301" s="19">
        <v>44314506</v>
      </c>
      <c r="G301" s="30">
        <f>SUM(G298:G300)</f>
        <v>15388500</v>
      </c>
    </row>
    <row r="302" spans="1:10" x14ac:dyDescent="0.25">
      <c r="A302" s="17"/>
      <c r="C302" s="2" t="s">
        <v>35</v>
      </c>
      <c r="D302" s="19">
        <v>16250</v>
      </c>
      <c r="F302" s="28" t="s">
        <v>29</v>
      </c>
      <c r="G302" s="1"/>
    </row>
    <row r="303" spans="1:10" x14ac:dyDescent="0.25">
      <c r="A303" s="17"/>
      <c r="C303" s="2" t="s">
        <v>36</v>
      </c>
      <c r="D303" s="19">
        <v>549148.6</v>
      </c>
      <c r="F303" t="s">
        <v>571</v>
      </c>
      <c r="G303" s="1">
        <v>2865</v>
      </c>
    </row>
    <row r="304" spans="1:10" x14ac:dyDescent="0.25">
      <c r="A304" s="17"/>
      <c r="C304" s="2" t="s">
        <v>37</v>
      </c>
      <c r="D304" s="19">
        <v>141216072</v>
      </c>
      <c r="F304" t="s">
        <v>2</v>
      </c>
      <c r="G304" s="1">
        <v>2250000</v>
      </c>
      <c r="J304" s="38"/>
    </row>
    <row r="305" spans="1:7" x14ac:dyDescent="0.25">
      <c r="A305" s="17"/>
      <c r="C305" s="2" t="s">
        <v>51</v>
      </c>
      <c r="D305" s="20">
        <v>130317</v>
      </c>
      <c r="F305" t="s">
        <v>699</v>
      </c>
      <c r="G305" s="1">
        <v>107100</v>
      </c>
    </row>
    <row r="306" spans="1:7" x14ac:dyDescent="0.25">
      <c r="A306" s="17"/>
      <c r="B306" s="24" t="s">
        <v>19</v>
      </c>
      <c r="D306" s="19">
        <f>SUM(D298:D305)</f>
        <v>747291644.05000007</v>
      </c>
      <c r="F306" t="s">
        <v>700</v>
      </c>
      <c r="G306" s="1">
        <v>92400</v>
      </c>
    </row>
    <row r="307" spans="1:7" x14ac:dyDescent="0.25">
      <c r="A307" s="17"/>
      <c r="D307" s="19"/>
      <c r="F307" t="s">
        <v>181</v>
      </c>
      <c r="G307" s="1">
        <v>1496000</v>
      </c>
    </row>
    <row r="308" spans="1:7" x14ac:dyDescent="0.25">
      <c r="A308" s="17"/>
      <c r="B308" s="24" t="s">
        <v>20</v>
      </c>
      <c r="D308" s="19"/>
      <c r="F308" t="s">
        <v>182</v>
      </c>
      <c r="G308" s="1">
        <v>500000</v>
      </c>
    </row>
    <row r="309" spans="1:7" x14ac:dyDescent="0.25">
      <c r="A309" s="17"/>
      <c r="C309" t="s">
        <v>7</v>
      </c>
      <c r="D309" s="19">
        <v>2977766255</v>
      </c>
      <c r="G309" s="30">
        <f>SUM(G303:G308)</f>
        <v>4448365</v>
      </c>
    </row>
    <row r="310" spans="1:7" x14ac:dyDescent="0.25">
      <c r="A310" s="17"/>
      <c r="C310" t="s">
        <v>47</v>
      </c>
      <c r="D310" s="19">
        <v>8530000</v>
      </c>
    </row>
    <row r="311" spans="1:7" x14ac:dyDescent="0.25">
      <c r="A311" s="17"/>
      <c r="C311" t="s">
        <v>21</v>
      </c>
      <c r="D311" s="19">
        <v>869770500</v>
      </c>
      <c r="F311" s="28" t="s">
        <v>30</v>
      </c>
      <c r="G311" s="29">
        <f>G301-G309</f>
        <v>10940135</v>
      </c>
    </row>
    <row r="312" spans="1:7" x14ac:dyDescent="0.25">
      <c r="A312" s="17"/>
      <c r="C312" t="s">
        <v>45</v>
      </c>
      <c r="D312" s="19">
        <v>25000000</v>
      </c>
    </row>
    <row r="313" spans="1:7" x14ac:dyDescent="0.25">
      <c r="A313" s="17"/>
      <c r="C313" t="s">
        <v>48</v>
      </c>
      <c r="D313" s="19">
        <v>30000000</v>
      </c>
    </row>
    <row r="314" spans="1:7" x14ac:dyDescent="0.25">
      <c r="A314" s="17"/>
      <c r="C314" t="s">
        <v>68</v>
      </c>
      <c r="D314" s="19">
        <v>141000000</v>
      </c>
    </row>
    <row r="315" spans="1:7" x14ac:dyDescent="0.25">
      <c r="A315" s="17"/>
      <c r="C315" t="s">
        <v>68</v>
      </c>
      <c r="D315" s="19">
        <v>145000000</v>
      </c>
    </row>
    <row r="316" spans="1:7" x14ac:dyDescent="0.25">
      <c r="A316" s="17"/>
      <c r="C316" t="s">
        <v>518</v>
      </c>
      <c r="D316" s="19">
        <v>100000000</v>
      </c>
    </row>
    <row r="317" spans="1:7" x14ac:dyDescent="0.25">
      <c r="A317" s="17"/>
      <c r="C317" t="s">
        <v>658</v>
      </c>
      <c r="D317" s="19">
        <v>154880000</v>
      </c>
      <c r="G317" s="1"/>
    </row>
    <row r="318" spans="1:7" x14ac:dyDescent="0.25">
      <c r="A318" s="17"/>
      <c r="C318" t="s">
        <v>643</v>
      </c>
      <c r="D318" s="19">
        <v>156395550</v>
      </c>
      <c r="G318" s="1"/>
    </row>
    <row r="319" spans="1:7" x14ac:dyDescent="0.25">
      <c r="A319" s="17"/>
      <c r="C319" t="s">
        <v>703</v>
      </c>
      <c r="D319" s="19">
        <v>304750000</v>
      </c>
      <c r="G319" s="1"/>
    </row>
    <row r="320" spans="1:7" x14ac:dyDescent="0.25">
      <c r="A320" s="17"/>
      <c r="C320" t="s">
        <v>654</v>
      </c>
      <c r="D320" s="20">
        <v>60125000</v>
      </c>
      <c r="G320" s="1"/>
    </row>
    <row r="321" spans="1:7" x14ac:dyDescent="0.25">
      <c r="A321" s="17"/>
      <c r="D321" s="19">
        <f>SUM(D309:D320)</f>
        <v>4973217305</v>
      </c>
      <c r="G321" s="1"/>
    </row>
    <row r="322" spans="1:7" x14ac:dyDescent="0.25">
      <c r="A322" s="17"/>
      <c r="D322" s="19"/>
      <c r="G322" s="1"/>
    </row>
    <row r="323" spans="1:7" x14ac:dyDescent="0.25">
      <c r="A323" s="17"/>
      <c r="B323" s="24" t="s">
        <v>46</v>
      </c>
      <c r="D323" s="19"/>
      <c r="G323" s="1"/>
    </row>
    <row r="324" spans="1:7" x14ac:dyDescent="0.25">
      <c r="A324" s="17"/>
      <c r="B324" s="24"/>
      <c r="C324" t="s">
        <v>482</v>
      </c>
      <c r="D324" s="19">
        <f>203*602500</f>
        <v>122307500</v>
      </c>
      <c r="G324" s="1"/>
    </row>
    <row r="325" spans="1:7" x14ac:dyDescent="0.25">
      <c r="A325" s="17"/>
      <c r="B325" s="24"/>
      <c r="C325" t="s">
        <v>323</v>
      </c>
      <c r="D325" s="19">
        <f>4*602500</f>
        <v>2410000</v>
      </c>
      <c r="G325" s="1"/>
    </row>
    <row r="326" spans="1:7" x14ac:dyDescent="0.25">
      <c r="A326" s="17"/>
      <c r="B326" s="24"/>
      <c r="C326" t="s">
        <v>266</v>
      </c>
      <c r="D326" s="20">
        <f>5*602500</f>
        <v>3012500</v>
      </c>
      <c r="G326" s="1"/>
    </row>
    <row r="327" spans="1:7" x14ac:dyDescent="0.25">
      <c r="A327" s="17"/>
      <c r="D327" s="19">
        <f>SUM(D324:D326)</f>
        <v>127730000</v>
      </c>
      <c r="G327" s="1"/>
    </row>
    <row r="328" spans="1:7" x14ac:dyDescent="0.25">
      <c r="A328" s="17"/>
      <c r="D328" s="19"/>
      <c r="G328" s="1"/>
    </row>
    <row r="329" spans="1:7" x14ac:dyDescent="0.25">
      <c r="A329" s="23" t="s">
        <v>22</v>
      </c>
      <c r="D329" s="19"/>
      <c r="G329" s="1"/>
    </row>
    <row r="330" spans="1:7" x14ac:dyDescent="0.25">
      <c r="A330" s="17"/>
      <c r="C330" t="s">
        <v>23</v>
      </c>
      <c r="D330" s="19">
        <v>2324600000</v>
      </c>
      <c r="G330" s="1"/>
    </row>
    <row r="331" spans="1:7" x14ac:dyDescent="0.25">
      <c r="A331" s="17"/>
      <c r="C331" t="s">
        <v>24</v>
      </c>
      <c r="D331" s="19">
        <v>1583563000</v>
      </c>
      <c r="G331" s="1"/>
    </row>
    <row r="332" spans="1:7" x14ac:dyDescent="0.25">
      <c r="A332" s="17"/>
      <c r="C332" t="s">
        <v>602</v>
      </c>
      <c r="D332" s="19">
        <v>80100000</v>
      </c>
      <c r="G332" s="1"/>
    </row>
    <row r="333" spans="1:7" x14ac:dyDescent="0.25">
      <c r="A333" s="17"/>
      <c r="C333" t="s">
        <v>111</v>
      </c>
      <c r="D333" s="20">
        <v>257600000</v>
      </c>
      <c r="G333" s="1"/>
    </row>
    <row r="334" spans="1:7" x14ac:dyDescent="0.25">
      <c r="A334" s="17"/>
      <c r="D334" s="19">
        <f>SUM(D330:D333)</f>
        <v>4245863000</v>
      </c>
      <c r="G334" s="1"/>
    </row>
    <row r="335" spans="1:7" x14ac:dyDescent="0.25">
      <c r="A335" s="17"/>
      <c r="D335" s="19"/>
      <c r="G335" s="1"/>
    </row>
    <row r="336" spans="1:7" x14ac:dyDescent="0.25">
      <c r="A336" s="43" t="s">
        <v>25</v>
      </c>
      <c r="B336" s="44"/>
      <c r="C336" s="44"/>
      <c r="D336" s="25">
        <f>D306+D321+D327-D334</f>
        <v>1602375949.0500002</v>
      </c>
      <c r="G336" s="1"/>
    </row>
    <row r="337" spans="1:7" x14ac:dyDescent="0.25">
      <c r="A337" s="21"/>
      <c r="B337" s="22"/>
      <c r="C337" s="22"/>
      <c r="D337" s="20"/>
      <c r="G337" s="1"/>
    </row>
    <row r="339" spans="1:7" x14ac:dyDescent="0.25">
      <c r="A339" s="40" t="s">
        <v>13</v>
      </c>
      <c r="B339" s="40"/>
      <c r="C339" s="40"/>
      <c r="D339" s="40"/>
      <c r="G339" s="1"/>
    </row>
    <row r="340" spans="1:7" x14ac:dyDescent="0.25">
      <c r="A340" s="41" t="s">
        <v>14</v>
      </c>
      <c r="B340" s="41"/>
      <c r="C340" s="41"/>
      <c r="D340" s="41"/>
      <c r="G340" s="1"/>
    </row>
    <row r="341" spans="1:7" x14ac:dyDescent="0.25">
      <c r="A341" s="42">
        <v>45819</v>
      </c>
      <c r="B341" s="42"/>
      <c r="C341" s="42"/>
      <c r="D341" s="42"/>
      <c r="G341" s="1"/>
    </row>
    <row r="342" spans="1:7" x14ac:dyDescent="0.25">
      <c r="A342" s="13"/>
      <c r="B342" s="13"/>
      <c r="C342" s="13"/>
      <c r="D342" s="13"/>
      <c r="G342" s="1"/>
    </row>
    <row r="343" spans="1:7" x14ac:dyDescent="0.25">
      <c r="A343" s="14"/>
      <c r="B343" s="15"/>
      <c r="C343" s="15"/>
      <c r="D343" s="16"/>
      <c r="F343" s="5" t="s">
        <v>26</v>
      </c>
      <c r="G343" s="1">
        <f>D384-D336</f>
        <v>-18314500</v>
      </c>
    </row>
    <row r="344" spans="1:7" x14ac:dyDescent="0.25">
      <c r="A344" s="17"/>
      <c r="D344" s="32" t="s">
        <v>16</v>
      </c>
      <c r="G344" s="1"/>
    </row>
    <row r="345" spans="1:7" x14ac:dyDescent="0.25">
      <c r="A345" s="23" t="s">
        <v>15</v>
      </c>
      <c r="D345" s="18" t="s">
        <v>17</v>
      </c>
      <c r="F345" s="26" t="s">
        <v>27</v>
      </c>
      <c r="G345" s="1"/>
    </row>
    <row r="346" spans="1:7" x14ac:dyDescent="0.25">
      <c r="A346" s="17"/>
      <c r="B346" s="24" t="s">
        <v>18</v>
      </c>
      <c r="D346" s="19"/>
      <c r="F346" s="27" t="s">
        <v>28</v>
      </c>
      <c r="G346" s="1"/>
    </row>
    <row r="347" spans="1:7" x14ac:dyDescent="0.25">
      <c r="A347" s="17"/>
      <c r="C347" s="2" t="s">
        <v>31</v>
      </c>
      <c r="D347" s="19">
        <v>346958087.54000002</v>
      </c>
      <c r="F347" t="s">
        <v>151</v>
      </c>
      <c r="G347" s="1">
        <v>2508000</v>
      </c>
    </row>
    <row r="348" spans="1:7" x14ac:dyDescent="0.25">
      <c r="A348" s="17"/>
      <c r="C348" s="2" t="s">
        <v>32</v>
      </c>
      <c r="D348" s="19">
        <v>59875798.509999998</v>
      </c>
      <c r="F348" t="s">
        <v>704</v>
      </c>
      <c r="G348" s="1">
        <v>230000</v>
      </c>
    </row>
    <row r="349" spans="1:7" x14ac:dyDescent="0.25">
      <c r="A349" s="17"/>
      <c r="C349" s="2" t="s">
        <v>33</v>
      </c>
      <c r="D349" s="19">
        <v>113489964.40000001</v>
      </c>
      <c r="F349" t="s">
        <v>705</v>
      </c>
      <c r="G349" s="1">
        <v>93500</v>
      </c>
    </row>
    <row r="350" spans="1:7" x14ac:dyDescent="0.25">
      <c r="A350" s="17"/>
      <c r="C350" s="2" t="s">
        <v>34</v>
      </c>
      <c r="D350" s="19">
        <v>20689506</v>
      </c>
      <c r="F350" t="s">
        <v>706</v>
      </c>
      <c r="G350" s="1">
        <v>828000</v>
      </c>
    </row>
    <row r="351" spans="1:7" x14ac:dyDescent="0.25">
      <c r="A351" s="17"/>
      <c r="C351" s="2" t="s">
        <v>35</v>
      </c>
      <c r="D351" s="19">
        <v>16250</v>
      </c>
      <c r="F351" t="s">
        <v>122</v>
      </c>
      <c r="G351" s="1">
        <v>1026000</v>
      </c>
    </row>
    <row r="352" spans="1:7" x14ac:dyDescent="0.25">
      <c r="A352" s="17"/>
      <c r="C352" s="2" t="s">
        <v>36</v>
      </c>
      <c r="D352" s="19">
        <v>93049148.599999994</v>
      </c>
      <c r="G352" s="30">
        <f>SUM(G347:G351)</f>
        <v>4685500</v>
      </c>
    </row>
    <row r="353" spans="1:10" x14ac:dyDescent="0.25">
      <c r="A353" s="17"/>
      <c r="C353" s="2" t="s">
        <v>37</v>
      </c>
      <c r="D353" s="19">
        <v>367769072</v>
      </c>
      <c r="F353" s="28" t="s">
        <v>29</v>
      </c>
      <c r="G353" s="1"/>
    </row>
    <row r="354" spans="1:10" x14ac:dyDescent="0.25">
      <c r="A354" s="17"/>
      <c r="C354" s="2" t="s">
        <v>51</v>
      </c>
      <c r="D354" s="20">
        <v>130317</v>
      </c>
      <c r="F354" t="s">
        <v>112</v>
      </c>
      <c r="G354" s="1">
        <v>5000000</v>
      </c>
    </row>
    <row r="355" spans="1:10" x14ac:dyDescent="0.25">
      <c r="A355" s="17"/>
      <c r="B355" s="24" t="s">
        <v>19</v>
      </c>
      <c r="D355" s="19">
        <f>SUM(D347:D354)</f>
        <v>1001978144.0500001</v>
      </c>
      <c r="F355" t="s">
        <v>708</v>
      </c>
      <c r="G355" s="1">
        <v>18000000</v>
      </c>
      <c r="J355" s="38"/>
    </row>
    <row r="356" spans="1:10" x14ac:dyDescent="0.25">
      <c r="A356" s="17"/>
      <c r="D356" s="19"/>
      <c r="G356" s="30">
        <f>SUM(G354:G355)</f>
        <v>23000000</v>
      </c>
    </row>
    <row r="357" spans="1:10" x14ac:dyDescent="0.25">
      <c r="A357" s="17"/>
      <c r="B357" s="24" t="s">
        <v>20</v>
      </c>
      <c r="D357" s="19"/>
    </row>
    <row r="358" spans="1:10" x14ac:dyDescent="0.25">
      <c r="A358" s="17"/>
      <c r="C358" t="s">
        <v>7</v>
      </c>
      <c r="D358" s="19">
        <v>2877291255</v>
      </c>
      <c r="F358" s="28" t="s">
        <v>30</v>
      </c>
      <c r="G358" s="29">
        <f>G352-G356</f>
        <v>-18314500</v>
      </c>
    </row>
    <row r="359" spans="1:10" x14ac:dyDescent="0.25">
      <c r="A359" s="17"/>
      <c r="C359" t="s">
        <v>47</v>
      </c>
      <c r="D359" s="19">
        <v>9850000</v>
      </c>
    </row>
    <row r="360" spans="1:10" x14ac:dyDescent="0.25">
      <c r="A360" s="17"/>
      <c r="C360" t="s">
        <v>21</v>
      </c>
      <c r="D360" s="19">
        <v>891845500</v>
      </c>
    </row>
    <row r="361" spans="1:10" x14ac:dyDescent="0.25">
      <c r="A361" s="17"/>
      <c r="C361" t="s">
        <v>45</v>
      </c>
      <c r="D361" s="19">
        <v>25000000</v>
      </c>
    </row>
    <row r="362" spans="1:10" x14ac:dyDescent="0.25">
      <c r="A362" s="17"/>
      <c r="C362" t="s">
        <v>48</v>
      </c>
      <c r="D362" s="19">
        <v>30000000</v>
      </c>
    </row>
    <row r="363" spans="1:10" x14ac:dyDescent="0.25">
      <c r="A363" s="17"/>
      <c r="C363" t="s">
        <v>68</v>
      </c>
      <c r="D363" s="19">
        <v>141000000</v>
      </c>
    </row>
    <row r="364" spans="1:10" x14ac:dyDescent="0.25">
      <c r="A364" s="17"/>
      <c r="C364" t="s">
        <v>68</v>
      </c>
      <c r="D364" s="19">
        <v>145000000</v>
      </c>
    </row>
    <row r="365" spans="1:10" x14ac:dyDescent="0.25">
      <c r="A365" s="17"/>
      <c r="C365" t="s">
        <v>518</v>
      </c>
      <c r="D365" s="19">
        <v>100000000</v>
      </c>
    </row>
    <row r="366" spans="1:10" x14ac:dyDescent="0.25">
      <c r="A366" s="17"/>
      <c r="C366" t="s">
        <v>658</v>
      </c>
      <c r="D366" s="19">
        <v>154880000</v>
      </c>
      <c r="G366" s="1"/>
    </row>
    <row r="367" spans="1:10" x14ac:dyDescent="0.25">
      <c r="A367" s="17"/>
      <c r="C367" t="s">
        <v>643</v>
      </c>
      <c r="D367" s="19">
        <v>156395550</v>
      </c>
      <c r="G367" s="1"/>
    </row>
    <row r="368" spans="1:10" x14ac:dyDescent="0.25">
      <c r="A368" s="17"/>
      <c r="C368" t="s">
        <v>703</v>
      </c>
      <c r="D368" s="19">
        <v>304750000</v>
      </c>
      <c r="G368" s="1"/>
    </row>
    <row r="369" spans="1:7" x14ac:dyDescent="0.25">
      <c r="A369" s="17"/>
      <c r="C369" t="s">
        <v>654</v>
      </c>
      <c r="D369" s="20">
        <v>60125000</v>
      </c>
      <c r="G369" s="1"/>
    </row>
    <row r="370" spans="1:7" x14ac:dyDescent="0.25">
      <c r="A370" s="17"/>
      <c r="D370" s="19">
        <f>SUM(D358:D369)</f>
        <v>4896137305</v>
      </c>
      <c r="G370" s="1"/>
    </row>
    <row r="371" spans="1:7" x14ac:dyDescent="0.25">
      <c r="A371" s="17"/>
      <c r="D371" s="19"/>
      <c r="G371" s="1"/>
    </row>
    <row r="372" spans="1:7" x14ac:dyDescent="0.25">
      <c r="A372" s="17"/>
      <c r="B372" s="24" t="s">
        <v>46</v>
      </c>
      <c r="D372" s="19"/>
      <c r="G372" s="1"/>
    </row>
    <row r="373" spans="1:7" x14ac:dyDescent="0.25">
      <c r="A373" s="17"/>
      <c r="B373" s="24"/>
      <c r="C373" t="s">
        <v>707</v>
      </c>
      <c r="D373" s="19">
        <f>199*602500</f>
        <v>119897500</v>
      </c>
      <c r="G373" s="1"/>
    </row>
    <row r="374" spans="1:7" x14ac:dyDescent="0.25">
      <c r="A374" s="17"/>
      <c r="B374" s="24"/>
      <c r="C374" t="s">
        <v>323</v>
      </c>
      <c r="D374" s="19">
        <f>4*602500</f>
        <v>2410000</v>
      </c>
      <c r="G374" s="1"/>
    </row>
    <row r="375" spans="1:7" x14ac:dyDescent="0.25">
      <c r="A375" s="17"/>
      <c r="B375" s="24"/>
      <c r="C375" t="s">
        <v>266</v>
      </c>
      <c r="D375" s="20">
        <f>5*602500</f>
        <v>3012500</v>
      </c>
      <c r="G375" s="1"/>
    </row>
    <row r="376" spans="1:7" x14ac:dyDescent="0.25">
      <c r="A376" s="17"/>
      <c r="D376" s="19">
        <f>SUM(D373:D375)</f>
        <v>125320000</v>
      </c>
      <c r="G376" s="1"/>
    </row>
    <row r="377" spans="1:7" x14ac:dyDescent="0.25">
      <c r="A377" s="17"/>
      <c r="D377" s="19"/>
      <c r="G377" s="1"/>
    </row>
    <row r="378" spans="1:7" x14ac:dyDescent="0.25">
      <c r="A378" s="23" t="s">
        <v>22</v>
      </c>
      <c r="D378" s="19"/>
      <c r="G378" s="1"/>
    </row>
    <row r="379" spans="1:7" x14ac:dyDescent="0.25">
      <c r="A379" s="17"/>
      <c r="C379" t="s">
        <v>23</v>
      </c>
      <c r="D379" s="19">
        <v>2433200000</v>
      </c>
      <c r="G379" s="1"/>
    </row>
    <row r="380" spans="1:7" x14ac:dyDescent="0.25">
      <c r="A380" s="17"/>
      <c r="C380" t="s">
        <v>24</v>
      </c>
      <c r="D380" s="19">
        <v>1748574000</v>
      </c>
      <c r="G380" s="1"/>
    </row>
    <row r="381" spans="1:7" x14ac:dyDescent="0.25">
      <c r="A381" s="17"/>
      <c r="C381" t="s">
        <v>111</v>
      </c>
      <c r="D381" s="20">
        <v>257600000</v>
      </c>
      <c r="G381" s="1"/>
    </row>
    <row r="382" spans="1:7" x14ac:dyDescent="0.25">
      <c r="A382" s="17"/>
      <c r="D382" s="19">
        <f>SUM(D379:D381)</f>
        <v>4439374000</v>
      </c>
      <c r="G382" s="1"/>
    </row>
    <row r="383" spans="1:7" x14ac:dyDescent="0.25">
      <c r="A383" s="17"/>
      <c r="D383" s="19"/>
      <c r="G383" s="1"/>
    </row>
    <row r="384" spans="1:7" x14ac:dyDescent="0.25">
      <c r="A384" s="43" t="s">
        <v>25</v>
      </c>
      <c r="B384" s="44"/>
      <c r="C384" s="44"/>
      <c r="D384" s="25">
        <f>D355+D370+D376-D382</f>
        <v>1584061449.0500002</v>
      </c>
      <c r="G384" s="1"/>
    </row>
    <row r="385" spans="1:7" x14ac:dyDescent="0.25">
      <c r="A385" s="21"/>
      <c r="B385" s="22"/>
      <c r="C385" s="22"/>
      <c r="D385" s="20"/>
      <c r="G385" s="1"/>
    </row>
    <row r="387" spans="1:7" x14ac:dyDescent="0.25">
      <c r="A387" s="40" t="s">
        <v>13</v>
      </c>
      <c r="B387" s="40"/>
      <c r="C387" s="40"/>
      <c r="D387" s="40"/>
      <c r="G387" s="1"/>
    </row>
    <row r="388" spans="1:7" x14ac:dyDescent="0.25">
      <c r="A388" s="41" t="s">
        <v>14</v>
      </c>
      <c r="B388" s="41"/>
      <c r="C388" s="41"/>
      <c r="D388" s="41"/>
      <c r="G388" s="1"/>
    </row>
    <row r="389" spans="1:7" x14ac:dyDescent="0.25">
      <c r="A389" s="42">
        <v>45820</v>
      </c>
      <c r="B389" s="42"/>
      <c r="C389" s="42"/>
      <c r="D389" s="42"/>
      <c r="G389" s="1"/>
    </row>
    <row r="390" spans="1:7" x14ac:dyDescent="0.25">
      <c r="A390" s="13"/>
      <c r="B390" s="13"/>
      <c r="C390" s="13"/>
      <c r="D390" s="13"/>
      <c r="G390" s="1"/>
    </row>
    <row r="391" spans="1:7" x14ac:dyDescent="0.25">
      <c r="A391" s="14"/>
      <c r="B391" s="15"/>
      <c r="C391" s="15"/>
      <c r="D391" s="16"/>
      <c r="F391" s="5" t="s">
        <v>26</v>
      </c>
      <c r="G391" s="1">
        <f>D432-D384</f>
        <v>-2030338</v>
      </c>
    </row>
    <row r="392" spans="1:7" x14ac:dyDescent="0.25">
      <c r="A392" s="17"/>
      <c r="D392" s="32" t="s">
        <v>16</v>
      </c>
      <c r="G392" s="1"/>
    </row>
    <row r="393" spans="1:7" x14ac:dyDescent="0.25">
      <c r="A393" s="23" t="s">
        <v>15</v>
      </c>
      <c r="D393" s="18" t="s">
        <v>17</v>
      </c>
      <c r="F393" s="26" t="s">
        <v>27</v>
      </c>
      <c r="G393" s="1"/>
    </row>
    <row r="394" spans="1:7" x14ac:dyDescent="0.25">
      <c r="A394" s="17"/>
      <c r="B394" s="24" t="s">
        <v>18</v>
      </c>
      <c r="D394" s="19"/>
      <c r="F394" s="27" t="s">
        <v>28</v>
      </c>
      <c r="G394" s="1"/>
    </row>
    <row r="395" spans="1:7" x14ac:dyDescent="0.25">
      <c r="A395" s="17"/>
      <c r="C395" s="2" t="s">
        <v>31</v>
      </c>
      <c r="D395" s="19">
        <v>387848558.54000002</v>
      </c>
      <c r="F395" t="s">
        <v>317</v>
      </c>
      <c r="G395" s="1">
        <v>4413000</v>
      </c>
    </row>
    <row r="396" spans="1:7" x14ac:dyDescent="0.25">
      <c r="A396" s="17"/>
      <c r="C396" s="2" t="s">
        <v>32</v>
      </c>
      <c r="D396" s="19">
        <v>59875798.509999998</v>
      </c>
      <c r="F396" t="s">
        <v>709</v>
      </c>
      <c r="G396" s="1">
        <v>190000</v>
      </c>
    </row>
    <row r="397" spans="1:7" x14ac:dyDescent="0.25">
      <c r="A397" s="17"/>
      <c r="C397" s="2" t="s">
        <v>33</v>
      </c>
      <c r="D397" s="19">
        <v>165432545.40000001</v>
      </c>
      <c r="F397" t="s">
        <v>710</v>
      </c>
      <c r="G397" s="1">
        <v>93500</v>
      </c>
    </row>
    <row r="398" spans="1:7" x14ac:dyDescent="0.25">
      <c r="A398" s="17"/>
      <c r="C398" s="2" t="s">
        <v>34</v>
      </c>
      <c r="D398" s="19">
        <v>3663116</v>
      </c>
      <c r="G398" s="30">
        <f>SUM(G395:G397)</f>
        <v>4696500</v>
      </c>
    </row>
    <row r="399" spans="1:7" x14ac:dyDescent="0.25">
      <c r="A399" s="17"/>
      <c r="C399" s="2" t="s">
        <v>35</v>
      </c>
      <c r="D399" s="19">
        <v>16250</v>
      </c>
      <c r="F399" s="28" t="s">
        <v>29</v>
      </c>
      <c r="G399" s="1"/>
    </row>
    <row r="400" spans="1:7" x14ac:dyDescent="0.25">
      <c r="A400" s="17"/>
      <c r="C400" s="2" t="s">
        <v>36</v>
      </c>
      <c r="D400" s="19">
        <v>93049148.599999994</v>
      </c>
      <c r="F400" t="s">
        <v>104</v>
      </c>
      <c r="G400" s="1">
        <v>2250000</v>
      </c>
    </row>
    <row r="401" spans="1:7" x14ac:dyDescent="0.25">
      <c r="A401" s="17"/>
      <c r="C401" s="2" t="s">
        <v>37</v>
      </c>
      <c r="D401" s="19">
        <v>445627072</v>
      </c>
      <c r="F401" t="s">
        <v>597</v>
      </c>
      <c r="G401" s="1">
        <v>815919</v>
      </c>
    </row>
    <row r="402" spans="1:7" x14ac:dyDescent="0.25">
      <c r="A402" s="17"/>
      <c r="C402" s="2" t="s">
        <v>51</v>
      </c>
      <c r="D402" s="20">
        <v>130317</v>
      </c>
      <c r="F402" t="s">
        <v>598</v>
      </c>
      <c r="G402" s="1">
        <v>2051390</v>
      </c>
    </row>
    <row r="403" spans="1:7" x14ac:dyDescent="0.25">
      <c r="A403" s="17"/>
      <c r="B403" s="24" t="s">
        <v>19</v>
      </c>
      <c r="D403" s="19">
        <f>SUM(D395:D402)</f>
        <v>1155642806.0500002</v>
      </c>
      <c r="F403" t="s">
        <v>443</v>
      </c>
      <c r="G403" s="1">
        <v>72404</v>
      </c>
    </row>
    <row r="404" spans="1:7" x14ac:dyDescent="0.25">
      <c r="A404" s="17"/>
      <c r="D404" s="19"/>
      <c r="F404" t="s">
        <v>171</v>
      </c>
      <c r="G404" s="1">
        <v>1537125</v>
      </c>
    </row>
    <row r="405" spans="1:7" x14ac:dyDescent="0.25">
      <c r="A405" s="17"/>
      <c r="B405" s="24" t="s">
        <v>20</v>
      </c>
      <c r="D405" s="19"/>
      <c r="G405" s="30">
        <f>SUM(G400:G404)</f>
        <v>6726838</v>
      </c>
    </row>
    <row r="406" spans="1:7" x14ac:dyDescent="0.25">
      <c r="A406" s="17"/>
      <c r="C406" t="s">
        <v>7</v>
      </c>
      <c r="D406" s="19">
        <v>2888091255</v>
      </c>
    </row>
    <row r="407" spans="1:7" x14ac:dyDescent="0.25">
      <c r="A407" s="17"/>
      <c r="C407" t="s">
        <v>47</v>
      </c>
      <c r="D407" s="19">
        <v>9850000</v>
      </c>
      <c r="F407" s="28" t="s">
        <v>30</v>
      </c>
      <c r="G407" s="29">
        <f>G398-G405</f>
        <v>-2030338</v>
      </c>
    </row>
    <row r="408" spans="1:7" x14ac:dyDescent="0.25">
      <c r="A408" s="17"/>
      <c r="C408" t="s">
        <v>21</v>
      </c>
      <c r="D408" s="19">
        <v>783062500</v>
      </c>
    </row>
    <row r="409" spans="1:7" x14ac:dyDescent="0.25">
      <c r="A409" s="17"/>
      <c r="C409" t="s">
        <v>45</v>
      </c>
      <c r="D409" s="19">
        <v>25000000</v>
      </c>
    </row>
    <row r="410" spans="1:7" x14ac:dyDescent="0.25">
      <c r="A410" s="17"/>
      <c r="C410" t="s">
        <v>48</v>
      </c>
      <c r="D410" s="19">
        <v>30000000</v>
      </c>
    </row>
    <row r="411" spans="1:7" x14ac:dyDescent="0.25">
      <c r="A411" s="17"/>
      <c r="C411" t="s">
        <v>68</v>
      </c>
      <c r="D411" s="19">
        <v>141000000</v>
      </c>
    </row>
    <row r="412" spans="1:7" x14ac:dyDescent="0.25">
      <c r="A412" s="17"/>
      <c r="C412" t="s">
        <v>68</v>
      </c>
      <c r="D412" s="19">
        <v>145000000</v>
      </c>
    </row>
    <row r="413" spans="1:7" x14ac:dyDescent="0.25">
      <c r="A413" s="17"/>
      <c r="C413" t="s">
        <v>518</v>
      </c>
      <c r="D413" s="19">
        <v>100000000</v>
      </c>
    </row>
    <row r="414" spans="1:7" x14ac:dyDescent="0.25">
      <c r="A414" s="17"/>
      <c r="C414" t="s">
        <v>658</v>
      </c>
      <c r="D414" s="19">
        <v>154880000</v>
      </c>
      <c r="G414" s="1"/>
    </row>
    <row r="415" spans="1:7" x14ac:dyDescent="0.25">
      <c r="A415" s="17"/>
      <c r="C415" t="s">
        <v>643</v>
      </c>
      <c r="D415" s="19">
        <v>156395550</v>
      </c>
      <c r="G415" s="1"/>
    </row>
    <row r="416" spans="1:7" x14ac:dyDescent="0.25">
      <c r="A416" s="17"/>
      <c r="C416" t="s">
        <v>703</v>
      </c>
      <c r="D416" s="19">
        <v>304750000</v>
      </c>
      <c r="G416" s="1"/>
    </row>
    <row r="417" spans="1:7" x14ac:dyDescent="0.25">
      <c r="A417" s="17"/>
      <c r="C417" t="s">
        <v>654</v>
      </c>
      <c r="D417" s="20">
        <v>60125000</v>
      </c>
      <c r="G417" s="1"/>
    </row>
    <row r="418" spans="1:7" x14ac:dyDescent="0.25">
      <c r="A418" s="17"/>
      <c r="D418" s="19">
        <f>SUM(D406:D417)</f>
        <v>4798154305</v>
      </c>
      <c r="G418" s="1"/>
    </row>
    <row r="419" spans="1:7" x14ac:dyDescent="0.25">
      <c r="A419" s="17"/>
      <c r="D419" s="19"/>
      <c r="G419" s="1"/>
    </row>
    <row r="420" spans="1:7" x14ac:dyDescent="0.25">
      <c r="A420" s="17"/>
      <c r="B420" s="24" t="s">
        <v>46</v>
      </c>
      <c r="D420" s="19"/>
      <c r="G420" s="1"/>
    </row>
    <row r="421" spans="1:7" x14ac:dyDescent="0.25">
      <c r="A421" s="17"/>
      <c r="B421" s="24"/>
      <c r="C421" t="s">
        <v>707</v>
      </c>
      <c r="D421" s="19">
        <f>199*602500</f>
        <v>119897500</v>
      </c>
      <c r="G421" s="1"/>
    </row>
    <row r="422" spans="1:7" x14ac:dyDescent="0.25">
      <c r="A422" s="17"/>
      <c r="B422" s="24"/>
      <c r="C422" t="s">
        <v>323</v>
      </c>
      <c r="D422" s="19">
        <f>4*602500</f>
        <v>2410000</v>
      </c>
      <c r="G422" s="1"/>
    </row>
    <row r="423" spans="1:7" x14ac:dyDescent="0.25">
      <c r="A423" s="17"/>
      <c r="B423" s="24"/>
      <c r="C423" t="s">
        <v>266</v>
      </c>
      <c r="D423" s="20">
        <f>5*602500</f>
        <v>3012500</v>
      </c>
      <c r="G423" s="1"/>
    </row>
    <row r="424" spans="1:7" x14ac:dyDescent="0.25">
      <c r="A424" s="17"/>
      <c r="D424" s="19">
        <f>SUM(D421:D423)</f>
        <v>125320000</v>
      </c>
      <c r="G424" s="1"/>
    </row>
    <row r="425" spans="1:7" x14ac:dyDescent="0.25">
      <c r="A425" s="17"/>
      <c r="D425" s="19"/>
      <c r="G425" s="1"/>
    </row>
    <row r="426" spans="1:7" x14ac:dyDescent="0.25">
      <c r="A426" s="23" t="s">
        <v>22</v>
      </c>
      <c r="D426" s="19"/>
      <c r="G426" s="1"/>
    </row>
    <row r="427" spans="1:7" x14ac:dyDescent="0.25">
      <c r="A427" s="17"/>
      <c r="C427" t="s">
        <v>23</v>
      </c>
      <c r="D427" s="19">
        <v>2426800000</v>
      </c>
      <c r="G427" s="1"/>
    </row>
    <row r="428" spans="1:7" x14ac:dyDescent="0.25">
      <c r="A428" s="17"/>
      <c r="C428" t="s">
        <v>24</v>
      </c>
      <c r="D428" s="19">
        <v>1895486000</v>
      </c>
      <c r="G428" s="1"/>
    </row>
    <row r="429" spans="1:7" x14ac:dyDescent="0.25">
      <c r="A429" s="17"/>
      <c r="C429" t="s">
        <v>111</v>
      </c>
      <c r="D429" s="20">
        <v>174800000</v>
      </c>
      <c r="G429" s="1"/>
    </row>
    <row r="430" spans="1:7" x14ac:dyDescent="0.25">
      <c r="A430" s="17"/>
      <c r="D430" s="19">
        <f>SUM(D427:D429)</f>
        <v>4497086000</v>
      </c>
      <c r="G430" s="1"/>
    </row>
    <row r="431" spans="1:7" x14ac:dyDescent="0.25">
      <c r="A431" s="17"/>
      <c r="D431" s="19"/>
      <c r="G431" s="1"/>
    </row>
    <row r="432" spans="1:7" x14ac:dyDescent="0.25">
      <c r="A432" s="43" t="s">
        <v>25</v>
      </c>
      <c r="B432" s="44"/>
      <c r="C432" s="44"/>
      <c r="D432" s="25">
        <f>D403+D418+D424-D430</f>
        <v>1582031111.0500002</v>
      </c>
      <c r="G432" s="1"/>
    </row>
    <row r="433" spans="1:7" x14ac:dyDescent="0.25">
      <c r="A433" s="21"/>
      <c r="B433" s="22"/>
      <c r="C433" s="22"/>
      <c r="D433" s="20"/>
      <c r="G433" s="1"/>
    </row>
    <row r="435" spans="1:7" x14ac:dyDescent="0.25">
      <c r="A435" s="40" t="s">
        <v>13</v>
      </c>
      <c r="B435" s="40"/>
      <c r="C435" s="40"/>
      <c r="D435" s="40"/>
      <c r="G435" s="1"/>
    </row>
    <row r="436" spans="1:7" x14ac:dyDescent="0.25">
      <c r="A436" s="41" t="s">
        <v>14</v>
      </c>
      <c r="B436" s="41"/>
      <c r="C436" s="41"/>
      <c r="D436" s="41"/>
      <c r="G436" s="1"/>
    </row>
    <row r="437" spans="1:7" x14ac:dyDescent="0.25">
      <c r="A437" s="42">
        <v>45821</v>
      </c>
      <c r="B437" s="42"/>
      <c r="C437" s="42"/>
      <c r="D437" s="42"/>
      <c r="G437" s="1"/>
    </row>
    <row r="438" spans="1:7" x14ac:dyDescent="0.25">
      <c r="A438" s="13"/>
      <c r="B438" s="13"/>
      <c r="C438" s="13"/>
      <c r="D438" s="13"/>
      <c r="G438" s="1"/>
    </row>
    <row r="439" spans="1:7" x14ac:dyDescent="0.25">
      <c r="A439" s="14"/>
      <c r="B439" s="15"/>
      <c r="C439" s="15"/>
      <c r="D439" s="16"/>
      <c r="F439" s="5" t="s">
        <v>26</v>
      </c>
      <c r="G439" s="1">
        <f>D482-D432</f>
        <v>5117500</v>
      </c>
    </row>
    <row r="440" spans="1:7" x14ac:dyDescent="0.25">
      <c r="A440" s="17"/>
      <c r="D440" s="32" t="s">
        <v>16</v>
      </c>
      <c r="G440" s="1"/>
    </row>
    <row r="441" spans="1:7" x14ac:dyDescent="0.25">
      <c r="A441" s="23" t="s">
        <v>15</v>
      </c>
      <c r="D441" s="18" t="s">
        <v>17</v>
      </c>
      <c r="F441" s="26" t="s">
        <v>27</v>
      </c>
      <c r="G441" s="1"/>
    </row>
    <row r="442" spans="1:7" x14ac:dyDescent="0.25">
      <c r="A442" s="17"/>
      <c r="B442" s="24" t="s">
        <v>18</v>
      </c>
      <c r="D442" s="19"/>
      <c r="F442" s="27" t="s">
        <v>28</v>
      </c>
      <c r="G442" s="1"/>
    </row>
    <row r="443" spans="1:7" x14ac:dyDescent="0.25">
      <c r="A443" s="17"/>
      <c r="C443" s="2" t="s">
        <v>31</v>
      </c>
      <c r="D443" s="19">
        <v>155368058.53999999</v>
      </c>
      <c r="F443" t="s">
        <v>154</v>
      </c>
      <c r="G443" s="1">
        <v>4708000</v>
      </c>
    </row>
    <row r="444" spans="1:7" x14ac:dyDescent="0.25">
      <c r="A444" s="17"/>
      <c r="C444" s="2" t="s">
        <v>32</v>
      </c>
      <c r="D444" s="19">
        <v>70695798.510000005</v>
      </c>
      <c r="F444" t="s">
        <v>90</v>
      </c>
      <c r="G444" s="1">
        <v>687500</v>
      </c>
    </row>
    <row r="445" spans="1:7" x14ac:dyDescent="0.25">
      <c r="A445" s="17"/>
      <c r="C445" s="2" t="s">
        <v>33</v>
      </c>
      <c r="D445" s="19">
        <v>329260545.39999998</v>
      </c>
      <c r="G445" s="30">
        <f>SUM(G443:G444)</f>
        <v>5395500</v>
      </c>
    </row>
    <row r="446" spans="1:7" x14ac:dyDescent="0.25">
      <c r="A446" s="17"/>
      <c r="C446" s="2" t="s">
        <v>34</v>
      </c>
      <c r="D446" s="19">
        <v>148013116</v>
      </c>
      <c r="F446" s="28" t="s">
        <v>29</v>
      </c>
      <c r="G446" s="1"/>
    </row>
    <row r="447" spans="1:7" x14ac:dyDescent="0.25">
      <c r="A447" s="17"/>
      <c r="C447" s="2" t="s">
        <v>35</v>
      </c>
      <c r="D447" s="19">
        <v>16250</v>
      </c>
      <c r="F447" t="s">
        <v>161</v>
      </c>
      <c r="G447" s="1">
        <v>5000</v>
      </c>
    </row>
    <row r="448" spans="1:7" x14ac:dyDescent="0.25">
      <c r="A448" s="17"/>
      <c r="C448" s="2" t="s">
        <v>36</v>
      </c>
      <c r="D448" s="19">
        <v>93049148.599999994</v>
      </c>
      <c r="F448" t="s">
        <v>713</v>
      </c>
      <c r="G448" s="1">
        <v>81900</v>
      </c>
    </row>
    <row r="449" spans="1:7" x14ac:dyDescent="0.25">
      <c r="A449" s="17"/>
      <c r="C449" s="2" t="s">
        <v>37</v>
      </c>
      <c r="D449" s="19">
        <v>28772072</v>
      </c>
      <c r="F449" t="s">
        <v>713</v>
      </c>
      <c r="G449" s="1">
        <v>126000</v>
      </c>
    </row>
    <row r="450" spans="1:7" x14ac:dyDescent="0.25">
      <c r="A450" s="17"/>
      <c r="C450" s="2" t="s">
        <v>51</v>
      </c>
      <c r="D450" s="20">
        <v>130317</v>
      </c>
      <c r="F450" t="s">
        <v>714</v>
      </c>
      <c r="G450" s="1">
        <v>65100</v>
      </c>
    </row>
    <row r="451" spans="1:7" x14ac:dyDescent="0.25">
      <c r="A451" s="17"/>
      <c r="B451" s="24" t="s">
        <v>19</v>
      </c>
      <c r="D451" s="19">
        <f>SUM(D443:D450)</f>
        <v>825305306.05000007</v>
      </c>
      <c r="G451" s="30">
        <f>SUM(G447:G450)</f>
        <v>278000</v>
      </c>
    </row>
    <row r="452" spans="1:7" x14ac:dyDescent="0.25">
      <c r="A452" s="17"/>
      <c r="D452" s="19"/>
    </row>
    <row r="453" spans="1:7" x14ac:dyDescent="0.25">
      <c r="A453" s="17"/>
      <c r="B453" s="24" t="s">
        <v>20</v>
      </c>
      <c r="D453" s="19"/>
      <c r="F453" s="28" t="s">
        <v>30</v>
      </c>
      <c r="G453" s="29">
        <f>G445-G451</f>
        <v>5117500</v>
      </c>
    </row>
    <row r="454" spans="1:7" x14ac:dyDescent="0.25">
      <c r="A454" s="17"/>
      <c r="C454" t="s">
        <v>7</v>
      </c>
      <c r="D454" s="19">
        <v>2986798755</v>
      </c>
    </row>
    <row r="455" spans="1:7" x14ac:dyDescent="0.25">
      <c r="A455" s="17"/>
      <c r="C455" t="s">
        <v>47</v>
      </c>
      <c r="D455" s="19">
        <v>14780000</v>
      </c>
    </row>
    <row r="456" spans="1:7" x14ac:dyDescent="0.25">
      <c r="A456" s="17"/>
      <c r="C456" t="s">
        <v>21</v>
      </c>
      <c r="D456" s="19">
        <v>910137500</v>
      </c>
    </row>
    <row r="457" spans="1:7" x14ac:dyDescent="0.25">
      <c r="A457" s="17"/>
      <c r="C457" t="s">
        <v>45</v>
      </c>
      <c r="D457" s="19">
        <v>25000000</v>
      </c>
    </row>
    <row r="458" spans="1:7" x14ac:dyDescent="0.25">
      <c r="A458" s="17"/>
      <c r="C458" t="s">
        <v>48</v>
      </c>
      <c r="D458" s="19">
        <v>30000000</v>
      </c>
    </row>
    <row r="459" spans="1:7" x14ac:dyDescent="0.25">
      <c r="A459" s="17"/>
      <c r="C459" t="s">
        <v>68</v>
      </c>
      <c r="D459" s="19">
        <v>141000000</v>
      </c>
    </row>
    <row r="460" spans="1:7" x14ac:dyDescent="0.25">
      <c r="A460" s="17"/>
      <c r="C460" t="s">
        <v>68</v>
      </c>
      <c r="D460" s="19">
        <v>145000000</v>
      </c>
    </row>
    <row r="461" spans="1:7" x14ac:dyDescent="0.25">
      <c r="A461" s="17"/>
      <c r="C461" t="s">
        <v>518</v>
      </c>
      <c r="D461" s="19">
        <v>100000000</v>
      </c>
    </row>
    <row r="462" spans="1:7" x14ac:dyDescent="0.25">
      <c r="A462" s="17"/>
      <c r="C462" t="s">
        <v>658</v>
      </c>
      <c r="D462" s="19">
        <v>154880000</v>
      </c>
      <c r="G462" s="1"/>
    </row>
    <row r="463" spans="1:7" x14ac:dyDescent="0.25">
      <c r="A463" s="17"/>
      <c r="C463" t="s">
        <v>643</v>
      </c>
      <c r="D463" s="19">
        <v>156395550</v>
      </c>
      <c r="G463" s="1"/>
    </row>
    <row r="464" spans="1:7" x14ac:dyDescent="0.25">
      <c r="A464" s="17"/>
      <c r="C464" t="s">
        <v>703</v>
      </c>
      <c r="D464" s="19">
        <v>304750000</v>
      </c>
      <c r="G464" s="1"/>
    </row>
    <row r="465" spans="1:7" x14ac:dyDescent="0.25">
      <c r="A465" s="17"/>
      <c r="C465" t="s">
        <v>654</v>
      </c>
      <c r="D465" s="20">
        <v>60125000</v>
      </c>
      <c r="G465" s="1"/>
    </row>
    <row r="466" spans="1:7" x14ac:dyDescent="0.25">
      <c r="A466" s="17"/>
      <c r="D466" s="19">
        <f>SUM(D454:D465)</f>
        <v>5028866805</v>
      </c>
      <c r="G466" s="1"/>
    </row>
    <row r="467" spans="1:7" x14ac:dyDescent="0.25">
      <c r="A467" s="17"/>
      <c r="D467" s="19"/>
      <c r="G467" s="1"/>
    </row>
    <row r="468" spans="1:7" x14ac:dyDescent="0.25">
      <c r="A468" s="17"/>
      <c r="B468" s="24" t="s">
        <v>46</v>
      </c>
      <c r="D468" s="19"/>
      <c r="G468" s="1"/>
    </row>
    <row r="469" spans="1:7" x14ac:dyDescent="0.25">
      <c r="A469" s="17"/>
      <c r="B469" s="24"/>
      <c r="C469" t="s">
        <v>711</v>
      </c>
      <c r="D469" s="19">
        <f>169*602500</f>
        <v>101822500</v>
      </c>
      <c r="G469" s="1"/>
    </row>
    <row r="470" spans="1:7" x14ac:dyDescent="0.25">
      <c r="A470" s="17"/>
      <c r="B470" s="24"/>
      <c r="C470" t="s">
        <v>323</v>
      </c>
      <c r="D470" s="19">
        <f>4*602500</f>
        <v>2410000</v>
      </c>
      <c r="G470" s="1"/>
    </row>
    <row r="471" spans="1:7" x14ac:dyDescent="0.25">
      <c r="A471" s="17"/>
      <c r="B471" s="24"/>
      <c r="C471" t="s">
        <v>227</v>
      </c>
      <c r="D471" s="20">
        <f>10*602500</f>
        <v>6025000</v>
      </c>
      <c r="G471" s="1"/>
    </row>
    <row r="472" spans="1:7" x14ac:dyDescent="0.25">
      <c r="A472" s="17"/>
      <c r="D472" s="19">
        <f>SUM(D469:D471)</f>
        <v>110257500</v>
      </c>
      <c r="G472" s="1"/>
    </row>
    <row r="473" spans="1:7" x14ac:dyDescent="0.25">
      <c r="A473" s="17"/>
      <c r="D473" s="19"/>
      <c r="G473" s="1"/>
    </row>
    <row r="474" spans="1:7" x14ac:dyDescent="0.25">
      <c r="A474" s="23" t="s">
        <v>22</v>
      </c>
      <c r="D474" s="19"/>
      <c r="G474" s="1"/>
    </row>
    <row r="475" spans="1:7" x14ac:dyDescent="0.25">
      <c r="A475" s="17"/>
      <c r="C475" t="s">
        <v>23</v>
      </c>
      <c r="D475" s="19">
        <v>2684900000</v>
      </c>
      <c r="G475" s="1"/>
    </row>
    <row r="476" spans="1:7" x14ac:dyDescent="0.25">
      <c r="A476" s="17"/>
      <c r="C476" t="s">
        <v>24</v>
      </c>
      <c r="D476" s="19">
        <v>1400906000</v>
      </c>
      <c r="G476" s="1"/>
    </row>
    <row r="477" spans="1:7" x14ac:dyDescent="0.25">
      <c r="A477" s="17"/>
      <c r="C477" t="s">
        <v>602</v>
      </c>
      <c r="D477" s="19">
        <v>89000000</v>
      </c>
      <c r="G477" s="1"/>
    </row>
    <row r="478" spans="1:7" x14ac:dyDescent="0.25">
      <c r="A478" s="17"/>
      <c r="C478" t="s">
        <v>712</v>
      </c>
      <c r="D478" s="19">
        <f>3000*9225</f>
        <v>27675000</v>
      </c>
      <c r="G478" s="1"/>
    </row>
    <row r="479" spans="1:7" x14ac:dyDescent="0.25">
      <c r="A479" s="17"/>
      <c r="C479" t="s">
        <v>111</v>
      </c>
      <c r="D479" s="20">
        <v>174800000</v>
      </c>
      <c r="G479" s="1"/>
    </row>
    <row r="480" spans="1:7" x14ac:dyDescent="0.25">
      <c r="A480" s="17"/>
      <c r="D480" s="19">
        <f>SUM(D475:D479)</f>
        <v>4377281000</v>
      </c>
      <c r="G480" s="1"/>
    </row>
    <row r="481" spans="1:10" x14ac:dyDescent="0.25">
      <c r="A481" s="17"/>
      <c r="D481" s="19"/>
      <c r="G481" s="1"/>
    </row>
    <row r="482" spans="1:10" x14ac:dyDescent="0.25">
      <c r="A482" s="43" t="s">
        <v>25</v>
      </c>
      <c r="B482" s="44"/>
      <c r="C482" s="44"/>
      <c r="D482" s="25">
        <f>D451+D466+D472-D480</f>
        <v>1587148611.0500002</v>
      </c>
      <c r="G482" s="1"/>
    </row>
    <row r="483" spans="1:10" x14ac:dyDescent="0.25">
      <c r="A483" s="21"/>
      <c r="B483" s="22"/>
      <c r="C483" s="22"/>
      <c r="D483" s="20"/>
      <c r="G483" s="1"/>
    </row>
    <row r="485" spans="1:10" x14ac:dyDescent="0.25">
      <c r="A485" s="40" t="s">
        <v>13</v>
      </c>
      <c r="B485" s="40"/>
      <c r="C485" s="40"/>
      <c r="D485" s="40"/>
      <c r="G485" s="1"/>
    </row>
    <row r="486" spans="1:10" x14ac:dyDescent="0.25">
      <c r="A486" s="41" t="s">
        <v>14</v>
      </c>
      <c r="B486" s="41"/>
      <c r="C486" s="41"/>
      <c r="D486" s="41"/>
      <c r="G486" s="1"/>
    </row>
    <row r="487" spans="1:10" x14ac:dyDescent="0.25">
      <c r="A487" s="42">
        <v>45822</v>
      </c>
      <c r="B487" s="42"/>
      <c r="C487" s="42"/>
      <c r="D487" s="42"/>
      <c r="G487" s="1"/>
    </row>
    <row r="488" spans="1:10" x14ac:dyDescent="0.25">
      <c r="A488" s="13"/>
      <c r="B488" s="13"/>
      <c r="C488" s="13"/>
      <c r="D488" s="13"/>
      <c r="G488" s="1"/>
    </row>
    <row r="489" spans="1:10" x14ac:dyDescent="0.25">
      <c r="A489" s="14"/>
      <c r="B489" s="15"/>
      <c r="C489" s="15"/>
      <c r="D489" s="16"/>
      <c r="F489" s="5" t="s">
        <v>26</v>
      </c>
      <c r="G489" s="1">
        <f>D533-D482</f>
        <v>5776000</v>
      </c>
    </row>
    <row r="490" spans="1:10" x14ac:dyDescent="0.25">
      <c r="A490" s="17"/>
      <c r="D490" s="32" t="s">
        <v>16</v>
      </c>
      <c r="G490" s="1"/>
    </row>
    <row r="491" spans="1:10" x14ac:dyDescent="0.25">
      <c r="A491" s="23" t="s">
        <v>15</v>
      </c>
      <c r="D491" s="18" t="s">
        <v>17</v>
      </c>
      <c r="F491" s="26" t="s">
        <v>27</v>
      </c>
      <c r="G491" s="1"/>
    </row>
    <row r="492" spans="1:10" x14ac:dyDescent="0.25">
      <c r="A492" s="17"/>
      <c r="B492" s="24" t="s">
        <v>18</v>
      </c>
      <c r="D492" s="19"/>
      <c r="F492" s="27" t="s">
        <v>28</v>
      </c>
      <c r="G492" s="1"/>
    </row>
    <row r="493" spans="1:10" x14ac:dyDescent="0.25">
      <c r="A493" s="17"/>
      <c r="C493" s="2" t="s">
        <v>31</v>
      </c>
      <c r="D493" s="19">
        <v>232593058.53999999</v>
      </c>
      <c r="F493" t="s">
        <v>160</v>
      </c>
      <c r="G493" s="1">
        <v>5589000</v>
      </c>
    </row>
    <row r="494" spans="1:10" x14ac:dyDescent="0.25">
      <c r="A494" s="17"/>
      <c r="C494" s="2" t="s">
        <v>32</v>
      </c>
      <c r="D494" s="19">
        <v>76945798.510000005</v>
      </c>
      <c r="F494" t="s">
        <v>716</v>
      </c>
      <c r="G494" s="1">
        <v>187000</v>
      </c>
    </row>
    <row r="495" spans="1:10" x14ac:dyDescent="0.25">
      <c r="A495" s="17"/>
      <c r="C495" s="2" t="s">
        <v>33</v>
      </c>
      <c r="D495" s="19">
        <v>300722545.39999998</v>
      </c>
      <c r="G495" s="30">
        <f>SUM(G493:G494)</f>
        <v>5776000</v>
      </c>
    </row>
    <row r="496" spans="1:10" x14ac:dyDescent="0.25">
      <c r="A496" s="17"/>
      <c r="C496" s="2" t="s">
        <v>34</v>
      </c>
      <c r="D496" s="19">
        <v>194863116</v>
      </c>
      <c r="F496" s="28" t="s">
        <v>29</v>
      </c>
      <c r="G496" s="1"/>
      <c r="J496" s="38"/>
    </row>
    <row r="497" spans="1:7" x14ac:dyDescent="0.25">
      <c r="A497" s="17"/>
      <c r="C497" s="2" t="s">
        <v>35</v>
      </c>
      <c r="D497" s="19">
        <v>16250</v>
      </c>
      <c r="G497" s="1">
        <v>0</v>
      </c>
    </row>
    <row r="498" spans="1:7" x14ac:dyDescent="0.25">
      <c r="A498" s="17"/>
      <c r="C498" s="2" t="s">
        <v>36</v>
      </c>
      <c r="D498" s="19">
        <v>93049148.599999994</v>
      </c>
      <c r="G498" s="30">
        <f>SUM(G497:G497)</f>
        <v>0</v>
      </c>
    </row>
    <row r="499" spans="1:7" x14ac:dyDescent="0.25">
      <c r="A499" s="17"/>
      <c r="C499" s="2" t="s">
        <v>37</v>
      </c>
      <c r="D499" s="19">
        <v>28772072</v>
      </c>
    </row>
    <row r="500" spans="1:7" x14ac:dyDescent="0.25">
      <c r="A500" s="17"/>
      <c r="C500" s="2" t="s">
        <v>51</v>
      </c>
      <c r="D500" s="20">
        <v>130317</v>
      </c>
      <c r="F500" s="28" t="s">
        <v>30</v>
      </c>
      <c r="G500" s="29">
        <f>G495-G498</f>
        <v>5776000</v>
      </c>
    </row>
    <row r="501" spans="1:7" x14ac:dyDescent="0.25">
      <c r="A501" s="17"/>
      <c r="B501" s="24" t="s">
        <v>19</v>
      </c>
      <c r="D501" s="19">
        <f>SUM(D493:D500)</f>
        <v>927092306.05000007</v>
      </c>
    </row>
    <row r="502" spans="1:7" x14ac:dyDescent="0.25">
      <c r="A502" s="17"/>
      <c r="D502" s="19"/>
    </row>
    <row r="503" spans="1:7" x14ac:dyDescent="0.25">
      <c r="A503" s="17"/>
      <c r="B503" s="24" t="s">
        <v>20</v>
      </c>
      <c r="D503" s="19"/>
    </row>
    <row r="504" spans="1:7" x14ac:dyDescent="0.25">
      <c r="A504" s="17"/>
      <c r="C504" t="s">
        <v>7</v>
      </c>
      <c r="D504" s="19">
        <v>3033148755</v>
      </c>
    </row>
    <row r="505" spans="1:7" x14ac:dyDescent="0.25">
      <c r="A505" s="17"/>
      <c r="C505" t="s">
        <v>47</v>
      </c>
      <c r="D505" s="19">
        <v>8530000</v>
      </c>
    </row>
    <row r="506" spans="1:7" x14ac:dyDescent="0.25">
      <c r="A506" s="17"/>
      <c r="C506" t="s">
        <v>21</v>
      </c>
      <c r="D506" s="19">
        <v>880137500</v>
      </c>
    </row>
    <row r="507" spans="1:7" x14ac:dyDescent="0.25">
      <c r="A507" s="17"/>
      <c r="C507" t="s">
        <v>715</v>
      </c>
      <c r="D507" s="19">
        <v>247050000</v>
      </c>
    </row>
    <row r="508" spans="1:7" x14ac:dyDescent="0.25">
      <c r="A508" s="17"/>
      <c r="C508" t="s">
        <v>45</v>
      </c>
      <c r="D508" s="19">
        <v>25000000</v>
      </c>
    </row>
    <row r="509" spans="1:7" x14ac:dyDescent="0.25">
      <c r="A509" s="17"/>
      <c r="C509" t="s">
        <v>48</v>
      </c>
      <c r="D509" s="19">
        <v>30000000</v>
      </c>
    </row>
    <row r="510" spans="1:7" x14ac:dyDescent="0.25">
      <c r="A510" s="17"/>
      <c r="C510" t="s">
        <v>68</v>
      </c>
      <c r="D510" s="19">
        <v>141000000</v>
      </c>
    </row>
    <row r="511" spans="1:7" x14ac:dyDescent="0.25">
      <c r="A511" s="17"/>
      <c r="C511" t="s">
        <v>68</v>
      </c>
      <c r="D511" s="19">
        <v>145000000</v>
      </c>
    </row>
    <row r="512" spans="1:7" x14ac:dyDescent="0.25">
      <c r="A512" s="17"/>
      <c r="C512" t="s">
        <v>518</v>
      </c>
      <c r="D512" s="19">
        <v>100000000</v>
      </c>
    </row>
    <row r="513" spans="1:7" x14ac:dyDescent="0.25">
      <c r="A513" s="17"/>
      <c r="C513" t="s">
        <v>658</v>
      </c>
      <c r="D513" s="19">
        <v>154880000</v>
      </c>
      <c r="G513" s="1"/>
    </row>
    <row r="514" spans="1:7" x14ac:dyDescent="0.25">
      <c r="A514" s="17"/>
      <c r="C514" t="s">
        <v>643</v>
      </c>
      <c r="D514" s="19">
        <v>156395550</v>
      </c>
      <c r="G514" s="1"/>
    </row>
    <row r="515" spans="1:7" x14ac:dyDescent="0.25">
      <c r="A515" s="17"/>
      <c r="C515" t="s">
        <v>703</v>
      </c>
      <c r="D515" s="19">
        <v>304750000</v>
      </c>
      <c r="G515" s="1"/>
    </row>
    <row r="516" spans="1:7" x14ac:dyDescent="0.25">
      <c r="A516" s="17"/>
      <c r="C516" t="s">
        <v>604</v>
      </c>
      <c r="D516" s="19">
        <v>6900000</v>
      </c>
      <c r="G516" s="1"/>
    </row>
    <row r="517" spans="1:7" x14ac:dyDescent="0.25">
      <c r="A517" s="17"/>
      <c r="C517" t="s">
        <v>654</v>
      </c>
      <c r="D517" s="20">
        <v>60125000</v>
      </c>
      <c r="G517" s="1"/>
    </row>
    <row r="518" spans="1:7" x14ac:dyDescent="0.25">
      <c r="A518" s="17"/>
      <c r="D518" s="19">
        <f>SUM(D504:D517)</f>
        <v>5292916805</v>
      </c>
      <c r="G518" s="1"/>
    </row>
    <row r="519" spans="1:7" x14ac:dyDescent="0.25">
      <c r="A519" s="17"/>
      <c r="D519" s="19"/>
      <c r="G519" s="1"/>
    </row>
    <row r="520" spans="1:7" x14ac:dyDescent="0.25">
      <c r="A520" s="17"/>
      <c r="B520" s="24" t="s">
        <v>46</v>
      </c>
      <c r="D520" s="19"/>
      <c r="G520" s="1"/>
    </row>
    <row r="521" spans="1:7" x14ac:dyDescent="0.25">
      <c r="A521" s="17"/>
      <c r="B521" s="24"/>
      <c r="C521" t="s">
        <v>711</v>
      </c>
      <c r="D521" s="19">
        <f>169*602500</f>
        <v>101822500</v>
      </c>
      <c r="G521" s="1"/>
    </row>
    <row r="522" spans="1:7" x14ac:dyDescent="0.25">
      <c r="A522" s="17"/>
      <c r="B522" s="24"/>
      <c r="C522" t="s">
        <v>323</v>
      </c>
      <c r="D522" s="19">
        <f>4*602500</f>
        <v>2410000</v>
      </c>
      <c r="G522" s="1"/>
    </row>
    <row r="523" spans="1:7" x14ac:dyDescent="0.25">
      <c r="A523" s="17"/>
      <c r="B523" s="24"/>
      <c r="C523" t="s">
        <v>227</v>
      </c>
      <c r="D523" s="20">
        <f>10*602500</f>
        <v>6025000</v>
      </c>
      <c r="G523" s="1"/>
    </row>
    <row r="524" spans="1:7" x14ac:dyDescent="0.25">
      <c r="A524" s="17"/>
      <c r="D524" s="19">
        <f>SUM(D521:D523)</f>
        <v>110257500</v>
      </c>
      <c r="G524" s="1"/>
    </row>
    <row r="525" spans="1:7" x14ac:dyDescent="0.25">
      <c r="A525" s="17"/>
      <c r="D525" s="19"/>
      <c r="G525" s="1"/>
    </row>
    <row r="526" spans="1:7" x14ac:dyDescent="0.25">
      <c r="A526" s="23" t="s">
        <v>22</v>
      </c>
      <c r="D526" s="19"/>
      <c r="G526" s="1"/>
    </row>
    <row r="527" spans="1:7" x14ac:dyDescent="0.25">
      <c r="A527" s="17"/>
      <c r="C527" t="s">
        <v>23</v>
      </c>
      <c r="D527" s="19">
        <v>2723900000</v>
      </c>
      <c r="G527" s="1"/>
    </row>
    <row r="528" spans="1:7" x14ac:dyDescent="0.25">
      <c r="A528" s="17"/>
      <c r="C528" t="s">
        <v>24</v>
      </c>
      <c r="D528" s="19">
        <v>1841642000</v>
      </c>
      <c r="G528" s="1"/>
    </row>
    <row r="529" spans="1:7" x14ac:dyDescent="0.25">
      <c r="A529" s="17"/>
      <c r="C529" t="s">
        <v>602</v>
      </c>
      <c r="D529" s="19">
        <v>89000000</v>
      </c>
      <c r="G529" s="1"/>
    </row>
    <row r="530" spans="1:7" x14ac:dyDescent="0.25">
      <c r="A530" s="17"/>
      <c r="C530" t="s">
        <v>111</v>
      </c>
      <c r="D530" s="20">
        <v>82800000</v>
      </c>
      <c r="G530" s="1"/>
    </row>
    <row r="531" spans="1:7" x14ac:dyDescent="0.25">
      <c r="A531" s="17"/>
      <c r="D531" s="19">
        <f>SUM(D527:D530)</f>
        <v>4737342000</v>
      </c>
      <c r="G531" s="1"/>
    </row>
    <row r="532" spans="1:7" x14ac:dyDescent="0.25">
      <c r="A532" s="17"/>
      <c r="D532" s="19"/>
      <c r="G532" s="1"/>
    </row>
    <row r="533" spans="1:7" x14ac:dyDescent="0.25">
      <c r="A533" s="43" t="s">
        <v>25</v>
      </c>
      <c r="B533" s="44"/>
      <c r="C533" s="44"/>
      <c r="D533" s="25">
        <f>D501+D518+D524-D531</f>
        <v>1592924611.0500002</v>
      </c>
      <c r="G533" s="1"/>
    </row>
    <row r="534" spans="1:7" x14ac:dyDescent="0.25">
      <c r="A534" s="21"/>
      <c r="B534" s="22"/>
      <c r="C534" s="22"/>
      <c r="D534" s="20"/>
      <c r="G534" s="1"/>
    </row>
    <row r="536" spans="1:7" x14ac:dyDescent="0.25">
      <c r="A536" s="40" t="s">
        <v>13</v>
      </c>
      <c r="B536" s="40"/>
      <c r="C536" s="40"/>
      <c r="D536" s="40"/>
      <c r="G536" s="1"/>
    </row>
    <row r="537" spans="1:7" x14ac:dyDescent="0.25">
      <c r="A537" s="41" t="s">
        <v>14</v>
      </c>
      <c r="B537" s="41"/>
      <c r="C537" s="41"/>
      <c r="D537" s="41"/>
      <c r="G537" s="1"/>
    </row>
    <row r="538" spans="1:7" x14ac:dyDescent="0.25">
      <c r="A538" s="42">
        <v>45824</v>
      </c>
      <c r="B538" s="42"/>
      <c r="C538" s="42"/>
      <c r="D538" s="42"/>
      <c r="G538" s="1"/>
    </row>
    <row r="539" spans="1:7" x14ac:dyDescent="0.25">
      <c r="A539" s="13"/>
      <c r="B539" s="13"/>
      <c r="C539" s="13"/>
      <c r="D539" s="13"/>
      <c r="G539" s="1"/>
    </row>
    <row r="540" spans="1:7" x14ac:dyDescent="0.25">
      <c r="A540" s="14"/>
      <c r="B540" s="15"/>
      <c r="C540" s="15"/>
      <c r="D540" s="16"/>
      <c r="F540" s="5" t="s">
        <v>26</v>
      </c>
      <c r="G540" s="1">
        <f>D581-D533</f>
        <v>2392000</v>
      </c>
    </row>
    <row r="541" spans="1:7" x14ac:dyDescent="0.25">
      <c r="A541" s="17"/>
      <c r="D541" s="32" t="s">
        <v>16</v>
      </c>
      <c r="G541" s="1"/>
    </row>
    <row r="542" spans="1:7" x14ac:dyDescent="0.25">
      <c r="A542" s="23" t="s">
        <v>15</v>
      </c>
      <c r="D542" s="18" t="s">
        <v>17</v>
      </c>
      <c r="F542" s="26" t="s">
        <v>27</v>
      </c>
      <c r="G542" s="1"/>
    </row>
    <row r="543" spans="1:7" x14ac:dyDescent="0.25">
      <c r="A543" s="17"/>
      <c r="B543" s="24" t="s">
        <v>18</v>
      </c>
      <c r="D543" s="19"/>
      <c r="F543" s="27" t="s">
        <v>28</v>
      </c>
      <c r="G543" s="1"/>
    </row>
    <row r="544" spans="1:7" x14ac:dyDescent="0.25">
      <c r="A544" s="17"/>
      <c r="C544" s="2" t="s">
        <v>31</v>
      </c>
      <c r="D544" s="19">
        <v>233428058.53999999</v>
      </c>
      <c r="F544" t="s">
        <v>179</v>
      </c>
      <c r="G544" s="1">
        <v>1948000</v>
      </c>
    </row>
    <row r="545" spans="1:10" x14ac:dyDescent="0.25">
      <c r="A545" s="17"/>
      <c r="C545" s="2" t="s">
        <v>32</v>
      </c>
      <c r="D545" s="19">
        <v>76945798.510000005</v>
      </c>
      <c r="F545" t="s">
        <v>717</v>
      </c>
      <c r="G545" s="1">
        <v>280500</v>
      </c>
    </row>
    <row r="546" spans="1:10" x14ac:dyDescent="0.25">
      <c r="A546" s="17"/>
      <c r="C546" s="2" t="s">
        <v>33</v>
      </c>
      <c r="D546" s="19">
        <v>321416045.39999998</v>
      </c>
      <c r="F546" t="s">
        <v>718</v>
      </c>
      <c r="G546" s="1">
        <v>184000</v>
      </c>
    </row>
    <row r="547" spans="1:10" x14ac:dyDescent="0.25">
      <c r="A547" s="17"/>
      <c r="C547" s="2" t="s">
        <v>34</v>
      </c>
      <c r="D547" s="19">
        <v>-43886884</v>
      </c>
      <c r="G547" s="30">
        <f>SUM(G544:G546)</f>
        <v>2412500</v>
      </c>
      <c r="J547" s="38"/>
    </row>
    <row r="548" spans="1:10" x14ac:dyDescent="0.25">
      <c r="A548" s="17"/>
      <c r="C548" s="2" t="s">
        <v>35</v>
      </c>
      <c r="D548" s="19">
        <v>16250</v>
      </c>
      <c r="F548" s="28" t="s">
        <v>29</v>
      </c>
      <c r="G548" s="1"/>
    </row>
    <row r="549" spans="1:10" x14ac:dyDescent="0.25">
      <c r="A549" s="17"/>
      <c r="C549" s="2" t="s">
        <v>36</v>
      </c>
      <c r="D549" s="19">
        <v>93049148.599999994</v>
      </c>
      <c r="F549" t="s">
        <v>161</v>
      </c>
      <c r="G549" s="1">
        <v>2500</v>
      </c>
    </row>
    <row r="550" spans="1:10" x14ac:dyDescent="0.25">
      <c r="A550" s="17"/>
      <c r="C550" s="2" t="s">
        <v>37</v>
      </c>
      <c r="D550" s="19">
        <v>115244572</v>
      </c>
      <c r="F550" t="s">
        <v>720</v>
      </c>
      <c r="G550" s="1">
        <v>18000</v>
      </c>
    </row>
    <row r="551" spans="1:10" x14ac:dyDescent="0.25">
      <c r="A551" s="17"/>
      <c r="C551" s="2" t="s">
        <v>51</v>
      </c>
      <c r="D551" s="20">
        <v>130317</v>
      </c>
      <c r="G551" s="30">
        <f>SUM(G549:G550)</f>
        <v>20500</v>
      </c>
    </row>
    <row r="552" spans="1:10" x14ac:dyDescent="0.25">
      <c r="A552" s="17"/>
      <c r="B552" s="24" t="s">
        <v>19</v>
      </c>
      <c r="D552" s="19">
        <f>SUM(D544:D551)</f>
        <v>796343306.05000007</v>
      </c>
    </row>
    <row r="553" spans="1:10" x14ac:dyDescent="0.25">
      <c r="A553" s="17"/>
      <c r="D553" s="19"/>
      <c r="F553" s="28" t="s">
        <v>30</v>
      </c>
      <c r="G553" s="29">
        <f>G547-G551</f>
        <v>2392000</v>
      </c>
    </row>
    <row r="554" spans="1:10" x14ac:dyDescent="0.25">
      <c r="A554" s="17"/>
      <c r="B554" s="24" t="s">
        <v>20</v>
      </c>
      <c r="D554" s="19"/>
    </row>
    <row r="555" spans="1:10" x14ac:dyDescent="0.25">
      <c r="A555" s="17"/>
      <c r="C555" t="s">
        <v>7</v>
      </c>
      <c r="D555" s="19">
        <v>2935408755</v>
      </c>
    </row>
    <row r="556" spans="1:10" x14ac:dyDescent="0.25">
      <c r="A556" s="17"/>
      <c r="C556" t="s">
        <v>47</v>
      </c>
      <c r="D556" s="19">
        <v>8530000</v>
      </c>
    </row>
    <row r="557" spans="1:10" x14ac:dyDescent="0.25">
      <c r="A557" s="17"/>
      <c r="C557" t="s">
        <v>21</v>
      </c>
      <c r="D557" s="19">
        <v>962037500</v>
      </c>
    </row>
    <row r="558" spans="1:10" x14ac:dyDescent="0.25">
      <c r="A558" s="17"/>
      <c r="C558" t="s">
        <v>715</v>
      </c>
      <c r="D558" s="19">
        <v>247050000</v>
      </c>
    </row>
    <row r="559" spans="1:10" x14ac:dyDescent="0.25">
      <c r="A559" s="17"/>
      <c r="C559" t="s">
        <v>45</v>
      </c>
      <c r="D559" s="19">
        <v>25000000</v>
      </c>
    </row>
    <row r="560" spans="1:10" x14ac:dyDescent="0.25">
      <c r="A560" s="17"/>
      <c r="C560" t="s">
        <v>48</v>
      </c>
      <c r="D560" s="19">
        <v>30000000</v>
      </c>
    </row>
    <row r="561" spans="1:7" x14ac:dyDescent="0.25">
      <c r="A561" s="17"/>
      <c r="C561" t="s">
        <v>68</v>
      </c>
      <c r="D561" s="19">
        <v>141000000</v>
      </c>
    </row>
    <row r="562" spans="1:7" x14ac:dyDescent="0.25">
      <c r="A562" s="17"/>
      <c r="C562" t="s">
        <v>68</v>
      </c>
      <c r="D562" s="19">
        <v>145000000</v>
      </c>
    </row>
    <row r="563" spans="1:7" x14ac:dyDescent="0.25">
      <c r="A563" s="17"/>
      <c r="C563" t="s">
        <v>518</v>
      </c>
      <c r="D563" s="19">
        <v>100000000</v>
      </c>
    </row>
    <row r="564" spans="1:7" x14ac:dyDescent="0.25">
      <c r="A564" s="17"/>
      <c r="C564" t="s">
        <v>658</v>
      </c>
      <c r="D564" s="19">
        <v>154880000</v>
      </c>
      <c r="G564" s="1"/>
    </row>
    <row r="565" spans="1:7" x14ac:dyDescent="0.25">
      <c r="A565" s="17"/>
      <c r="C565" t="s">
        <v>643</v>
      </c>
      <c r="D565" s="19">
        <v>156395550</v>
      </c>
      <c r="G565" s="1"/>
    </row>
    <row r="566" spans="1:7" x14ac:dyDescent="0.25">
      <c r="A566" s="17"/>
      <c r="C566" t="s">
        <v>703</v>
      </c>
      <c r="D566" s="19">
        <v>304750000</v>
      </c>
      <c r="G566" s="1"/>
    </row>
    <row r="567" spans="1:7" x14ac:dyDescent="0.25">
      <c r="A567" s="17"/>
      <c r="C567" t="s">
        <v>654</v>
      </c>
      <c r="D567" s="20">
        <v>60125000</v>
      </c>
      <c r="G567" s="1"/>
    </row>
    <row r="568" spans="1:7" x14ac:dyDescent="0.25">
      <c r="A568" s="17"/>
      <c r="D568" s="19">
        <f>SUM(D555:D567)</f>
        <v>5270176805</v>
      </c>
      <c r="G568" s="1"/>
    </row>
    <row r="569" spans="1:7" x14ac:dyDescent="0.25">
      <c r="A569" s="17"/>
      <c r="D569" s="19"/>
      <c r="G569" s="1"/>
    </row>
    <row r="570" spans="1:7" x14ac:dyDescent="0.25">
      <c r="A570" s="17"/>
      <c r="B570" s="24" t="s">
        <v>46</v>
      </c>
      <c r="D570" s="19"/>
      <c r="G570" s="1"/>
    </row>
    <row r="571" spans="1:7" x14ac:dyDescent="0.25">
      <c r="A571" s="17"/>
      <c r="B571" s="24"/>
      <c r="C571" t="s">
        <v>711</v>
      </c>
      <c r="D571" s="19">
        <f>169*602500</f>
        <v>101822500</v>
      </c>
      <c r="G571" s="1"/>
    </row>
    <row r="572" spans="1:7" x14ac:dyDescent="0.25">
      <c r="A572" s="17"/>
      <c r="B572" s="24"/>
      <c r="C572" t="s">
        <v>323</v>
      </c>
      <c r="D572" s="19">
        <f>4*602500</f>
        <v>2410000</v>
      </c>
      <c r="G572" s="1"/>
    </row>
    <row r="573" spans="1:7" x14ac:dyDescent="0.25">
      <c r="A573" s="17"/>
      <c r="B573" s="24"/>
      <c r="C573" t="s">
        <v>227</v>
      </c>
      <c r="D573" s="20">
        <f>10*602500</f>
        <v>6025000</v>
      </c>
      <c r="G573" s="1"/>
    </row>
    <row r="574" spans="1:7" x14ac:dyDescent="0.25">
      <c r="A574" s="17"/>
      <c r="D574" s="19">
        <f>SUM(D571:D573)</f>
        <v>110257500</v>
      </c>
      <c r="G574" s="1"/>
    </row>
    <row r="575" spans="1:7" x14ac:dyDescent="0.25">
      <c r="A575" s="17"/>
      <c r="D575" s="19"/>
      <c r="G575" s="1"/>
    </row>
    <row r="576" spans="1:7" x14ac:dyDescent="0.25">
      <c r="A576" s="23" t="s">
        <v>22</v>
      </c>
      <c r="D576" s="19"/>
      <c r="G576" s="1"/>
    </row>
    <row r="577" spans="1:7" x14ac:dyDescent="0.25">
      <c r="A577" s="17"/>
      <c r="C577" t="s">
        <v>23</v>
      </c>
      <c r="D577" s="19">
        <v>2932250000</v>
      </c>
      <c r="G577" s="1"/>
    </row>
    <row r="578" spans="1:7" x14ac:dyDescent="0.25">
      <c r="A578" s="17"/>
      <c r="C578" t="s">
        <v>24</v>
      </c>
      <c r="D578" s="20">
        <v>1649211000</v>
      </c>
      <c r="G578" s="1"/>
    </row>
    <row r="579" spans="1:7" x14ac:dyDescent="0.25">
      <c r="A579" s="17"/>
      <c r="D579" s="19">
        <f>SUM(D577:D578)</f>
        <v>4581461000</v>
      </c>
      <c r="G579" s="1"/>
    </row>
    <row r="580" spans="1:7" x14ac:dyDescent="0.25">
      <c r="A580" s="17"/>
      <c r="D580" s="19"/>
      <c r="G580" s="1"/>
    </row>
    <row r="581" spans="1:7" x14ac:dyDescent="0.25">
      <c r="A581" s="43" t="s">
        <v>25</v>
      </c>
      <c r="B581" s="44"/>
      <c r="C581" s="44"/>
      <c r="D581" s="25">
        <f>D552+D568+D574-D579</f>
        <v>1595316611.0500002</v>
      </c>
      <c r="G581" s="1"/>
    </row>
    <row r="582" spans="1:7" x14ac:dyDescent="0.25">
      <c r="A582" s="21"/>
      <c r="B582" s="22"/>
      <c r="C582" s="22"/>
      <c r="D582" s="20"/>
      <c r="G582" s="1"/>
    </row>
    <row r="584" spans="1:7" x14ac:dyDescent="0.25">
      <c r="A584" s="40" t="s">
        <v>13</v>
      </c>
      <c r="B584" s="40"/>
      <c r="C584" s="40"/>
      <c r="D584" s="40"/>
      <c r="G584" s="1"/>
    </row>
    <row r="585" spans="1:7" x14ac:dyDescent="0.25">
      <c r="A585" s="41" t="s">
        <v>14</v>
      </c>
      <c r="B585" s="41"/>
      <c r="C585" s="41"/>
      <c r="D585" s="41"/>
      <c r="G585" s="1"/>
    </row>
    <row r="586" spans="1:7" x14ac:dyDescent="0.25">
      <c r="A586" s="42">
        <v>45825</v>
      </c>
      <c r="B586" s="42"/>
      <c r="C586" s="42"/>
      <c r="D586" s="42"/>
      <c r="G586" s="1"/>
    </row>
    <row r="587" spans="1:7" x14ac:dyDescent="0.25">
      <c r="A587" s="13"/>
      <c r="B587" s="13"/>
      <c r="C587" s="13"/>
      <c r="D587" s="13"/>
      <c r="G587" s="1"/>
    </row>
    <row r="588" spans="1:7" x14ac:dyDescent="0.25">
      <c r="A588" s="14"/>
      <c r="B588" s="15"/>
      <c r="C588" s="15"/>
      <c r="D588" s="16"/>
      <c r="F588" s="5" t="s">
        <v>26</v>
      </c>
      <c r="G588" s="1">
        <f>D630-D581</f>
        <v>5997500</v>
      </c>
    </row>
    <row r="589" spans="1:7" x14ac:dyDescent="0.25">
      <c r="A589" s="17"/>
      <c r="D589" s="32" t="s">
        <v>16</v>
      </c>
      <c r="G589" s="1"/>
    </row>
    <row r="590" spans="1:7" x14ac:dyDescent="0.25">
      <c r="A590" s="23" t="s">
        <v>15</v>
      </c>
      <c r="D590" s="18" t="s">
        <v>17</v>
      </c>
      <c r="F590" s="26" t="s">
        <v>27</v>
      </c>
      <c r="G590" s="1"/>
    </row>
    <row r="591" spans="1:7" x14ac:dyDescent="0.25">
      <c r="A591" s="17"/>
      <c r="B591" s="24" t="s">
        <v>18</v>
      </c>
      <c r="D591" s="19"/>
      <c r="F591" s="27" t="s">
        <v>28</v>
      </c>
      <c r="G591" s="1"/>
    </row>
    <row r="592" spans="1:7" x14ac:dyDescent="0.25">
      <c r="A592" s="17"/>
      <c r="C592" s="2" t="s">
        <v>31</v>
      </c>
      <c r="D592" s="19">
        <v>126178058.54000001</v>
      </c>
      <c r="F592" t="s">
        <v>185</v>
      </c>
      <c r="G592" s="1">
        <v>7630000</v>
      </c>
    </row>
    <row r="593" spans="1:7" x14ac:dyDescent="0.25">
      <c r="A593" s="17"/>
      <c r="C593" s="2" t="s">
        <v>32</v>
      </c>
      <c r="D593" s="19">
        <v>76945798.510000005</v>
      </c>
      <c r="F593" t="s">
        <v>90</v>
      </c>
      <c r="G593" s="1">
        <v>617500</v>
      </c>
    </row>
    <row r="594" spans="1:7" x14ac:dyDescent="0.25">
      <c r="A594" s="17"/>
      <c r="C594" s="2" t="s">
        <v>33</v>
      </c>
      <c r="D594" s="19">
        <v>120180045.40000001</v>
      </c>
      <c r="G594" s="30">
        <f>SUM(G592:G593)</f>
        <v>8247500</v>
      </c>
    </row>
    <row r="595" spans="1:7" x14ac:dyDescent="0.25">
      <c r="A595" s="17"/>
      <c r="C595" s="2" t="s">
        <v>34</v>
      </c>
      <c r="D595" s="19">
        <v>-41661884</v>
      </c>
      <c r="F595" s="28" t="s">
        <v>29</v>
      </c>
      <c r="G595" s="1"/>
    </row>
    <row r="596" spans="1:7" x14ac:dyDescent="0.25">
      <c r="A596" s="17"/>
      <c r="C596" s="2" t="s">
        <v>35</v>
      </c>
      <c r="D596" s="19">
        <v>16250</v>
      </c>
      <c r="F596" t="s">
        <v>2</v>
      </c>
      <c r="G596" s="1">
        <v>2250000</v>
      </c>
    </row>
    <row r="597" spans="1:7" x14ac:dyDescent="0.25">
      <c r="A597" s="17"/>
      <c r="C597" s="2" t="s">
        <v>36</v>
      </c>
      <c r="D597" s="19">
        <v>193599148.59999999</v>
      </c>
      <c r="G597" s="30">
        <f>SUM(G596:G596)</f>
        <v>2250000</v>
      </c>
    </row>
    <row r="598" spans="1:7" x14ac:dyDescent="0.25">
      <c r="A598" s="17"/>
      <c r="C598" s="2" t="s">
        <v>37</v>
      </c>
      <c r="D598" s="19">
        <v>158294572</v>
      </c>
    </row>
    <row r="599" spans="1:7" x14ac:dyDescent="0.25">
      <c r="A599" s="17"/>
      <c r="C599" s="2" t="s">
        <v>51</v>
      </c>
      <c r="D599" s="20">
        <v>130317</v>
      </c>
      <c r="F599" s="28" t="s">
        <v>30</v>
      </c>
      <c r="G599" s="29">
        <f>G594-G597</f>
        <v>5997500</v>
      </c>
    </row>
    <row r="600" spans="1:7" x14ac:dyDescent="0.25">
      <c r="A600" s="17"/>
      <c r="B600" s="24" t="s">
        <v>19</v>
      </c>
      <c r="D600" s="19">
        <f>SUM(D592:D599)</f>
        <v>633682306.05000007</v>
      </c>
    </row>
    <row r="601" spans="1:7" x14ac:dyDescent="0.25">
      <c r="A601" s="17"/>
      <c r="D601" s="19"/>
    </row>
    <row r="602" spans="1:7" x14ac:dyDescent="0.25">
      <c r="A602" s="17"/>
      <c r="B602" s="24" t="s">
        <v>20</v>
      </c>
      <c r="D602" s="19"/>
    </row>
    <row r="603" spans="1:7" x14ac:dyDescent="0.25">
      <c r="A603" s="17"/>
      <c r="C603" t="s">
        <v>7</v>
      </c>
      <c r="D603" s="19">
        <v>2895793755</v>
      </c>
    </row>
    <row r="604" spans="1:7" x14ac:dyDescent="0.25">
      <c r="A604" s="17"/>
      <c r="C604" t="s">
        <v>47</v>
      </c>
      <c r="D604" s="19">
        <v>20595000</v>
      </c>
    </row>
    <row r="605" spans="1:7" x14ac:dyDescent="0.25">
      <c r="A605" s="17"/>
      <c r="C605" t="s">
        <v>21</v>
      </c>
      <c r="D605" s="19">
        <v>977367500</v>
      </c>
    </row>
    <row r="606" spans="1:7" x14ac:dyDescent="0.25">
      <c r="A606" s="17"/>
      <c r="C606" t="s">
        <v>715</v>
      </c>
      <c r="D606" s="19">
        <v>247050000</v>
      </c>
    </row>
    <row r="607" spans="1:7" x14ac:dyDescent="0.25">
      <c r="A607" s="17"/>
      <c r="C607" t="s">
        <v>45</v>
      </c>
      <c r="D607" s="19">
        <v>25000000</v>
      </c>
    </row>
    <row r="608" spans="1:7" x14ac:dyDescent="0.25">
      <c r="A608" s="17"/>
      <c r="C608" t="s">
        <v>48</v>
      </c>
      <c r="D608" s="19">
        <v>30000000</v>
      </c>
    </row>
    <row r="609" spans="1:7" x14ac:dyDescent="0.25">
      <c r="A609" s="17"/>
      <c r="C609" t="s">
        <v>68</v>
      </c>
      <c r="D609" s="19">
        <v>141000000</v>
      </c>
    </row>
    <row r="610" spans="1:7" x14ac:dyDescent="0.25">
      <c r="A610" s="17"/>
      <c r="C610" t="s">
        <v>68</v>
      </c>
      <c r="D610" s="19">
        <v>145000000</v>
      </c>
    </row>
    <row r="611" spans="1:7" x14ac:dyDescent="0.25">
      <c r="A611" s="17"/>
      <c r="C611" t="s">
        <v>518</v>
      </c>
      <c r="D611" s="19">
        <v>100000000</v>
      </c>
    </row>
    <row r="612" spans="1:7" x14ac:dyDescent="0.25">
      <c r="A612" s="17"/>
      <c r="C612" t="s">
        <v>658</v>
      </c>
      <c r="D612" s="19">
        <v>154880000</v>
      </c>
      <c r="G612" s="1"/>
    </row>
    <row r="613" spans="1:7" x14ac:dyDescent="0.25">
      <c r="A613" s="17"/>
      <c r="C613" t="s">
        <v>643</v>
      </c>
      <c r="D613" s="19">
        <v>156395550</v>
      </c>
      <c r="G613" s="1"/>
    </row>
    <row r="614" spans="1:7" x14ac:dyDescent="0.25">
      <c r="A614" s="17"/>
      <c r="C614" t="s">
        <v>703</v>
      </c>
      <c r="D614" s="19">
        <v>304750000</v>
      </c>
      <c r="G614" s="1"/>
    </row>
    <row r="615" spans="1:7" x14ac:dyDescent="0.25">
      <c r="A615" s="17"/>
      <c r="C615" t="s">
        <v>654</v>
      </c>
      <c r="D615" s="20">
        <v>60125000</v>
      </c>
      <c r="G615" s="1"/>
    </row>
    <row r="616" spans="1:7" x14ac:dyDescent="0.25">
      <c r="A616" s="17"/>
      <c r="D616" s="19">
        <f>SUM(D603:D615)</f>
        <v>5257956805</v>
      </c>
      <c r="G616" s="1"/>
    </row>
    <row r="617" spans="1:7" x14ac:dyDescent="0.25">
      <c r="A617" s="17"/>
      <c r="D617" s="19"/>
      <c r="G617" s="1"/>
    </row>
    <row r="618" spans="1:7" x14ac:dyDescent="0.25">
      <c r="A618" s="17"/>
      <c r="B618" s="24" t="s">
        <v>46</v>
      </c>
      <c r="D618" s="19"/>
      <c r="G618" s="1"/>
    </row>
    <row r="619" spans="1:7" x14ac:dyDescent="0.25">
      <c r="A619" s="17"/>
      <c r="B619" s="24"/>
      <c r="C619" t="s">
        <v>721</v>
      </c>
      <c r="D619" s="19">
        <f>154*602500</f>
        <v>92785000</v>
      </c>
      <c r="G619" s="1"/>
    </row>
    <row r="620" spans="1:7" x14ac:dyDescent="0.25">
      <c r="A620" s="17"/>
      <c r="B620" s="24"/>
      <c r="C620" t="s">
        <v>227</v>
      </c>
      <c r="D620" s="20">
        <f>10*602500</f>
        <v>6025000</v>
      </c>
      <c r="G620" s="1"/>
    </row>
    <row r="621" spans="1:7" x14ac:dyDescent="0.25">
      <c r="A621" s="17"/>
      <c r="D621" s="19">
        <f>SUM(D619:D620)</f>
        <v>98810000</v>
      </c>
      <c r="G621" s="1"/>
    </row>
    <row r="622" spans="1:7" x14ac:dyDescent="0.25">
      <c r="A622" s="17"/>
      <c r="D622" s="19"/>
      <c r="G622" s="1"/>
    </row>
    <row r="623" spans="1:7" x14ac:dyDescent="0.25">
      <c r="A623" s="23" t="s">
        <v>22</v>
      </c>
      <c r="D623" s="19"/>
      <c r="G623" s="1"/>
    </row>
    <row r="624" spans="1:7" x14ac:dyDescent="0.25">
      <c r="A624" s="17"/>
      <c r="C624" t="s">
        <v>23</v>
      </c>
      <c r="D624" s="19">
        <v>2679350000</v>
      </c>
      <c r="G624" s="1"/>
    </row>
    <row r="625" spans="1:7" x14ac:dyDescent="0.25">
      <c r="A625" s="17"/>
      <c r="C625" t="s">
        <v>24</v>
      </c>
      <c r="D625" s="19">
        <v>1537985000</v>
      </c>
      <c r="G625" s="1"/>
    </row>
    <row r="626" spans="1:7" x14ac:dyDescent="0.25">
      <c r="A626" s="17"/>
      <c r="C626" t="s">
        <v>602</v>
      </c>
      <c r="D626" s="19">
        <v>89000000</v>
      </c>
      <c r="G626" s="1"/>
    </row>
    <row r="627" spans="1:7" x14ac:dyDescent="0.25">
      <c r="A627" s="17"/>
      <c r="C627" t="s">
        <v>111</v>
      </c>
      <c r="D627" s="20">
        <v>82800000</v>
      </c>
      <c r="G627" s="1"/>
    </row>
    <row r="628" spans="1:7" x14ac:dyDescent="0.25">
      <c r="A628" s="17"/>
      <c r="D628" s="19">
        <f>SUM(D624:D627)</f>
        <v>4389135000</v>
      </c>
      <c r="G628" s="1"/>
    </row>
    <row r="629" spans="1:7" x14ac:dyDescent="0.25">
      <c r="A629" s="17"/>
      <c r="D629" s="19"/>
      <c r="G629" s="1"/>
    </row>
    <row r="630" spans="1:7" x14ac:dyDescent="0.25">
      <c r="A630" s="43" t="s">
        <v>25</v>
      </c>
      <c r="B630" s="44"/>
      <c r="C630" s="44"/>
      <c r="D630" s="25">
        <f>D600+D616+D621-D628</f>
        <v>1601314111.0500002</v>
      </c>
      <c r="G630" s="1"/>
    </row>
    <row r="631" spans="1:7" x14ac:dyDescent="0.25">
      <c r="A631" s="21"/>
      <c r="B631" s="22"/>
      <c r="C631" s="22"/>
      <c r="D631" s="20"/>
      <c r="G631" s="1"/>
    </row>
    <row r="633" spans="1:7" x14ac:dyDescent="0.25">
      <c r="A633" s="40" t="s">
        <v>13</v>
      </c>
      <c r="B633" s="40"/>
      <c r="C633" s="40"/>
      <c r="D633" s="40"/>
      <c r="G633" s="1"/>
    </row>
    <row r="634" spans="1:7" x14ac:dyDescent="0.25">
      <c r="A634" s="41" t="s">
        <v>14</v>
      </c>
      <c r="B634" s="41"/>
      <c r="C634" s="41"/>
      <c r="D634" s="41"/>
      <c r="G634" s="1"/>
    </row>
    <row r="635" spans="1:7" x14ac:dyDescent="0.25">
      <c r="A635" s="42">
        <v>45826</v>
      </c>
      <c r="B635" s="42"/>
      <c r="C635" s="42"/>
      <c r="D635" s="42"/>
      <c r="G635" s="1"/>
    </row>
    <row r="636" spans="1:7" x14ac:dyDescent="0.25">
      <c r="A636" s="13"/>
      <c r="B636" s="13"/>
      <c r="C636" s="13"/>
      <c r="D636" s="13"/>
      <c r="G636" s="1"/>
    </row>
    <row r="637" spans="1:7" x14ac:dyDescent="0.25">
      <c r="A637" s="14"/>
      <c r="B637" s="15"/>
      <c r="C637" s="15"/>
      <c r="D637" s="16"/>
      <c r="F637" s="5" t="s">
        <v>26</v>
      </c>
      <c r="G637" s="1">
        <f>D680-D630</f>
        <v>2418000</v>
      </c>
    </row>
    <row r="638" spans="1:7" x14ac:dyDescent="0.25">
      <c r="A638" s="17"/>
      <c r="D638" s="32" t="s">
        <v>16</v>
      </c>
      <c r="G638" s="1"/>
    </row>
    <row r="639" spans="1:7" x14ac:dyDescent="0.25">
      <c r="A639" s="23" t="s">
        <v>15</v>
      </c>
      <c r="D639" s="18" t="s">
        <v>17</v>
      </c>
      <c r="F639" s="26" t="s">
        <v>27</v>
      </c>
      <c r="G639" s="1"/>
    </row>
    <row r="640" spans="1:7" x14ac:dyDescent="0.25">
      <c r="A640" s="17"/>
      <c r="B640" s="24" t="s">
        <v>18</v>
      </c>
      <c r="D640" s="19"/>
      <c r="F640" s="27" t="s">
        <v>28</v>
      </c>
      <c r="G640" s="1"/>
    </row>
    <row r="641" spans="1:10" x14ac:dyDescent="0.25">
      <c r="A641" s="17"/>
      <c r="C641" s="2" t="s">
        <v>31</v>
      </c>
      <c r="D641" s="19">
        <v>122088058.54000001</v>
      </c>
      <c r="F641" t="s">
        <v>191</v>
      </c>
      <c r="G641" s="1">
        <v>4670000</v>
      </c>
    </row>
    <row r="642" spans="1:10" x14ac:dyDescent="0.25">
      <c r="A642" s="17"/>
      <c r="C642" s="2" t="s">
        <v>32</v>
      </c>
      <c r="D642" s="19">
        <v>76945798.510000005</v>
      </c>
      <c r="F642" t="s">
        <v>90</v>
      </c>
      <c r="G642" s="1">
        <v>170000</v>
      </c>
    </row>
    <row r="643" spans="1:10" x14ac:dyDescent="0.25">
      <c r="A643" s="17"/>
      <c r="C643" s="2" t="s">
        <v>33</v>
      </c>
      <c r="D643" s="19">
        <v>381985545.39999998</v>
      </c>
      <c r="F643" t="s">
        <v>724</v>
      </c>
      <c r="G643" s="1">
        <v>280500</v>
      </c>
    </row>
    <row r="644" spans="1:10" x14ac:dyDescent="0.25">
      <c r="A644" s="17"/>
      <c r="C644" s="2" t="s">
        <v>34</v>
      </c>
      <c r="D644" s="19">
        <v>9588116</v>
      </c>
      <c r="G644" s="30">
        <f>SUM(G641:G643)</f>
        <v>5120500</v>
      </c>
    </row>
    <row r="645" spans="1:10" x14ac:dyDescent="0.25">
      <c r="A645" s="17"/>
      <c r="C645" s="2" t="s">
        <v>35</v>
      </c>
      <c r="D645" s="19">
        <v>16250</v>
      </c>
      <c r="F645" s="28" t="s">
        <v>29</v>
      </c>
      <c r="G645" s="1"/>
      <c r="J645" s="38"/>
    </row>
    <row r="646" spans="1:10" x14ac:dyDescent="0.25">
      <c r="A646" s="17"/>
      <c r="C646" s="2" t="s">
        <v>36</v>
      </c>
      <c r="D646" s="19">
        <v>196299148.59999999</v>
      </c>
      <c r="F646" t="s">
        <v>161</v>
      </c>
      <c r="G646" s="1">
        <v>2500</v>
      </c>
    </row>
    <row r="647" spans="1:10" x14ac:dyDescent="0.25">
      <c r="A647" s="17"/>
      <c r="C647" s="2" t="s">
        <v>37</v>
      </c>
      <c r="D647" s="19">
        <v>139656072</v>
      </c>
      <c r="F647" t="s">
        <v>725</v>
      </c>
      <c r="G647" s="1">
        <v>2700000</v>
      </c>
    </row>
    <row r="648" spans="1:10" x14ac:dyDescent="0.25">
      <c r="A648" s="17"/>
      <c r="C648" s="2" t="s">
        <v>51</v>
      </c>
      <c r="D648" s="20">
        <v>130317</v>
      </c>
      <c r="G648" s="30">
        <f>SUM(G646:G647)</f>
        <v>2702500</v>
      </c>
    </row>
    <row r="649" spans="1:10" x14ac:dyDescent="0.25">
      <c r="A649" s="17"/>
      <c r="B649" s="24" t="s">
        <v>19</v>
      </c>
      <c r="D649" s="19">
        <f>SUM(D641:D648)</f>
        <v>926709306.05000007</v>
      </c>
    </row>
    <row r="650" spans="1:10" x14ac:dyDescent="0.25">
      <c r="A650" s="17"/>
      <c r="D650" s="19"/>
      <c r="F650" s="28" t="s">
        <v>30</v>
      </c>
      <c r="G650" s="29">
        <f>G644-G648</f>
        <v>2418000</v>
      </c>
    </row>
    <row r="651" spans="1:10" x14ac:dyDescent="0.25">
      <c r="A651" s="17"/>
      <c r="B651" s="24" t="s">
        <v>20</v>
      </c>
      <c r="D651" s="19"/>
    </row>
    <row r="652" spans="1:10" x14ac:dyDescent="0.25">
      <c r="A652" s="17"/>
      <c r="C652" t="s">
        <v>7</v>
      </c>
      <c r="D652" s="19">
        <v>3402958755</v>
      </c>
    </row>
    <row r="653" spans="1:10" x14ac:dyDescent="0.25">
      <c r="A653" s="17"/>
      <c r="C653" t="s">
        <v>47</v>
      </c>
      <c r="D653" s="19">
        <v>23175000</v>
      </c>
    </row>
    <row r="654" spans="1:10" x14ac:dyDescent="0.25">
      <c r="A654" s="17"/>
      <c r="C654" t="s">
        <v>21</v>
      </c>
      <c r="D654" s="19">
        <v>872153500</v>
      </c>
    </row>
    <row r="655" spans="1:10" x14ac:dyDescent="0.25">
      <c r="A655" s="17"/>
      <c r="C655" t="s">
        <v>715</v>
      </c>
      <c r="D655" s="19">
        <v>247050000</v>
      </c>
    </row>
    <row r="656" spans="1:10" x14ac:dyDescent="0.25">
      <c r="A656" s="17"/>
      <c r="C656" t="s">
        <v>45</v>
      </c>
      <c r="D656" s="19">
        <v>25000000</v>
      </c>
    </row>
    <row r="657" spans="1:7" x14ac:dyDescent="0.25">
      <c r="A657" s="17"/>
      <c r="C657" t="s">
        <v>48</v>
      </c>
      <c r="D657" s="19">
        <v>30000000</v>
      </c>
    </row>
    <row r="658" spans="1:7" x14ac:dyDescent="0.25">
      <c r="A658" s="17"/>
      <c r="C658" t="s">
        <v>68</v>
      </c>
      <c r="D658" s="19">
        <v>141000000</v>
      </c>
    </row>
    <row r="659" spans="1:7" x14ac:dyDescent="0.25">
      <c r="A659" s="17"/>
      <c r="C659" t="s">
        <v>68</v>
      </c>
      <c r="D659" s="19">
        <v>145000000</v>
      </c>
    </row>
    <row r="660" spans="1:7" x14ac:dyDescent="0.25">
      <c r="A660" s="17"/>
      <c r="C660" t="s">
        <v>518</v>
      </c>
      <c r="D660" s="19">
        <v>100000000</v>
      </c>
    </row>
    <row r="661" spans="1:7" x14ac:dyDescent="0.25">
      <c r="A661" s="17"/>
      <c r="C661" t="s">
        <v>658</v>
      </c>
      <c r="D661" s="19">
        <v>154880000</v>
      </c>
      <c r="G661" s="1"/>
    </row>
    <row r="662" spans="1:7" x14ac:dyDescent="0.25">
      <c r="A662" s="17"/>
      <c r="C662" t="s">
        <v>643</v>
      </c>
      <c r="D662" s="19">
        <v>156395550</v>
      </c>
      <c r="G662" s="1"/>
    </row>
    <row r="663" spans="1:7" x14ac:dyDescent="0.25">
      <c r="A663" s="17"/>
      <c r="C663" t="s">
        <v>703</v>
      </c>
      <c r="D663" s="19">
        <v>304750000</v>
      </c>
      <c r="G663" s="1"/>
    </row>
    <row r="664" spans="1:7" x14ac:dyDescent="0.25">
      <c r="A664" s="17"/>
      <c r="C664" t="s">
        <v>654</v>
      </c>
      <c r="D664" s="20">
        <v>60125000</v>
      </c>
      <c r="G664" s="1"/>
    </row>
    <row r="665" spans="1:7" x14ac:dyDescent="0.25">
      <c r="A665" s="17"/>
      <c r="D665" s="19">
        <f>SUM(D652:D664)</f>
        <v>5662487805</v>
      </c>
      <c r="G665" s="1"/>
    </row>
    <row r="666" spans="1:7" x14ac:dyDescent="0.25">
      <c r="A666" s="17"/>
      <c r="D666" s="19"/>
      <c r="G666" s="1"/>
    </row>
    <row r="667" spans="1:7" x14ac:dyDescent="0.25">
      <c r="A667" s="17"/>
      <c r="B667" s="24" t="s">
        <v>46</v>
      </c>
      <c r="D667" s="19"/>
      <c r="G667" s="1"/>
    </row>
    <row r="668" spans="1:7" x14ac:dyDescent="0.25">
      <c r="A668" s="17"/>
      <c r="B668" s="24"/>
      <c r="C668" t="s">
        <v>723</v>
      </c>
      <c r="D668" s="19">
        <f>150*602500</f>
        <v>90375000</v>
      </c>
      <c r="G668" s="1"/>
    </row>
    <row r="669" spans="1:7" x14ac:dyDescent="0.25">
      <c r="A669" s="17"/>
      <c r="B669" s="24"/>
      <c r="C669" t="s">
        <v>426</v>
      </c>
      <c r="D669" s="19">
        <f>2*602500</f>
        <v>1205000</v>
      </c>
      <c r="G669" s="1"/>
    </row>
    <row r="670" spans="1:7" x14ac:dyDescent="0.25">
      <c r="A670" s="17"/>
      <c r="B670" s="24"/>
      <c r="C670" t="s">
        <v>740</v>
      </c>
      <c r="D670" s="20">
        <f>8*602500</f>
        <v>4820000</v>
      </c>
      <c r="G670" s="1"/>
    </row>
    <row r="671" spans="1:7" x14ac:dyDescent="0.25">
      <c r="A671" s="17"/>
      <c r="D671" s="19">
        <f>SUM(D668:D670)</f>
        <v>96400000</v>
      </c>
      <c r="G671" s="1"/>
    </row>
    <row r="672" spans="1:7" x14ac:dyDescent="0.25">
      <c r="A672" s="17"/>
      <c r="D672" s="19"/>
      <c r="G672" s="1"/>
    </row>
    <row r="673" spans="1:7" x14ac:dyDescent="0.25">
      <c r="A673" s="23" t="s">
        <v>22</v>
      </c>
      <c r="D673" s="19"/>
      <c r="G673" s="1"/>
    </row>
    <row r="674" spans="1:7" x14ac:dyDescent="0.25">
      <c r="A674" s="17"/>
      <c r="C674" t="s">
        <v>23</v>
      </c>
      <c r="D674" s="19">
        <v>3004800000</v>
      </c>
      <c r="G674" s="1"/>
    </row>
    <row r="675" spans="1:7" x14ac:dyDescent="0.25">
      <c r="A675" s="17"/>
      <c r="C675" t="s">
        <v>24</v>
      </c>
      <c r="D675" s="19">
        <v>1905265000</v>
      </c>
      <c r="G675" s="1"/>
    </row>
    <row r="676" spans="1:7" x14ac:dyDescent="0.25">
      <c r="A676" s="17"/>
      <c r="C676" t="s">
        <v>602</v>
      </c>
      <c r="D676" s="19">
        <v>89000000</v>
      </c>
      <c r="G676" s="1"/>
    </row>
    <row r="677" spans="1:7" x14ac:dyDescent="0.25">
      <c r="A677" s="17"/>
      <c r="C677" t="s">
        <v>111</v>
      </c>
      <c r="D677" s="20">
        <v>82800000</v>
      </c>
      <c r="G677" s="1"/>
    </row>
    <row r="678" spans="1:7" x14ac:dyDescent="0.25">
      <c r="A678" s="17"/>
      <c r="D678" s="19">
        <f>SUM(D674:D677)</f>
        <v>5081865000</v>
      </c>
      <c r="G678" s="1"/>
    </row>
    <row r="679" spans="1:7" x14ac:dyDescent="0.25">
      <c r="A679" s="17"/>
      <c r="D679" s="19"/>
      <c r="G679" s="1"/>
    </row>
    <row r="680" spans="1:7" x14ac:dyDescent="0.25">
      <c r="A680" s="43" t="s">
        <v>25</v>
      </c>
      <c r="B680" s="44"/>
      <c r="C680" s="44"/>
      <c r="D680" s="25">
        <f>D649+D665+D671-D678</f>
        <v>1603732111.0500002</v>
      </c>
      <c r="G680" s="1"/>
    </row>
    <row r="681" spans="1:7" x14ac:dyDescent="0.25">
      <c r="A681" s="21"/>
      <c r="B681" s="22"/>
      <c r="C681" s="22"/>
      <c r="D681" s="20"/>
      <c r="G681" s="1"/>
    </row>
    <row r="683" spans="1:7" x14ac:dyDescent="0.25">
      <c r="A683" s="40" t="s">
        <v>13</v>
      </c>
      <c r="B683" s="40"/>
      <c r="C683" s="40"/>
      <c r="D683" s="40"/>
      <c r="G683" s="1"/>
    </row>
    <row r="684" spans="1:7" x14ac:dyDescent="0.25">
      <c r="A684" s="41" t="s">
        <v>14</v>
      </c>
      <c r="B684" s="41"/>
      <c r="C684" s="41"/>
      <c r="D684" s="41"/>
      <c r="G684" s="1"/>
    </row>
    <row r="685" spans="1:7" x14ac:dyDescent="0.25">
      <c r="A685" s="42">
        <v>45827</v>
      </c>
      <c r="B685" s="42"/>
      <c r="C685" s="42"/>
      <c r="D685" s="42"/>
      <c r="G685" s="1"/>
    </row>
    <row r="686" spans="1:7" x14ac:dyDescent="0.25">
      <c r="A686" s="13"/>
      <c r="B686" s="13"/>
      <c r="C686" s="13"/>
      <c r="D686" s="13"/>
      <c r="G686" s="1"/>
    </row>
    <row r="687" spans="1:7" x14ac:dyDescent="0.25">
      <c r="A687" s="14"/>
      <c r="B687" s="15"/>
      <c r="C687" s="15"/>
      <c r="D687" s="16"/>
      <c r="F687" s="5" t="s">
        <v>26</v>
      </c>
      <c r="G687" s="1">
        <f>D731-D680</f>
        <v>487000</v>
      </c>
    </row>
    <row r="688" spans="1:7" x14ac:dyDescent="0.25">
      <c r="A688" s="17"/>
      <c r="D688" s="32" t="s">
        <v>16</v>
      </c>
      <c r="G688" s="1"/>
    </row>
    <row r="689" spans="1:7" x14ac:dyDescent="0.25">
      <c r="A689" s="23" t="s">
        <v>15</v>
      </c>
      <c r="D689" s="18" t="s">
        <v>17</v>
      </c>
      <c r="F689" s="26" t="s">
        <v>27</v>
      </c>
      <c r="G689" s="1"/>
    </row>
    <row r="690" spans="1:7" x14ac:dyDescent="0.25">
      <c r="A690" s="17"/>
      <c r="B690" s="24" t="s">
        <v>18</v>
      </c>
      <c r="D690" s="19"/>
      <c r="F690" s="27" t="s">
        <v>28</v>
      </c>
      <c r="G690" s="1"/>
    </row>
    <row r="691" spans="1:7" x14ac:dyDescent="0.25">
      <c r="A691" s="17"/>
      <c r="C691" s="2" t="s">
        <v>31</v>
      </c>
      <c r="D691" s="19">
        <v>11488058.539999999</v>
      </c>
      <c r="F691" t="s">
        <v>336</v>
      </c>
      <c r="G691" s="1">
        <v>300000</v>
      </c>
    </row>
    <row r="692" spans="1:7" x14ac:dyDescent="0.25">
      <c r="A692" s="17"/>
      <c r="C692" s="2" t="s">
        <v>32</v>
      </c>
      <c r="D692" s="19">
        <v>76945798.510000005</v>
      </c>
      <c r="F692" t="s">
        <v>726</v>
      </c>
      <c r="G692" s="1">
        <v>187000</v>
      </c>
    </row>
    <row r="693" spans="1:7" x14ac:dyDescent="0.25">
      <c r="A693" s="17"/>
      <c r="C693" s="2" t="s">
        <v>33</v>
      </c>
      <c r="D693" s="19">
        <v>314572545.39999998</v>
      </c>
      <c r="G693" s="30">
        <f>SUM(G691:G692)</f>
        <v>487000</v>
      </c>
    </row>
    <row r="694" spans="1:7" x14ac:dyDescent="0.25">
      <c r="A694" s="17"/>
      <c r="C694" s="2" t="s">
        <v>34</v>
      </c>
      <c r="D694" s="19">
        <v>38913116</v>
      </c>
      <c r="F694" s="28" t="s">
        <v>29</v>
      </c>
      <c r="G694" s="1"/>
    </row>
    <row r="695" spans="1:7" x14ac:dyDescent="0.25">
      <c r="A695" s="17"/>
      <c r="C695" s="2" t="s">
        <v>35</v>
      </c>
      <c r="D695" s="19">
        <v>16250</v>
      </c>
      <c r="G695" s="1">
        <v>0</v>
      </c>
    </row>
    <row r="696" spans="1:7" x14ac:dyDescent="0.25">
      <c r="A696" s="17"/>
      <c r="C696" s="2" t="s">
        <v>36</v>
      </c>
      <c r="D696" s="19">
        <v>196299148.59999999</v>
      </c>
      <c r="G696" s="30">
        <f>SUM(G695:G695)</f>
        <v>0</v>
      </c>
    </row>
    <row r="697" spans="1:7" x14ac:dyDescent="0.25">
      <c r="A697" s="17"/>
      <c r="C697" s="2" t="s">
        <v>37</v>
      </c>
      <c r="D697" s="19">
        <v>139656072</v>
      </c>
    </row>
    <row r="698" spans="1:7" x14ac:dyDescent="0.25">
      <c r="A698" s="17"/>
      <c r="C698" s="2" t="s">
        <v>51</v>
      </c>
      <c r="D698" s="20">
        <v>130317</v>
      </c>
      <c r="F698" s="28" t="s">
        <v>30</v>
      </c>
      <c r="G698" s="29">
        <f>G693-G696</f>
        <v>487000</v>
      </c>
    </row>
    <row r="699" spans="1:7" x14ac:dyDescent="0.25">
      <c r="A699" s="17"/>
      <c r="B699" s="24" t="s">
        <v>19</v>
      </c>
      <c r="D699" s="19">
        <f>SUM(D691:D698)</f>
        <v>778021306.04999995</v>
      </c>
    </row>
    <row r="700" spans="1:7" x14ac:dyDescent="0.25">
      <c r="A700" s="17"/>
      <c r="D700" s="19"/>
    </row>
    <row r="701" spans="1:7" x14ac:dyDescent="0.25">
      <c r="A701" s="17"/>
      <c r="B701" s="24" t="s">
        <v>20</v>
      </c>
      <c r="D701" s="19"/>
    </row>
    <row r="702" spans="1:7" x14ac:dyDescent="0.25">
      <c r="A702" s="17"/>
      <c r="C702" t="s">
        <v>7</v>
      </c>
      <c r="D702" s="19">
        <v>3140833755</v>
      </c>
    </row>
    <row r="703" spans="1:7" x14ac:dyDescent="0.25">
      <c r="A703" s="17"/>
      <c r="C703" t="s">
        <v>47</v>
      </c>
      <c r="D703" s="19">
        <v>23175000</v>
      </c>
    </row>
    <row r="704" spans="1:7" x14ac:dyDescent="0.25">
      <c r="A704" s="17"/>
      <c r="C704" t="s">
        <v>21</v>
      </c>
      <c r="D704" s="19">
        <v>872153500</v>
      </c>
    </row>
    <row r="705" spans="1:7" x14ac:dyDescent="0.25">
      <c r="A705" s="17"/>
      <c r="C705" t="s">
        <v>715</v>
      </c>
      <c r="D705" s="19">
        <v>247050000</v>
      </c>
    </row>
    <row r="706" spans="1:7" x14ac:dyDescent="0.25">
      <c r="A706" s="17"/>
      <c r="C706" t="s">
        <v>45</v>
      </c>
      <c r="D706" s="19">
        <v>25000000</v>
      </c>
    </row>
    <row r="707" spans="1:7" x14ac:dyDescent="0.25">
      <c r="A707" s="17"/>
      <c r="C707" t="s">
        <v>48</v>
      </c>
      <c r="D707" s="19">
        <v>30000000</v>
      </c>
    </row>
    <row r="708" spans="1:7" x14ac:dyDescent="0.25">
      <c r="A708" s="17"/>
      <c r="C708" t="s">
        <v>68</v>
      </c>
      <c r="D708" s="19">
        <v>141000000</v>
      </c>
    </row>
    <row r="709" spans="1:7" x14ac:dyDescent="0.25">
      <c r="A709" s="17"/>
      <c r="C709" t="s">
        <v>68</v>
      </c>
      <c r="D709" s="19">
        <v>145000000</v>
      </c>
    </row>
    <row r="710" spans="1:7" x14ac:dyDescent="0.25">
      <c r="A710" s="17"/>
      <c r="C710" t="s">
        <v>518</v>
      </c>
      <c r="D710" s="19">
        <v>100000000</v>
      </c>
    </row>
    <row r="711" spans="1:7" x14ac:dyDescent="0.25">
      <c r="A711" s="17"/>
      <c r="C711" t="s">
        <v>658</v>
      </c>
      <c r="D711" s="19">
        <v>154880000</v>
      </c>
      <c r="G711" s="1"/>
    </row>
    <row r="712" spans="1:7" x14ac:dyDescent="0.25">
      <c r="A712" s="17"/>
      <c r="C712" t="s">
        <v>643</v>
      </c>
      <c r="D712" s="19">
        <v>156395550</v>
      </c>
      <c r="G712" s="1"/>
    </row>
    <row r="713" spans="1:7" x14ac:dyDescent="0.25">
      <c r="A713" s="17"/>
      <c r="C713" t="s">
        <v>703</v>
      </c>
      <c r="D713" s="19">
        <v>304750000</v>
      </c>
      <c r="G713" s="1"/>
    </row>
    <row r="714" spans="1:7" x14ac:dyDescent="0.25">
      <c r="A714" s="17"/>
      <c r="C714" t="s">
        <v>727</v>
      </c>
      <c r="D714" s="19">
        <v>9300000</v>
      </c>
      <c r="G714" s="1"/>
    </row>
    <row r="715" spans="1:7" x14ac:dyDescent="0.25">
      <c r="A715" s="17"/>
      <c r="C715" t="s">
        <v>654</v>
      </c>
      <c r="D715" s="20">
        <v>60125000</v>
      </c>
      <c r="G715" s="1"/>
    </row>
    <row r="716" spans="1:7" x14ac:dyDescent="0.25">
      <c r="A716" s="17"/>
      <c r="D716" s="19">
        <f>SUM(D702:D715)</f>
        <v>5409662805</v>
      </c>
      <c r="G716" s="1"/>
    </row>
    <row r="717" spans="1:7" x14ac:dyDescent="0.25">
      <c r="A717" s="17"/>
      <c r="D717" s="19"/>
      <c r="G717" s="1"/>
    </row>
    <row r="718" spans="1:7" x14ac:dyDescent="0.25">
      <c r="A718" s="17"/>
      <c r="B718" s="24" t="s">
        <v>46</v>
      </c>
      <c r="D718" s="19"/>
      <c r="G718" s="1"/>
    </row>
    <row r="719" spans="1:7" x14ac:dyDescent="0.25">
      <c r="A719" s="17"/>
      <c r="B719" s="24"/>
      <c r="C719" t="s">
        <v>723</v>
      </c>
      <c r="D719" s="19">
        <f>150*602500</f>
        <v>90375000</v>
      </c>
      <c r="G719" s="1"/>
    </row>
    <row r="720" spans="1:7" x14ac:dyDescent="0.25">
      <c r="A720" s="17"/>
      <c r="B720" s="24"/>
      <c r="C720" t="s">
        <v>426</v>
      </c>
      <c r="D720" s="19">
        <f>2*602500</f>
        <v>1205000</v>
      </c>
      <c r="G720" s="1"/>
    </row>
    <row r="721" spans="1:7" x14ac:dyDescent="0.25">
      <c r="A721" s="17"/>
      <c r="B721" s="24"/>
      <c r="C721" t="s">
        <v>740</v>
      </c>
      <c r="D721" s="20">
        <f>8*602500</f>
        <v>4820000</v>
      </c>
      <c r="G721" s="1"/>
    </row>
    <row r="722" spans="1:7" x14ac:dyDescent="0.25">
      <c r="A722" s="17"/>
      <c r="D722" s="19">
        <f>SUM(D719:D721)</f>
        <v>96400000</v>
      </c>
      <c r="G722" s="1"/>
    </row>
    <row r="723" spans="1:7" x14ac:dyDescent="0.25">
      <c r="A723" s="17"/>
      <c r="D723" s="19"/>
      <c r="G723" s="1"/>
    </row>
    <row r="724" spans="1:7" x14ac:dyDescent="0.25">
      <c r="A724" s="23" t="s">
        <v>22</v>
      </c>
      <c r="D724" s="19"/>
      <c r="G724" s="1"/>
    </row>
    <row r="725" spans="1:7" x14ac:dyDescent="0.25">
      <c r="A725" s="17"/>
      <c r="C725" t="s">
        <v>23</v>
      </c>
      <c r="D725" s="19">
        <v>2602800000</v>
      </c>
      <c r="G725" s="1"/>
    </row>
    <row r="726" spans="1:7" x14ac:dyDescent="0.25">
      <c r="A726" s="17"/>
      <c r="C726" t="s">
        <v>24</v>
      </c>
      <c r="D726" s="19">
        <v>1905265000</v>
      </c>
      <c r="G726" s="1"/>
    </row>
    <row r="727" spans="1:7" x14ac:dyDescent="0.25">
      <c r="A727" s="17"/>
      <c r="C727" t="s">
        <v>602</v>
      </c>
      <c r="D727" s="19">
        <v>89000000</v>
      </c>
      <c r="G727" s="1"/>
    </row>
    <row r="728" spans="1:7" x14ac:dyDescent="0.25">
      <c r="A728" s="17"/>
      <c r="C728" t="s">
        <v>111</v>
      </c>
      <c r="D728" s="20">
        <v>82800000</v>
      </c>
      <c r="G728" s="1"/>
    </row>
    <row r="729" spans="1:7" x14ac:dyDescent="0.25">
      <c r="A729" s="17"/>
      <c r="D729" s="19">
        <f>SUM(D725:D728)</f>
        <v>4679865000</v>
      </c>
      <c r="G729" s="1"/>
    </row>
    <row r="730" spans="1:7" x14ac:dyDescent="0.25">
      <c r="A730" s="17"/>
      <c r="D730" s="19"/>
      <c r="G730" s="1"/>
    </row>
    <row r="731" spans="1:7" x14ac:dyDescent="0.25">
      <c r="A731" s="43" t="s">
        <v>25</v>
      </c>
      <c r="B731" s="44"/>
      <c r="C731" s="44"/>
      <c r="D731" s="25">
        <f>D699+D716+D722-D729</f>
        <v>1604219111.0500002</v>
      </c>
      <c r="G731" s="1"/>
    </row>
    <row r="732" spans="1:7" x14ac:dyDescent="0.25">
      <c r="A732" s="21"/>
      <c r="B732" s="22"/>
      <c r="C732" s="22"/>
      <c r="D732" s="20"/>
      <c r="G732" s="1"/>
    </row>
    <row r="734" spans="1:7" x14ac:dyDescent="0.25">
      <c r="A734" s="40" t="s">
        <v>13</v>
      </c>
      <c r="B734" s="40"/>
      <c r="C734" s="40"/>
      <c r="D734" s="40"/>
      <c r="G734" s="1"/>
    </row>
    <row r="735" spans="1:7" x14ac:dyDescent="0.25">
      <c r="A735" s="41" t="s">
        <v>14</v>
      </c>
      <c r="B735" s="41"/>
      <c r="C735" s="41"/>
      <c r="D735" s="41"/>
      <c r="G735" s="1"/>
    </row>
    <row r="736" spans="1:7" x14ac:dyDescent="0.25">
      <c r="A736" s="42">
        <v>45828</v>
      </c>
      <c r="B736" s="42"/>
      <c r="C736" s="42"/>
      <c r="D736" s="42"/>
      <c r="G736" s="1"/>
    </row>
    <row r="737" spans="1:7" x14ac:dyDescent="0.25">
      <c r="A737" s="13"/>
      <c r="B737" s="13"/>
      <c r="C737" s="13"/>
      <c r="D737" s="13"/>
      <c r="G737" s="1"/>
    </row>
    <row r="738" spans="1:7" x14ac:dyDescent="0.25">
      <c r="A738" s="14"/>
      <c r="B738" s="15"/>
      <c r="C738" s="15"/>
      <c r="D738" s="16"/>
      <c r="F738" s="5" t="s">
        <v>26</v>
      </c>
      <c r="G738" s="1">
        <f>D781-D731</f>
        <v>-9609400</v>
      </c>
    </row>
    <row r="739" spans="1:7" x14ac:dyDescent="0.25">
      <c r="A739" s="17"/>
      <c r="D739" s="32" t="s">
        <v>16</v>
      </c>
      <c r="G739" s="1"/>
    </row>
    <row r="740" spans="1:7" x14ac:dyDescent="0.25">
      <c r="A740" s="23" t="s">
        <v>15</v>
      </c>
      <c r="D740" s="18" t="s">
        <v>17</v>
      </c>
      <c r="F740" s="26" t="s">
        <v>27</v>
      </c>
      <c r="G740" s="1"/>
    </row>
    <row r="741" spans="1:7" x14ac:dyDescent="0.25">
      <c r="A741" s="17"/>
      <c r="B741" s="24" t="s">
        <v>18</v>
      </c>
      <c r="D741" s="19"/>
      <c r="F741" s="27" t="s">
        <v>28</v>
      </c>
      <c r="G741" s="1"/>
    </row>
    <row r="742" spans="1:7" x14ac:dyDescent="0.25">
      <c r="A742" s="17"/>
      <c r="C742" s="2" t="s">
        <v>31</v>
      </c>
      <c r="D742" s="19">
        <v>13328058.539999999</v>
      </c>
      <c r="F742" t="s">
        <v>729</v>
      </c>
      <c r="G742" s="1">
        <v>150000</v>
      </c>
    </row>
    <row r="743" spans="1:7" x14ac:dyDescent="0.25">
      <c r="A743" s="17"/>
      <c r="C743" s="2" t="s">
        <v>32</v>
      </c>
      <c r="D743" s="19">
        <v>83525798.510000005</v>
      </c>
      <c r="F743" t="s">
        <v>90</v>
      </c>
      <c r="G743" s="1">
        <v>95000</v>
      </c>
    </row>
    <row r="744" spans="1:7" x14ac:dyDescent="0.25">
      <c r="A744" s="17"/>
      <c r="C744" s="2" t="s">
        <v>33</v>
      </c>
      <c r="D744" s="19">
        <v>267436545.40000001</v>
      </c>
      <c r="F744" t="s">
        <v>730</v>
      </c>
      <c r="G744" s="1">
        <v>276000</v>
      </c>
    </row>
    <row r="745" spans="1:7" x14ac:dyDescent="0.25">
      <c r="A745" s="17"/>
      <c r="C745" s="2" t="s">
        <v>34</v>
      </c>
      <c r="D745" s="19">
        <v>-40236884</v>
      </c>
      <c r="G745" s="30">
        <f>SUM(G742:G744)</f>
        <v>521000</v>
      </c>
    </row>
    <row r="746" spans="1:7" x14ac:dyDescent="0.25">
      <c r="A746" s="17"/>
      <c r="C746" s="2" t="s">
        <v>35</v>
      </c>
      <c r="D746" s="19">
        <v>16250</v>
      </c>
      <c r="F746" s="28" t="s">
        <v>29</v>
      </c>
      <c r="G746" s="1"/>
    </row>
    <row r="747" spans="1:7" x14ac:dyDescent="0.25">
      <c r="A747" s="17"/>
      <c r="C747" s="2" t="s">
        <v>36</v>
      </c>
      <c r="D747" s="19">
        <v>180261248.59999999</v>
      </c>
      <c r="F747" t="s">
        <v>731</v>
      </c>
      <c r="G747" s="1">
        <v>10130400</v>
      </c>
    </row>
    <row r="748" spans="1:7" x14ac:dyDescent="0.25">
      <c r="A748" s="17"/>
      <c r="C748" s="2" t="s">
        <v>37</v>
      </c>
      <c r="D748" s="19">
        <v>140128572</v>
      </c>
      <c r="G748" s="30">
        <f>SUM(G747:G747)</f>
        <v>10130400</v>
      </c>
    </row>
    <row r="749" spans="1:7" x14ac:dyDescent="0.25">
      <c r="A749" s="17"/>
      <c r="C749" s="2" t="s">
        <v>51</v>
      </c>
      <c r="D749" s="20">
        <v>130317</v>
      </c>
    </row>
    <row r="750" spans="1:7" x14ac:dyDescent="0.25">
      <c r="A750" s="17"/>
      <c r="B750" s="24" t="s">
        <v>19</v>
      </c>
      <c r="D750" s="19">
        <f>SUM(D742:D749)</f>
        <v>644589906.05000007</v>
      </c>
      <c r="F750" s="28" t="s">
        <v>30</v>
      </c>
      <c r="G750" s="29">
        <f>G745-G748</f>
        <v>-9609400</v>
      </c>
    </row>
    <row r="751" spans="1:7" x14ac:dyDescent="0.25">
      <c r="A751" s="17"/>
      <c r="D751" s="19"/>
    </row>
    <row r="752" spans="1:7" x14ac:dyDescent="0.25">
      <c r="A752" s="17"/>
      <c r="B752" s="24" t="s">
        <v>20</v>
      </c>
      <c r="D752" s="19"/>
    </row>
    <row r="753" spans="1:7" x14ac:dyDescent="0.25">
      <c r="A753" s="17"/>
      <c r="C753" t="s">
        <v>7</v>
      </c>
      <c r="D753" s="19">
        <v>2871833755</v>
      </c>
    </row>
    <row r="754" spans="1:7" x14ac:dyDescent="0.25">
      <c r="A754" s="17"/>
      <c r="C754" t="s">
        <v>47</v>
      </c>
      <c r="D754" s="19">
        <v>21895000</v>
      </c>
    </row>
    <row r="755" spans="1:7" x14ac:dyDescent="0.25">
      <c r="A755" s="17"/>
      <c r="C755" t="s">
        <v>21</v>
      </c>
      <c r="D755" s="19">
        <v>843781000</v>
      </c>
    </row>
    <row r="756" spans="1:7" x14ac:dyDescent="0.25">
      <c r="A756" s="17"/>
      <c r="C756" t="s">
        <v>715</v>
      </c>
      <c r="D756" s="19">
        <v>246510000</v>
      </c>
    </row>
    <row r="757" spans="1:7" x14ac:dyDescent="0.25">
      <c r="A757" s="17"/>
      <c r="C757" t="s">
        <v>45</v>
      </c>
      <c r="D757" s="19">
        <v>25000000</v>
      </c>
    </row>
    <row r="758" spans="1:7" x14ac:dyDescent="0.25">
      <c r="A758" s="17"/>
      <c r="C758" t="s">
        <v>48</v>
      </c>
      <c r="D758" s="19">
        <v>30000000</v>
      </c>
    </row>
    <row r="759" spans="1:7" x14ac:dyDescent="0.25">
      <c r="A759" s="17"/>
      <c r="C759" t="s">
        <v>68</v>
      </c>
      <c r="D759" s="19">
        <v>141000000</v>
      </c>
    </row>
    <row r="760" spans="1:7" x14ac:dyDescent="0.25">
      <c r="A760" s="17"/>
      <c r="C760" t="s">
        <v>68</v>
      </c>
      <c r="D760" s="19">
        <v>145000000</v>
      </c>
    </row>
    <row r="761" spans="1:7" x14ac:dyDescent="0.25">
      <c r="A761" s="17"/>
      <c r="C761" t="s">
        <v>518</v>
      </c>
      <c r="D761" s="19">
        <v>100000000</v>
      </c>
    </row>
    <row r="762" spans="1:7" x14ac:dyDescent="0.25">
      <c r="A762" s="17"/>
      <c r="C762" t="s">
        <v>658</v>
      </c>
      <c r="D762" s="19">
        <v>150880000</v>
      </c>
      <c r="G762" s="1"/>
    </row>
    <row r="763" spans="1:7" x14ac:dyDescent="0.25">
      <c r="A763" s="17"/>
      <c r="C763" t="s">
        <v>643</v>
      </c>
      <c r="D763" s="19">
        <v>156395550</v>
      </c>
      <c r="G763" s="1"/>
    </row>
    <row r="764" spans="1:7" x14ac:dyDescent="0.25">
      <c r="A764" s="17"/>
      <c r="C764" t="s">
        <v>703</v>
      </c>
      <c r="D764" s="19">
        <v>304750000</v>
      </c>
      <c r="G764" s="1"/>
    </row>
    <row r="765" spans="1:7" x14ac:dyDescent="0.25">
      <c r="A765" s="17"/>
      <c r="C765" t="s">
        <v>727</v>
      </c>
      <c r="D765" s="19">
        <v>9300000</v>
      </c>
      <c r="G765" s="1"/>
    </row>
    <row r="766" spans="1:7" x14ac:dyDescent="0.25">
      <c r="A766" s="17"/>
      <c r="C766" t="s">
        <v>732</v>
      </c>
      <c r="D766" s="19">
        <v>6207500</v>
      </c>
      <c r="G766" s="1"/>
    </row>
    <row r="767" spans="1:7" x14ac:dyDescent="0.25">
      <c r="A767" s="17"/>
      <c r="C767" t="s">
        <v>654</v>
      </c>
      <c r="D767" s="20">
        <v>60125000</v>
      </c>
      <c r="G767" s="1"/>
    </row>
    <row r="768" spans="1:7" x14ac:dyDescent="0.25">
      <c r="A768" s="17"/>
      <c r="D768" s="19">
        <f>SUM(D753:D767)</f>
        <v>5112677805</v>
      </c>
      <c r="G768" s="1"/>
    </row>
    <row r="769" spans="1:7" x14ac:dyDescent="0.25">
      <c r="A769" s="17"/>
      <c r="D769" s="19"/>
      <c r="G769" s="1"/>
    </row>
    <row r="770" spans="1:7" x14ac:dyDescent="0.25">
      <c r="A770" s="17"/>
      <c r="B770" s="24" t="s">
        <v>46</v>
      </c>
      <c r="D770" s="19"/>
      <c r="G770" s="1"/>
    </row>
    <row r="771" spans="1:7" x14ac:dyDescent="0.25">
      <c r="A771" s="17"/>
      <c r="B771" s="24"/>
      <c r="C771" t="s">
        <v>723</v>
      </c>
      <c r="D771" s="19">
        <f>150*602500</f>
        <v>90375000</v>
      </c>
      <c r="G771" s="1"/>
    </row>
    <row r="772" spans="1:7" x14ac:dyDescent="0.25">
      <c r="A772" s="17"/>
      <c r="B772" s="24"/>
      <c r="C772" t="s">
        <v>426</v>
      </c>
      <c r="D772" s="19">
        <f>2*602500</f>
        <v>1205000</v>
      </c>
      <c r="G772" s="1"/>
    </row>
    <row r="773" spans="1:7" x14ac:dyDescent="0.25">
      <c r="A773" s="17"/>
      <c r="B773" s="24"/>
      <c r="C773" t="s">
        <v>126</v>
      </c>
      <c r="D773" s="20">
        <f>6*602500</f>
        <v>3615000</v>
      </c>
      <c r="G773" s="1"/>
    </row>
    <row r="774" spans="1:7" x14ac:dyDescent="0.25">
      <c r="A774" s="17"/>
      <c r="D774" s="19">
        <f>SUM(D771:D773)</f>
        <v>95195000</v>
      </c>
      <c r="G774" s="1"/>
    </row>
    <row r="775" spans="1:7" x14ac:dyDescent="0.25">
      <c r="A775" s="17"/>
      <c r="D775" s="19"/>
      <c r="G775" s="1"/>
    </row>
    <row r="776" spans="1:7" x14ac:dyDescent="0.25">
      <c r="A776" s="23" t="s">
        <v>22</v>
      </c>
      <c r="D776" s="19"/>
      <c r="G776" s="1"/>
    </row>
    <row r="777" spans="1:7" x14ac:dyDescent="0.25">
      <c r="A777" s="17"/>
      <c r="C777" t="s">
        <v>23</v>
      </c>
      <c r="D777" s="19">
        <v>2499500000</v>
      </c>
      <c r="G777" s="1"/>
    </row>
    <row r="778" spans="1:7" x14ac:dyDescent="0.25">
      <c r="A778" s="17"/>
      <c r="C778" t="s">
        <v>24</v>
      </c>
      <c r="D778" s="20">
        <v>1758353000</v>
      </c>
      <c r="G778" s="1"/>
    </row>
    <row r="779" spans="1:7" x14ac:dyDescent="0.25">
      <c r="A779" s="17"/>
      <c r="D779" s="19">
        <f>SUM(D777:D778)</f>
        <v>4257853000</v>
      </c>
      <c r="G779" s="1"/>
    </row>
    <row r="780" spans="1:7" x14ac:dyDescent="0.25">
      <c r="A780" s="17"/>
      <c r="D780" s="19"/>
      <c r="G780" s="1"/>
    </row>
    <row r="781" spans="1:7" x14ac:dyDescent="0.25">
      <c r="A781" s="43" t="s">
        <v>25</v>
      </c>
      <c r="B781" s="44"/>
      <c r="C781" s="44"/>
      <c r="D781" s="25">
        <f>D750+D768+D774-D779</f>
        <v>1594609711.0500002</v>
      </c>
      <c r="G781" s="1"/>
    </row>
    <row r="782" spans="1:7" x14ac:dyDescent="0.25">
      <c r="A782" s="21"/>
      <c r="B782" s="22"/>
      <c r="C782" s="22"/>
      <c r="D782" s="20"/>
      <c r="G782" s="1"/>
    </row>
    <row r="784" spans="1:7" x14ac:dyDescent="0.25">
      <c r="A784" s="40" t="s">
        <v>13</v>
      </c>
      <c r="B784" s="40"/>
      <c r="C784" s="40"/>
      <c r="D784" s="40"/>
      <c r="G784" s="1"/>
    </row>
    <row r="785" spans="1:10" x14ac:dyDescent="0.25">
      <c r="A785" s="41" t="s">
        <v>14</v>
      </c>
      <c r="B785" s="41"/>
      <c r="C785" s="41"/>
      <c r="D785" s="41"/>
      <c r="G785" s="1"/>
    </row>
    <row r="786" spans="1:10" x14ac:dyDescent="0.25">
      <c r="A786" s="42">
        <v>45829</v>
      </c>
      <c r="B786" s="42"/>
      <c r="C786" s="42"/>
      <c r="D786" s="42"/>
      <c r="G786" s="1"/>
    </row>
    <row r="787" spans="1:10" x14ac:dyDescent="0.25">
      <c r="A787" s="13"/>
      <c r="B787" s="13"/>
      <c r="C787" s="13"/>
      <c r="D787" s="13"/>
      <c r="G787" s="1"/>
    </row>
    <row r="788" spans="1:10" x14ac:dyDescent="0.25">
      <c r="A788" s="14"/>
      <c r="B788" s="15"/>
      <c r="C788" s="15"/>
      <c r="D788" s="16"/>
      <c r="F788" s="5" t="s">
        <v>26</v>
      </c>
      <c r="G788" s="1">
        <f>D831-D781</f>
        <v>-5334513</v>
      </c>
    </row>
    <row r="789" spans="1:10" x14ac:dyDescent="0.25">
      <c r="A789" s="17"/>
      <c r="D789" s="32" t="s">
        <v>16</v>
      </c>
      <c r="G789" s="1"/>
    </row>
    <row r="790" spans="1:10" x14ac:dyDescent="0.25">
      <c r="A790" s="23" t="s">
        <v>15</v>
      </c>
      <c r="D790" s="18" t="s">
        <v>17</v>
      </c>
      <c r="F790" s="26" t="s">
        <v>27</v>
      </c>
      <c r="G790" s="1"/>
    </row>
    <row r="791" spans="1:10" x14ac:dyDescent="0.25">
      <c r="A791" s="17"/>
      <c r="B791" s="24" t="s">
        <v>18</v>
      </c>
      <c r="D791" s="19"/>
      <c r="F791" s="27" t="s">
        <v>28</v>
      </c>
      <c r="G791" s="1"/>
    </row>
    <row r="792" spans="1:10" x14ac:dyDescent="0.25">
      <c r="A792" s="17"/>
      <c r="C792" s="2" t="s">
        <v>31</v>
      </c>
      <c r="D792" s="19">
        <v>26183058.539999999</v>
      </c>
      <c r="F792" t="s">
        <v>204</v>
      </c>
      <c r="G792" s="1">
        <v>0</v>
      </c>
    </row>
    <row r="793" spans="1:10" x14ac:dyDescent="0.25">
      <c r="A793" s="17"/>
      <c r="C793" s="2" t="s">
        <v>32</v>
      </c>
      <c r="D793" s="19">
        <v>84805798.510000005</v>
      </c>
      <c r="F793" t="s">
        <v>733</v>
      </c>
      <c r="G793" s="1">
        <v>188000</v>
      </c>
    </row>
    <row r="794" spans="1:10" x14ac:dyDescent="0.25">
      <c r="A794" s="17"/>
      <c r="C794" s="2" t="s">
        <v>33</v>
      </c>
      <c r="D794" s="19">
        <v>515849545.39999998</v>
      </c>
      <c r="F794" t="s">
        <v>736</v>
      </c>
      <c r="G794" s="1">
        <v>2111435</v>
      </c>
    </row>
    <row r="795" spans="1:10" x14ac:dyDescent="0.25">
      <c r="A795" s="17"/>
      <c r="C795" s="2" t="s">
        <v>34</v>
      </c>
      <c r="D795" s="19">
        <v>-43486884</v>
      </c>
      <c r="F795" t="s">
        <v>647</v>
      </c>
      <c r="G795" s="1">
        <v>107787</v>
      </c>
    </row>
    <row r="796" spans="1:10" x14ac:dyDescent="0.25">
      <c r="A796" s="17"/>
      <c r="C796" s="2" t="s">
        <v>35</v>
      </c>
      <c r="D796" s="19">
        <v>8250</v>
      </c>
      <c r="F796" t="s">
        <v>734</v>
      </c>
      <c r="G796" s="1">
        <v>106</v>
      </c>
    </row>
    <row r="797" spans="1:10" x14ac:dyDescent="0.25">
      <c r="A797" s="17"/>
      <c r="C797" s="2" t="s">
        <v>36</v>
      </c>
      <c r="D797" s="19">
        <v>184419233.59999999</v>
      </c>
      <c r="F797" t="s">
        <v>735</v>
      </c>
      <c r="G797" s="1">
        <v>3</v>
      </c>
    </row>
    <row r="798" spans="1:10" x14ac:dyDescent="0.25">
      <c r="A798" s="17"/>
      <c r="C798" s="2" t="s">
        <v>37</v>
      </c>
      <c r="D798" s="19">
        <v>141817829</v>
      </c>
      <c r="G798" s="30">
        <f>SUM(G792:G797)</f>
        <v>2407331</v>
      </c>
    </row>
    <row r="799" spans="1:10" x14ac:dyDescent="0.25">
      <c r="A799" s="17"/>
      <c r="C799" s="2" t="s">
        <v>51</v>
      </c>
      <c r="D799" s="20">
        <v>130317</v>
      </c>
      <c r="F799" s="28" t="s">
        <v>29</v>
      </c>
      <c r="G799" s="1"/>
      <c r="J799" s="38"/>
    </row>
    <row r="800" spans="1:10" x14ac:dyDescent="0.25">
      <c r="A800" s="17"/>
      <c r="B800" s="24" t="s">
        <v>19</v>
      </c>
      <c r="D800" s="19">
        <f>SUM(D792:D799)</f>
        <v>909727148.05000007</v>
      </c>
      <c r="F800" t="s">
        <v>112</v>
      </c>
      <c r="G800" s="1">
        <v>5000000</v>
      </c>
    </row>
    <row r="801" spans="1:7" x14ac:dyDescent="0.25">
      <c r="A801" s="17"/>
      <c r="D801" s="19"/>
      <c r="F801" t="s">
        <v>346</v>
      </c>
      <c r="G801" s="1">
        <v>40000</v>
      </c>
    </row>
    <row r="802" spans="1:7" x14ac:dyDescent="0.25">
      <c r="A802" s="17"/>
      <c r="B802" s="24" t="s">
        <v>20</v>
      </c>
      <c r="D802" s="19"/>
      <c r="F802" t="s">
        <v>737</v>
      </c>
      <c r="G802" s="1">
        <v>422287</v>
      </c>
    </row>
    <row r="803" spans="1:7" x14ac:dyDescent="0.25">
      <c r="A803" s="17"/>
      <c r="C803" t="s">
        <v>7</v>
      </c>
      <c r="D803" s="19">
        <v>2706958755</v>
      </c>
      <c r="F803" t="s">
        <v>648</v>
      </c>
      <c r="G803" s="1">
        <v>21557</v>
      </c>
    </row>
    <row r="804" spans="1:7" x14ac:dyDescent="0.25">
      <c r="A804" s="17"/>
      <c r="C804" t="s">
        <v>47</v>
      </c>
      <c r="D804" s="19">
        <v>20595000</v>
      </c>
      <c r="F804" t="s">
        <v>104</v>
      </c>
      <c r="G804" s="1">
        <v>2250000</v>
      </c>
    </row>
    <row r="805" spans="1:7" x14ac:dyDescent="0.25">
      <c r="A805" s="17"/>
      <c r="C805" t="s">
        <v>21</v>
      </c>
      <c r="D805" s="19">
        <v>824606000</v>
      </c>
      <c r="F805" t="s">
        <v>738</v>
      </c>
      <c r="G805" s="1">
        <v>8000</v>
      </c>
    </row>
    <row r="806" spans="1:7" x14ac:dyDescent="0.25">
      <c r="A806" s="17"/>
      <c r="C806" t="s">
        <v>715</v>
      </c>
      <c r="D806" s="19">
        <v>246510000</v>
      </c>
      <c r="G806" s="30">
        <f>SUM(G800:G805)</f>
        <v>7741844</v>
      </c>
    </row>
    <row r="807" spans="1:7" x14ac:dyDescent="0.25">
      <c r="A807" s="17"/>
      <c r="C807" t="s">
        <v>45</v>
      </c>
      <c r="D807" s="19">
        <v>25000000</v>
      </c>
    </row>
    <row r="808" spans="1:7" x14ac:dyDescent="0.25">
      <c r="A808" s="17"/>
      <c r="C808" t="s">
        <v>48</v>
      </c>
      <c r="D808" s="19">
        <v>30000000</v>
      </c>
      <c r="F808" s="28" t="s">
        <v>30</v>
      </c>
      <c r="G808" s="29">
        <f>G798-G806</f>
        <v>-5334513</v>
      </c>
    </row>
    <row r="809" spans="1:7" x14ac:dyDescent="0.25">
      <c r="A809" s="17"/>
      <c r="C809" t="s">
        <v>68</v>
      </c>
      <c r="D809" s="19">
        <v>141000000</v>
      </c>
    </row>
    <row r="810" spans="1:7" x14ac:dyDescent="0.25">
      <c r="A810" s="17"/>
      <c r="C810" t="s">
        <v>68</v>
      </c>
      <c r="D810" s="19">
        <v>145000000</v>
      </c>
    </row>
    <row r="811" spans="1:7" x14ac:dyDescent="0.25">
      <c r="A811" s="17"/>
      <c r="C811" t="s">
        <v>518</v>
      </c>
      <c r="D811" s="19">
        <v>100000000</v>
      </c>
    </row>
    <row r="812" spans="1:7" x14ac:dyDescent="0.25">
      <c r="A812" s="17"/>
      <c r="C812" t="s">
        <v>658</v>
      </c>
      <c r="D812" s="19">
        <v>150880000</v>
      </c>
      <c r="G812" s="1"/>
    </row>
    <row r="813" spans="1:7" x14ac:dyDescent="0.25">
      <c r="A813" s="17"/>
      <c r="C813" t="s">
        <v>643</v>
      </c>
      <c r="D813" s="19">
        <v>156395550</v>
      </c>
      <c r="G813" s="1"/>
    </row>
    <row r="814" spans="1:7" x14ac:dyDescent="0.25">
      <c r="A814" s="17"/>
      <c r="C814" t="s">
        <v>703</v>
      </c>
      <c r="D814" s="19">
        <v>304750000</v>
      </c>
      <c r="G814" s="1"/>
    </row>
    <row r="815" spans="1:7" x14ac:dyDescent="0.25">
      <c r="A815" s="17"/>
      <c r="C815" t="s">
        <v>727</v>
      </c>
      <c r="D815" s="19">
        <v>9300000</v>
      </c>
      <c r="G815" s="1"/>
    </row>
    <row r="816" spans="1:7" x14ac:dyDescent="0.25">
      <c r="A816" s="17"/>
      <c r="C816" t="s">
        <v>732</v>
      </c>
      <c r="D816" s="19">
        <v>1185745</v>
      </c>
      <c r="G816" s="1"/>
    </row>
    <row r="817" spans="1:7" x14ac:dyDescent="0.25">
      <c r="A817" s="17"/>
      <c r="C817" t="s">
        <v>654</v>
      </c>
      <c r="D817" s="20">
        <v>60125000</v>
      </c>
      <c r="G817" s="1"/>
    </row>
    <row r="818" spans="1:7" x14ac:dyDescent="0.25">
      <c r="A818" s="17"/>
      <c r="D818" s="19">
        <f>SUM(D803:D817)</f>
        <v>4922306050</v>
      </c>
      <c r="G818" s="1"/>
    </row>
    <row r="819" spans="1:7" x14ac:dyDescent="0.25">
      <c r="A819" s="17"/>
      <c r="D819" s="19"/>
      <c r="G819" s="1"/>
    </row>
    <row r="820" spans="1:7" x14ac:dyDescent="0.25">
      <c r="A820" s="17"/>
      <c r="B820" s="24" t="s">
        <v>46</v>
      </c>
      <c r="D820" s="19"/>
      <c r="G820" s="1"/>
    </row>
    <row r="821" spans="1:7" x14ac:dyDescent="0.25">
      <c r="A821" s="17"/>
      <c r="B821" s="24"/>
      <c r="C821" t="s">
        <v>723</v>
      </c>
      <c r="D821" s="19">
        <f>150*602500</f>
        <v>90375000</v>
      </c>
      <c r="G821" s="1"/>
    </row>
    <row r="822" spans="1:7" x14ac:dyDescent="0.25">
      <c r="A822" s="17"/>
      <c r="B822" s="24"/>
      <c r="C822" t="s">
        <v>426</v>
      </c>
      <c r="D822" s="19">
        <f>2*602500</f>
        <v>1205000</v>
      </c>
      <c r="G822" s="1"/>
    </row>
    <row r="823" spans="1:7" x14ac:dyDescent="0.25">
      <c r="A823" s="17"/>
      <c r="B823" s="24"/>
      <c r="C823" t="s">
        <v>126</v>
      </c>
      <c r="D823" s="20">
        <f>6*602500</f>
        <v>3615000</v>
      </c>
      <c r="G823" s="1"/>
    </row>
    <row r="824" spans="1:7" x14ac:dyDescent="0.25">
      <c r="A824" s="17"/>
      <c r="D824" s="19">
        <f>SUM(D821:D823)</f>
        <v>95195000</v>
      </c>
      <c r="G824" s="1"/>
    </row>
    <row r="825" spans="1:7" x14ac:dyDescent="0.25">
      <c r="A825" s="17"/>
      <c r="D825" s="19"/>
      <c r="G825" s="1"/>
    </row>
    <row r="826" spans="1:7" x14ac:dyDescent="0.25">
      <c r="A826" s="23" t="s">
        <v>22</v>
      </c>
      <c r="D826" s="19"/>
      <c r="G826" s="1"/>
    </row>
    <row r="827" spans="1:7" x14ac:dyDescent="0.25">
      <c r="A827" s="17"/>
      <c r="C827" t="s">
        <v>23</v>
      </c>
      <c r="D827" s="19">
        <v>2579600000</v>
      </c>
      <c r="G827" s="1"/>
    </row>
    <row r="828" spans="1:7" x14ac:dyDescent="0.25">
      <c r="A828" s="17"/>
      <c r="C828" t="s">
        <v>24</v>
      </c>
      <c r="D828" s="20">
        <v>1758353000</v>
      </c>
      <c r="G828" s="1"/>
    </row>
    <row r="829" spans="1:7" x14ac:dyDescent="0.25">
      <c r="A829" s="17"/>
      <c r="D829" s="19">
        <f>SUM(D827:D828)</f>
        <v>4337953000</v>
      </c>
      <c r="G829" s="1"/>
    </row>
    <row r="830" spans="1:7" x14ac:dyDescent="0.25">
      <c r="A830" s="17"/>
      <c r="D830" s="19"/>
      <c r="G830" s="1"/>
    </row>
    <row r="831" spans="1:7" x14ac:dyDescent="0.25">
      <c r="A831" s="43" t="s">
        <v>25</v>
      </c>
      <c r="B831" s="44"/>
      <c r="C831" s="44"/>
      <c r="D831" s="25">
        <f>D800+D818+D824-D829</f>
        <v>1589275198.0500002</v>
      </c>
      <c r="G831" s="1"/>
    </row>
    <row r="832" spans="1:7" x14ac:dyDescent="0.25">
      <c r="A832" s="21"/>
      <c r="B832" s="22"/>
      <c r="C832" s="22"/>
      <c r="D832" s="20"/>
      <c r="G832" s="1"/>
    </row>
    <row r="834" spans="1:7" x14ac:dyDescent="0.25">
      <c r="A834" s="40" t="s">
        <v>13</v>
      </c>
      <c r="B834" s="40"/>
      <c r="C834" s="40"/>
      <c r="D834" s="40"/>
      <c r="G834" s="1"/>
    </row>
    <row r="835" spans="1:7" x14ac:dyDescent="0.25">
      <c r="A835" s="41" t="s">
        <v>14</v>
      </c>
      <c r="B835" s="41"/>
      <c r="C835" s="41"/>
      <c r="D835" s="41"/>
      <c r="G835" s="1"/>
    </row>
    <row r="836" spans="1:7" x14ac:dyDescent="0.25">
      <c r="A836" s="42">
        <v>45831</v>
      </c>
      <c r="B836" s="42"/>
      <c r="C836" s="42"/>
      <c r="D836" s="42"/>
      <c r="G836" s="1"/>
    </row>
    <row r="837" spans="1:7" x14ac:dyDescent="0.25">
      <c r="A837" s="13"/>
      <c r="B837" s="13"/>
      <c r="C837" s="13"/>
      <c r="D837" s="13"/>
      <c r="G837" s="1"/>
    </row>
    <row r="838" spans="1:7" x14ac:dyDescent="0.25">
      <c r="A838" s="14"/>
      <c r="B838" s="15"/>
      <c r="C838" s="15"/>
      <c r="D838" s="16"/>
      <c r="F838" s="5" t="s">
        <v>26</v>
      </c>
      <c r="G838" s="1">
        <f>D881-D831</f>
        <v>-1170500</v>
      </c>
    </row>
    <row r="839" spans="1:7" x14ac:dyDescent="0.25">
      <c r="A839" s="17"/>
      <c r="D839" s="32" t="s">
        <v>16</v>
      </c>
      <c r="G839" s="1"/>
    </row>
    <row r="840" spans="1:7" x14ac:dyDescent="0.25">
      <c r="A840" s="23" t="s">
        <v>15</v>
      </c>
      <c r="D840" s="18" t="s">
        <v>17</v>
      </c>
      <c r="F840" s="26" t="s">
        <v>27</v>
      </c>
      <c r="G840" s="1"/>
    </row>
    <row r="841" spans="1:7" x14ac:dyDescent="0.25">
      <c r="A841" s="17"/>
      <c r="B841" s="24" t="s">
        <v>18</v>
      </c>
      <c r="D841" s="19"/>
      <c r="F841" s="27" t="s">
        <v>28</v>
      </c>
      <c r="G841" s="1"/>
    </row>
    <row r="842" spans="1:7" x14ac:dyDescent="0.25">
      <c r="A842" s="17"/>
      <c r="C842" s="2" t="s">
        <v>31</v>
      </c>
      <c r="D842" s="19">
        <v>282333058.54000002</v>
      </c>
      <c r="F842" t="s">
        <v>223</v>
      </c>
      <c r="G842" s="1">
        <v>847000</v>
      </c>
    </row>
    <row r="843" spans="1:7" x14ac:dyDescent="0.25">
      <c r="A843" s="17"/>
      <c r="C843" s="2" t="s">
        <v>32</v>
      </c>
      <c r="D843" s="19">
        <v>94045798.510000005</v>
      </c>
      <c r="F843" t="s">
        <v>90</v>
      </c>
      <c r="G843" s="1">
        <v>985000</v>
      </c>
    </row>
    <row r="844" spans="1:7" x14ac:dyDescent="0.25">
      <c r="A844" s="17"/>
      <c r="C844" s="2" t="s">
        <v>33</v>
      </c>
      <c r="D844" s="19">
        <v>388734545.39999998</v>
      </c>
      <c r="G844" s="30">
        <f>SUM(G842:G843)</f>
        <v>1832000</v>
      </c>
    </row>
    <row r="845" spans="1:7" x14ac:dyDescent="0.25">
      <c r="A845" s="17"/>
      <c r="C845" s="2" t="s">
        <v>34</v>
      </c>
      <c r="D845" s="19">
        <v>-43411884</v>
      </c>
      <c r="F845" s="28" t="s">
        <v>29</v>
      </c>
      <c r="G845" s="1"/>
    </row>
    <row r="846" spans="1:7" x14ac:dyDescent="0.25">
      <c r="A846" s="17"/>
      <c r="C846" s="2" t="s">
        <v>35</v>
      </c>
      <c r="D846" s="19">
        <v>8250</v>
      </c>
      <c r="F846" t="s">
        <v>161</v>
      </c>
      <c r="G846" s="1">
        <v>2500</v>
      </c>
    </row>
    <row r="847" spans="1:7" x14ac:dyDescent="0.25">
      <c r="A847" s="17"/>
      <c r="C847" s="2" t="s">
        <v>36</v>
      </c>
      <c r="D847" s="19">
        <v>184419233.59999999</v>
      </c>
      <c r="F847" t="s">
        <v>112</v>
      </c>
      <c r="G847" s="1">
        <v>3000000</v>
      </c>
    </row>
    <row r="848" spans="1:7" x14ac:dyDescent="0.25">
      <c r="A848" s="17"/>
      <c r="C848" s="2" t="s">
        <v>37</v>
      </c>
      <c r="D848" s="19">
        <v>37815329</v>
      </c>
      <c r="G848" s="30">
        <f>SUM(G846:G847)</f>
        <v>3002500</v>
      </c>
    </row>
    <row r="849" spans="1:7" x14ac:dyDescent="0.25">
      <c r="A849" s="17"/>
      <c r="C849" s="2" t="s">
        <v>51</v>
      </c>
      <c r="D849" s="20">
        <v>130317</v>
      </c>
    </row>
    <row r="850" spans="1:7" x14ac:dyDescent="0.25">
      <c r="A850" s="17"/>
      <c r="B850" s="24" t="s">
        <v>19</v>
      </c>
      <c r="D850" s="19">
        <f>SUM(D842:D849)</f>
        <v>944074648.05000007</v>
      </c>
      <c r="F850" s="28" t="s">
        <v>30</v>
      </c>
      <c r="G850" s="29">
        <f>G844-G848</f>
        <v>-1170500</v>
      </c>
    </row>
    <row r="851" spans="1:7" x14ac:dyDescent="0.25">
      <c r="A851" s="17"/>
      <c r="D851" s="19"/>
    </row>
    <row r="852" spans="1:7" x14ac:dyDescent="0.25">
      <c r="A852" s="17"/>
      <c r="B852" s="24" t="s">
        <v>20</v>
      </c>
      <c r="D852" s="19"/>
    </row>
    <row r="853" spans="1:7" x14ac:dyDescent="0.25">
      <c r="A853" s="17"/>
      <c r="C853" t="s">
        <v>7</v>
      </c>
      <c r="D853" s="19">
        <v>2804498755</v>
      </c>
    </row>
    <row r="854" spans="1:7" x14ac:dyDescent="0.25">
      <c r="A854" s="17"/>
      <c r="C854" t="s">
        <v>47</v>
      </c>
      <c r="D854" s="19">
        <v>26800000</v>
      </c>
    </row>
    <row r="855" spans="1:7" x14ac:dyDescent="0.25">
      <c r="A855" s="17"/>
      <c r="C855" t="s">
        <v>21</v>
      </c>
      <c r="D855" s="19">
        <v>744206000</v>
      </c>
    </row>
    <row r="856" spans="1:7" x14ac:dyDescent="0.25">
      <c r="A856" s="17"/>
      <c r="C856" t="s">
        <v>715</v>
      </c>
      <c r="D856" s="19">
        <v>145693000</v>
      </c>
    </row>
    <row r="857" spans="1:7" x14ac:dyDescent="0.25">
      <c r="A857" s="17"/>
      <c r="C857" t="s">
        <v>45</v>
      </c>
      <c r="D857" s="19">
        <v>25000000</v>
      </c>
    </row>
    <row r="858" spans="1:7" x14ac:dyDescent="0.25">
      <c r="A858" s="17"/>
      <c r="C858" t="s">
        <v>48</v>
      </c>
      <c r="D858" s="19">
        <v>30000000</v>
      </c>
    </row>
    <row r="859" spans="1:7" x14ac:dyDescent="0.25">
      <c r="A859" s="17"/>
      <c r="C859" t="s">
        <v>68</v>
      </c>
      <c r="D859" s="19">
        <v>141000000</v>
      </c>
    </row>
    <row r="860" spans="1:7" x14ac:dyDescent="0.25">
      <c r="A860" s="17"/>
      <c r="C860" t="s">
        <v>68</v>
      </c>
      <c r="D860" s="19">
        <v>145000000</v>
      </c>
    </row>
    <row r="861" spans="1:7" x14ac:dyDescent="0.25">
      <c r="A861" s="17"/>
      <c r="C861" t="s">
        <v>518</v>
      </c>
      <c r="D861" s="19">
        <v>100000000</v>
      </c>
    </row>
    <row r="862" spans="1:7" x14ac:dyDescent="0.25">
      <c r="A862" s="17"/>
      <c r="C862" t="s">
        <v>658</v>
      </c>
      <c r="D862" s="19">
        <v>150880000</v>
      </c>
      <c r="G862" s="1"/>
    </row>
    <row r="863" spans="1:7" x14ac:dyDescent="0.25">
      <c r="A863" s="17"/>
      <c r="C863" t="s">
        <v>643</v>
      </c>
      <c r="D863" s="19">
        <v>156395550</v>
      </c>
      <c r="G863" s="1"/>
    </row>
    <row r="864" spans="1:7" x14ac:dyDescent="0.25">
      <c r="A864" s="17"/>
      <c r="C864" t="s">
        <v>703</v>
      </c>
      <c r="D864" s="19">
        <v>304750000</v>
      </c>
      <c r="G864" s="1"/>
    </row>
    <row r="865" spans="1:7" x14ac:dyDescent="0.25">
      <c r="A865" s="17"/>
      <c r="C865" t="s">
        <v>732</v>
      </c>
      <c r="D865" s="19">
        <v>1185745</v>
      </c>
      <c r="G865" s="1"/>
    </row>
    <row r="866" spans="1:7" x14ac:dyDescent="0.25">
      <c r="A866" s="17"/>
      <c r="C866" t="s">
        <v>741</v>
      </c>
      <c r="D866" s="19">
        <v>50000</v>
      </c>
      <c r="G866" s="1"/>
    </row>
    <row r="867" spans="1:7" x14ac:dyDescent="0.25">
      <c r="A867" s="17"/>
      <c r="C867" t="s">
        <v>654</v>
      </c>
      <c r="D867" s="20">
        <v>60125000</v>
      </c>
      <c r="G867" s="1"/>
    </row>
    <row r="868" spans="1:7" x14ac:dyDescent="0.25">
      <c r="A868" s="17"/>
      <c r="D868" s="19">
        <f>SUM(D853:D867)</f>
        <v>4835584050</v>
      </c>
      <c r="G868" s="1"/>
    </row>
    <row r="869" spans="1:7" x14ac:dyDescent="0.25">
      <c r="A869" s="17"/>
      <c r="D869" s="19"/>
      <c r="G869" s="1"/>
    </row>
    <row r="870" spans="1:7" x14ac:dyDescent="0.25">
      <c r="A870" s="17"/>
      <c r="B870" s="24" t="s">
        <v>46</v>
      </c>
      <c r="D870" s="19"/>
      <c r="G870" s="1"/>
    </row>
    <row r="871" spans="1:7" x14ac:dyDescent="0.25">
      <c r="A871" s="17"/>
      <c r="B871" s="24"/>
      <c r="C871" t="s">
        <v>739</v>
      </c>
      <c r="D871" s="19">
        <f>128*602500</f>
        <v>77120000</v>
      </c>
      <c r="G871" s="1"/>
    </row>
    <row r="872" spans="1:7" x14ac:dyDescent="0.25">
      <c r="A872" s="17"/>
      <c r="B872" s="24"/>
      <c r="C872" t="s">
        <v>126</v>
      </c>
      <c r="D872" s="20">
        <f>6*602500</f>
        <v>3615000</v>
      </c>
      <c r="G872" s="1"/>
    </row>
    <row r="873" spans="1:7" x14ac:dyDescent="0.25">
      <c r="A873" s="17"/>
      <c r="D873" s="19">
        <f>SUM(D871:D872)</f>
        <v>80735000</v>
      </c>
      <c r="G873" s="1"/>
    </row>
    <row r="874" spans="1:7" x14ac:dyDescent="0.25">
      <c r="A874" s="17"/>
      <c r="D874" s="19"/>
      <c r="G874" s="1"/>
    </row>
    <row r="875" spans="1:7" x14ac:dyDescent="0.25">
      <c r="A875" s="23" t="s">
        <v>22</v>
      </c>
      <c r="D875" s="19"/>
      <c r="G875" s="1"/>
    </row>
    <row r="876" spans="1:7" x14ac:dyDescent="0.25">
      <c r="A876" s="17"/>
      <c r="C876" t="s">
        <v>23</v>
      </c>
      <c r="D876" s="19">
        <v>2449500000</v>
      </c>
      <c r="G876" s="1"/>
    </row>
    <row r="877" spans="1:7" x14ac:dyDescent="0.25">
      <c r="A877" s="17"/>
      <c r="C877" t="s">
        <v>24</v>
      </c>
      <c r="D877" s="19">
        <v>1739989000</v>
      </c>
      <c r="G877" s="1"/>
    </row>
    <row r="878" spans="1:7" x14ac:dyDescent="0.25">
      <c r="A878" s="17"/>
      <c r="C878" t="s">
        <v>111</v>
      </c>
      <c r="D878" s="20">
        <v>82800000</v>
      </c>
      <c r="G878" s="1"/>
    </row>
    <row r="879" spans="1:7" x14ac:dyDescent="0.25">
      <c r="A879" s="17"/>
      <c r="D879" s="19">
        <f>SUM(D876:D878)</f>
        <v>4272289000</v>
      </c>
      <c r="G879" s="1"/>
    </row>
    <row r="880" spans="1:7" x14ac:dyDescent="0.25">
      <c r="A880" s="17"/>
      <c r="D880" s="19"/>
      <c r="G880" s="1"/>
    </row>
    <row r="881" spans="1:7" x14ac:dyDescent="0.25">
      <c r="A881" s="43" t="s">
        <v>25</v>
      </c>
      <c r="B881" s="44"/>
      <c r="C881" s="44"/>
      <c r="D881" s="25">
        <f>D850+D868+D873-D879</f>
        <v>1588104698.0500002</v>
      </c>
      <c r="G881" s="1"/>
    </row>
    <row r="882" spans="1:7" x14ac:dyDescent="0.25">
      <c r="A882" s="21"/>
      <c r="B882" s="22"/>
      <c r="C882" s="22"/>
      <c r="D882" s="20"/>
      <c r="G882" s="1"/>
    </row>
    <row r="884" spans="1:7" x14ac:dyDescent="0.25">
      <c r="A884" s="40" t="s">
        <v>13</v>
      </c>
      <c r="B884" s="40"/>
      <c r="C884" s="40"/>
      <c r="D884" s="40"/>
      <c r="G884" s="1"/>
    </row>
    <row r="885" spans="1:7" x14ac:dyDescent="0.25">
      <c r="A885" s="41" t="s">
        <v>14</v>
      </c>
      <c r="B885" s="41"/>
      <c r="C885" s="41"/>
      <c r="D885" s="41"/>
      <c r="G885" s="1"/>
    </row>
    <row r="886" spans="1:7" x14ac:dyDescent="0.25">
      <c r="A886" s="42">
        <v>45832</v>
      </c>
      <c r="B886" s="42"/>
      <c r="C886" s="42"/>
      <c r="D886" s="42"/>
      <c r="G886" s="1"/>
    </row>
    <row r="887" spans="1:7" x14ac:dyDescent="0.25">
      <c r="A887" s="13"/>
      <c r="B887" s="13"/>
      <c r="C887" s="13"/>
      <c r="D887" s="13"/>
      <c r="G887" s="1"/>
    </row>
    <row r="888" spans="1:7" x14ac:dyDescent="0.25">
      <c r="A888" s="14"/>
      <c r="B888" s="15"/>
      <c r="C888" s="15"/>
      <c r="D888" s="16"/>
      <c r="F888" s="5" t="s">
        <v>26</v>
      </c>
      <c r="G888" s="1">
        <f>D932-D881</f>
        <v>1420260</v>
      </c>
    </row>
    <row r="889" spans="1:7" x14ac:dyDescent="0.25">
      <c r="A889" s="17"/>
      <c r="D889" s="32" t="s">
        <v>16</v>
      </c>
      <c r="G889" s="1"/>
    </row>
    <row r="890" spans="1:7" x14ac:dyDescent="0.25">
      <c r="A890" s="23" t="s">
        <v>15</v>
      </c>
      <c r="D890" s="18" t="s">
        <v>17</v>
      </c>
      <c r="F890" s="26" t="s">
        <v>27</v>
      </c>
      <c r="G890" s="1"/>
    </row>
    <row r="891" spans="1:7" x14ac:dyDescent="0.25">
      <c r="A891" s="17"/>
      <c r="B891" s="24" t="s">
        <v>18</v>
      </c>
      <c r="D891" s="19"/>
      <c r="F891" s="27" t="s">
        <v>28</v>
      </c>
      <c r="G891" s="1"/>
    </row>
    <row r="892" spans="1:7" x14ac:dyDescent="0.25">
      <c r="A892" s="17"/>
      <c r="C892" s="2" t="s">
        <v>31</v>
      </c>
      <c r="D892" s="19">
        <v>32143058.539999999</v>
      </c>
      <c r="F892" t="s">
        <v>244</v>
      </c>
      <c r="G892" s="1">
        <v>7408000</v>
      </c>
    </row>
    <row r="893" spans="1:7" x14ac:dyDescent="0.25">
      <c r="A893" s="17"/>
      <c r="C893" s="2" t="s">
        <v>32</v>
      </c>
      <c r="D893" s="19">
        <v>120320798.51000001</v>
      </c>
      <c r="F893" t="s">
        <v>90</v>
      </c>
      <c r="G893" s="1">
        <v>1220000</v>
      </c>
    </row>
    <row r="894" spans="1:7" x14ac:dyDescent="0.25">
      <c r="A894" s="17"/>
      <c r="C894" s="2" t="s">
        <v>33</v>
      </c>
      <c r="D894" s="19">
        <v>283023455.39999998</v>
      </c>
      <c r="F894" t="s">
        <v>742</v>
      </c>
      <c r="G894" s="1">
        <v>184000</v>
      </c>
    </row>
    <row r="895" spans="1:7" x14ac:dyDescent="0.25">
      <c r="A895" s="17"/>
      <c r="C895" s="2" t="s">
        <v>34</v>
      </c>
      <c r="D895" s="19">
        <v>1588116</v>
      </c>
      <c r="G895" s="30">
        <f>SUM(G892:G894)</f>
        <v>8812000</v>
      </c>
    </row>
    <row r="896" spans="1:7" x14ac:dyDescent="0.25">
      <c r="A896" s="17"/>
      <c r="C896" s="2" t="s">
        <v>35</v>
      </c>
      <c r="D896" s="19">
        <v>8250</v>
      </c>
      <c r="F896" s="28" t="s">
        <v>29</v>
      </c>
      <c r="G896" s="1"/>
    </row>
    <row r="897" spans="1:10" x14ac:dyDescent="0.25">
      <c r="A897" s="17"/>
      <c r="C897" s="2" t="s">
        <v>36</v>
      </c>
      <c r="D897" s="19">
        <v>183399733.59999999</v>
      </c>
      <c r="F897" t="s">
        <v>2</v>
      </c>
      <c r="G897" s="1">
        <v>2250000</v>
      </c>
    </row>
    <row r="898" spans="1:10" x14ac:dyDescent="0.25">
      <c r="A898" s="17"/>
      <c r="C898" s="2" t="s">
        <v>37</v>
      </c>
      <c r="D898" s="19">
        <v>168590329</v>
      </c>
      <c r="F898" t="s">
        <v>714</v>
      </c>
      <c r="G898" s="1">
        <v>40740</v>
      </c>
      <c r="J898" s="38"/>
    </row>
    <row r="899" spans="1:10" x14ac:dyDescent="0.25">
      <c r="A899" s="17"/>
      <c r="C899" s="2" t="s">
        <v>51</v>
      </c>
      <c r="D899" s="20">
        <v>130317</v>
      </c>
      <c r="F899" t="s">
        <v>743</v>
      </c>
      <c r="G899" s="1">
        <v>84000</v>
      </c>
    </row>
    <row r="900" spans="1:10" x14ac:dyDescent="0.25">
      <c r="A900" s="17"/>
      <c r="B900" s="24" t="s">
        <v>19</v>
      </c>
      <c r="D900" s="19">
        <f>SUM(D892:D899)</f>
        <v>789204058.04999995</v>
      </c>
      <c r="F900" t="s">
        <v>745</v>
      </c>
      <c r="G900" s="1">
        <v>17000</v>
      </c>
    </row>
    <row r="901" spans="1:10" x14ac:dyDescent="0.25">
      <c r="A901" s="17"/>
      <c r="D901" s="19"/>
      <c r="F901" t="s">
        <v>112</v>
      </c>
      <c r="G901" s="1">
        <v>5000000</v>
      </c>
    </row>
    <row r="902" spans="1:10" x14ac:dyDescent="0.25">
      <c r="A902" s="17"/>
      <c r="B902" s="24" t="s">
        <v>20</v>
      </c>
      <c r="D902" s="19"/>
      <c r="G902" s="30">
        <f>SUM(G897:G901)</f>
        <v>7391740</v>
      </c>
    </row>
    <row r="903" spans="1:10" x14ac:dyDescent="0.25">
      <c r="A903" s="17"/>
      <c r="C903" t="s">
        <v>7</v>
      </c>
      <c r="D903" s="19">
        <v>2558965105</v>
      </c>
    </row>
    <row r="904" spans="1:10" x14ac:dyDescent="0.25">
      <c r="A904" s="17"/>
      <c r="C904" t="s">
        <v>47</v>
      </c>
      <c r="D904" s="19">
        <v>28255000</v>
      </c>
      <c r="F904" s="28" t="s">
        <v>30</v>
      </c>
      <c r="G904" s="29">
        <f>G895-G902</f>
        <v>1420260</v>
      </c>
    </row>
    <row r="905" spans="1:10" x14ac:dyDescent="0.25">
      <c r="A905" s="17"/>
      <c r="C905" t="s">
        <v>21</v>
      </c>
      <c r="D905" s="19">
        <v>921206000</v>
      </c>
    </row>
    <row r="906" spans="1:10" x14ac:dyDescent="0.25">
      <c r="A906" s="17"/>
      <c r="C906" t="s">
        <v>715</v>
      </c>
      <c r="D906" s="19">
        <v>139033000</v>
      </c>
    </row>
    <row r="907" spans="1:10" x14ac:dyDescent="0.25">
      <c r="A907" s="17"/>
      <c r="C907" t="s">
        <v>45</v>
      </c>
      <c r="D907" s="19">
        <v>25000000</v>
      </c>
    </row>
    <row r="908" spans="1:10" x14ac:dyDescent="0.25">
      <c r="A908" s="17"/>
      <c r="C908" t="s">
        <v>48</v>
      </c>
      <c r="D908" s="19">
        <v>30000000</v>
      </c>
    </row>
    <row r="909" spans="1:10" x14ac:dyDescent="0.25">
      <c r="A909" s="17"/>
      <c r="C909" t="s">
        <v>68</v>
      </c>
      <c r="D909" s="19">
        <v>141000000</v>
      </c>
    </row>
    <row r="910" spans="1:10" x14ac:dyDescent="0.25">
      <c r="A910" s="17"/>
      <c r="C910" t="s">
        <v>68</v>
      </c>
      <c r="D910" s="19">
        <v>145000000</v>
      </c>
    </row>
    <row r="911" spans="1:10" x14ac:dyDescent="0.25">
      <c r="A911" s="17"/>
      <c r="C911" t="s">
        <v>518</v>
      </c>
      <c r="D911" s="19">
        <v>100000000</v>
      </c>
    </row>
    <row r="912" spans="1:10" x14ac:dyDescent="0.25">
      <c r="A912" s="17"/>
      <c r="C912" t="s">
        <v>658</v>
      </c>
      <c r="D912" s="19">
        <v>150880000</v>
      </c>
      <c r="G912" s="1"/>
    </row>
    <row r="913" spans="1:7" x14ac:dyDescent="0.25">
      <c r="A913" s="17"/>
      <c r="C913" t="s">
        <v>643</v>
      </c>
      <c r="D913" s="19">
        <v>156395550</v>
      </c>
      <c r="G913" s="1"/>
    </row>
    <row r="914" spans="1:7" x14ac:dyDescent="0.25">
      <c r="A914" s="17"/>
      <c r="C914" t="s">
        <v>703</v>
      </c>
      <c r="D914" s="19">
        <v>304750000</v>
      </c>
      <c r="G914" s="1"/>
    </row>
    <row r="915" spans="1:7" x14ac:dyDescent="0.25">
      <c r="A915" s="17"/>
      <c r="C915" t="s">
        <v>732</v>
      </c>
      <c r="D915" s="19">
        <v>1185745</v>
      </c>
      <c r="G915" s="1"/>
    </row>
    <row r="916" spans="1:7" x14ac:dyDescent="0.25">
      <c r="A916" s="17"/>
      <c r="C916" t="s">
        <v>744</v>
      </c>
      <c r="D916" s="19">
        <v>1002500</v>
      </c>
      <c r="G916" s="1"/>
    </row>
    <row r="917" spans="1:7" x14ac:dyDescent="0.25">
      <c r="A917" s="17"/>
      <c r="C917" t="s">
        <v>654</v>
      </c>
      <c r="D917" s="20">
        <v>60125000</v>
      </c>
      <c r="G917" s="1"/>
    </row>
    <row r="918" spans="1:7" x14ac:dyDescent="0.25">
      <c r="A918" s="17"/>
      <c r="D918" s="19">
        <f>SUM(D903:D917)</f>
        <v>4762797900</v>
      </c>
      <c r="G918" s="1"/>
    </row>
    <row r="919" spans="1:7" x14ac:dyDescent="0.25">
      <c r="A919" s="17"/>
      <c r="D919" s="19"/>
      <c r="G919" s="1"/>
    </row>
    <row r="920" spans="1:7" x14ac:dyDescent="0.25">
      <c r="A920" s="17"/>
      <c r="B920" s="24" t="s">
        <v>46</v>
      </c>
      <c r="D920" s="19"/>
      <c r="G920" s="1"/>
    </row>
    <row r="921" spans="1:7" x14ac:dyDescent="0.25">
      <c r="A921" s="17"/>
      <c r="B921" s="24"/>
      <c r="C921" t="s">
        <v>376</v>
      </c>
      <c r="D921" s="19">
        <f>88*602500</f>
        <v>53020000</v>
      </c>
      <c r="G921" s="1"/>
    </row>
    <row r="922" spans="1:7" x14ac:dyDescent="0.25">
      <c r="A922" s="17"/>
      <c r="B922" s="24"/>
      <c r="C922" t="s">
        <v>426</v>
      </c>
      <c r="D922" s="20">
        <f>2*602500</f>
        <v>1205000</v>
      </c>
      <c r="G922" s="1"/>
    </row>
    <row r="923" spans="1:7" x14ac:dyDescent="0.25">
      <c r="A923" s="17"/>
      <c r="D923" s="19">
        <f>SUM(D921:D922)</f>
        <v>54225000</v>
      </c>
      <c r="G923" s="1"/>
    </row>
    <row r="924" spans="1:7" x14ac:dyDescent="0.25">
      <c r="A924" s="17"/>
      <c r="D924" s="19"/>
      <c r="G924" s="1"/>
    </row>
    <row r="925" spans="1:7" x14ac:dyDescent="0.25">
      <c r="A925" s="23" t="s">
        <v>22</v>
      </c>
      <c r="D925" s="19"/>
      <c r="G925" s="1"/>
    </row>
    <row r="926" spans="1:7" x14ac:dyDescent="0.25">
      <c r="A926" s="17"/>
      <c r="C926" t="s">
        <v>23</v>
      </c>
      <c r="D926" s="19">
        <v>2357400000</v>
      </c>
      <c r="G926" s="1"/>
    </row>
    <row r="927" spans="1:7" x14ac:dyDescent="0.25">
      <c r="A927" s="17"/>
      <c r="C927" t="s">
        <v>24</v>
      </c>
      <c r="D927" s="19">
        <v>1478302000</v>
      </c>
      <c r="G927" s="1"/>
    </row>
    <row r="928" spans="1:7" x14ac:dyDescent="0.25">
      <c r="A928" s="17"/>
      <c r="C928" t="s">
        <v>602</v>
      </c>
      <c r="D928" s="19">
        <v>89000000</v>
      </c>
      <c r="G928" s="1"/>
    </row>
    <row r="929" spans="1:7" x14ac:dyDescent="0.25">
      <c r="A929" s="17"/>
      <c r="C929" t="s">
        <v>111</v>
      </c>
      <c r="D929" s="20">
        <v>92000000</v>
      </c>
      <c r="G929" s="1"/>
    </row>
    <row r="930" spans="1:7" x14ac:dyDescent="0.25">
      <c r="A930" s="17"/>
      <c r="D930" s="19">
        <f>SUM(D926:D929)</f>
        <v>4016702000</v>
      </c>
      <c r="G930" s="1"/>
    </row>
    <row r="931" spans="1:7" x14ac:dyDescent="0.25">
      <c r="A931" s="17"/>
      <c r="D931" s="19"/>
      <c r="G931" s="1"/>
    </row>
    <row r="932" spans="1:7" x14ac:dyDescent="0.25">
      <c r="A932" s="43" t="s">
        <v>25</v>
      </c>
      <c r="B932" s="44"/>
      <c r="C932" s="44"/>
      <c r="D932" s="25">
        <f>D900+D918+D923-D930</f>
        <v>1589524958.0500002</v>
      </c>
      <c r="G932" s="1"/>
    </row>
    <row r="933" spans="1:7" x14ac:dyDescent="0.25">
      <c r="A933" s="21"/>
      <c r="B933" s="22"/>
      <c r="C933" s="22"/>
      <c r="D933" s="20"/>
      <c r="G933" s="1"/>
    </row>
    <row r="935" spans="1:7" x14ac:dyDescent="0.25">
      <c r="A935" s="40" t="s">
        <v>13</v>
      </c>
      <c r="B935" s="40"/>
      <c r="C935" s="40"/>
      <c r="D935" s="40"/>
      <c r="G935" s="1"/>
    </row>
    <row r="936" spans="1:7" x14ac:dyDescent="0.25">
      <c r="A936" s="41" t="s">
        <v>14</v>
      </c>
      <c r="B936" s="41"/>
      <c r="C936" s="41"/>
      <c r="D936" s="41"/>
      <c r="G936" s="1"/>
    </row>
    <row r="937" spans="1:7" x14ac:dyDescent="0.25">
      <c r="A937" s="42">
        <v>45833</v>
      </c>
      <c r="B937" s="42"/>
      <c r="C937" s="42"/>
      <c r="D937" s="42"/>
      <c r="G937" s="1"/>
    </row>
    <row r="938" spans="1:7" x14ac:dyDescent="0.25">
      <c r="A938" s="13"/>
      <c r="B938" s="13"/>
      <c r="C938" s="13"/>
      <c r="D938" s="13"/>
      <c r="G938" s="1"/>
    </row>
    <row r="939" spans="1:7" x14ac:dyDescent="0.25">
      <c r="A939" s="14"/>
      <c r="B939" s="15"/>
      <c r="C939" s="15"/>
      <c r="D939" s="16"/>
      <c r="F939" s="5" t="s">
        <v>26</v>
      </c>
      <c r="G939" s="1">
        <f>D982-D932</f>
        <v>-2894084</v>
      </c>
    </row>
    <row r="940" spans="1:7" x14ac:dyDescent="0.25">
      <c r="A940" s="17"/>
      <c r="D940" s="32" t="s">
        <v>16</v>
      </c>
      <c r="G940" s="1"/>
    </row>
    <row r="941" spans="1:7" x14ac:dyDescent="0.25">
      <c r="A941" s="23" t="s">
        <v>15</v>
      </c>
      <c r="D941" s="18" t="s">
        <v>17</v>
      </c>
      <c r="F941" s="26" t="s">
        <v>27</v>
      </c>
      <c r="G941" s="1"/>
    </row>
    <row r="942" spans="1:7" x14ac:dyDescent="0.25">
      <c r="A942" s="17"/>
      <c r="B942" s="24" t="s">
        <v>18</v>
      </c>
      <c r="D942" s="19"/>
      <c r="F942" s="27" t="s">
        <v>28</v>
      </c>
      <c r="G942" s="1"/>
    </row>
    <row r="943" spans="1:7" x14ac:dyDescent="0.25">
      <c r="A943" s="17"/>
      <c r="C943" s="2" t="s">
        <v>31</v>
      </c>
      <c r="D943" s="19">
        <v>116793058.54000001</v>
      </c>
      <c r="F943" t="s">
        <v>354</v>
      </c>
      <c r="G943" s="1">
        <v>-1297000</v>
      </c>
    </row>
    <row r="944" spans="1:7" x14ac:dyDescent="0.25">
      <c r="A944" s="17"/>
      <c r="C944" s="2" t="s">
        <v>32</v>
      </c>
      <c r="D944" s="19">
        <v>136740798.50999999</v>
      </c>
      <c r="F944" t="s">
        <v>90</v>
      </c>
      <c r="G944" s="1">
        <v>685000</v>
      </c>
    </row>
    <row r="945" spans="1:7" x14ac:dyDescent="0.25">
      <c r="A945" s="17"/>
      <c r="C945" s="2" t="s">
        <v>33</v>
      </c>
      <c r="D945" s="19">
        <v>134960455.40000001</v>
      </c>
      <c r="F945" t="s">
        <v>747</v>
      </c>
      <c r="G945" s="1">
        <v>276000</v>
      </c>
    </row>
    <row r="946" spans="1:7" x14ac:dyDescent="0.25">
      <c r="A946" s="17"/>
      <c r="C946" s="2" t="s">
        <v>34</v>
      </c>
      <c r="D946" s="19">
        <v>1588116</v>
      </c>
      <c r="F946" t="s">
        <v>748</v>
      </c>
      <c r="G946" s="1">
        <v>188000</v>
      </c>
    </row>
    <row r="947" spans="1:7" x14ac:dyDescent="0.25">
      <c r="A947" s="17"/>
      <c r="C947" s="2" t="s">
        <v>35</v>
      </c>
      <c r="D947" s="19">
        <v>8250</v>
      </c>
      <c r="G947" s="30">
        <f>SUM(G943:G946)</f>
        <v>-148000</v>
      </c>
    </row>
    <row r="948" spans="1:7" x14ac:dyDescent="0.25">
      <c r="A948" s="17"/>
      <c r="C948" s="2" t="s">
        <v>36</v>
      </c>
      <c r="D948" s="19">
        <v>183399733.59999999</v>
      </c>
      <c r="F948" s="28" t="s">
        <v>29</v>
      </c>
      <c r="G948" s="1"/>
    </row>
    <row r="949" spans="1:7" x14ac:dyDescent="0.25">
      <c r="A949" s="17"/>
      <c r="C949" s="2" t="s">
        <v>37</v>
      </c>
      <c r="D949" s="19">
        <v>335519245</v>
      </c>
      <c r="F949" t="s">
        <v>539</v>
      </c>
      <c r="G949" s="1">
        <v>720750</v>
      </c>
    </row>
    <row r="950" spans="1:7" x14ac:dyDescent="0.25">
      <c r="A950" s="17"/>
      <c r="C950" s="2" t="s">
        <v>51</v>
      </c>
      <c r="D950" s="20">
        <v>130317</v>
      </c>
      <c r="F950" t="s">
        <v>540</v>
      </c>
      <c r="G950" s="1">
        <v>2025334</v>
      </c>
    </row>
    <row r="951" spans="1:7" x14ac:dyDescent="0.25">
      <c r="A951" s="17"/>
      <c r="B951" s="24" t="s">
        <v>19</v>
      </c>
      <c r="D951" s="19">
        <f>SUM(D943:D950)</f>
        <v>909139974.05000007</v>
      </c>
      <c r="G951" s="30">
        <f>SUM(G949:G950)</f>
        <v>2746084</v>
      </c>
    </row>
    <row r="952" spans="1:7" x14ac:dyDescent="0.25">
      <c r="A952" s="17"/>
      <c r="D952" s="19"/>
    </row>
    <row r="953" spans="1:7" x14ac:dyDescent="0.25">
      <c r="A953" s="17"/>
      <c r="B953" s="24" t="s">
        <v>20</v>
      </c>
      <c r="D953" s="19"/>
      <c r="F953" s="28" t="s">
        <v>30</v>
      </c>
      <c r="G953" s="29">
        <f>G947-G951</f>
        <v>-2894084</v>
      </c>
    </row>
    <row r="954" spans="1:7" x14ac:dyDescent="0.25">
      <c r="A954" s="17"/>
      <c r="C954" t="s">
        <v>7</v>
      </c>
      <c r="D954" s="19">
        <v>2576465105</v>
      </c>
    </row>
    <row r="955" spans="1:7" x14ac:dyDescent="0.25">
      <c r="A955" s="17"/>
      <c r="C955" t="s">
        <v>47</v>
      </c>
      <c r="D955" s="19">
        <v>20955000</v>
      </c>
    </row>
    <row r="956" spans="1:7" x14ac:dyDescent="0.25">
      <c r="A956" s="17"/>
      <c r="C956" t="s">
        <v>21</v>
      </c>
      <c r="D956" s="19">
        <v>921206000</v>
      </c>
    </row>
    <row r="957" spans="1:7" x14ac:dyDescent="0.25">
      <c r="A957" s="17"/>
      <c r="C957" t="s">
        <v>715</v>
      </c>
      <c r="D957" s="19">
        <v>139033000</v>
      </c>
    </row>
    <row r="958" spans="1:7" x14ac:dyDescent="0.25">
      <c r="A958" s="17"/>
      <c r="C958" t="s">
        <v>45</v>
      </c>
      <c r="D958" s="19">
        <v>25000000</v>
      </c>
    </row>
    <row r="959" spans="1:7" x14ac:dyDescent="0.25">
      <c r="A959" s="17"/>
      <c r="C959" t="s">
        <v>48</v>
      </c>
      <c r="D959" s="19">
        <v>30000000</v>
      </c>
    </row>
    <row r="960" spans="1:7" x14ac:dyDescent="0.25">
      <c r="A960" s="17"/>
      <c r="C960" t="s">
        <v>68</v>
      </c>
      <c r="D960" s="19">
        <v>141000000</v>
      </c>
    </row>
    <row r="961" spans="1:7" x14ac:dyDescent="0.25">
      <c r="A961" s="17"/>
      <c r="C961" t="s">
        <v>68</v>
      </c>
      <c r="D961" s="19">
        <v>145000000</v>
      </c>
    </row>
    <row r="962" spans="1:7" x14ac:dyDescent="0.25">
      <c r="A962" s="17"/>
      <c r="C962" t="s">
        <v>518</v>
      </c>
      <c r="D962" s="19">
        <v>100000000</v>
      </c>
    </row>
    <row r="963" spans="1:7" x14ac:dyDescent="0.25">
      <c r="A963" s="17"/>
      <c r="C963" t="s">
        <v>658</v>
      </c>
      <c r="D963" s="19">
        <v>150880000</v>
      </c>
      <c r="G963" s="1"/>
    </row>
    <row r="964" spans="1:7" x14ac:dyDescent="0.25">
      <c r="A964" s="17"/>
      <c r="C964" t="s">
        <v>643</v>
      </c>
      <c r="D964" s="19">
        <v>156395550</v>
      </c>
      <c r="G964" s="1"/>
    </row>
    <row r="965" spans="1:7" x14ac:dyDescent="0.25">
      <c r="A965" s="17"/>
      <c r="C965" t="s">
        <v>703</v>
      </c>
      <c r="D965" s="19">
        <v>304750000</v>
      </c>
      <c r="G965" s="1"/>
    </row>
    <row r="966" spans="1:7" x14ac:dyDescent="0.25">
      <c r="A966" s="17"/>
      <c r="C966" t="s">
        <v>732</v>
      </c>
      <c r="D966" s="19">
        <v>1185745</v>
      </c>
      <c r="G966" s="1"/>
    </row>
    <row r="967" spans="1:7" x14ac:dyDescent="0.25">
      <c r="A967" s="17"/>
      <c r="C967" t="s">
        <v>744</v>
      </c>
      <c r="D967" s="19">
        <v>1002500</v>
      </c>
      <c r="G967" s="1"/>
    </row>
    <row r="968" spans="1:7" x14ac:dyDescent="0.25">
      <c r="A968" s="17"/>
      <c r="C968" t="s">
        <v>654</v>
      </c>
      <c r="D968" s="20">
        <v>60125000</v>
      </c>
      <c r="G968" s="1"/>
    </row>
    <row r="969" spans="1:7" x14ac:dyDescent="0.25">
      <c r="A969" s="17"/>
      <c r="D969" s="19">
        <f>SUM(D954:D968)</f>
        <v>4772997900</v>
      </c>
      <c r="G969" s="1"/>
    </row>
    <row r="970" spans="1:7" x14ac:dyDescent="0.25">
      <c r="A970" s="17"/>
      <c r="D970" s="19"/>
      <c r="G970" s="1"/>
    </row>
    <row r="971" spans="1:7" x14ac:dyDescent="0.25">
      <c r="A971" s="17"/>
      <c r="B971" s="24" t="s">
        <v>46</v>
      </c>
      <c r="D971" s="19"/>
      <c r="G971" s="1"/>
    </row>
    <row r="972" spans="1:7" x14ac:dyDescent="0.25">
      <c r="A972" s="17"/>
      <c r="B972" s="24"/>
      <c r="C972" t="s">
        <v>746</v>
      </c>
      <c r="D972" s="19">
        <f>74*602500</f>
        <v>44585000</v>
      </c>
      <c r="G972" s="1"/>
    </row>
    <row r="973" spans="1:7" x14ac:dyDescent="0.25">
      <c r="A973" s="17"/>
      <c r="B973" s="24"/>
      <c r="C973" t="s">
        <v>426</v>
      </c>
      <c r="D973" s="20">
        <f>2*602500</f>
        <v>1205000</v>
      </c>
      <c r="G973" s="1"/>
    </row>
    <row r="974" spans="1:7" x14ac:dyDescent="0.25">
      <c r="A974" s="17"/>
      <c r="D974" s="19">
        <f>SUM(D972:D973)</f>
        <v>45790000</v>
      </c>
      <c r="G974" s="1"/>
    </row>
    <row r="975" spans="1:7" x14ac:dyDescent="0.25">
      <c r="A975" s="17"/>
      <c r="D975" s="19"/>
      <c r="G975" s="1"/>
    </row>
    <row r="976" spans="1:7" x14ac:dyDescent="0.25">
      <c r="A976" s="23" t="s">
        <v>22</v>
      </c>
      <c r="D976" s="19"/>
      <c r="G976" s="1"/>
    </row>
    <row r="977" spans="1:7" x14ac:dyDescent="0.25">
      <c r="A977" s="17"/>
      <c r="C977" t="s">
        <v>23</v>
      </c>
      <c r="D977" s="19">
        <v>2526500000</v>
      </c>
      <c r="G977" s="1"/>
    </row>
    <row r="978" spans="1:7" x14ac:dyDescent="0.25">
      <c r="A978" s="17"/>
      <c r="C978" t="s">
        <v>24</v>
      </c>
      <c r="D978" s="19">
        <v>1525797000</v>
      </c>
      <c r="G978" s="1"/>
    </row>
    <row r="979" spans="1:7" x14ac:dyDescent="0.25">
      <c r="A979" s="17"/>
      <c r="C979" t="s">
        <v>602</v>
      </c>
      <c r="D979" s="20">
        <v>89000000</v>
      </c>
      <c r="G979" s="1"/>
    </row>
    <row r="980" spans="1:7" x14ac:dyDescent="0.25">
      <c r="A980" s="17"/>
      <c r="D980" s="19">
        <f>SUM(D977:D979)</f>
        <v>4141297000</v>
      </c>
      <c r="G980" s="1"/>
    </row>
    <row r="981" spans="1:7" x14ac:dyDescent="0.25">
      <c r="A981" s="17"/>
      <c r="D981" s="19"/>
      <c r="G981" s="1"/>
    </row>
    <row r="982" spans="1:7" x14ac:dyDescent="0.25">
      <c r="A982" s="43" t="s">
        <v>25</v>
      </c>
      <c r="B982" s="44"/>
      <c r="C982" s="44"/>
      <c r="D982" s="25">
        <f>D951+D969+D974-D980</f>
        <v>1586630874.0500002</v>
      </c>
      <c r="G982" s="1"/>
    </row>
    <row r="983" spans="1:7" x14ac:dyDescent="0.25">
      <c r="A983" s="21"/>
      <c r="B983" s="22"/>
      <c r="C983" s="22"/>
      <c r="D983" s="20"/>
      <c r="G983" s="1"/>
    </row>
    <row r="985" spans="1:7" x14ac:dyDescent="0.25">
      <c r="A985" s="40" t="s">
        <v>13</v>
      </c>
      <c r="B985" s="40"/>
      <c r="C985" s="40"/>
      <c r="D985" s="40"/>
      <c r="G985" s="1"/>
    </row>
    <row r="986" spans="1:7" x14ac:dyDescent="0.25">
      <c r="A986" s="41" t="s">
        <v>14</v>
      </c>
      <c r="B986" s="41"/>
      <c r="C986" s="41"/>
      <c r="D986" s="41"/>
      <c r="G986" s="1"/>
    </row>
    <row r="987" spans="1:7" x14ac:dyDescent="0.25">
      <c r="A987" s="42">
        <v>45834</v>
      </c>
      <c r="B987" s="42"/>
      <c r="C987" s="42"/>
      <c r="D987" s="42"/>
      <c r="G987" s="1"/>
    </row>
    <row r="988" spans="1:7" x14ac:dyDescent="0.25">
      <c r="A988" s="13"/>
      <c r="B988" s="13"/>
      <c r="C988" s="13"/>
      <c r="D988" s="13"/>
      <c r="G988" s="1"/>
    </row>
    <row r="989" spans="1:7" x14ac:dyDescent="0.25">
      <c r="A989" s="14"/>
      <c r="B989" s="15"/>
      <c r="C989" s="15"/>
      <c r="D989" s="16"/>
      <c r="F989" s="5" t="s">
        <v>26</v>
      </c>
      <c r="G989" s="1">
        <f>D1032-D982</f>
        <v>-29858500</v>
      </c>
    </row>
    <row r="990" spans="1:7" x14ac:dyDescent="0.25">
      <c r="A990" s="17"/>
      <c r="D990" s="32" t="s">
        <v>16</v>
      </c>
      <c r="G990" s="1"/>
    </row>
    <row r="991" spans="1:7" x14ac:dyDescent="0.25">
      <c r="A991" s="23" t="s">
        <v>15</v>
      </c>
      <c r="D991" s="18" t="s">
        <v>17</v>
      </c>
      <c r="F991" s="26" t="s">
        <v>27</v>
      </c>
      <c r="G991" s="1"/>
    </row>
    <row r="992" spans="1:7" x14ac:dyDescent="0.25">
      <c r="A992" s="17"/>
      <c r="B992" s="24" t="s">
        <v>18</v>
      </c>
      <c r="D992" s="19"/>
      <c r="F992" s="27" t="s">
        <v>28</v>
      </c>
      <c r="G992" s="1"/>
    </row>
    <row r="993" spans="1:7" x14ac:dyDescent="0.25">
      <c r="A993" s="17"/>
      <c r="C993" s="2" t="s">
        <v>31</v>
      </c>
      <c r="D993" s="19">
        <v>16793058.539999999</v>
      </c>
      <c r="F993" t="s">
        <v>359</v>
      </c>
      <c r="G993" s="1">
        <v>2334000</v>
      </c>
    </row>
    <row r="994" spans="1:7" x14ac:dyDescent="0.25">
      <c r="A994" s="17"/>
      <c r="C994" s="2" t="s">
        <v>32</v>
      </c>
      <c r="D994" s="19">
        <v>136740798.50999999</v>
      </c>
      <c r="F994" t="s">
        <v>90</v>
      </c>
      <c r="G994" s="1">
        <v>65000</v>
      </c>
    </row>
    <row r="995" spans="1:7" x14ac:dyDescent="0.25">
      <c r="A995" s="17"/>
      <c r="C995" s="2" t="s">
        <v>33</v>
      </c>
      <c r="D995" s="19">
        <v>41760455.399999999</v>
      </c>
      <c r="G995" s="30">
        <f>SUM(G993:G994)</f>
        <v>2399000</v>
      </c>
    </row>
    <row r="996" spans="1:7" x14ac:dyDescent="0.25">
      <c r="A996" s="17"/>
      <c r="C996" s="2" t="s">
        <v>34</v>
      </c>
      <c r="D996" s="19">
        <v>8138116</v>
      </c>
      <c r="F996" s="28" t="s">
        <v>29</v>
      </c>
      <c r="G996" s="1"/>
    </row>
    <row r="997" spans="1:7" x14ac:dyDescent="0.25">
      <c r="A997" s="17"/>
      <c r="C997" s="2" t="s">
        <v>35</v>
      </c>
      <c r="D997" s="19">
        <v>8250</v>
      </c>
      <c r="F997" t="s">
        <v>104</v>
      </c>
      <c r="G997" s="1">
        <v>2250000</v>
      </c>
    </row>
    <row r="998" spans="1:7" x14ac:dyDescent="0.25">
      <c r="A998" s="17"/>
      <c r="C998" s="2" t="s">
        <v>36</v>
      </c>
      <c r="D998" s="19">
        <v>95897233.599999994</v>
      </c>
      <c r="F998" t="s">
        <v>161</v>
      </c>
      <c r="G998" s="1">
        <v>5000</v>
      </c>
    </row>
    <row r="999" spans="1:7" x14ac:dyDescent="0.25">
      <c r="A999" s="17"/>
      <c r="C999" s="2" t="s">
        <v>37</v>
      </c>
      <c r="D999" s="19">
        <v>162865245</v>
      </c>
      <c r="F999" t="s">
        <v>230</v>
      </c>
      <c r="G999" s="1">
        <v>2500</v>
      </c>
    </row>
    <row r="1000" spans="1:7" x14ac:dyDescent="0.25">
      <c r="A1000" s="17"/>
      <c r="C1000" s="2" t="s">
        <v>51</v>
      </c>
      <c r="D1000" s="20">
        <v>130317</v>
      </c>
      <c r="F1000" t="s">
        <v>751</v>
      </c>
      <c r="G1000" s="1">
        <v>30000000</v>
      </c>
    </row>
    <row r="1001" spans="1:7" x14ac:dyDescent="0.25">
      <c r="A1001" s="17"/>
      <c r="B1001" s="24" t="s">
        <v>19</v>
      </c>
      <c r="D1001" s="19">
        <f>SUM(D993:D1000)</f>
        <v>462333474.04999995</v>
      </c>
      <c r="G1001" s="30">
        <f>SUM(G997:G1000)</f>
        <v>32257500</v>
      </c>
    </row>
    <row r="1002" spans="1:7" x14ac:dyDescent="0.25">
      <c r="A1002" s="17"/>
      <c r="D1002" s="19"/>
    </row>
    <row r="1003" spans="1:7" x14ac:dyDescent="0.25">
      <c r="A1003" s="17"/>
      <c r="B1003" s="24" t="s">
        <v>20</v>
      </c>
      <c r="D1003" s="19"/>
      <c r="F1003" s="28" t="s">
        <v>30</v>
      </c>
      <c r="G1003" s="29">
        <f>G995-G1001</f>
        <v>-29858500</v>
      </c>
    </row>
    <row r="1004" spans="1:7" x14ac:dyDescent="0.25">
      <c r="A1004" s="17"/>
      <c r="C1004" t="s">
        <v>7</v>
      </c>
      <c r="D1004" s="19">
        <v>2820265105</v>
      </c>
    </row>
    <row r="1005" spans="1:7" x14ac:dyDescent="0.25">
      <c r="A1005" s="17"/>
      <c r="C1005" t="s">
        <v>47</v>
      </c>
      <c r="D1005" s="19">
        <v>22225000</v>
      </c>
    </row>
    <row r="1006" spans="1:7" x14ac:dyDescent="0.25">
      <c r="A1006" s="17"/>
      <c r="C1006" t="s">
        <v>21</v>
      </c>
      <c r="D1006" s="19">
        <v>905655000</v>
      </c>
    </row>
    <row r="1007" spans="1:7" x14ac:dyDescent="0.25">
      <c r="A1007" s="17"/>
      <c r="C1007" t="s">
        <v>715</v>
      </c>
      <c r="D1007" s="19">
        <v>139033000</v>
      </c>
    </row>
    <row r="1008" spans="1:7" x14ac:dyDescent="0.25">
      <c r="A1008" s="17"/>
      <c r="C1008" t="s">
        <v>45</v>
      </c>
      <c r="D1008" s="19">
        <v>25000000</v>
      </c>
    </row>
    <row r="1009" spans="1:7" x14ac:dyDescent="0.25">
      <c r="A1009" s="17"/>
      <c r="C1009" t="s">
        <v>48</v>
      </c>
      <c r="D1009" s="19">
        <v>30000000</v>
      </c>
    </row>
    <row r="1010" spans="1:7" x14ac:dyDescent="0.25">
      <c r="A1010" s="17"/>
      <c r="C1010" t="s">
        <v>68</v>
      </c>
      <c r="D1010" s="19">
        <v>141000000</v>
      </c>
    </row>
    <row r="1011" spans="1:7" x14ac:dyDescent="0.25">
      <c r="A1011" s="17"/>
      <c r="C1011" t="s">
        <v>68</v>
      </c>
      <c r="D1011" s="19">
        <v>145000000</v>
      </c>
    </row>
    <row r="1012" spans="1:7" x14ac:dyDescent="0.25">
      <c r="A1012" s="17"/>
      <c r="C1012" t="s">
        <v>518</v>
      </c>
      <c r="D1012" s="19">
        <v>100000000</v>
      </c>
    </row>
    <row r="1013" spans="1:7" x14ac:dyDescent="0.25">
      <c r="A1013" s="17"/>
      <c r="C1013" t="s">
        <v>658</v>
      </c>
      <c r="D1013" s="19">
        <v>150880000</v>
      </c>
      <c r="G1013" s="1"/>
    </row>
    <row r="1014" spans="1:7" x14ac:dyDescent="0.25">
      <c r="A1014" s="17"/>
      <c r="C1014" t="s">
        <v>643</v>
      </c>
      <c r="D1014" s="19">
        <v>156395550</v>
      </c>
      <c r="G1014" s="1"/>
    </row>
    <row r="1015" spans="1:7" x14ac:dyDescent="0.25">
      <c r="A1015" s="17"/>
      <c r="C1015" t="s">
        <v>703</v>
      </c>
      <c r="D1015" s="19">
        <v>304750000</v>
      </c>
      <c r="G1015" s="1"/>
    </row>
    <row r="1016" spans="1:7" x14ac:dyDescent="0.25">
      <c r="A1016" s="17"/>
      <c r="C1016" t="s">
        <v>732</v>
      </c>
      <c r="D1016" s="19">
        <v>1185745</v>
      </c>
      <c r="G1016" s="1"/>
    </row>
    <row r="1017" spans="1:7" x14ac:dyDescent="0.25">
      <c r="A1017" s="17"/>
      <c r="C1017" t="s">
        <v>744</v>
      </c>
      <c r="D1017" s="19">
        <v>1002500</v>
      </c>
      <c r="G1017" s="1"/>
    </row>
    <row r="1018" spans="1:7" x14ac:dyDescent="0.25">
      <c r="A1018" s="17"/>
      <c r="C1018" t="s">
        <v>654</v>
      </c>
      <c r="D1018" s="20">
        <v>60125000</v>
      </c>
      <c r="G1018" s="1"/>
    </row>
    <row r="1019" spans="1:7" x14ac:dyDescent="0.25">
      <c r="A1019" s="17"/>
      <c r="D1019" s="19">
        <f>SUM(D1004:D1018)</f>
        <v>5002516900</v>
      </c>
      <c r="G1019" s="1"/>
    </row>
    <row r="1020" spans="1:7" x14ac:dyDescent="0.25">
      <c r="A1020" s="17"/>
      <c r="D1020" s="19"/>
      <c r="G1020" s="1"/>
    </row>
    <row r="1021" spans="1:7" x14ac:dyDescent="0.25">
      <c r="A1021" s="17"/>
      <c r="B1021" s="24" t="s">
        <v>46</v>
      </c>
      <c r="D1021" s="19"/>
      <c r="G1021" s="1"/>
    </row>
    <row r="1022" spans="1:7" x14ac:dyDescent="0.25">
      <c r="A1022" s="17"/>
      <c r="B1022" s="24"/>
      <c r="C1022" t="s">
        <v>235</v>
      </c>
      <c r="D1022" s="19">
        <f>69*602500</f>
        <v>41572500</v>
      </c>
      <c r="G1022" s="1"/>
    </row>
    <row r="1023" spans="1:7" x14ac:dyDescent="0.25">
      <c r="A1023" s="17"/>
      <c r="B1023" s="24"/>
      <c r="C1023" t="s">
        <v>266</v>
      </c>
      <c r="D1023" s="20">
        <f>5*602500</f>
        <v>3012500</v>
      </c>
      <c r="G1023" s="1"/>
    </row>
    <row r="1024" spans="1:7" x14ac:dyDescent="0.25">
      <c r="A1024" s="17"/>
      <c r="D1024" s="19">
        <f>SUM(D1022:D1023)</f>
        <v>44585000</v>
      </c>
      <c r="G1024" s="1"/>
    </row>
    <row r="1025" spans="1:7" x14ac:dyDescent="0.25">
      <c r="A1025" s="17"/>
      <c r="D1025" s="19"/>
      <c r="G1025" s="1"/>
    </row>
    <row r="1026" spans="1:7" x14ac:dyDescent="0.25">
      <c r="A1026" s="23" t="s">
        <v>22</v>
      </c>
      <c r="D1026" s="19"/>
      <c r="G1026" s="1"/>
    </row>
    <row r="1027" spans="1:7" x14ac:dyDescent="0.25">
      <c r="A1027" s="17"/>
      <c r="C1027" t="s">
        <v>23</v>
      </c>
      <c r="D1027" s="19">
        <v>2518500000</v>
      </c>
      <c r="G1027" s="1"/>
    </row>
    <row r="1028" spans="1:7" x14ac:dyDescent="0.25">
      <c r="A1028" s="17"/>
      <c r="C1028" t="s">
        <v>24</v>
      </c>
      <c r="D1028" s="19">
        <v>1345163000</v>
      </c>
      <c r="G1028" s="1"/>
    </row>
    <row r="1029" spans="1:7" x14ac:dyDescent="0.25">
      <c r="A1029" s="17"/>
      <c r="C1029" t="s">
        <v>602</v>
      </c>
      <c r="D1029" s="20">
        <v>89000000</v>
      </c>
      <c r="G1029" s="1"/>
    </row>
    <row r="1030" spans="1:7" x14ac:dyDescent="0.25">
      <c r="A1030" s="17"/>
      <c r="D1030" s="19">
        <f>SUM(D1027:D1029)</f>
        <v>3952663000</v>
      </c>
      <c r="G1030" s="1"/>
    </row>
    <row r="1031" spans="1:7" x14ac:dyDescent="0.25">
      <c r="A1031" s="17"/>
      <c r="D1031" s="19"/>
      <c r="G1031" s="1"/>
    </row>
    <row r="1032" spans="1:7" x14ac:dyDescent="0.25">
      <c r="A1032" s="43" t="s">
        <v>25</v>
      </c>
      <c r="B1032" s="44"/>
      <c r="C1032" s="44"/>
      <c r="D1032" s="25">
        <f>D1001+D1019+D1024-D1030</f>
        <v>1556772374.0500002</v>
      </c>
      <c r="G1032" s="1"/>
    </row>
    <row r="1033" spans="1:7" x14ac:dyDescent="0.25">
      <c r="A1033" s="21"/>
      <c r="B1033" s="22"/>
      <c r="C1033" s="22"/>
      <c r="D1033" s="20"/>
      <c r="G1033" s="1"/>
    </row>
    <row r="1035" spans="1:7" x14ac:dyDescent="0.25">
      <c r="A1035" s="40" t="s">
        <v>13</v>
      </c>
      <c r="B1035" s="40"/>
      <c r="C1035" s="40"/>
      <c r="D1035" s="40"/>
      <c r="G1035" s="1"/>
    </row>
    <row r="1036" spans="1:7" x14ac:dyDescent="0.25">
      <c r="A1036" s="41" t="s">
        <v>14</v>
      </c>
      <c r="B1036" s="41"/>
      <c r="C1036" s="41"/>
      <c r="D1036" s="41"/>
      <c r="G1036" s="1"/>
    </row>
    <row r="1037" spans="1:7" x14ac:dyDescent="0.25">
      <c r="A1037" s="42">
        <v>45836</v>
      </c>
      <c r="B1037" s="42"/>
      <c r="C1037" s="42"/>
      <c r="D1037" s="42"/>
      <c r="G1037" s="1"/>
    </row>
    <row r="1038" spans="1:7" x14ac:dyDescent="0.25">
      <c r="A1038" s="13"/>
      <c r="B1038" s="13"/>
      <c r="C1038" s="13"/>
      <c r="D1038" s="13"/>
      <c r="G1038" s="1"/>
    </row>
    <row r="1039" spans="1:7" x14ac:dyDescent="0.25">
      <c r="A1039" s="14"/>
      <c r="B1039" s="15"/>
      <c r="C1039" s="15"/>
      <c r="D1039" s="16"/>
      <c r="F1039" s="5" t="s">
        <v>26</v>
      </c>
      <c r="G1039" s="1">
        <f>D1082-D1032</f>
        <v>-48815000</v>
      </c>
    </row>
    <row r="1040" spans="1:7" x14ac:dyDescent="0.25">
      <c r="A1040" s="17"/>
      <c r="D1040" s="32" t="s">
        <v>16</v>
      </c>
      <c r="G1040" s="1"/>
    </row>
    <row r="1041" spans="1:7" x14ac:dyDescent="0.25">
      <c r="A1041" s="23" t="s">
        <v>15</v>
      </c>
      <c r="D1041" s="18" t="s">
        <v>17</v>
      </c>
      <c r="F1041" s="26" t="s">
        <v>27</v>
      </c>
      <c r="G1041" s="1"/>
    </row>
    <row r="1042" spans="1:7" x14ac:dyDescent="0.25">
      <c r="A1042" s="17"/>
      <c r="B1042" s="24" t="s">
        <v>18</v>
      </c>
      <c r="D1042" s="19"/>
      <c r="F1042" s="27" t="s">
        <v>28</v>
      </c>
      <c r="G1042" s="1"/>
    </row>
    <row r="1043" spans="1:7" x14ac:dyDescent="0.25">
      <c r="A1043" s="17"/>
      <c r="C1043" s="2" t="s">
        <v>31</v>
      </c>
      <c r="D1043" s="19">
        <v>16793058.539999999</v>
      </c>
      <c r="F1043" t="s">
        <v>254</v>
      </c>
      <c r="G1043" s="1">
        <v>-1959000</v>
      </c>
    </row>
    <row r="1044" spans="1:7" x14ac:dyDescent="0.25">
      <c r="A1044" s="17"/>
      <c r="C1044" s="2" t="s">
        <v>32</v>
      </c>
      <c r="D1044" s="19">
        <v>106740798.51000001</v>
      </c>
      <c r="F1044" t="s">
        <v>90</v>
      </c>
      <c r="G1044" s="1">
        <v>230000</v>
      </c>
    </row>
    <row r="1045" spans="1:7" x14ac:dyDescent="0.25">
      <c r="A1045" s="17"/>
      <c r="C1045" s="2" t="s">
        <v>33</v>
      </c>
      <c r="D1045" s="19">
        <v>154249455.40000001</v>
      </c>
      <c r="F1045" t="s">
        <v>752</v>
      </c>
      <c r="G1045" s="1">
        <v>276000</v>
      </c>
    </row>
    <row r="1046" spans="1:7" x14ac:dyDescent="0.25">
      <c r="A1046" s="17"/>
      <c r="C1046" s="2" t="s">
        <v>34</v>
      </c>
      <c r="D1046" s="19">
        <v>2988116</v>
      </c>
      <c r="F1046" t="s">
        <v>753</v>
      </c>
      <c r="G1046" s="1">
        <v>188000</v>
      </c>
    </row>
    <row r="1047" spans="1:7" x14ac:dyDescent="0.25">
      <c r="A1047" s="17"/>
      <c r="C1047" s="2" t="s">
        <v>35</v>
      </c>
      <c r="D1047" s="19">
        <v>8250</v>
      </c>
      <c r="G1047" s="30">
        <f>SUM(G1043:G1046)</f>
        <v>-1265000</v>
      </c>
    </row>
    <row r="1048" spans="1:7" x14ac:dyDescent="0.25">
      <c r="A1048" s="17"/>
      <c r="C1048" s="2" t="s">
        <v>36</v>
      </c>
      <c r="D1048" s="19">
        <v>95897233.599999994</v>
      </c>
      <c r="F1048" s="28" t="s">
        <v>29</v>
      </c>
      <c r="G1048" s="1"/>
    </row>
    <row r="1049" spans="1:7" x14ac:dyDescent="0.25">
      <c r="A1049" s="17"/>
      <c r="C1049" s="2" t="s">
        <v>37</v>
      </c>
      <c r="D1049" s="19">
        <v>115315245</v>
      </c>
      <c r="F1049" t="s">
        <v>827</v>
      </c>
      <c r="G1049" s="1">
        <v>47550000</v>
      </c>
    </row>
    <row r="1050" spans="1:7" x14ac:dyDescent="0.25">
      <c r="A1050" s="17"/>
      <c r="C1050" s="2" t="s">
        <v>51</v>
      </c>
      <c r="D1050" s="20">
        <v>130317</v>
      </c>
      <c r="G1050" s="30">
        <f>SUM(G1049:G1049)</f>
        <v>47550000</v>
      </c>
    </row>
    <row r="1051" spans="1:7" x14ac:dyDescent="0.25">
      <c r="A1051" s="17"/>
      <c r="B1051" s="24" t="s">
        <v>19</v>
      </c>
      <c r="D1051" s="19">
        <f>SUM(D1043:D1050)</f>
        <v>492122474.05000007</v>
      </c>
    </row>
    <row r="1052" spans="1:7" x14ac:dyDescent="0.25">
      <c r="A1052" s="17"/>
      <c r="D1052" s="19"/>
      <c r="F1052" s="28" t="s">
        <v>30</v>
      </c>
      <c r="G1052" s="29">
        <f>G1047-G1050</f>
        <v>-48815000</v>
      </c>
    </row>
    <row r="1053" spans="1:7" x14ac:dyDescent="0.25">
      <c r="A1053" s="17"/>
      <c r="B1053" s="24" t="s">
        <v>20</v>
      </c>
      <c r="D1053" s="19"/>
    </row>
    <row r="1054" spans="1:7" x14ac:dyDescent="0.25">
      <c r="A1054" s="17"/>
      <c r="C1054" t="s">
        <v>7</v>
      </c>
      <c r="D1054" s="19">
        <v>3051165105</v>
      </c>
    </row>
    <row r="1055" spans="1:7" x14ac:dyDescent="0.25">
      <c r="A1055" s="17"/>
      <c r="C1055" t="s">
        <v>47</v>
      </c>
      <c r="D1055" s="19">
        <v>24865000</v>
      </c>
    </row>
    <row r="1056" spans="1:7" x14ac:dyDescent="0.25">
      <c r="A1056" s="17"/>
      <c r="C1056" t="s">
        <v>21</v>
      </c>
      <c r="D1056" s="19">
        <v>905655000</v>
      </c>
    </row>
    <row r="1057" spans="1:7" x14ac:dyDescent="0.25">
      <c r="A1057" s="17"/>
      <c r="C1057" t="s">
        <v>715</v>
      </c>
      <c r="D1057" s="19">
        <v>139033000</v>
      </c>
    </row>
    <row r="1058" spans="1:7" x14ac:dyDescent="0.25">
      <c r="A1058" s="17"/>
      <c r="C1058" t="s">
        <v>45</v>
      </c>
      <c r="D1058" s="19">
        <v>25000000</v>
      </c>
    </row>
    <row r="1059" spans="1:7" x14ac:dyDescent="0.25">
      <c r="A1059" s="17"/>
      <c r="C1059" t="s">
        <v>48</v>
      </c>
      <c r="D1059" s="19">
        <v>30000000</v>
      </c>
    </row>
    <row r="1060" spans="1:7" x14ac:dyDescent="0.25">
      <c r="A1060" s="17"/>
      <c r="C1060" t="s">
        <v>68</v>
      </c>
      <c r="D1060" s="19">
        <v>141000000</v>
      </c>
    </row>
    <row r="1061" spans="1:7" x14ac:dyDescent="0.25">
      <c r="A1061" s="17"/>
      <c r="C1061" t="s">
        <v>68</v>
      </c>
      <c r="D1061" s="19">
        <v>145000000</v>
      </c>
    </row>
    <row r="1062" spans="1:7" x14ac:dyDescent="0.25">
      <c r="A1062" s="17"/>
      <c r="C1062" t="s">
        <v>518</v>
      </c>
      <c r="D1062" s="19">
        <v>100000000</v>
      </c>
    </row>
    <row r="1063" spans="1:7" x14ac:dyDescent="0.25">
      <c r="A1063" s="17"/>
      <c r="C1063" t="s">
        <v>658</v>
      </c>
      <c r="D1063" s="19">
        <v>180880000</v>
      </c>
      <c r="G1063" s="1"/>
    </row>
    <row r="1064" spans="1:7" x14ac:dyDescent="0.25">
      <c r="A1064" s="17"/>
      <c r="C1064" t="s">
        <v>643</v>
      </c>
      <c r="D1064" s="19">
        <v>156395550</v>
      </c>
      <c r="G1064" s="1"/>
    </row>
    <row r="1065" spans="1:7" x14ac:dyDescent="0.25">
      <c r="A1065" s="17"/>
      <c r="C1065" t="s">
        <v>703</v>
      </c>
      <c r="D1065" s="19">
        <v>304750000</v>
      </c>
      <c r="G1065" s="1"/>
    </row>
    <row r="1066" spans="1:7" x14ac:dyDescent="0.25">
      <c r="A1066" s="17"/>
      <c r="C1066" t="s">
        <v>732</v>
      </c>
      <c r="D1066" s="19">
        <v>1185745</v>
      </c>
      <c r="G1066" s="1"/>
    </row>
    <row r="1067" spans="1:7" x14ac:dyDescent="0.25">
      <c r="A1067" s="17"/>
      <c r="C1067" t="s">
        <v>744</v>
      </c>
      <c r="D1067" s="19">
        <v>1002500</v>
      </c>
      <c r="G1067" s="1"/>
    </row>
    <row r="1068" spans="1:7" x14ac:dyDescent="0.25">
      <c r="A1068" s="17"/>
      <c r="C1068" t="s">
        <v>654</v>
      </c>
      <c r="D1068" s="20">
        <v>60125000</v>
      </c>
      <c r="G1068" s="1"/>
    </row>
    <row r="1069" spans="1:7" x14ac:dyDescent="0.25">
      <c r="A1069" s="17"/>
      <c r="D1069" s="19">
        <f>SUM(D1054:D1068)</f>
        <v>5266056900</v>
      </c>
      <c r="G1069" s="1"/>
    </row>
    <row r="1070" spans="1:7" x14ac:dyDescent="0.25">
      <c r="A1070" s="17"/>
      <c r="D1070" s="19"/>
      <c r="G1070" s="1"/>
    </row>
    <row r="1071" spans="1:7" x14ac:dyDescent="0.25">
      <c r="A1071" s="17"/>
      <c r="B1071" s="24" t="s">
        <v>46</v>
      </c>
      <c r="D1071" s="19"/>
      <c r="G1071" s="1"/>
    </row>
    <row r="1072" spans="1:7" x14ac:dyDescent="0.25">
      <c r="A1072" s="17"/>
      <c r="B1072" s="24"/>
      <c r="C1072" t="s">
        <v>235</v>
      </c>
      <c r="D1072" s="19">
        <f>69*602500</f>
        <v>41572500</v>
      </c>
      <c r="G1072" s="1"/>
    </row>
    <row r="1073" spans="1:7" x14ac:dyDescent="0.25">
      <c r="A1073" s="17"/>
      <c r="B1073" s="24"/>
      <c r="C1073" t="s">
        <v>408</v>
      </c>
      <c r="D1073" s="20">
        <f>1*602500</f>
        <v>602500</v>
      </c>
      <c r="G1073" s="1"/>
    </row>
    <row r="1074" spans="1:7" x14ac:dyDescent="0.25">
      <c r="A1074" s="17"/>
      <c r="D1074" s="19">
        <f>SUM(D1072:D1073)</f>
        <v>42175000</v>
      </c>
      <c r="G1074" s="1"/>
    </row>
    <row r="1075" spans="1:7" x14ac:dyDescent="0.25">
      <c r="A1075" s="17"/>
      <c r="D1075" s="19"/>
      <c r="G1075" s="1"/>
    </row>
    <row r="1076" spans="1:7" x14ac:dyDescent="0.25">
      <c r="A1076" s="23" t="s">
        <v>22</v>
      </c>
      <c r="D1076" s="19"/>
      <c r="G1076" s="1"/>
    </row>
    <row r="1077" spans="1:7" x14ac:dyDescent="0.25">
      <c r="A1077" s="17"/>
      <c r="C1077" t="s">
        <v>23</v>
      </c>
      <c r="D1077" s="19">
        <v>2518500000</v>
      </c>
      <c r="G1077" s="1"/>
    </row>
    <row r="1078" spans="1:7" x14ac:dyDescent="0.25">
      <c r="A1078" s="17"/>
      <c r="C1078" t="s">
        <v>24</v>
      </c>
      <c r="D1078" s="19">
        <v>1684897000</v>
      </c>
      <c r="G1078" s="1"/>
    </row>
    <row r="1079" spans="1:7" x14ac:dyDescent="0.25">
      <c r="A1079" s="17"/>
      <c r="C1079" t="s">
        <v>602</v>
      </c>
      <c r="D1079" s="20">
        <v>89000000</v>
      </c>
      <c r="G1079" s="1"/>
    </row>
    <row r="1080" spans="1:7" x14ac:dyDescent="0.25">
      <c r="A1080" s="17"/>
      <c r="D1080" s="19">
        <f>SUM(D1077:D1079)</f>
        <v>4292397000</v>
      </c>
      <c r="G1080" s="1"/>
    </row>
    <row r="1081" spans="1:7" x14ac:dyDescent="0.25">
      <c r="A1081" s="17"/>
      <c r="D1081" s="19"/>
      <c r="G1081" s="1"/>
    </row>
    <row r="1082" spans="1:7" x14ac:dyDescent="0.25">
      <c r="A1082" s="43" t="s">
        <v>25</v>
      </c>
      <c r="B1082" s="44"/>
      <c r="C1082" s="44"/>
      <c r="D1082" s="25">
        <f>D1051+D1069+D1074-D1080</f>
        <v>1507957374.0500002</v>
      </c>
      <c r="G1082" s="1"/>
    </row>
    <row r="1083" spans="1:7" x14ac:dyDescent="0.25">
      <c r="A1083" s="21"/>
      <c r="B1083" s="22"/>
      <c r="C1083" s="22"/>
      <c r="D1083" s="20"/>
      <c r="G1083" s="1"/>
    </row>
    <row r="1085" spans="1:7" x14ac:dyDescent="0.25">
      <c r="A1085" s="40" t="s">
        <v>13</v>
      </c>
      <c r="B1085" s="40"/>
      <c r="C1085" s="40"/>
      <c r="D1085" s="40"/>
      <c r="G1085" s="1"/>
    </row>
    <row r="1086" spans="1:7" x14ac:dyDescent="0.25">
      <c r="A1086" s="41" t="s">
        <v>14</v>
      </c>
      <c r="B1086" s="41"/>
      <c r="C1086" s="41"/>
      <c r="D1086" s="41"/>
      <c r="G1086" s="1"/>
    </row>
    <row r="1087" spans="1:7" x14ac:dyDescent="0.25">
      <c r="A1087" s="42">
        <v>45838</v>
      </c>
      <c r="B1087" s="42"/>
      <c r="C1087" s="42"/>
      <c r="D1087" s="42"/>
      <c r="G1087" s="1"/>
    </row>
    <row r="1088" spans="1:7" x14ac:dyDescent="0.25">
      <c r="A1088" s="13"/>
      <c r="B1088" s="13"/>
      <c r="C1088" s="13"/>
      <c r="D1088" s="13"/>
      <c r="G1088" s="1"/>
    </row>
    <row r="1089" spans="1:7" x14ac:dyDescent="0.25">
      <c r="A1089" s="14"/>
      <c r="B1089" s="15"/>
      <c r="C1089" s="15"/>
      <c r="D1089" s="16"/>
      <c r="F1089" s="5" t="s">
        <v>26</v>
      </c>
      <c r="G1089" s="1">
        <f>D1133-D1082</f>
        <v>904600</v>
      </c>
    </row>
    <row r="1090" spans="1:7" x14ac:dyDescent="0.25">
      <c r="A1090" s="17"/>
      <c r="D1090" s="32" t="s">
        <v>16</v>
      </c>
      <c r="G1090" s="1"/>
    </row>
    <row r="1091" spans="1:7" x14ac:dyDescent="0.25">
      <c r="A1091" s="23" t="s">
        <v>15</v>
      </c>
      <c r="D1091" s="18" t="s">
        <v>17</v>
      </c>
      <c r="F1091" s="26" t="s">
        <v>27</v>
      </c>
      <c r="G1091" s="1"/>
    </row>
    <row r="1092" spans="1:7" x14ac:dyDescent="0.25">
      <c r="A1092" s="17"/>
      <c r="B1092" s="24" t="s">
        <v>18</v>
      </c>
      <c r="D1092" s="19"/>
      <c r="F1092" s="27" t="s">
        <v>28</v>
      </c>
      <c r="G1092" s="1"/>
    </row>
    <row r="1093" spans="1:7" x14ac:dyDescent="0.25">
      <c r="A1093" s="17"/>
      <c r="C1093" s="2" t="s">
        <v>31</v>
      </c>
      <c r="D1093" s="19">
        <v>190743058.53999999</v>
      </c>
      <c r="F1093" t="s">
        <v>261</v>
      </c>
      <c r="G1093" s="1">
        <v>5479000</v>
      </c>
    </row>
    <row r="1094" spans="1:7" x14ac:dyDescent="0.25">
      <c r="A1094" s="17"/>
      <c r="C1094" s="2" t="s">
        <v>32</v>
      </c>
      <c r="D1094" s="19">
        <v>108853298.51000001</v>
      </c>
      <c r="F1094" t="s">
        <v>90</v>
      </c>
      <c r="G1094" s="1">
        <v>225000</v>
      </c>
    </row>
    <row r="1095" spans="1:7" x14ac:dyDescent="0.25">
      <c r="A1095" s="17"/>
      <c r="C1095" s="2" t="s">
        <v>33</v>
      </c>
      <c r="D1095" s="19">
        <v>458350055.39999998</v>
      </c>
      <c r="F1095" t="s">
        <v>755</v>
      </c>
      <c r="G1095" s="1">
        <v>450000</v>
      </c>
    </row>
    <row r="1096" spans="1:7" x14ac:dyDescent="0.25">
      <c r="A1096" s="17"/>
      <c r="C1096" s="2" t="s">
        <v>34</v>
      </c>
      <c r="D1096" s="19">
        <v>1688116</v>
      </c>
      <c r="G1096" s="30">
        <f>SUM(G1093:G1095)</f>
        <v>6154000</v>
      </c>
    </row>
    <row r="1097" spans="1:7" x14ac:dyDescent="0.25">
      <c r="A1097" s="17"/>
      <c r="C1097" s="2" t="s">
        <v>35</v>
      </c>
      <c r="D1097" s="19">
        <v>8250</v>
      </c>
      <c r="F1097" s="28" t="s">
        <v>29</v>
      </c>
      <c r="G1097" s="1"/>
    </row>
    <row r="1098" spans="1:7" x14ac:dyDescent="0.25">
      <c r="A1098" s="17"/>
      <c r="C1098" s="2" t="s">
        <v>36</v>
      </c>
      <c r="D1098" s="19">
        <v>894733.6</v>
      </c>
      <c r="F1098" t="s">
        <v>743</v>
      </c>
      <c r="G1098" s="1">
        <v>239400</v>
      </c>
    </row>
    <row r="1099" spans="1:7" x14ac:dyDescent="0.25">
      <c r="A1099" s="17"/>
      <c r="C1099" s="2" t="s">
        <v>37</v>
      </c>
      <c r="D1099" s="19">
        <v>-40139755</v>
      </c>
      <c r="F1099" t="s">
        <v>112</v>
      </c>
      <c r="G1099" s="1">
        <v>5000000</v>
      </c>
    </row>
    <row r="1100" spans="1:7" x14ac:dyDescent="0.25">
      <c r="A1100" s="17"/>
      <c r="C1100" s="2" t="s">
        <v>51</v>
      </c>
      <c r="D1100" s="20">
        <v>130317</v>
      </c>
      <c r="F1100" t="s">
        <v>49</v>
      </c>
      <c r="G1100" s="1">
        <v>2500</v>
      </c>
    </row>
    <row r="1101" spans="1:7" x14ac:dyDescent="0.25">
      <c r="A1101" s="17"/>
      <c r="B1101" s="24" t="s">
        <v>19</v>
      </c>
      <c r="D1101" s="19">
        <f>SUM(D1093:D1100)</f>
        <v>720528074.05000007</v>
      </c>
      <c r="F1101" t="s">
        <v>161</v>
      </c>
      <c r="G1101" s="1">
        <v>5000</v>
      </c>
    </row>
    <row r="1102" spans="1:7" x14ac:dyDescent="0.25">
      <c r="A1102" s="17"/>
      <c r="D1102" s="19"/>
      <c r="F1102" t="s">
        <v>230</v>
      </c>
      <c r="G1102" s="1">
        <v>2500</v>
      </c>
    </row>
    <row r="1103" spans="1:7" x14ac:dyDescent="0.25">
      <c r="A1103" s="17"/>
      <c r="B1103" s="24" t="s">
        <v>20</v>
      </c>
      <c r="D1103" s="19"/>
      <c r="G1103" s="30">
        <f>SUM(G1098:G1102)</f>
        <v>5249400</v>
      </c>
    </row>
    <row r="1104" spans="1:7" x14ac:dyDescent="0.25">
      <c r="A1104" s="17"/>
      <c r="C1104" t="s">
        <v>7</v>
      </c>
      <c r="D1104" s="19">
        <v>2885067605</v>
      </c>
    </row>
    <row r="1105" spans="1:7" x14ac:dyDescent="0.25">
      <c r="A1105" s="17"/>
      <c r="C1105" t="s">
        <v>47</v>
      </c>
      <c r="D1105" s="19">
        <v>14000000</v>
      </c>
      <c r="F1105" s="28" t="s">
        <v>30</v>
      </c>
      <c r="G1105" s="29">
        <f>G1096-G1103</f>
        <v>904600</v>
      </c>
    </row>
    <row r="1106" spans="1:7" x14ac:dyDescent="0.25">
      <c r="A1106" s="17"/>
      <c r="C1106" t="s">
        <v>21</v>
      </c>
      <c r="D1106" s="19">
        <v>955155000</v>
      </c>
    </row>
    <row r="1107" spans="1:7" x14ac:dyDescent="0.25">
      <c r="A1107" s="17"/>
      <c r="C1107" t="s">
        <v>715</v>
      </c>
      <c r="D1107" s="19">
        <v>219033000</v>
      </c>
    </row>
    <row r="1108" spans="1:7" x14ac:dyDescent="0.25">
      <c r="A1108" s="17"/>
      <c r="C1108" t="s">
        <v>45</v>
      </c>
      <c r="D1108" s="19">
        <v>25000000</v>
      </c>
    </row>
    <row r="1109" spans="1:7" x14ac:dyDescent="0.25">
      <c r="A1109" s="17"/>
      <c r="C1109" t="s">
        <v>48</v>
      </c>
      <c r="D1109" s="19">
        <v>30000000</v>
      </c>
    </row>
    <row r="1110" spans="1:7" x14ac:dyDescent="0.25">
      <c r="A1110" s="17"/>
      <c r="C1110" t="s">
        <v>68</v>
      </c>
      <c r="D1110" s="19">
        <v>141000000</v>
      </c>
    </row>
    <row r="1111" spans="1:7" x14ac:dyDescent="0.25">
      <c r="A1111" s="17"/>
      <c r="C1111" t="s">
        <v>68</v>
      </c>
      <c r="D1111" s="19">
        <v>145000000</v>
      </c>
    </row>
    <row r="1112" spans="1:7" x14ac:dyDescent="0.25">
      <c r="A1112" s="17"/>
      <c r="C1112" t="s">
        <v>518</v>
      </c>
      <c r="D1112" s="19">
        <v>100000000</v>
      </c>
    </row>
    <row r="1113" spans="1:7" x14ac:dyDescent="0.25">
      <c r="A1113" s="17"/>
      <c r="C1113" t="s">
        <v>658</v>
      </c>
      <c r="D1113" s="19">
        <v>180880000</v>
      </c>
      <c r="G1113" s="1"/>
    </row>
    <row r="1114" spans="1:7" x14ac:dyDescent="0.25">
      <c r="A1114" s="17"/>
      <c r="C1114" t="s">
        <v>643</v>
      </c>
      <c r="D1114" s="19">
        <v>156395550</v>
      </c>
      <c r="G1114" s="1"/>
    </row>
    <row r="1115" spans="1:7" x14ac:dyDescent="0.25">
      <c r="A1115" s="17"/>
      <c r="C1115" t="s">
        <v>703</v>
      </c>
      <c r="D1115" s="19">
        <v>304750000</v>
      </c>
      <c r="G1115" s="1"/>
    </row>
    <row r="1116" spans="1:7" x14ac:dyDescent="0.25">
      <c r="A1116" s="17"/>
      <c r="C1116" t="s">
        <v>732</v>
      </c>
      <c r="D1116" s="19">
        <v>1185745</v>
      </c>
      <c r="G1116" s="1"/>
    </row>
    <row r="1117" spans="1:7" x14ac:dyDescent="0.25">
      <c r="A1117" s="17"/>
      <c r="C1117" t="s">
        <v>744</v>
      </c>
      <c r="D1117" s="19">
        <v>1002500</v>
      </c>
      <c r="G1117" s="1"/>
    </row>
    <row r="1118" spans="1:7" x14ac:dyDescent="0.25">
      <c r="A1118" s="17"/>
      <c r="C1118" t="s">
        <v>756</v>
      </c>
      <c r="D1118" s="19">
        <v>15002500</v>
      </c>
      <c r="G1118" s="1"/>
    </row>
    <row r="1119" spans="1:7" x14ac:dyDescent="0.25">
      <c r="A1119" s="17"/>
      <c r="C1119" t="s">
        <v>654</v>
      </c>
      <c r="D1119" s="20">
        <v>60125000</v>
      </c>
      <c r="G1119" s="1"/>
    </row>
    <row r="1120" spans="1:7" x14ac:dyDescent="0.25">
      <c r="A1120" s="17"/>
      <c r="D1120" s="19">
        <f>SUM(D1104:D1119)</f>
        <v>5233596900</v>
      </c>
      <c r="G1120" s="1"/>
    </row>
    <row r="1121" spans="1:7" x14ac:dyDescent="0.25">
      <c r="A1121" s="17"/>
      <c r="D1121" s="19"/>
      <c r="G1121" s="1"/>
    </row>
    <row r="1122" spans="1:7" x14ac:dyDescent="0.25">
      <c r="A1122" s="17"/>
      <c r="B1122" s="24" t="s">
        <v>46</v>
      </c>
      <c r="D1122" s="19"/>
      <c r="G1122" s="1"/>
    </row>
    <row r="1123" spans="1:7" x14ac:dyDescent="0.25">
      <c r="A1123" s="17"/>
      <c r="B1123" s="24"/>
      <c r="C1123" t="s">
        <v>757</v>
      </c>
      <c r="D1123" s="19">
        <f>59*602500</f>
        <v>35547500</v>
      </c>
      <c r="G1123" s="1"/>
    </row>
    <row r="1124" spans="1:7" x14ac:dyDescent="0.25">
      <c r="A1124" s="17"/>
      <c r="B1124" s="24"/>
      <c r="C1124" t="s">
        <v>408</v>
      </c>
      <c r="D1124" s="20">
        <f>1*602500</f>
        <v>602500</v>
      </c>
      <c r="G1124" s="1"/>
    </row>
    <row r="1125" spans="1:7" x14ac:dyDescent="0.25">
      <c r="A1125" s="17"/>
      <c r="D1125" s="19">
        <f>SUM(D1123:D1124)</f>
        <v>36150000</v>
      </c>
      <c r="G1125" s="1"/>
    </row>
    <row r="1126" spans="1:7" x14ac:dyDescent="0.25">
      <c r="A1126" s="17"/>
      <c r="D1126" s="19"/>
      <c r="G1126" s="1"/>
    </row>
    <row r="1127" spans="1:7" x14ac:dyDescent="0.25">
      <c r="A1127" s="23" t="s">
        <v>22</v>
      </c>
      <c r="D1127" s="19"/>
      <c r="G1127" s="1"/>
    </row>
    <row r="1128" spans="1:7" x14ac:dyDescent="0.25">
      <c r="A1128" s="17"/>
      <c r="C1128" t="s">
        <v>23</v>
      </c>
      <c r="D1128" s="19">
        <v>2817700000</v>
      </c>
      <c r="G1128" s="1"/>
    </row>
    <row r="1129" spans="1:7" x14ac:dyDescent="0.25">
      <c r="A1129" s="17"/>
      <c r="C1129" t="s">
        <v>24</v>
      </c>
      <c r="D1129" s="19">
        <v>1574713000</v>
      </c>
      <c r="G1129" s="1"/>
    </row>
    <row r="1130" spans="1:7" x14ac:dyDescent="0.25">
      <c r="A1130" s="17"/>
      <c r="C1130" t="s">
        <v>602</v>
      </c>
      <c r="D1130" s="20">
        <v>89000000</v>
      </c>
      <c r="G1130" s="1"/>
    </row>
    <row r="1131" spans="1:7" x14ac:dyDescent="0.25">
      <c r="A1131" s="17"/>
      <c r="D1131" s="19">
        <f>SUM(D1128:D1130)</f>
        <v>4481413000</v>
      </c>
      <c r="G1131" s="1"/>
    </row>
    <row r="1132" spans="1:7" x14ac:dyDescent="0.25">
      <c r="A1132" s="17"/>
      <c r="D1132" s="19"/>
      <c r="G1132" s="1"/>
    </row>
    <row r="1133" spans="1:7" x14ac:dyDescent="0.25">
      <c r="A1133" s="43" t="s">
        <v>25</v>
      </c>
      <c r="B1133" s="44"/>
      <c r="C1133" s="44"/>
      <c r="D1133" s="25">
        <f>D1101+D1120+D1125-D1131</f>
        <v>1508861974.0500002</v>
      </c>
      <c r="G1133" s="1"/>
    </row>
    <row r="1134" spans="1:7" x14ac:dyDescent="0.25">
      <c r="A1134" s="21"/>
      <c r="B1134" s="22"/>
      <c r="C1134" s="22"/>
      <c r="D1134" s="20"/>
      <c r="G1134" s="1"/>
    </row>
  </sheetData>
  <mergeCells count="92">
    <mergeCell ref="A1085:D1085"/>
    <mergeCell ref="A1086:D1086"/>
    <mergeCell ref="A1087:D1087"/>
    <mergeCell ref="A1133:C1133"/>
    <mergeCell ref="A1035:D1035"/>
    <mergeCell ref="A1036:D1036"/>
    <mergeCell ref="A1037:D1037"/>
    <mergeCell ref="A1082:C1082"/>
    <mergeCell ref="A985:D985"/>
    <mergeCell ref="A986:D986"/>
    <mergeCell ref="A987:D987"/>
    <mergeCell ref="A1032:C1032"/>
    <mergeCell ref="A935:D935"/>
    <mergeCell ref="A936:D936"/>
    <mergeCell ref="A937:D937"/>
    <mergeCell ref="A982:C982"/>
    <mergeCell ref="A581:C581"/>
    <mergeCell ref="A486:D486"/>
    <mergeCell ref="A341:D341"/>
    <mergeCell ref="A384:C384"/>
    <mergeCell ref="A387:D387"/>
    <mergeCell ref="A388:D388"/>
    <mergeCell ref="A389:D389"/>
    <mergeCell ref="A194:D194"/>
    <mergeCell ref="A533:C533"/>
    <mergeCell ref="A536:D536"/>
    <mergeCell ref="A784:D784"/>
    <mergeCell ref="A785:D785"/>
    <mergeCell ref="A635:D635"/>
    <mergeCell ref="A680:C680"/>
    <mergeCell ref="A584:D584"/>
    <mergeCell ref="A585:D585"/>
    <mergeCell ref="A586:D586"/>
    <mergeCell ref="A630:C630"/>
    <mergeCell ref="A340:D340"/>
    <mergeCell ref="A432:C432"/>
    <mergeCell ref="A435:D435"/>
    <mergeCell ref="A537:D537"/>
    <mergeCell ref="A538:D538"/>
    <mergeCell ref="A831:C831"/>
    <mergeCell ref="A244:D244"/>
    <mergeCell ref="A287:C287"/>
    <mergeCell ref="A290:D290"/>
    <mergeCell ref="A291:D291"/>
    <mergeCell ref="A292:D292"/>
    <mergeCell ref="A336:C336"/>
    <mergeCell ref="A436:D436"/>
    <mergeCell ref="A437:D437"/>
    <mergeCell ref="A482:C482"/>
    <mergeCell ref="A485:D485"/>
    <mergeCell ref="A339:D339"/>
    <mergeCell ref="A487:D487"/>
    <mergeCell ref="A633:D633"/>
    <mergeCell ref="A634:D634"/>
    <mergeCell ref="A786:D786"/>
    <mergeCell ref="A1:D1"/>
    <mergeCell ref="A2:D2"/>
    <mergeCell ref="A3:D3"/>
    <mergeCell ref="A44:C44"/>
    <mergeCell ref="A47:D47"/>
    <mergeCell ref="A48:D48"/>
    <mergeCell ref="A49:D49"/>
    <mergeCell ref="A92:C92"/>
    <mergeCell ref="A242:D242"/>
    <mergeCell ref="A243:D243"/>
    <mergeCell ref="A195:D195"/>
    <mergeCell ref="A196:D196"/>
    <mergeCell ref="A239:C239"/>
    <mergeCell ref="A144:D144"/>
    <mergeCell ref="A145:D145"/>
    <mergeCell ref="A146:D146"/>
    <mergeCell ref="A191:C191"/>
    <mergeCell ref="A95:D95"/>
    <mergeCell ref="A96:D96"/>
    <mergeCell ref="A97:D97"/>
    <mergeCell ref="A141:C141"/>
    <mergeCell ref="A884:D884"/>
    <mergeCell ref="A885:D885"/>
    <mergeCell ref="A886:D886"/>
    <mergeCell ref="A932:C932"/>
    <mergeCell ref="A683:D683"/>
    <mergeCell ref="A684:D684"/>
    <mergeCell ref="A685:D685"/>
    <mergeCell ref="A731:C731"/>
    <mergeCell ref="A734:D734"/>
    <mergeCell ref="A735:D735"/>
    <mergeCell ref="A736:D736"/>
    <mergeCell ref="A781:C781"/>
    <mergeCell ref="A834:D834"/>
    <mergeCell ref="A835:D835"/>
    <mergeCell ref="A836:D836"/>
    <mergeCell ref="A881:C88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EF6F-A0B3-4D28-9D6A-09C5D12F7745}">
  <dimension ref="A1:I1313"/>
  <sheetViews>
    <sheetView topLeftCell="A1269" zoomScale="80" zoomScaleNormal="80" workbookViewId="0">
      <selection activeCell="G1289" sqref="G1289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7.7109375" bestFit="1" customWidth="1"/>
    <col min="4" max="4" width="24.7109375" customWidth="1"/>
    <col min="5" max="5" width="5" customWidth="1"/>
    <col min="6" max="6" width="51.5703125" bestFit="1" customWidth="1"/>
    <col min="7" max="7" width="20.85546875" customWidth="1"/>
    <col min="9" max="9" width="18.85546875" bestFit="1" customWidth="1"/>
  </cols>
  <sheetData>
    <row r="1" spans="1:9" x14ac:dyDescent="0.25">
      <c r="A1" s="40" t="s">
        <v>13</v>
      </c>
      <c r="B1" s="40"/>
      <c r="C1" s="40"/>
      <c r="D1" s="40"/>
      <c r="G1" s="1"/>
    </row>
    <row r="2" spans="1:9" x14ac:dyDescent="0.25">
      <c r="A2" s="41" t="s">
        <v>14</v>
      </c>
      <c r="B2" s="41"/>
      <c r="C2" s="41"/>
      <c r="D2" s="41"/>
      <c r="G2" s="1"/>
    </row>
    <row r="3" spans="1:9" x14ac:dyDescent="0.25">
      <c r="A3" s="42">
        <v>45839</v>
      </c>
      <c r="B3" s="42"/>
      <c r="C3" s="42"/>
      <c r="D3" s="42"/>
      <c r="G3" s="1"/>
    </row>
    <row r="4" spans="1:9" x14ac:dyDescent="0.25">
      <c r="A4" s="13"/>
      <c r="B4" s="13"/>
      <c r="C4" s="13"/>
      <c r="D4" s="13"/>
      <c r="G4" s="1"/>
    </row>
    <row r="5" spans="1:9" x14ac:dyDescent="0.25">
      <c r="A5" s="14"/>
      <c r="B5" s="15"/>
      <c r="C5" s="15"/>
      <c r="D5" s="16"/>
      <c r="F5" s="5" t="s">
        <v>26</v>
      </c>
      <c r="G5" s="1">
        <f>D49-Juni!D1133</f>
        <v>-100253351.09000015</v>
      </c>
    </row>
    <row r="6" spans="1:9" x14ac:dyDescent="0.25">
      <c r="A6" s="17"/>
      <c r="D6" s="32" t="s">
        <v>16</v>
      </c>
      <c r="G6" s="1"/>
    </row>
    <row r="7" spans="1:9" x14ac:dyDescent="0.25">
      <c r="A7" s="23" t="s">
        <v>15</v>
      </c>
      <c r="D7" s="18" t="s">
        <v>17</v>
      </c>
      <c r="F7" s="26" t="s">
        <v>27</v>
      </c>
      <c r="G7" s="1"/>
    </row>
    <row r="8" spans="1:9" x14ac:dyDescent="0.25">
      <c r="A8" s="17"/>
      <c r="B8" s="24" t="s">
        <v>18</v>
      </c>
      <c r="D8" s="19"/>
      <c r="F8" s="27" t="s">
        <v>28</v>
      </c>
      <c r="G8" s="1"/>
    </row>
    <row r="9" spans="1:9" x14ac:dyDescent="0.25">
      <c r="A9" s="17"/>
      <c r="C9" s="2" t="s">
        <v>31</v>
      </c>
      <c r="D9" s="19">
        <v>200094218.91</v>
      </c>
      <c r="F9" t="s">
        <v>279</v>
      </c>
      <c r="G9" s="1">
        <v>-4966000</v>
      </c>
    </row>
    <row r="10" spans="1:9" x14ac:dyDescent="0.25">
      <c r="A10" s="17"/>
      <c r="C10" s="2" t="s">
        <v>32</v>
      </c>
      <c r="D10" s="19">
        <v>108853787.05</v>
      </c>
      <c r="F10" t="s">
        <v>675</v>
      </c>
      <c r="G10" s="1">
        <v>610.66999999999996</v>
      </c>
    </row>
    <row r="11" spans="1:9" x14ac:dyDescent="0.25">
      <c r="A11" s="17"/>
      <c r="C11" s="2" t="s">
        <v>33</v>
      </c>
      <c r="D11" s="19">
        <v>160469055.40000001</v>
      </c>
      <c r="F11" t="s">
        <v>676</v>
      </c>
      <c r="G11" s="1">
        <v>1450.46</v>
      </c>
    </row>
    <row r="12" spans="1:9" x14ac:dyDescent="0.25">
      <c r="A12" s="17"/>
      <c r="C12" s="2" t="s">
        <v>34</v>
      </c>
      <c r="D12" s="19">
        <v>17952116</v>
      </c>
      <c r="G12" s="30">
        <f>SUM(G9:G11)</f>
        <v>-4963938.87</v>
      </c>
    </row>
    <row r="13" spans="1:9" x14ac:dyDescent="0.25">
      <c r="A13" s="17"/>
      <c r="C13" s="2" t="s">
        <v>35</v>
      </c>
      <c r="D13" s="19">
        <v>8250</v>
      </c>
      <c r="F13" s="28" t="s">
        <v>29</v>
      </c>
      <c r="G13" s="1"/>
    </row>
    <row r="14" spans="1:9" x14ac:dyDescent="0.25">
      <c r="A14" s="17"/>
      <c r="C14" s="2" t="s">
        <v>36</v>
      </c>
      <c r="D14" s="19">
        <v>894733.6</v>
      </c>
      <c r="F14" t="s">
        <v>758</v>
      </c>
      <c r="G14" s="1">
        <v>6000</v>
      </c>
      <c r="I14" s="38"/>
    </row>
    <row r="15" spans="1:9" x14ac:dyDescent="0.25">
      <c r="A15" s="17"/>
      <c r="C15" s="2" t="s">
        <v>37</v>
      </c>
      <c r="D15" s="19">
        <v>14012245</v>
      </c>
      <c r="F15" t="s">
        <v>759</v>
      </c>
      <c r="G15" s="1">
        <v>60000</v>
      </c>
    </row>
    <row r="16" spans="1:9" x14ac:dyDescent="0.25">
      <c r="A16" s="17"/>
      <c r="C16" s="2" t="s">
        <v>51</v>
      </c>
      <c r="D16" s="20">
        <v>130317</v>
      </c>
      <c r="F16" t="s">
        <v>2</v>
      </c>
      <c r="G16" s="1">
        <v>2250000</v>
      </c>
    </row>
    <row r="17" spans="1:7" x14ac:dyDescent="0.25">
      <c r="A17" s="17"/>
      <c r="B17" s="24" t="s">
        <v>19</v>
      </c>
      <c r="D17" s="19">
        <f>SUM(D9:D16)</f>
        <v>502414722.96000004</v>
      </c>
      <c r="F17" t="s">
        <v>49</v>
      </c>
      <c r="G17" s="1">
        <v>10000</v>
      </c>
    </row>
    <row r="18" spans="1:7" x14ac:dyDescent="0.25">
      <c r="A18" s="17"/>
      <c r="D18" s="19"/>
      <c r="F18" t="s">
        <v>845</v>
      </c>
      <c r="G18" s="1">
        <v>30350000</v>
      </c>
    </row>
    <row r="19" spans="1:7" x14ac:dyDescent="0.25">
      <c r="A19" s="17"/>
      <c r="B19" s="24" t="s">
        <v>20</v>
      </c>
      <c r="D19" s="19"/>
      <c r="F19" t="s">
        <v>760</v>
      </c>
      <c r="G19" s="1">
        <v>14550000</v>
      </c>
    </row>
    <row r="20" spans="1:7" x14ac:dyDescent="0.25">
      <c r="A20" s="17"/>
      <c r="C20" t="s">
        <v>7</v>
      </c>
      <c r="D20" s="19">
        <v>3246817605</v>
      </c>
      <c r="F20" t="s">
        <v>761</v>
      </c>
      <c r="G20" s="1">
        <v>7578500</v>
      </c>
    </row>
    <row r="21" spans="1:7" x14ac:dyDescent="0.25">
      <c r="A21" s="17"/>
      <c r="C21" t="s">
        <v>47</v>
      </c>
      <c r="D21" s="19">
        <v>14000000</v>
      </c>
      <c r="F21" t="s">
        <v>762</v>
      </c>
      <c r="G21" s="1">
        <v>11503000</v>
      </c>
    </row>
    <row r="22" spans="1:7" x14ac:dyDescent="0.25">
      <c r="A22" s="17"/>
      <c r="C22" t="s">
        <v>21</v>
      </c>
      <c r="D22" s="19">
        <v>872103000</v>
      </c>
      <c r="F22" t="s">
        <v>763</v>
      </c>
      <c r="G22" s="1">
        <v>23975000</v>
      </c>
    </row>
    <row r="23" spans="1:7" x14ac:dyDescent="0.25">
      <c r="A23" s="17"/>
      <c r="C23" t="s">
        <v>715</v>
      </c>
      <c r="D23" s="19">
        <v>219033000</v>
      </c>
      <c r="F23" t="s">
        <v>764</v>
      </c>
      <c r="G23" s="1">
        <v>6500</v>
      </c>
    </row>
    <row r="24" spans="1:7" x14ac:dyDescent="0.25">
      <c r="A24" s="17"/>
      <c r="C24" t="s">
        <v>45</v>
      </c>
      <c r="D24" s="19">
        <v>25000000</v>
      </c>
      <c r="F24" t="s">
        <v>677</v>
      </c>
      <c r="G24" s="1">
        <v>122.13</v>
      </c>
    </row>
    <row r="25" spans="1:7" x14ac:dyDescent="0.25">
      <c r="A25" s="17"/>
      <c r="C25" t="s">
        <v>48</v>
      </c>
      <c r="D25" s="19">
        <v>30000000</v>
      </c>
      <c r="F25" t="s">
        <v>678</v>
      </c>
      <c r="G25" s="1">
        <v>290.08999999999997</v>
      </c>
    </row>
    <row r="26" spans="1:7" x14ac:dyDescent="0.25">
      <c r="A26" s="17"/>
      <c r="C26" t="s">
        <v>68</v>
      </c>
      <c r="D26" s="19">
        <v>141000000</v>
      </c>
      <c r="F26" t="s">
        <v>112</v>
      </c>
      <c r="G26" s="1">
        <v>5000000</v>
      </c>
    </row>
    <row r="27" spans="1:7" x14ac:dyDescent="0.25">
      <c r="A27" s="17"/>
      <c r="C27" t="s">
        <v>68</v>
      </c>
      <c r="D27" s="19">
        <v>145000000</v>
      </c>
      <c r="G27" s="30">
        <f>SUM(G14:G26)</f>
        <v>95289412.219999999</v>
      </c>
    </row>
    <row r="28" spans="1:7" x14ac:dyDescent="0.25">
      <c r="A28" s="17"/>
      <c r="C28" t="s">
        <v>518</v>
      </c>
      <c r="D28" s="19">
        <v>100000000</v>
      </c>
    </row>
    <row r="29" spans="1:7" x14ac:dyDescent="0.25">
      <c r="A29" s="17"/>
      <c r="C29" t="s">
        <v>658</v>
      </c>
      <c r="D29" s="19">
        <v>180880000</v>
      </c>
      <c r="F29" s="28" t="s">
        <v>30</v>
      </c>
      <c r="G29" s="29">
        <f>G12-G27</f>
        <v>-100253351.09</v>
      </c>
    </row>
    <row r="30" spans="1:7" x14ac:dyDescent="0.25">
      <c r="A30" s="17"/>
      <c r="C30" t="s">
        <v>643</v>
      </c>
      <c r="D30" s="19">
        <v>156395550</v>
      </c>
      <c r="G30" s="1"/>
    </row>
    <row r="31" spans="1:7" x14ac:dyDescent="0.25">
      <c r="A31" s="17"/>
      <c r="C31" t="s">
        <v>703</v>
      </c>
      <c r="D31" s="19">
        <v>304750000</v>
      </c>
      <c r="G31" s="1"/>
    </row>
    <row r="32" spans="1:7" x14ac:dyDescent="0.25">
      <c r="A32" s="17"/>
      <c r="C32" t="s">
        <v>732</v>
      </c>
      <c r="D32" s="19">
        <v>1185745</v>
      </c>
      <c r="G32" s="1"/>
    </row>
    <row r="33" spans="1:7" x14ac:dyDescent="0.25">
      <c r="A33" s="17"/>
      <c r="C33" t="s">
        <v>744</v>
      </c>
      <c r="D33" s="19">
        <v>1002500</v>
      </c>
      <c r="G33" s="1"/>
    </row>
    <row r="34" spans="1:7" x14ac:dyDescent="0.25">
      <c r="A34" s="17"/>
      <c r="C34" t="s">
        <v>756</v>
      </c>
      <c r="D34" s="19">
        <v>15002500</v>
      </c>
      <c r="G34" s="1"/>
    </row>
    <row r="35" spans="1:7" x14ac:dyDescent="0.25">
      <c r="A35" s="17"/>
      <c r="C35" t="s">
        <v>654</v>
      </c>
      <c r="D35" s="20">
        <v>60125000</v>
      </c>
      <c r="G35" s="1"/>
    </row>
    <row r="36" spans="1:7" x14ac:dyDescent="0.25">
      <c r="A36" s="17"/>
      <c r="D36" s="19">
        <f>SUM(D20:D35)</f>
        <v>5512294900</v>
      </c>
      <c r="G36" s="1"/>
    </row>
    <row r="37" spans="1:7" x14ac:dyDescent="0.25">
      <c r="A37" s="17"/>
      <c r="D37" s="19"/>
      <c r="G37" s="1"/>
    </row>
    <row r="38" spans="1:7" x14ac:dyDescent="0.25">
      <c r="A38" s="17"/>
      <c r="B38" s="24" t="s">
        <v>46</v>
      </c>
      <c r="D38" s="19"/>
      <c r="G38" s="1"/>
    </row>
    <row r="39" spans="1:7" x14ac:dyDescent="0.25">
      <c r="A39" s="17"/>
      <c r="B39" s="24"/>
      <c r="C39" t="s">
        <v>757</v>
      </c>
      <c r="D39" s="19">
        <f>59*602500</f>
        <v>35547500</v>
      </c>
      <c r="G39" s="1"/>
    </row>
    <row r="40" spans="1:7" x14ac:dyDescent="0.25">
      <c r="A40" s="17"/>
      <c r="B40" s="24"/>
      <c r="C40" t="s">
        <v>408</v>
      </c>
      <c r="D40" s="20">
        <f>1*602500</f>
        <v>602500</v>
      </c>
      <c r="G40" s="1"/>
    </row>
    <row r="41" spans="1:7" x14ac:dyDescent="0.25">
      <c r="A41" s="17"/>
      <c r="D41" s="19">
        <f>SUM(D39:D40)</f>
        <v>36150000</v>
      </c>
      <c r="G41" s="1"/>
    </row>
    <row r="42" spans="1:7" x14ac:dyDescent="0.25">
      <c r="A42" s="17"/>
      <c r="D42" s="19"/>
      <c r="G42" s="1"/>
    </row>
    <row r="43" spans="1:7" x14ac:dyDescent="0.25">
      <c r="A43" s="23" t="s">
        <v>22</v>
      </c>
      <c r="D43" s="19"/>
      <c r="G43" s="1"/>
    </row>
    <row r="44" spans="1:7" x14ac:dyDescent="0.25">
      <c r="A44" s="17"/>
      <c r="C44" t="s">
        <v>23</v>
      </c>
      <c r="D44" s="19">
        <v>2896900000</v>
      </c>
      <c r="G44" s="1"/>
    </row>
    <row r="45" spans="1:7" x14ac:dyDescent="0.25">
      <c r="A45" s="17"/>
      <c r="C45" t="s">
        <v>24</v>
      </c>
      <c r="D45" s="19">
        <v>1657351000</v>
      </c>
      <c r="G45" s="1"/>
    </row>
    <row r="46" spans="1:7" x14ac:dyDescent="0.25">
      <c r="A46" s="17"/>
      <c r="C46" t="s">
        <v>602</v>
      </c>
      <c r="D46" s="20">
        <v>88000000</v>
      </c>
      <c r="G46" s="1"/>
    </row>
    <row r="47" spans="1:7" x14ac:dyDescent="0.25">
      <c r="A47" s="17"/>
      <c r="D47" s="19">
        <f>SUM(D44:D46)</f>
        <v>4642251000</v>
      </c>
      <c r="G47" s="1"/>
    </row>
    <row r="48" spans="1:7" x14ac:dyDescent="0.25">
      <c r="A48" s="17"/>
      <c r="D48" s="19"/>
      <c r="G48" s="1"/>
    </row>
    <row r="49" spans="1:9" x14ac:dyDescent="0.25">
      <c r="A49" s="43" t="s">
        <v>25</v>
      </c>
      <c r="B49" s="44"/>
      <c r="C49" s="44"/>
      <c r="D49" s="25">
        <f>D17+D36+D41-D47</f>
        <v>1408608622.96</v>
      </c>
      <c r="G49" s="1"/>
    </row>
    <row r="50" spans="1:9" x14ac:dyDescent="0.25">
      <c r="A50" s="21"/>
      <c r="B50" s="22"/>
      <c r="C50" s="22"/>
      <c r="D50" s="20"/>
      <c r="G50" s="1"/>
    </row>
    <row r="52" spans="1:9" x14ac:dyDescent="0.25">
      <c r="A52" s="40" t="s">
        <v>13</v>
      </c>
      <c r="B52" s="40"/>
      <c r="C52" s="40"/>
      <c r="D52" s="40"/>
      <c r="G52" s="1"/>
    </row>
    <row r="53" spans="1:9" x14ac:dyDescent="0.25">
      <c r="A53" s="41" t="s">
        <v>14</v>
      </c>
      <c r="B53" s="41"/>
      <c r="C53" s="41"/>
      <c r="D53" s="41"/>
      <c r="G53" s="1"/>
    </row>
    <row r="54" spans="1:9" x14ac:dyDescent="0.25">
      <c r="A54" s="42">
        <v>45840</v>
      </c>
      <c r="B54" s="42"/>
      <c r="C54" s="42"/>
      <c r="D54" s="42"/>
      <c r="G54" s="1"/>
    </row>
    <row r="55" spans="1:9" x14ac:dyDescent="0.25">
      <c r="A55" s="13"/>
      <c r="B55" s="13"/>
      <c r="C55" s="13"/>
      <c r="D55" s="13"/>
      <c r="G55" s="1"/>
    </row>
    <row r="56" spans="1:9" x14ac:dyDescent="0.25">
      <c r="A56" s="14"/>
      <c r="B56" s="15"/>
      <c r="C56" s="15"/>
      <c r="D56" s="16"/>
      <c r="F56" s="5" t="s">
        <v>26</v>
      </c>
      <c r="G56" s="1">
        <f>D100-D49</f>
        <v>-7609000</v>
      </c>
    </row>
    <row r="57" spans="1:9" x14ac:dyDescent="0.25">
      <c r="A57" s="17"/>
      <c r="D57" s="32" t="s">
        <v>16</v>
      </c>
      <c r="G57" s="1"/>
    </row>
    <row r="58" spans="1:9" x14ac:dyDescent="0.25">
      <c r="A58" s="23" t="s">
        <v>15</v>
      </c>
      <c r="D58" s="18" t="s">
        <v>17</v>
      </c>
      <c r="F58" s="26" t="s">
        <v>27</v>
      </c>
      <c r="G58" s="1"/>
    </row>
    <row r="59" spans="1:9" x14ac:dyDescent="0.25">
      <c r="A59" s="17"/>
      <c r="B59" s="24" t="s">
        <v>18</v>
      </c>
      <c r="D59" s="19"/>
      <c r="F59" s="27" t="s">
        <v>28</v>
      </c>
      <c r="G59" s="1"/>
    </row>
    <row r="60" spans="1:9" x14ac:dyDescent="0.25">
      <c r="A60" s="17"/>
      <c r="C60" s="2" t="s">
        <v>31</v>
      </c>
      <c r="D60" s="19">
        <v>51094218.909999996</v>
      </c>
      <c r="F60" t="s">
        <v>570</v>
      </c>
      <c r="G60" s="1">
        <v>-6744000</v>
      </c>
    </row>
    <row r="61" spans="1:9" x14ac:dyDescent="0.25">
      <c r="A61" s="17"/>
      <c r="C61" s="2" t="s">
        <v>32</v>
      </c>
      <c r="D61" s="19">
        <v>111493787.05</v>
      </c>
      <c r="F61" t="s">
        <v>90</v>
      </c>
      <c r="G61" s="1">
        <v>137500</v>
      </c>
    </row>
    <row r="62" spans="1:9" x14ac:dyDescent="0.25">
      <c r="A62" s="17"/>
      <c r="C62" s="2" t="s">
        <v>33</v>
      </c>
      <c r="D62" s="19">
        <v>117302055.40000001</v>
      </c>
      <c r="G62" s="30">
        <f>SUM(G60:G61)</f>
        <v>-6606500</v>
      </c>
    </row>
    <row r="63" spans="1:9" x14ac:dyDescent="0.25">
      <c r="A63" s="17"/>
      <c r="C63" s="2" t="s">
        <v>34</v>
      </c>
      <c r="D63" s="19">
        <v>10952116</v>
      </c>
      <c r="F63" s="28" t="s">
        <v>29</v>
      </c>
      <c r="G63" s="1"/>
    </row>
    <row r="64" spans="1:9" x14ac:dyDescent="0.25">
      <c r="A64" s="17"/>
      <c r="C64" s="2" t="s">
        <v>35</v>
      </c>
      <c r="D64" s="19">
        <v>8250</v>
      </c>
      <c r="F64" t="s">
        <v>767</v>
      </c>
      <c r="G64" s="1">
        <v>1000000</v>
      </c>
      <c r="I64" s="38"/>
    </row>
    <row r="65" spans="1:7" x14ac:dyDescent="0.25">
      <c r="A65" s="17"/>
      <c r="C65" s="2" t="s">
        <v>36</v>
      </c>
      <c r="D65" s="19">
        <v>894733.6</v>
      </c>
      <c r="F65" t="s">
        <v>161</v>
      </c>
      <c r="G65" s="1">
        <v>2500</v>
      </c>
    </row>
    <row r="66" spans="1:7" x14ac:dyDescent="0.25">
      <c r="A66" s="17"/>
      <c r="C66" s="2" t="s">
        <v>37</v>
      </c>
      <c r="D66" s="19">
        <v>-7259255</v>
      </c>
      <c r="G66" s="30">
        <f>SUM(G64:G65)</f>
        <v>1002500</v>
      </c>
    </row>
    <row r="67" spans="1:7" x14ac:dyDescent="0.25">
      <c r="A67" s="17"/>
      <c r="C67" s="2" t="s">
        <v>51</v>
      </c>
      <c r="D67" s="20">
        <v>130317</v>
      </c>
    </row>
    <row r="68" spans="1:7" x14ac:dyDescent="0.25">
      <c r="A68" s="17"/>
      <c r="B68" s="24" t="s">
        <v>19</v>
      </c>
      <c r="D68" s="19">
        <f>SUM(D60:D67)</f>
        <v>284616222.96000004</v>
      </c>
      <c r="F68" s="28" t="s">
        <v>30</v>
      </c>
      <c r="G68" s="29">
        <f>G62-G66</f>
        <v>-7609000</v>
      </c>
    </row>
    <row r="69" spans="1:7" x14ac:dyDescent="0.25">
      <c r="A69" s="17"/>
      <c r="D69" s="19"/>
    </row>
    <row r="70" spans="1:7" x14ac:dyDescent="0.25">
      <c r="A70" s="17"/>
      <c r="B70" s="24" t="s">
        <v>20</v>
      </c>
      <c r="D70" s="19"/>
    </row>
    <row r="71" spans="1:7" x14ac:dyDescent="0.25">
      <c r="A71" s="17"/>
      <c r="C71" t="s">
        <v>7</v>
      </c>
      <c r="D71" s="19">
        <v>2659577605</v>
      </c>
    </row>
    <row r="72" spans="1:7" x14ac:dyDescent="0.25">
      <c r="A72" s="17"/>
      <c r="C72" t="s">
        <v>47</v>
      </c>
      <c r="D72" s="19">
        <v>14510000</v>
      </c>
    </row>
    <row r="73" spans="1:7" x14ac:dyDescent="0.25">
      <c r="A73" s="17"/>
      <c r="C73" t="s">
        <v>21</v>
      </c>
      <c r="D73" s="19">
        <v>783372000</v>
      </c>
    </row>
    <row r="74" spans="1:7" x14ac:dyDescent="0.25">
      <c r="A74" s="17"/>
      <c r="C74" t="s">
        <v>715</v>
      </c>
      <c r="D74" s="19">
        <v>199133000</v>
      </c>
    </row>
    <row r="75" spans="1:7" x14ac:dyDescent="0.25">
      <c r="A75" s="17"/>
      <c r="C75" t="s">
        <v>45</v>
      </c>
      <c r="D75" s="19">
        <v>25000000</v>
      </c>
    </row>
    <row r="76" spans="1:7" x14ac:dyDescent="0.25">
      <c r="A76" s="17"/>
      <c r="C76" t="s">
        <v>48</v>
      </c>
      <c r="D76" s="19">
        <v>30000000</v>
      </c>
    </row>
    <row r="77" spans="1:7" x14ac:dyDescent="0.25">
      <c r="A77" s="17"/>
      <c r="C77" t="s">
        <v>68</v>
      </c>
      <c r="D77" s="19">
        <v>141000000</v>
      </c>
    </row>
    <row r="78" spans="1:7" x14ac:dyDescent="0.25">
      <c r="A78" s="17"/>
      <c r="C78" t="s">
        <v>68</v>
      </c>
      <c r="D78" s="19">
        <v>145000000</v>
      </c>
    </row>
    <row r="79" spans="1:7" x14ac:dyDescent="0.25">
      <c r="A79" s="17"/>
      <c r="C79" t="s">
        <v>518</v>
      </c>
      <c r="D79" s="19">
        <v>100000000</v>
      </c>
    </row>
    <row r="80" spans="1:7" x14ac:dyDescent="0.25">
      <c r="A80" s="17"/>
      <c r="C80" t="s">
        <v>658</v>
      </c>
      <c r="D80" s="19">
        <v>180880000</v>
      </c>
    </row>
    <row r="81" spans="1:7" x14ac:dyDescent="0.25">
      <c r="A81" s="17"/>
      <c r="C81" t="s">
        <v>643</v>
      </c>
      <c r="D81" s="19">
        <v>156395550</v>
      </c>
      <c r="G81" s="1"/>
    </row>
    <row r="82" spans="1:7" x14ac:dyDescent="0.25">
      <c r="A82" s="17"/>
      <c r="C82" t="s">
        <v>703</v>
      </c>
      <c r="D82" s="19">
        <v>304750000</v>
      </c>
      <c r="G82" s="1"/>
    </row>
    <row r="83" spans="1:7" x14ac:dyDescent="0.25">
      <c r="A83" s="17"/>
      <c r="C83" t="s">
        <v>732</v>
      </c>
      <c r="D83" s="19">
        <v>1185745</v>
      </c>
      <c r="G83" s="1"/>
    </row>
    <row r="84" spans="1:7" x14ac:dyDescent="0.25">
      <c r="A84" s="17"/>
      <c r="C84" t="s">
        <v>744</v>
      </c>
      <c r="D84" s="19">
        <v>1002500</v>
      </c>
      <c r="G84" s="1"/>
    </row>
    <row r="85" spans="1:7" x14ac:dyDescent="0.25">
      <c r="A85" s="17"/>
      <c r="C85" t="s">
        <v>756</v>
      </c>
      <c r="D85" s="19">
        <v>15002500</v>
      </c>
      <c r="G85" s="1"/>
    </row>
    <row r="86" spans="1:7" x14ac:dyDescent="0.25">
      <c r="A86" s="17"/>
      <c r="C86" t="s">
        <v>654</v>
      </c>
      <c r="D86" s="20">
        <v>60125000</v>
      </c>
      <c r="G86" s="1"/>
    </row>
    <row r="87" spans="1:7" x14ac:dyDescent="0.25">
      <c r="A87" s="17"/>
      <c r="D87" s="19">
        <f>SUM(D71:D86)</f>
        <v>4816933900</v>
      </c>
      <c r="G87" s="1"/>
    </row>
    <row r="88" spans="1:7" x14ac:dyDescent="0.25">
      <c r="A88" s="17"/>
      <c r="D88" s="19"/>
      <c r="G88" s="1"/>
    </row>
    <row r="89" spans="1:7" x14ac:dyDescent="0.25">
      <c r="A89" s="17"/>
      <c r="B89" s="24" t="s">
        <v>46</v>
      </c>
      <c r="D89" s="19"/>
      <c r="G89" s="1"/>
    </row>
    <row r="90" spans="1:7" x14ac:dyDescent="0.25">
      <c r="A90" s="17"/>
      <c r="B90" s="24"/>
      <c r="C90" t="s">
        <v>769</v>
      </c>
      <c r="D90" s="19">
        <f>54*602500</f>
        <v>32535000</v>
      </c>
      <c r="G90" s="1"/>
    </row>
    <row r="91" spans="1:7" x14ac:dyDescent="0.25">
      <c r="A91" s="17"/>
      <c r="B91" s="24"/>
      <c r="C91" t="s">
        <v>408</v>
      </c>
      <c r="D91" s="20">
        <f>1*602500</f>
        <v>602500</v>
      </c>
      <c r="G91" s="1"/>
    </row>
    <row r="92" spans="1:7" x14ac:dyDescent="0.25">
      <c r="A92" s="17"/>
      <c r="D92" s="19">
        <f>SUM(D90:D91)</f>
        <v>33137500</v>
      </c>
      <c r="G92" s="1"/>
    </row>
    <row r="93" spans="1:7" x14ac:dyDescent="0.25">
      <c r="A93" s="17"/>
      <c r="D93" s="19"/>
      <c r="G93" s="1"/>
    </row>
    <row r="94" spans="1:7" x14ac:dyDescent="0.25">
      <c r="A94" s="23" t="s">
        <v>22</v>
      </c>
      <c r="D94" s="19"/>
      <c r="G94" s="1"/>
    </row>
    <row r="95" spans="1:7" x14ac:dyDescent="0.25">
      <c r="A95" s="17"/>
      <c r="C95" t="s">
        <v>23</v>
      </c>
      <c r="D95" s="19">
        <v>1826650000</v>
      </c>
      <c r="G95" s="1"/>
    </row>
    <row r="96" spans="1:7" x14ac:dyDescent="0.25">
      <c r="A96" s="17"/>
      <c r="C96" t="s">
        <v>24</v>
      </c>
      <c r="D96" s="19">
        <v>1819038000</v>
      </c>
      <c r="G96" s="1"/>
    </row>
    <row r="97" spans="1:7" x14ac:dyDescent="0.25">
      <c r="A97" s="17"/>
      <c r="C97" t="s">
        <v>602</v>
      </c>
      <c r="D97" s="20">
        <v>88000000</v>
      </c>
      <c r="G97" s="1"/>
    </row>
    <row r="98" spans="1:7" x14ac:dyDescent="0.25">
      <c r="A98" s="17"/>
      <c r="D98" s="19">
        <f>SUM(D95:D97)</f>
        <v>3733688000</v>
      </c>
      <c r="G98" s="1"/>
    </row>
    <row r="99" spans="1:7" x14ac:dyDescent="0.25">
      <c r="A99" s="17"/>
      <c r="D99" s="19"/>
      <c r="G99" s="1"/>
    </row>
    <row r="100" spans="1:7" x14ac:dyDescent="0.25">
      <c r="A100" s="43" t="s">
        <v>25</v>
      </c>
      <c r="B100" s="44"/>
      <c r="C100" s="44"/>
      <c r="D100" s="25">
        <f>D68+D87+D92-D98</f>
        <v>1400999622.96</v>
      </c>
      <c r="G100" s="1"/>
    </row>
    <row r="101" spans="1:7" x14ac:dyDescent="0.25">
      <c r="A101" s="21"/>
      <c r="B101" s="22"/>
      <c r="C101" s="22"/>
      <c r="D101" s="20"/>
      <c r="G101" s="1"/>
    </row>
    <row r="103" spans="1:7" x14ac:dyDescent="0.25">
      <c r="A103" s="40" t="s">
        <v>13</v>
      </c>
      <c r="B103" s="40"/>
      <c r="C103" s="40"/>
      <c r="D103" s="40"/>
      <c r="G103" s="1"/>
    </row>
    <row r="104" spans="1:7" x14ac:dyDescent="0.25">
      <c r="A104" s="41" t="s">
        <v>14</v>
      </c>
      <c r="B104" s="41"/>
      <c r="C104" s="41"/>
      <c r="D104" s="41"/>
      <c r="G104" s="1"/>
    </row>
    <row r="105" spans="1:7" x14ac:dyDescent="0.25">
      <c r="A105" s="42">
        <v>45841</v>
      </c>
      <c r="B105" s="42"/>
      <c r="C105" s="42"/>
      <c r="D105" s="42"/>
      <c r="G105" s="1"/>
    </row>
    <row r="106" spans="1:7" x14ac:dyDescent="0.25">
      <c r="A106" s="13"/>
      <c r="B106" s="13"/>
      <c r="C106" s="13"/>
      <c r="D106" s="13"/>
      <c r="G106" s="1"/>
    </row>
    <row r="107" spans="1:7" x14ac:dyDescent="0.25">
      <c r="A107" s="14"/>
      <c r="B107" s="15"/>
      <c r="C107" s="15"/>
      <c r="D107" s="16"/>
      <c r="F107" s="5" t="s">
        <v>26</v>
      </c>
      <c r="G107" s="1">
        <f>D150-D100</f>
        <v>-26818750</v>
      </c>
    </row>
    <row r="108" spans="1:7" x14ac:dyDescent="0.25">
      <c r="A108" s="17"/>
      <c r="D108" s="32" t="s">
        <v>16</v>
      </c>
      <c r="G108" s="1"/>
    </row>
    <row r="109" spans="1:7" x14ac:dyDescent="0.25">
      <c r="A109" s="23" t="s">
        <v>15</v>
      </c>
      <c r="D109" s="18" t="s">
        <v>17</v>
      </c>
      <c r="F109" s="26" t="s">
        <v>27</v>
      </c>
      <c r="G109" s="1"/>
    </row>
    <row r="110" spans="1:7" x14ac:dyDescent="0.25">
      <c r="A110" s="17"/>
      <c r="B110" s="24" t="s">
        <v>18</v>
      </c>
      <c r="D110" s="19"/>
      <c r="F110" s="27" t="s">
        <v>28</v>
      </c>
      <c r="G110" s="1"/>
    </row>
    <row r="111" spans="1:7" x14ac:dyDescent="0.25">
      <c r="A111" s="17"/>
      <c r="C111" s="2" t="s">
        <v>31</v>
      </c>
      <c r="D111" s="19">
        <v>-905781.09</v>
      </c>
      <c r="F111" t="s">
        <v>292</v>
      </c>
      <c r="G111" s="1">
        <v>-3238000</v>
      </c>
    </row>
    <row r="112" spans="1:7" x14ac:dyDescent="0.25">
      <c r="A112" s="17"/>
      <c r="C112" s="2" t="s">
        <v>32</v>
      </c>
      <c r="D112" s="19">
        <v>124733787.05</v>
      </c>
      <c r="F112" t="s">
        <v>90</v>
      </c>
      <c r="G112" s="1">
        <v>115000</v>
      </c>
    </row>
    <row r="113" spans="1:9" x14ac:dyDescent="0.25">
      <c r="A113" s="17"/>
      <c r="C113" s="2" t="s">
        <v>33</v>
      </c>
      <c r="D113" s="19">
        <v>228552055.40000001</v>
      </c>
      <c r="F113" t="s">
        <v>122</v>
      </c>
      <c r="G113" s="1">
        <v>2564250</v>
      </c>
    </row>
    <row r="114" spans="1:9" x14ac:dyDescent="0.25">
      <c r="A114" s="17"/>
      <c r="C114" s="2" t="s">
        <v>34</v>
      </c>
      <c r="D114" s="19">
        <v>-80947884</v>
      </c>
      <c r="G114" s="30">
        <f>SUM(G111:G113)</f>
        <v>-558750</v>
      </c>
    </row>
    <row r="115" spans="1:9" x14ac:dyDescent="0.25">
      <c r="A115" s="17"/>
      <c r="C115" s="2" t="s">
        <v>35</v>
      </c>
      <c r="D115" s="19">
        <v>8250</v>
      </c>
      <c r="F115" s="28" t="s">
        <v>29</v>
      </c>
      <c r="G115" s="1"/>
    </row>
    <row r="116" spans="1:9" x14ac:dyDescent="0.25">
      <c r="A116" s="17"/>
      <c r="C116" s="2" t="s">
        <v>36</v>
      </c>
      <c r="D116" s="19">
        <v>642233.59999999998</v>
      </c>
      <c r="F116" t="s">
        <v>161</v>
      </c>
      <c r="G116" s="1">
        <v>7500</v>
      </c>
    </row>
    <row r="117" spans="1:9" x14ac:dyDescent="0.25">
      <c r="A117" s="17"/>
      <c r="C117" s="2" t="s">
        <v>37</v>
      </c>
      <c r="D117" s="19">
        <v>-157696755</v>
      </c>
      <c r="F117" t="s">
        <v>770</v>
      </c>
      <c r="G117" s="1">
        <v>3000000</v>
      </c>
      <c r="I117" s="38"/>
    </row>
    <row r="118" spans="1:9" x14ac:dyDescent="0.25">
      <c r="A118" s="17"/>
      <c r="C118" s="2" t="s">
        <v>51</v>
      </c>
      <c r="D118" s="20">
        <v>130317</v>
      </c>
      <c r="F118" t="s">
        <v>104</v>
      </c>
      <c r="G118" s="1">
        <v>2250000</v>
      </c>
    </row>
    <row r="119" spans="1:9" x14ac:dyDescent="0.25">
      <c r="A119" s="17"/>
      <c r="B119" s="24" t="s">
        <v>19</v>
      </c>
      <c r="D119" s="19">
        <f>SUM(D111:D118)</f>
        <v>114516222.96000004</v>
      </c>
      <c r="F119" t="s">
        <v>230</v>
      </c>
      <c r="G119" s="1">
        <v>2500</v>
      </c>
    </row>
    <row r="120" spans="1:9" x14ac:dyDescent="0.25">
      <c r="A120" s="17"/>
      <c r="D120" s="19"/>
      <c r="F120" t="s">
        <v>112</v>
      </c>
      <c r="G120" s="1">
        <v>21000000</v>
      </c>
    </row>
    <row r="121" spans="1:9" x14ac:dyDescent="0.25">
      <c r="A121" s="17"/>
      <c r="B121" s="24" t="s">
        <v>20</v>
      </c>
      <c r="D121" s="19"/>
      <c r="G121" s="30">
        <f>SUM(G116:G120)</f>
        <v>26260000</v>
      </c>
    </row>
    <row r="122" spans="1:9" x14ac:dyDescent="0.25">
      <c r="A122" s="17"/>
      <c r="C122" t="s">
        <v>7</v>
      </c>
      <c r="D122" s="19">
        <v>2839532605</v>
      </c>
    </row>
    <row r="123" spans="1:9" x14ac:dyDescent="0.25">
      <c r="A123" s="17"/>
      <c r="C123" t="s">
        <v>47</v>
      </c>
      <c r="D123" s="19">
        <v>2590000</v>
      </c>
      <c r="F123" s="28" t="s">
        <v>30</v>
      </c>
      <c r="G123" s="29">
        <f>G114-G121</f>
        <v>-26818750</v>
      </c>
    </row>
    <row r="124" spans="1:9" x14ac:dyDescent="0.25">
      <c r="A124" s="17"/>
      <c r="C124" t="s">
        <v>21</v>
      </c>
      <c r="D124" s="19">
        <v>768072000</v>
      </c>
    </row>
    <row r="125" spans="1:9" x14ac:dyDescent="0.25">
      <c r="A125" s="17"/>
      <c r="C125" t="s">
        <v>45</v>
      </c>
      <c r="D125" s="19">
        <v>25000000</v>
      </c>
    </row>
    <row r="126" spans="1:9" x14ac:dyDescent="0.25">
      <c r="A126" s="17"/>
      <c r="C126" t="s">
        <v>48</v>
      </c>
      <c r="D126" s="19">
        <v>30000000</v>
      </c>
    </row>
    <row r="127" spans="1:9" x14ac:dyDescent="0.25">
      <c r="A127" s="17"/>
      <c r="C127" t="s">
        <v>68</v>
      </c>
      <c r="D127" s="19">
        <v>141000000</v>
      </c>
    </row>
    <row r="128" spans="1:9" x14ac:dyDescent="0.25">
      <c r="A128" s="17"/>
      <c r="C128" t="s">
        <v>68</v>
      </c>
      <c r="D128" s="19">
        <v>145000000</v>
      </c>
    </row>
    <row r="129" spans="1:7" x14ac:dyDescent="0.25">
      <c r="A129" s="17"/>
      <c r="C129" t="s">
        <v>518</v>
      </c>
      <c r="D129" s="19">
        <v>100000000</v>
      </c>
    </row>
    <row r="130" spans="1:7" x14ac:dyDescent="0.25">
      <c r="A130" s="17"/>
      <c r="C130" t="s">
        <v>658</v>
      </c>
      <c r="D130" s="19">
        <v>180880000</v>
      </c>
    </row>
    <row r="131" spans="1:7" x14ac:dyDescent="0.25">
      <c r="A131" s="17"/>
      <c r="C131" t="s">
        <v>643</v>
      </c>
      <c r="D131" s="19">
        <v>156395550</v>
      </c>
      <c r="G131" s="1"/>
    </row>
    <row r="132" spans="1:7" x14ac:dyDescent="0.25">
      <c r="A132" s="17"/>
      <c r="C132" t="s">
        <v>703</v>
      </c>
      <c r="D132" s="19">
        <v>304750000</v>
      </c>
      <c r="G132" s="1"/>
    </row>
    <row r="133" spans="1:7" x14ac:dyDescent="0.25">
      <c r="A133" s="17"/>
      <c r="C133" t="s">
        <v>732</v>
      </c>
      <c r="D133" s="19">
        <v>1185745</v>
      </c>
      <c r="G133" s="1"/>
    </row>
    <row r="134" spans="1:7" x14ac:dyDescent="0.25">
      <c r="A134" s="17"/>
      <c r="C134" t="s">
        <v>744</v>
      </c>
      <c r="D134" s="19">
        <v>1002500</v>
      </c>
      <c r="G134" s="1"/>
    </row>
    <row r="135" spans="1:7" x14ac:dyDescent="0.25">
      <c r="A135" s="17"/>
      <c r="C135" t="s">
        <v>756</v>
      </c>
      <c r="D135" s="19">
        <v>15002500</v>
      </c>
      <c r="G135" s="1"/>
    </row>
    <row r="136" spans="1:7" x14ac:dyDescent="0.25">
      <c r="A136" s="17"/>
      <c r="C136" t="s">
        <v>654</v>
      </c>
      <c r="D136" s="20">
        <v>60125000</v>
      </c>
      <c r="G136" s="1"/>
    </row>
    <row r="137" spans="1:7" x14ac:dyDescent="0.25">
      <c r="A137" s="17"/>
      <c r="D137" s="19">
        <f>SUM(D122:D136)</f>
        <v>4770535900</v>
      </c>
      <c r="G137" s="1"/>
    </row>
    <row r="138" spans="1:7" x14ac:dyDescent="0.25">
      <c r="A138" s="17"/>
      <c r="D138" s="19"/>
      <c r="G138" s="1"/>
    </row>
    <row r="139" spans="1:7" x14ac:dyDescent="0.25">
      <c r="A139" s="17"/>
      <c r="B139" s="24" t="s">
        <v>46</v>
      </c>
      <c r="D139" s="19"/>
      <c r="G139" s="1"/>
    </row>
    <row r="140" spans="1:7" x14ac:dyDescent="0.25">
      <c r="A140" s="17"/>
      <c r="B140" s="24"/>
      <c r="C140" t="s">
        <v>260</v>
      </c>
      <c r="D140" s="19">
        <f>52*602500</f>
        <v>31330000</v>
      </c>
      <c r="G140" s="1"/>
    </row>
    <row r="141" spans="1:7" x14ac:dyDescent="0.25">
      <c r="A141" s="17"/>
      <c r="B141" s="24"/>
      <c r="C141" t="s">
        <v>408</v>
      </c>
      <c r="D141" s="20">
        <f>1*602500</f>
        <v>602500</v>
      </c>
      <c r="G141" s="1"/>
    </row>
    <row r="142" spans="1:7" x14ac:dyDescent="0.25">
      <c r="A142" s="17"/>
      <c r="D142" s="19">
        <f>SUM(D140:D141)</f>
        <v>31932500</v>
      </c>
      <c r="G142" s="1"/>
    </row>
    <row r="143" spans="1:7" x14ac:dyDescent="0.25">
      <c r="A143" s="17"/>
      <c r="D143" s="19"/>
      <c r="G143" s="1"/>
    </row>
    <row r="144" spans="1:7" x14ac:dyDescent="0.25">
      <c r="A144" s="23" t="s">
        <v>22</v>
      </c>
      <c r="D144" s="19"/>
      <c r="G144" s="1"/>
    </row>
    <row r="145" spans="1:7" x14ac:dyDescent="0.25">
      <c r="A145" s="17"/>
      <c r="C145" t="s">
        <v>23</v>
      </c>
      <c r="D145" s="19">
        <v>1634700000</v>
      </c>
      <c r="G145" s="1"/>
    </row>
    <row r="146" spans="1:7" x14ac:dyDescent="0.25">
      <c r="A146" s="17"/>
      <c r="C146" t="s">
        <v>24</v>
      </c>
      <c r="D146" s="19">
        <v>1820103750</v>
      </c>
      <c r="G146" s="1"/>
    </row>
    <row r="147" spans="1:7" x14ac:dyDescent="0.25">
      <c r="A147" s="17"/>
      <c r="C147" t="s">
        <v>602</v>
      </c>
      <c r="D147" s="20">
        <v>88000000</v>
      </c>
      <c r="G147" s="1"/>
    </row>
    <row r="148" spans="1:7" x14ac:dyDescent="0.25">
      <c r="A148" s="17"/>
      <c r="D148" s="19">
        <f>SUM(D145:D147)</f>
        <v>3542803750</v>
      </c>
      <c r="G148" s="1"/>
    </row>
    <row r="149" spans="1:7" x14ac:dyDescent="0.25">
      <c r="A149" s="17"/>
      <c r="D149" s="19"/>
      <c r="G149" s="1"/>
    </row>
    <row r="150" spans="1:7" x14ac:dyDescent="0.25">
      <c r="A150" s="43" t="s">
        <v>25</v>
      </c>
      <c r="B150" s="44"/>
      <c r="C150" s="44"/>
      <c r="D150" s="25">
        <f>D119+D137+D142-D148</f>
        <v>1374180872.96</v>
      </c>
      <c r="G150" s="1"/>
    </row>
    <row r="151" spans="1:7" x14ac:dyDescent="0.25">
      <c r="A151" s="21"/>
      <c r="B151" s="22"/>
      <c r="C151" s="22"/>
      <c r="D151" s="20"/>
      <c r="G151" s="1"/>
    </row>
    <row r="153" spans="1:7" x14ac:dyDescent="0.25">
      <c r="A153" s="40" t="s">
        <v>13</v>
      </c>
      <c r="B153" s="40"/>
      <c r="C153" s="40"/>
      <c r="D153" s="40"/>
      <c r="G153" s="1"/>
    </row>
    <row r="154" spans="1:7" x14ac:dyDescent="0.25">
      <c r="A154" s="41" t="s">
        <v>14</v>
      </c>
      <c r="B154" s="41"/>
      <c r="C154" s="41"/>
      <c r="D154" s="41"/>
      <c r="G154" s="1"/>
    </row>
    <row r="155" spans="1:7" x14ac:dyDescent="0.25">
      <c r="A155" s="42">
        <v>45842</v>
      </c>
      <c r="B155" s="42"/>
      <c r="C155" s="42"/>
      <c r="D155" s="42"/>
      <c r="G155" s="1"/>
    </row>
    <row r="156" spans="1:7" x14ac:dyDescent="0.25">
      <c r="A156" s="13"/>
      <c r="B156" s="13"/>
      <c r="C156" s="13"/>
      <c r="D156" s="13"/>
      <c r="G156" s="1"/>
    </row>
    <row r="157" spans="1:7" x14ac:dyDescent="0.25">
      <c r="A157" s="14"/>
      <c r="B157" s="15"/>
      <c r="C157" s="15"/>
      <c r="D157" s="16"/>
      <c r="F157" s="5" t="s">
        <v>26</v>
      </c>
      <c r="G157" s="1">
        <f>D200-D150</f>
        <v>10874100</v>
      </c>
    </row>
    <row r="158" spans="1:7" x14ac:dyDescent="0.25">
      <c r="A158" s="17"/>
      <c r="D158" s="32" t="s">
        <v>16</v>
      </c>
      <c r="G158" s="1"/>
    </row>
    <row r="159" spans="1:7" x14ac:dyDescent="0.25">
      <c r="A159" s="23" t="s">
        <v>15</v>
      </c>
      <c r="D159" s="18" t="s">
        <v>17</v>
      </c>
      <c r="F159" s="26" t="s">
        <v>27</v>
      </c>
      <c r="G159" s="1"/>
    </row>
    <row r="160" spans="1:7" x14ac:dyDescent="0.25">
      <c r="A160" s="17"/>
      <c r="B160" s="24" t="s">
        <v>18</v>
      </c>
      <c r="D160" s="19"/>
      <c r="F160" s="27" t="s">
        <v>28</v>
      </c>
      <c r="G160" s="1"/>
    </row>
    <row r="161" spans="1:9" x14ac:dyDescent="0.25">
      <c r="A161" s="17"/>
      <c r="C161" s="2" t="s">
        <v>31</v>
      </c>
      <c r="D161" s="19">
        <v>-405781.09</v>
      </c>
      <c r="F161" t="s">
        <v>118</v>
      </c>
      <c r="G161" s="1">
        <v>10715000</v>
      </c>
    </row>
    <row r="162" spans="1:9" x14ac:dyDescent="0.25">
      <c r="A162" s="17"/>
      <c r="C162" s="2" t="s">
        <v>32</v>
      </c>
      <c r="D162" s="19">
        <v>124733787.05</v>
      </c>
      <c r="F162" t="s">
        <v>776</v>
      </c>
      <c r="G162" s="1">
        <v>356000</v>
      </c>
    </row>
    <row r="163" spans="1:9" x14ac:dyDescent="0.25">
      <c r="A163" s="17"/>
      <c r="C163" s="2" t="s">
        <v>33</v>
      </c>
      <c r="D163" s="19">
        <v>-78667844.599999994</v>
      </c>
      <c r="G163" s="30">
        <f>SUM(G161:G162)</f>
        <v>11071000</v>
      </c>
    </row>
    <row r="164" spans="1:9" x14ac:dyDescent="0.25">
      <c r="A164" s="17"/>
      <c r="C164" s="2" t="s">
        <v>34</v>
      </c>
      <c r="D164" s="19">
        <v>139852116</v>
      </c>
      <c r="F164" s="28" t="s">
        <v>29</v>
      </c>
      <c r="G164" s="1"/>
    </row>
    <row r="165" spans="1:9" x14ac:dyDescent="0.25">
      <c r="A165" s="17"/>
      <c r="C165" s="2" t="s">
        <v>35</v>
      </c>
      <c r="D165" s="19">
        <v>8250</v>
      </c>
      <c r="F165" t="s">
        <v>775</v>
      </c>
      <c r="G165" s="1">
        <v>194400</v>
      </c>
      <c r="I165" s="38"/>
    </row>
    <row r="166" spans="1:9" x14ac:dyDescent="0.25">
      <c r="A166" s="17"/>
      <c r="C166" s="2" t="s">
        <v>36</v>
      </c>
      <c r="D166" s="19">
        <v>139733.6</v>
      </c>
      <c r="F166" t="s">
        <v>230</v>
      </c>
      <c r="G166" s="1">
        <v>2500</v>
      </c>
    </row>
    <row r="167" spans="1:9" x14ac:dyDescent="0.25">
      <c r="A167" s="17"/>
      <c r="C167" s="2" t="s">
        <v>37</v>
      </c>
      <c r="D167" s="19">
        <v>7103245</v>
      </c>
      <c r="G167" s="30">
        <f>SUM(G165:G166)</f>
        <v>196900</v>
      </c>
    </row>
    <row r="168" spans="1:9" x14ac:dyDescent="0.25">
      <c r="A168" s="17"/>
      <c r="C168" s="2" t="s">
        <v>51</v>
      </c>
      <c r="D168" s="20">
        <v>130317</v>
      </c>
    </row>
    <row r="169" spans="1:9" x14ac:dyDescent="0.25">
      <c r="A169" s="17"/>
      <c r="B169" s="24" t="s">
        <v>19</v>
      </c>
      <c r="D169" s="19">
        <f>SUM(D161:D168)</f>
        <v>192893822.96000001</v>
      </c>
      <c r="F169" s="28" t="s">
        <v>30</v>
      </c>
      <c r="G169" s="29">
        <f>G163-G167</f>
        <v>10874100</v>
      </c>
    </row>
    <row r="170" spans="1:9" x14ac:dyDescent="0.25">
      <c r="A170" s="17"/>
      <c r="D170" s="19"/>
    </row>
    <row r="171" spans="1:9" x14ac:dyDescent="0.25">
      <c r="A171" s="17"/>
      <c r="B171" s="24" t="s">
        <v>20</v>
      </c>
      <c r="D171" s="19"/>
    </row>
    <row r="172" spans="1:9" x14ac:dyDescent="0.25">
      <c r="A172" s="17"/>
      <c r="C172" t="s">
        <v>7</v>
      </c>
      <c r="D172" s="19">
        <v>2158305105</v>
      </c>
    </row>
    <row r="173" spans="1:9" x14ac:dyDescent="0.25">
      <c r="A173" s="17"/>
      <c r="C173" t="s">
        <v>47</v>
      </c>
      <c r="D173" s="19">
        <v>2590000</v>
      </c>
    </row>
    <row r="174" spans="1:9" x14ac:dyDescent="0.25">
      <c r="A174" s="17"/>
      <c r="C174" t="s">
        <v>21</v>
      </c>
      <c r="D174" s="19">
        <v>943051000</v>
      </c>
    </row>
    <row r="175" spans="1:9" x14ac:dyDescent="0.25">
      <c r="A175" s="17"/>
      <c r="C175" t="s">
        <v>45</v>
      </c>
      <c r="D175" s="19">
        <v>25000000</v>
      </c>
    </row>
    <row r="176" spans="1:9" x14ac:dyDescent="0.25">
      <c r="A176" s="17"/>
      <c r="C176" t="s">
        <v>48</v>
      </c>
      <c r="D176" s="19">
        <v>30000000</v>
      </c>
    </row>
    <row r="177" spans="1:7" x14ac:dyDescent="0.25">
      <c r="A177" s="17"/>
      <c r="C177" t="s">
        <v>68</v>
      </c>
      <c r="D177" s="19">
        <v>141000000</v>
      </c>
    </row>
    <row r="178" spans="1:7" x14ac:dyDescent="0.25">
      <c r="A178" s="17"/>
      <c r="C178" t="s">
        <v>68</v>
      </c>
      <c r="D178" s="19">
        <v>145000000</v>
      </c>
    </row>
    <row r="179" spans="1:7" x14ac:dyDescent="0.25">
      <c r="A179" s="17"/>
      <c r="C179" t="s">
        <v>518</v>
      </c>
      <c r="D179" s="19">
        <v>100000000</v>
      </c>
    </row>
    <row r="180" spans="1:7" x14ac:dyDescent="0.25">
      <c r="A180" s="17"/>
      <c r="C180" t="s">
        <v>658</v>
      </c>
      <c r="D180" s="19">
        <v>180880000</v>
      </c>
    </row>
    <row r="181" spans="1:7" x14ac:dyDescent="0.25">
      <c r="A181" s="17"/>
      <c r="C181" t="s">
        <v>643</v>
      </c>
      <c r="D181" s="19">
        <v>156395550</v>
      </c>
      <c r="G181" s="1"/>
    </row>
    <row r="182" spans="1:7" x14ac:dyDescent="0.25">
      <c r="A182" s="17"/>
      <c r="C182" t="s">
        <v>703</v>
      </c>
      <c r="D182" s="19">
        <v>304750000</v>
      </c>
      <c r="G182" s="1"/>
    </row>
    <row r="183" spans="1:7" x14ac:dyDescent="0.25">
      <c r="A183" s="17"/>
      <c r="C183" t="s">
        <v>732</v>
      </c>
      <c r="D183" s="19">
        <v>1185745</v>
      </c>
      <c r="G183" s="1"/>
    </row>
    <row r="184" spans="1:7" x14ac:dyDescent="0.25">
      <c r="A184" s="17"/>
      <c r="C184" t="s">
        <v>744</v>
      </c>
      <c r="D184" s="19">
        <v>1002500</v>
      </c>
      <c r="G184" s="1"/>
    </row>
    <row r="185" spans="1:7" x14ac:dyDescent="0.25">
      <c r="A185" s="17"/>
      <c r="C185" t="s">
        <v>756</v>
      </c>
      <c r="D185" s="19">
        <v>15002500</v>
      </c>
      <c r="G185" s="1"/>
    </row>
    <row r="186" spans="1:7" x14ac:dyDescent="0.25">
      <c r="A186" s="17"/>
      <c r="C186" t="s">
        <v>777</v>
      </c>
      <c r="D186" s="19">
        <v>78750000</v>
      </c>
      <c r="G186" s="1"/>
    </row>
    <row r="187" spans="1:7" x14ac:dyDescent="0.25">
      <c r="A187" s="17"/>
      <c r="C187" t="s">
        <v>654</v>
      </c>
      <c r="D187" s="20">
        <v>60125000</v>
      </c>
      <c r="G187" s="1"/>
    </row>
    <row r="188" spans="1:7" x14ac:dyDescent="0.25">
      <c r="A188" s="17"/>
      <c r="D188" s="19">
        <f>SUM(D172:D187)</f>
        <v>4343037400</v>
      </c>
      <c r="G188" s="1"/>
    </row>
    <row r="189" spans="1:7" x14ac:dyDescent="0.25">
      <c r="A189" s="17"/>
      <c r="D189" s="19"/>
      <c r="G189" s="1"/>
    </row>
    <row r="190" spans="1:7" x14ac:dyDescent="0.25">
      <c r="A190" s="17"/>
      <c r="B190" s="24" t="s">
        <v>46</v>
      </c>
      <c r="D190" s="19"/>
      <c r="G190" s="1"/>
    </row>
    <row r="191" spans="1:7" x14ac:dyDescent="0.25">
      <c r="A191" s="17"/>
      <c r="B191" s="24"/>
      <c r="C191" t="s">
        <v>260</v>
      </c>
      <c r="D191" s="19">
        <f>52*602500</f>
        <v>31330000</v>
      </c>
      <c r="G191" s="1"/>
    </row>
    <row r="192" spans="1:7" x14ac:dyDescent="0.25">
      <c r="A192" s="17"/>
      <c r="B192" s="24"/>
      <c r="C192" t="s">
        <v>408</v>
      </c>
      <c r="D192" s="20">
        <f>1*602500</f>
        <v>602500</v>
      </c>
      <c r="G192" s="1"/>
    </row>
    <row r="193" spans="1:7" x14ac:dyDescent="0.25">
      <c r="A193" s="17"/>
      <c r="D193" s="19">
        <f>SUM(D191:D192)</f>
        <v>31932500</v>
      </c>
      <c r="G193" s="1"/>
    </row>
    <row r="194" spans="1:7" x14ac:dyDescent="0.25">
      <c r="A194" s="17"/>
      <c r="D194" s="19"/>
      <c r="G194" s="1"/>
    </row>
    <row r="195" spans="1:7" x14ac:dyDescent="0.25">
      <c r="A195" s="23" t="s">
        <v>22</v>
      </c>
      <c r="D195" s="19"/>
      <c r="G195" s="1"/>
    </row>
    <row r="196" spans="1:7" x14ac:dyDescent="0.25">
      <c r="A196" s="17"/>
      <c r="C196" t="s">
        <v>23</v>
      </c>
      <c r="D196" s="19">
        <v>1572400000</v>
      </c>
      <c r="G196" s="1"/>
    </row>
    <row r="197" spans="1:7" x14ac:dyDescent="0.25">
      <c r="A197" s="17"/>
      <c r="C197" t="s">
        <v>24</v>
      </c>
      <c r="D197" s="20">
        <v>1610408750</v>
      </c>
      <c r="G197" s="1"/>
    </row>
    <row r="198" spans="1:7" x14ac:dyDescent="0.25">
      <c r="A198" s="17"/>
      <c r="D198" s="19">
        <f>SUM(D196:D197)</f>
        <v>3182808750</v>
      </c>
      <c r="G198" s="1"/>
    </row>
    <row r="199" spans="1:7" x14ac:dyDescent="0.25">
      <c r="A199" s="17"/>
      <c r="D199" s="19"/>
      <c r="G199" s="1"/>
    </row>
    <row r="200" spans="1:7" x14ac:dyDescent="0.25">
      <c r="A200" s="43" t="s">
        <v>25</v>
      </c>
      <c r="B200" s="44"/>
      <c r="C200" s="44"/>
      <c r="D200" s="25">
        <f>D169+D188+D193-D198</f>
        <v>1385054972.96</v>
      </c>
      <c r="G200" s="1"/>
    </row>
    <row r="201" spans="1:7" x14ac:dyDescent="0.25">
      <c r="A201" s="21"/>
      <c r="B201" s="22"/>
      <c r="C201" s="22"/>
      <c r="D201" s="20"/>
      <c r="G201" s="1"/>
    </row>
    <row r="203" spans="1:7" x14ac:dyDescent="0.25">
      <c r="A203" s="40" t="s">
        <v>13</v>
      </c>
      <c r="B203" s="40"/>
      <c r="C203" s="40"/>
      <c r="D203" s="40"/>
      <c r="G203" s="1"/>
    </row>
    <row r="204" spans="1:7" x14ac:dyDescent="0.25">
      <c r="A204" s="41" t="s">
        <v>14</v>
      </c>
      <c r="B204" s="41"/>
      <c r="C204" s="41"/>
      <c r="D204" s="41"/>
      <c r="G204" s="1"/>
    </row>
    <row r="205" spans="1:7" x14ac:dyDescent="0.25">
      <c r="A205" s="42">
        <v>45843</v>
      </c>
      <c r="B205" s="42"/>
      <c r="C205" s="42"/>
      <c r="D205" s="42"/>
      <c r="G205" s="1"/>
    </row>
    <row r="206" spans="1:7" x14ac:dyDescent="0.25">
      <c r="A206" s="13"/>
      <c r="B206" s="13"/>
      <c r="C206" s="13"/>
      <c r="D206" s="13"/>
      <c r="G206" s="1"/>
    </row>
    <row r="207" spans="1:7" x14ac:dyDescent="0.25">
      <c r="A207" s="14"/>
      <c r="B207" s="15"/>
      <c r="C207" s="15"/>
      <c r="D207" s="16"/>
      <c r="F207" s="5" t="s">
        <v>26</v>
      </c>
      <c r="G207" s="1">
        <f>D250-D200</f>
        <v>345000</v>
      </c>
    </row>
    <row r="208" spans="1:7" x14ac:dyDescent="0.25">
      <c r="A208" s="17"/>
      <c r="D208" s="32" t="s">
        <v>16</v>
      </c>
      <c r="G208" s="1"/>
    </row>
    <row r="209" spans="1:7" x14ac:dyDescent="0.25">
      <c r="A209" s="23" t="s">
        <v>15</v>
      </c>
      <c r="D209" s="18" t="s">
        <v>17</v>
      </c>
      <c r="F209" s="26" t="s">
        <v>27</v>
      </c>
      <c r="G209" s="1"/>
    </row>
    <row r="210" spans="1:7" x14ac:dyDescent="0.25">
      <c r="A210" s="17"/>
      <c r="B210" s="24" t="s">
        <v>18</v>
      </c>
      <c r="D210" s="19"/>
      <c r="F210" s="27" t="s">
        <v>28</v>
      </c>
      <c r="G210" s="1"/>
    </row>
    <row r="211" spans="1:7" x14ac:dyDescent="0.25">
      <c r="A211" s="17"/>
      <c r="C211" s="2" t="s">
        <v>31</v>
      </c>
      <c r="D211" s="19">
        <v>-405781.09</v>
      </c>
      <c r="F211" t="s">
        <v>299</v>
      </c>
      <c r="G211" s="1">
        <v>159000</v>
      </c>
    </row>
    <row r="212" spans="1:7" x14ac:dyDescent="0.25">
      <c r="A212" s="17"/>
      <c r="C212" s="2" t="s">
        <v>32</v>
      </c>
      <c r="D212" s="19">
        <v>124733787.05</v>
      </c>
      <c r="F212" t="s">
        <v>778</v>
      </c>
      <c r="G212" s="1">
        <v>186000</v>
      </c>
    </row>
    <row r="213" spans="1:7" x14ac:dyDescent="0.25">
      <c r="A213" s="17"/>
      <c r="C213" s="2" t="s">
        <v>33</v>
      </c>
      <c r="D213" s="19">
        <v>89443155.400000006</v>
      </c>
      <c r="G213" s="30">
        <f>SUM(G211:G212)</f>
        <v>345000</v>
      </c>
    </row>
    <row r="214" spans="1:7" x14ac:dyDescent="0.25">
      <c r="A214" s="17"/>
      <c r="C214" s="2" t="s">
        <v>34</v>
      </c>
      <c r="D214" s="19">
        <v>7752116</v>
      </c>
      <c r="F214" s="28" t="s">
        <v>29</v>
      </c>
      <c r="G214" s="1"/>
    </row>
    <row r="215" spans="1:7" x14ac:dyDescent="0.25">
      <c r="A215" s="17"/>
      <c r="C215" s="2" t="s">
        <v>35</v>
      </c>
      <c r="D215" s="19">
        <v>8250</v>
      </c>
      <c r="G215" s="1">
        <v>0</v>
      </c>
    </row>
    <row r="216" spans="1:7" x14ac:dyDescent="0.25">
      <c r="A216" s="17"/>
      <c r="C216" s="2" t="s">
        <v>36</v>
      </c>
      <c r="D216" s="19">
        <v>139733.6</v>
      </c>
      <c r="G216" s="30">
        <f>SUM(G215:G215)</f>
        <v>0</v>
      </c>
    </row>
    <row r="217" spans="1:7" x14ac:dyDescent="0.25">
      <c r="A217" s="17"/>
      <c r="C217" s="2" t="s">
        <v>37</v>
      </c>
      <c r="D217" s="19">
        <v>7953245</v>
      </c>
    </row>
    <row r="218" spans="1:7" x14ac:dyDescent="0.25">
      <c r="A218" s="17"/>
      <c r="C218" s="2" t="s">
        <v>51</v>
      </c>
      <c r="D218" s="20">
        <v>130317</v>
      </c>
      <c r="F218" s="28" t="s">
        <v>30</v>
      </c>
      <c r="G218" s="29">
        <f>G213-G216</f>
        <v>345000</v>
      </c>
    </row>
    <row r="219" spans="1:7" x14ac:dyDescent="0.25">
      <c r="A219" s="17"/>
      <c r="B219" s="24" t="s">
        <v>19</v>
      </c>
      <c r="D219" s="19">
        <f>SUM(D211:D218)</f>
        <v>229754822.96000001</v>
      </c>
    </row>
    <row r="220" spans="1:7" x14ac:dyDescent="0.25">
      <c r="A220" s="17"/>
      <c r="D220" s="19"/>
    </row>
    <row r="221" spans="1:7" x14ac:dyDescent="0.25">
      <c r="A221" s="17"/>
      <c r="B221" s="24" t="s">
        <v>20</v>
      </c>
      <c r="D221" s="19"/>
    </row>
    <row r="222" spans="1:7" x14ac:dyDescent="0.25">
      <c r="A222" s="17"/>
      <c r="C222" t="s">
        <v>7</v>
      </c>
      <c r="D222" s="19">
        <v>2540905105</v>
      </c>
    </row>
    <row r="223" spans="1:7" x14ac:dyDescent="0.25">
      <c r="A223" s="17"/>
      <c r="C223" t="s">
        <v>47</v>
      </c>
      <c r="D223" s="19">
        <v>2590000</v>
      </c>
    </row>
    <row r="224" spans="1:7" x14ac:dyDescent="0.25">
      <c r="A224" s="17"/>
      <c r="C224" t="s">
        <v>21</v>
      </c>
      <c r="D224" s="19">
        <v>1030526000</v>
      </c>
    </row>
    <row r="225" spans="1:7" x14ac:dyDescent="0.25">
      <c r="A225" s="17"/>
      <c r="C225" t="s">
        <v>45</v>
      </c>
      <c r="D225" s="19">
        <v>25000000</v>
      </c>
    </row>
    <row r="226" spans="1:7" x14ac:dyDescent="0.25">
      <c r="A226" s="17"/>
      <c r="C226" t="s">
        <v>48</v>
      </c>
      <c r="D226" s="19">
        <v>30000000</v>
      </c>
    </row>
    <row r="227" spans="1:7" x14ac:dyDescent="0.25">
      <c r="A227" s="17"/>
      <c r="C227" t="s">
        <v>68</v>
      </c>
      <c r="D227" s="19">
        <v>141000000</v>
      </c>
    </row>
    <row r="228" spans="1:7" x14ac:dyDescent="0.25">
      <c r="A228" s="17"/>
      <c r="C228" t="s">
        <v>68</v>
      </c>
      <c r="D228" s="19">
        <v>145000000</v>
      </c>
    </row>
    <row r="229" spans="1:7" x14ac:dyDescent="0.25">
      <c r="A229" s="17"/>
      <c r="C229" t="s">
        <v>518</v>
      </c>
      <c r="D229" s="19">
        <v>100000000</v>
      </c>
    </row>
    <row r="230" spans="1:7" x14ac:dyDescent="0.25">
      <c r="A230" s="17"/>
      <c r="C230" t="s">
        <v>658</v>
      </c>
      <c r="D230" s="19">
        <v>180880000</v>
      </c>
    </row>
    <row r="231" spans="1:7" x14ac:dyDescent="0.25">
      <c r="A231" s="17"/>
      <c r="C231" t="s">
        <v>643</v>
      </c>
      <c r="D231" s="19">
        <v>156395550</v>
      </c>
      <c r="G231" s="1"/>
    </row>
    <row r="232" spans="1:7" x14ac:dyDescent="0.25">
      <c r="A232" s="17"/>
      <c r="C232" t="s">
        <v>703</v>
      </c>
      <c r="D232" s="19">
        <v>304750000</v>
      </c>
      <c r="G232" s="1"/>
    </row>
    <row r="233" spans="1:7" x14ac:dyDescent="0.25">
      <c r="A233" s="17"/>
      <c r="C233" t="s">
        <v>732</v>
      </c>
      <c r="D233" s="19">
        <v>1185745</v>
      </c>
      <c r="G233" s="1"/>
    </row>
    <row r="234" spans="1:7" x14ac:dyDescent="0.25">
      <c r="A234" s="17"/>
      <c r="C234" t="s">
        <v>744</v>
      </c>
      <c r="D234" s="19">
        <v>1002500</v>
      </c>
      <c r="G234" s="1"/>
    </row>
    <row r="235" spans="1:7" x14ac:dyDescent="0.25">
      <c r="A235" s="17"/>
      <c r="C235" t="s">
        <v>756</v>
      </c>
      <c r="D235" s="20">
        <v>15002500</v>
      </c>
      <c r="G235" s="1"/>
    </row>
    <row r="236" spans="1:7" x14ac:dyDescent="0.25">
      <c r="A236" s="17"/>
      <c r="D236" s="19">
        <f>SUM(D222:D235)</f>
        <v>4674237400</v>
      </c>
      <c r="G236" s="1"/>
    </row>
    <row r="237" spans="1:7" x14ac:dyDescent="0.25">
      <c r="A237" s="17"/>
      <c r="D237" s="19"/>
      <c r="G237" s="1"/>
    </row>
    <row r="238" spans="1:7" x14ac:dyDescent="0.25">
      <c r="A238" s="17"/>
      <c r="B238" s="24" t="s">
        <v>46</v>
      </c>
      <c r="D238" s="19"/>
      <c r="G238" s="1"/>
    </row>
    <row r="239" spans="1:7" x14ac:dyDescent="0.25">
      <c r="A239" s="17"/>
      <c r="B239" s="24"/>
      <c r="C239" t="s">
        <v>260</v>
      </c>
      <c r="D239" s="19">
        <f>52*602500</f>
        <v>31330000</v>
      </c>
      <c r="G239" s="1"/>
    </row>
    <row r="240" spans="1:7" x14ac:dyDescent="0.25">
      <c r="A240" s="17"/>
      <c r="B240" s="24"/>
      <c r="C240" t="s">
        <v>408</v>
      </c>
      <c r="D240" s="20">
        <f>1*602500</f>
        <v>602500</v>
      </c>
      <c r="G240" s="1"/>
    </row>
    <row r="241" spans="1:7" x14ac:dyDescent="0.25">
      <c r="A241" s="17"/>
      <c r="D241" s="19">
        <f>SUM(D239:D240)</f>
        <v>31932500</v>
      </c>
      <c r="G241" s="1"/>
    </row>
    <row r="242" spans="1:7" x14ac:dyDescent="0.25">
      <c r="A242" s="17"/>
      <c r="D242" s="19"/>
      <c r="G242" s="1"/>
    </row>
    <row r="243" spans="1:7" x14ac:dyDescent="0.25">
      <c r="A243" s="23" t="s">
        <v>22</v>
      </c>
      <c r="D243" s="19"/>
      <c r="G243" s="1"/>
    </row>
    <row r="244" spans="1:7" x14ac:dyDescent="0.25">
      <c r="A244" s="17"/>
      <c r="C244" t="s">
        <v>23</v>
      </c>
      <c r="D244" s="19">
        <v>1492300000</v>
      </c>
      <c r="G244" s="1"/>
    </row>
    <row r="245" spans="1:7" x14ac:dyDescent="0.25">
      <c r="A245" s="17"/>
      <c r="C245" t="s">
        <v>24</v>
      </c>
      <c r="D245" s="19">
        <v>1946974750</v>
      </c>
      <c r="G245" s="1"/>
    </row>
    <row r="246" spans="1:7" x14ac:dyDescent="0.25">
      <c r="A246" s="17"/>
      <c r="C246" t="s">
        <v>602</v>
      </c>
      <c r="D246" s="19">
        <v>88000000</v>
      </c>
      <c r="G246" s="1"/>
    </row>
    <row r="247" spans="1:7" x14ac:dyDescent="0.25">
      <c r="A247" s="17"/>
      <c r="C247" t="s">
        <v>44</v>
      </c>
      <c r="D247" s="20">
        <v>23250000</v>
      </c>
      <c r="G247" s="1"/>
    </row>
    <row r="248" spans="1:7" x14ac:dyDescent="0.25">
      <c r="A248" s="17"/>
      <c r="D248" s="19">
        <f>SUM(D244:D247)</f>
        <v>3550524750</v>
      </c>
      <c r="G248" s="1"/>
    </row>
    <row r="249" spans="1:7" x14ac:dyDescent="0.25">
      <c r="A249" s="17"/>
      <c r="D249" s="19"/>
      <c r="G249" s="1"/>
    </row>
    <row r="250" spans="1:7" x14ac:dyDescent="0.25">
      <c r="A250" s="43" t="s">
        <v>25</v>
      </c>
      <c r="B250" s="44"/>
      <c r="C250" s="44"/>
      <c r="D250" s="25">
        <f>D219+D236+D241-D248</f>
        <v>1385399972.96</v>
      </c>
      <c r="G250" s="1"/>
    </row>
    <row r="251" spans="1:7" x14ac:dyDescent="0.25">
      <c r="A251" s="21"/>
      <c r="B251" s="22"/>
      <c r="C251" s="22"/>
      <c r="D251" s="20"/>
      <c r="G251" s="1"/>
    </row>
    <row r="253" spans="1:7" x14ac:dyDescent="0.25">
      <c r="A253" s="40" t="s">
        <v>13</v>
      </c>
      <c r="B253" s="40"/>
      <c r="C253" s="40"/>
      <c r="D253" s="40"/>
      <c r="G253" s="1"/>
    </row>
    <row r="254" spans="1:7" x14ac:dyDescent="0.25">
      <c r="A254" s="41" t="s">
        <v>14</v>
      </c>
      <c r="B254" s="41"/>
      <c r="C254" s="41"/>
      <c r="D254" s="41"/>
      <c r="G254" s="1"/>
    </row>
    <row r="255" spans="1:7" x14ac:dyDescent="0.25">
      <c r="A255" s="42">
        <v>45845</v>
      </c>
      <c r="B255" s="42"/>
      <c r="C255" s="42"/>
      <c r="D255" s="42"/>
      <c r="G255" s="1"/>
    </row>
    <row r="256" spans="1:7" x14ac:dyDescent="0.25">
      <c r="A256" s="13"/>
      <c r="B256" s="13"/>
      <c r="C256" s="13"/>
      <c r="D256" s="13"/>
      <c r="G256" s="1"/>
    </row>
    <row r="257" spans="1:9" x14ac:dyDescent="0.25">
      <c r="A257" s="14"/>
      <c r="B257" s="15"/>
      <c r="C257" s="15"/>
      <c r="D257" s="16"/>
      <c r="F257" s="5" t="s">
        <v>26</v>
      </c>
      <c r="G257" s="1">
        <f>D301-D250</f>
        <v>-725000</v>
      </c>
    </row>
    <row r="258" spans="1:9" x14ac:dyDescent="0.25">
      <c r="A258" s="17"/>
      <c r="D258" s="32" t="s">
        <v>16</v>
      </c>
      <c r="G258" s="1"/>
    </row>
    <row r="259" spans="1:9" x14ac:dyDescent="0.25">
      <c r="A259" s="23" t="s">
        <v>15</v>
      </c>
      <c r="D259" s="18" t="s">
        <v>17</v>
      </c>
      <c r="F259" s="26" t="s">
        <v>27</v>
      </c>
      <c r="G259" s="1"/>
    </row>
    <row r="260" spans="1:9" x14ac:dyDescent="0.25">
      <c r="A260" s="17"/>
      <c r="B260" s="24" t="s">
        <v>18</v>
      </c>
      <c r="D260" s="19"/>
      <c r="F260" s="27" t="s">
        <v>28</v>
      </c>
      <c r="G260" s="1"/>
    </row>
    <row r="261" spans="1:9" x14ac:dyDescent="0.25">
      <c r="A261" s="17"/>
      <c r="C261" s="2" t="s">
        <v>31</v>
      </c>
      <c r="D261" s="19">
        <v>-405781.09</v>
      </c>
      <c r="F261" t="s">
        <v>303</v>
      </c>
      <c r="G261" s="1">
        <v>-1308000</v>
      </c>
    </row>
    <row r="262" spans="1:9" x14ac:dyDescent="0.25">
      <c r="A262" s="17"/>
      <c r="C262" s="2" t="s">
        <v>32</v>
      </c>
      <c r="D262" s="19">
        <v>124733787.05</v>
      </c>
      <c r="F262" t="s">
        <v>90</v>
      </c>
      <c r="G262" s="1">
        <v>225000</v>
      </c>
    </row>
    <row r="263" spans="1:9" x14ac:dyDescent="0.25">
      <c r="A263" s="17"/>
      <c r="C263" s="2" t="s">
        <v>33</v>
      </c>
      <c r="D263" s="19">
        <v>9398155.4000000004</v>
      </c>
      <c r="F263" t="s">
        <v>779</v>
      </c>
      <c r="G263" s="1">
        <v>178000</v>
      </c>
    </row>
    <row r="264" spans="1:9" x14ac:dyDescent="0.25">
      <c r="A264" s="17"/>
      <c r="C264" s="2" t="s">
        <v>34</v>
      </c>
      <c r="D264" s="19">
        <v>90527116</v>
      </c>
      <c r="F264" t="s">
        <v>780</v>
      </c>
      <c r="G264" s="1">
        <v>180000</v>
      </c>
      <c r="I264" s="38"/>
    </row>
    <row r="265" spans="1:9" x14ac:dyDescent="0.25">
      <c r="A265" s="17"/>
      <c r="C265" s="2" t="s">
        <v>35</v>
      </c>
      <c r="D265" s="19">
        <v>8250</v>
      </c>
      <c r="G265" s="30">
        <f>SUM(G261:G264)</f>
        <v>-725000</v>
      </c>
    </row>
    <row r="266" spans="1:9" x14ac:dyDescent="0.25">
      <c r="A266" s="17"/>
      <c r="C266" s="2" t="s">
        <v>36</v>
      </c>
      <c r="D266" s="19">
        <v>139733.6</v>
      </c>
      <c r="F266" s="28" t="s">
        <v>29</v>
      </c>
      <c r="G266" s="1"/>
    </row>
    <row r="267" spans="1:9" x14ac:dyDescent="0.25">
      <c r="A267" s="17"/>
      <c r="C267" s="2" t="s">
        <v>37</v>
      </c>
      <c r="D267" s="19">
        <v>67953245</v>
      </c>
      <c r="G267" s="1">
        <v>0</v>
      </c>
    </row>
    <row r="268" spans="1:9" x14ac:dyDescent="0.25">
      <c r="A268" s="17"/>
      <c r="C268" s="2" t="s">
        <v>51</v>
      </c>
      <c r="D268" s="20">
        <v>130317</v>
      </c>
      <c r="G268" s="30">
        <f>SUM(G267:G267)</f>
        <v>0</v>
      </c>
    </row>
    <row r="269" spans="1:9" x14ac:dyDescent="0.25">
      <c r="A269" s="17"/>
      <c r="B269" s="24" t="s">
        <v>19</v>
      </c>
      <c r="D269" s="19">
        <f>SUM(D261:D268)</f>
        <v>292484822.96000004</v>
      </c>
    </row>
    <row r="270" spans="1:9" x14ac:dyDescent="0.25">
      <c r="A270" s="17"/>
      <c r="D270" s="19"/>
      <c r="F270" s="28" t="s">
        <v>30</v>
      </c>
      <c r="G270" s="29">
        <f>G265-G268</f>
        <v>-725000</v>
      </c>
    </row>
    <row r="271" spans="1:9" x14ac:dyDescent="0.25">
      <c r="A271" s="17"/>
      <c r="B271" s="24" t="s">
        <v>20</v>
      </c>
      <c r="D271" s="19"/>
    </row>
    <row r="272" spans="1:9" x14ac:dyDescent="0.25">
      <c r="A272" s="17"/>
      <c r="C272" t="s">
        <v>7</v>
      </c>
      <c r="D272" s="19">
        <v>2656705105</v>
      </c>
    </row>
    <row r="273" spans="1:7" x14ac:dyDescent="0.25">
      <c r="A273" s="17"/>
      <c r="C273" t="s">
        <v>47</v>
      </c>
      <c r="D273" s="19">
        <v>8840000</v>
      </c>
    </row>
    <row r="274" spans="1:7" x14ac:dyDescent="0.25">
      <c r="A274" s="17"/>
      <c r="C274" t="s">
        <v>21</v>
      </c>
      <c r="D274" s="19">
        <v>848384000</v>
      </c>
    </row>
    <row r="275" spans="1:7" x14ac:dyDescent="0.25">
      <c r="A275" s="17"/>
      <c r="C275" t="s">
        <v>45</v>
      </c>
      <c r="D275" s="19">
        <v>25000000</v>
      </c>
    </row>
    <row r="276" spans="1:7" x14ac:dyDescent="0.25">
      <c r="A276" s="17"/>
      <c r="C276" t="s">
        <v>48</v>
      </c>
      <c r="D276" s="19">
        <v>30000000</v>
      </c>
    </row>
    <row r="277" spans="1:7" x14ac:dyDescent="0.25">
      <c r="A277" s="17"/>
      <c r="C277" t="s">
        <v>68</v>
      </c>
      <c r="D277" s="19">
        <v>141000000</v>
      </c>
    </row>
    <row r="278" spans="1:7" x14ac:dyDescent="0.25">
      <c r="A278" s="17"/>
      <c r="C278" t="s">
        <v>68</v>
      </c>
      <c r="D278" s="19">
        <v>145000000</v>
      </c>
    </row>
    <row r="279" spans="1:7" x14ac:dyDescent="0.25">
      <c r="A279" s="17"/>
      <c r="C279" t="s">
        <v>518</v>
      </c>
      <c r="D279" s="19">
        <v>100000000</v>
      </c>
    </row>
    <row r="280" spans="1:7" x14ac:dyDescent="0.25">
      <c r="A280" s="17"/>
      <c r="C280" t="s">
        <v>782</v>
      </c>
      <c r="D280" s="19">
        <v>85880000</v>
      </c>
    </row>
    <row r="281" spans="1:7" x14ac:dyDescent="0.25">
      <c r="A281" s="17"/>
      <c r="C281" t="s">
        <v>643</v>
      </c>
      <c r="D281" s="19">
        <v>156395550</v>
      </c>
      <c r="G281" s="1"/>
    </row>
    <row r="282" spans="1:7" x14ac:dyDescent="0.25">
      <c r="A282" s="17"/>
      <c r="C282" t="s">
        <v>703</v>
      </c>
      <c r="D282" s="19">
        <v>304750000</v>
      </c>
      <c r="G282" s="1"/>
    </row>
    <row r="283" spans="1:7" x14ac:dyDescent="0.25">
      <c r="A283" s="17"/>
      <c r="C283" t="s">
        <v>732</v>
      </c>
      <c r="D283" s="19">
        <v>1185745</v>
      </c>
      <c r="G283" s="1"/>
    </row>
    <row r="284" spans="1:7" x14ac:dyDescent="0.25">
      <c r="A284" s="17"/>
      <c r="C284" t="s">
        <v>744</v>
      </c>
      <c r="D284" s="19">
        <v>1002500</v>
      </c>
      <c r="G284" s="1"/>
    </row>
    <row r="285" spans="1:7" x14ac:dyDescent="0.25">
      <c r="A285" s="17"/>
      <c r="C285" t="s">
        <v>756</v>
      </c>
      <c r="D285" s="20">
        <v>15002500</v>
      </c>
      <c r="G285" s="1"/>
    </row>
    <row r="286" spans="1:7" x14ac:dyDescent="0.25">
      <c r="A286" s="17"/>
      <c r="D286" s="19">
        <f>SUM(D272:D285)</f>
        <v>4519145400</v>
      </c>
      <c r="G286" s="1"/>
    </row>
    <row r="287" spans="1:7" x14ac:dyDescent="0.25">
      <c r="A287" s="17"/>
      <c r="D287" s="19"/>
      <c r="G287" s="1"/>
    </row>
    <row r="288" spans="1:7" x14ac:dyDescent="0.25">
      <c r="A288" s="17"/>
      <c r="B288" s="24" t="s">
        <v>46</v>
      </c>
      <c r="D288" s="19"/>
      <c r="G288" s="1"/>
    </row>
    <row r="289" spans="1:7" x14ac:dyDescent="0.25">
      <c r="A289" s="17"/>
      <c r="B289" s="24"/>
      <c r="C289" t="s">
        <v>783</v>
      </c>
      <c r="D289" s="19">
        <f>37*602500</f>
        <v>22292500</v>
      </c>
      <c r="G289" s="1"/>
    </row>
    <row r="290" spans="1:7" x14ac:dyDescent="0.25">
      <c r="A290" s="17"/>
      <c r="B290" s="24"/>
      <c r="C290" t="s">
        <v>126</v>
      </c>
      <c r="D290" s="20">
        <f>6*602500</f>
        <v>3615000</v>
      </c>
      <c r="G290" s="1"/>
    </row>
    <row r="291" spans="1:7" x14ac:dyDescent="0.25">
      <c r="A291" s="17"/>
      <c r="D291" s="19">
        <f>SUM(D289:D290)</f>
        <v>25907500</v>
      </c>
      <c r="G291" s="1"/>
    </row>
    <row r="292" spans="1:7" x14ac:dyDescent="0.25">
      <c r="A292" s="17"/>
      <c r="D292" s="19"/>
      <c r="G292" s="1"/>
    </row>
    <row r="293" spans="1:7" x14ac:dyDescent="0.25">
      <c r="A293" s="23" t="s">
        <v>22</v>
      </c>
      <c r="D293" s="19"/>
      <c r="G293" s="1"/>
    </row>
    <row r="294" spans="1:7" x14ac:dyDescent="0.25">
      <c r="A294" s="17"/>
      <c r="C294" t="s">
        <v>23</v>
      </c>
      <c r="D294" s="19">
        <v>1740100000</v>
      </c>
      <c r="G294" s="1"/>
    </row>
    <row r="295" spans="1:7" x14ac:dyDescent="0.25">
      <c r="A295" s="17"/>
      <c r="C295" t="s">
        <v>24</v>
      </c>
      <c r="D295" s="19">
        <v>1434787750</v>
      </c>
      <c r="G295" s="1"/>
    </row>
    <row r="296" spans="1:7" x14ac:dyDescent="0.25">
      <c r="A296" s="17"/>
      <c r="C296" t="s">
        <v>602</v>
      </c>
      <c r="D296" s="19">
        <v>88000000</v>
      </c>
      <c r="G296" s="1"/>
    </row>
    <row r="297" spans="1:7" x14ac:dyDescent="0.25">
      <c r="A297" s="17"/>
      <c r="C297" t="s">
        <v>44</v>
      </c>
      <c r="D297" s="19">
        <v>106950000</v>
      </c>
      <c r="G297" s="1"/>
    </row>
    <row r="298" spans="1:7" x14ac:dyDescent="0.25">
      <c r="A298" s="17"/>
      <c r="C298" t="s">
        <v>785</v>
      </c>
      <c r="D298" s="20">
        <v>83025000</v>
      </c>
      <c r="G298" s="1"/>
    </row>
    <row r="299" spans="1:7" x14ac:dyDescent="0.25">
      <c r="A299" s="17"/>
      <c r="D299" s="19">
        <f>SUM(D294:D298)</f>
        <v>3452862750</v>
      </c>
      <c r="G299" s="1"/>
    </row>
    <row r="300" spans="1:7" x14ac:dyDescent="0.25">
      <c r="A300" s="17"/>
      <c r="D300" s="19"/>
      <c r="G300" s="1"/>
    </row>
    <row r="301" spans="1:7" x14ac:dyDescent="0.25">
      <c r="A301" s="43" t="s">
        <v>25</v>
      </c>
      <c r="B301" s="44"/>
      <c r="C301" s="44"/>
      <c r="D301" s="25">
        <f>D269+D286+D291-D299</f>
        <v>1384674972.96</v>
      </c>
      <c r="G301" s="1"/>
    </row>
    <row r="302" spans="1:7" x14ac:dyDescent="0.25">
      <c r="A302" s="21"/>
      <c r="B302" s="22"/>
      <c r="C302" s="22"/>
      <c r="D302" s="20"/>
      <c r="G302" s="1"/>
    </row>
    <row r="304" spans="1:7" x14ac:dyDescent="0.25">
      <c r="A304" s="40" t="s">
        <v>13</v>
      </c>
      <c r="B304" s="40"/>
      <c r="C304" s="40"/>
      <c r="D304" s="40"/>
      <c r="G304" s="1"/>
    </row>
    <row r="305" spans="1:9" x14ac:dyDescent="0.25">
      <c r="A305" s="41" t="s">
        <v>14</v>
      </c>
      <c r="B305" s="41"/>
      <c r="C305" s="41"/>
      <c r="D305" s="41"/>
      <c r="G305" s="1"/>
    </row>
    <row r="306" spans="1:9" x14ac:dyDescent="0.25">
      <c r="A306" s="42">
        <v>45846</v>
      </c>
      <c r="B306" s="42"/>
      <c r="C306" s="42"/>
      <c r="D306" s="42"/>
      <c r="G306" s="1"/>
    </row>
    <row r="307" spans="1:9" x14ac:dyDescent="0.25">
      <c r="A307" s="13"/>
      <c r="B307" s="13"/>
      <c r="C307" s="13"/>
      <c r="D307" s="13"/>
      <c r="G307" s="1"/>
    </row>
    <row r="308" spans="1:9" x14ac:dyDescent="0.25">
      <c r="A308" s="14"/>
      <c r="B308" s="15"/>
      <c r="C308" s="15"/>
      <c r="D308" s="16"/>
      <c r="F308" s="5" t="s">
        <v>26</v>
      </c>
      <c r="G308" s="1">
        <f>D352-D301</f>
        <v>-1887500</v>
      </c>
    </row>
    <row r="309" spans="1:9" x14ac:dyDescent="0.25">
      <c r="A309" s="17"/>
      <c r="D309" s="32" t="s">
        <v>16</v>
      </c>
      <c r="G309" s="1"/>
    </row>
    <row r="310" spans="1:9" x14ac:dyDescent="0.25">
      <c r="A310" s="23" t="s">
        <v>15</v>
      </c>
      <c r="D310" s="18" t="s">
        <v>17</v>
      </c>
      <c r="F310" s="26" t="s">
        <v>27</v>
      </c>
      <c r="G310" s="1"/>
    </row>
    <row r="311" spans="1:9" x14ac:dyDescent="0.25">
      <c r="A311" s="17"/>
      <c r="B311" s="24" t="s">
        <v>18</v>
      </c>
      <c r="D311" s="19"/>
      <c r="F311" s="27" t="s">
        <v>28</v>
      </c>
      <c r="G311" s="1"/>
    </row>
    <row r="312" spans="1:9" x14ac:dyDescent="0.25">
      <c r="A312" s="17"/>
      <c r="C312" s="2" t="s">
        <v>31</v>
      </c>
      <c r="D312" s="19">
        <v>2844218.91</v>
      </c>
      <c r="F312" t="s">
        <v>305</v>
      </c>
      <c r="G312" s="1">
        <v>230000</v>
      </c>
    </row>
    <row r="313" spans="1:9" x14ac:dyDescent="0.25">
      <c r="A313" s="17"/>
      <c r="C313" s="2" t="s">
        <v>32</v>
      </c>
      <c r="D313" s="19">
        <v>181933787.05000001</v>
      </c>
      <c r="F313" t="s">
        <v>90</v>
      </c>
      <c r="G313" s="1">
        <v>135000</v>
      </c>
    </row>
    <row r="314" spans="1:9" x14ac:dyDescent="0.25">
      <c r="A314" s="17"/>
      <c r="C314" s="2" t="s">
        <v>33</v>
      </c>
      <c r="D314" s="19">
        <v>100408155.40000001</v>
      </c>
      <c r="G314" s="30">
        <f>SUM(G312:G313)</f>
        <v>365000</v>
      </c>
    </row>
    <row r="315" spans="1:9" x14ac:dyDescent="0.25">
      <c r="A315" s="17"/>
      <c r="C315" s="2" t="s">
        <v>34</v>
      </c>
      <c r="D315" s="19">
        <v>6527116</v>
      </c>
      <c r="F315" s="28" t="s">
        <v>29</v>
      </c>
      <c r="G315" s="1"/>
    </row>
    <row r="316" spans="1:9" x14ac:dyDescent="0.25">
      <c r="A316" s="17"/>
      <c r="C316" s="2" t="s">
        <v>35</v>
      </c>
      <c r="D316" s="19">
        <v>8250</v>
      </c>
      <c r="F316" t="s">
        <v>161</v>
      </c>
      <c r="G316" s="1">
        <v>2500</v>
      </c>
      <c r="I316" s="38"/>
    </row>
    <row r="317" spans="1:9" x14ac:dyDescent="0.25">
      <c r="A317" s="17"/>
      <c r="C317" s="2" t="s">
        <v>36</v>
      </c>
      <c r="D317" s="19">
        <v>139733.6</v>
      </c>
      <c r="F317" t="s">
        <v>2</v>
      </c>
      <c r="G317" s="1">
        <v>2250000</v>
      </c>
    </row>
    <row r="318" spans="1:9" x14ac:dyDescent="0.25">
      <c r="A318" s="17"/>
      <c r="C318" s="2" t="s">
        <v>37</v>
      </c>
      <c r="D318" s="19">
        <v>90175745</v>
      </c>
      <c r="G318" s="30">
        <f>SUM(G316:G317)</f>
        <v>2252500</v>
      </c>
    </row>
    <row r="319" spans="1:9" x14ac:dyDescent="0.25">
      <c r="A319" s="17"/>
      <c r="C319" s="2" t="s">
        <v>51</v>
      </c>
      <c r="D319" s="20">
        <v>130317</v>
      </c>
    </row>
    <row r="320" spans="1:9" x14ac:dyDescent="0.25">
      <c r="A320" s="17"/>
      <c r="B320" s="24" t="s">
        <v>19</v>
      </c>
      <c r="D320" s="19">
        <f>SUM(D312:D319)</f>
        <v>382167322.96000004</v>
      </c>
      <c r="F320" s="28" t="s">
        <v>30</v>
      </c>
      <c r="G320" s="29">
        <f>G314-G318</f>
        <v>-1887500</v>
      </c>
    </row>
    <row r="321" spans="1:7" x14ac:dyDescent="0.25">
      <c r="A321" s="17"/>
      <c r="D321" s="19"/>
    </row>
    <row r="322" spans="1:7" x14ac:dyDescent="0.25">
      <c r="A322" s="17"/>
      <c r="B322" s="24" t="s">
        <v>20</v>
      </c>
      <c r="D322" s="19"/>
    </row>
    <row r="323" spans="1:7" x14ac:dyDescent="0.25">
      <c r="A323" s="17"/>
      <c r="C323" t="s">
        <v>7</v>
      </c>
      <c r="D323" s="19">
        <v>2543220105</v>
      </c>
    </row>
    <row r="324" spans="1:7" x14ac:dyDescent="0.25">
      <c r="A324" s="17"/>
      <c r="C324" t="s">
        <v>47</v>
      </c>
      <c r="D324" s="19">
        <v>11270000</v>
      </c>
    </row>
    <row r="325" spans="1:7" x14ac:dyDescent="0.25">
      <c r="A325" s="17"/>
      <c r="C325" t="s">
        <v>21</v>
      </c>
      <c r="D325" s="19">
        <v>768309000</v>
      </c>
    </row>
    <row r="326" spans="1:7" x14ac:dyDescent="0.25">
      <c r="A326" s="17"/>
      <c r="C326" t="s">
        <v>45</v>
      </c>
      <c r="D326" s="19">
        <v>25000000</v>
      </c>
    </row>
    <row r="327" spans="1:7" x14ac:dyDescent="0.25">
      <c r="A327" s="17"/>
      <c r="C327" t="s">
        <v>48</v>
      </c>
      <c r="D327" s="19">
        <v>30000000</v>
      </c>
    </row>
    <row r="328" spans="1:7" x14ac:dyDescent="0.25">
      <c r="A328" s="17"/>
      <c r="C328" t="s">
        <v>68</v>
      </c>
      <c r="D328" s="19">
        <v>141000000</v>
      </c>
    </row>
    <row r="329" spans="1:7" x14ac:dyDescent="0.25">
      <c r="A329" s="17"/>
      <c r="C329" t="s">
        <v>68</v>
      </c>
      <c r="D329" s="19">
        <v>145000000</v>
      </c>
    </row>
    <row r="330" spans="1:7" x14ac:dyDescent="0.25">
      <c r="A330" s="17"/>
      <c r="C330" t="s">
        <v>518</v>
      </c>
      <c r="D330" s="19">
        <v>100000000</v>
      </c>
    </row>
    <row r="331" spans="1:7" x14ac:dyDescent="0.25">
      <c r="A331" s="17"/>
      <c r="C331" t="s">
        <v>786</v>
      </c>
      <c r="D331" s="19">
        <v>30000000</v>
      </c>
    </row>
    <row r="332" spans="1:7" x14ac:dyDescent="0.25">
      <c r="A332" s="17"/>
      <c r="C332" t="s">
        <v>643</v>
      </c>
      <c r="D332" s="19">
        <v>156395550</v>
      </c>
      <c r="G332" s="1"/>
    </row>
    <row r="333" spans="1:7" x14ac:dyDescent="0.25">
      <c r="A333" s="17"/>
      <c r="C333" t="s">
        <v>703</v>
      </c>
      <c r="D333" s="19">
        <v>304750000</v>
      </c>
      <c r="G333" s="1"/>
    </row>
    <row r="334" spans="1:7" x14ac:dyDescent="0.25">
      <c r="A334" s="17"/>
      <c r="C334" t="s">
        <v>732</v>
      </c>
      <c r="D334" s="19">
        <v>1185745</v>
      </c>
      <c r="G334" s="1"/>
    </row>
    <row r="335" spans="1:7" x14ac:dyDescent="0.25">
      <c r="A335" s="17"/>
      <c r="C335" t="s">
        <v>744</v>
      </c>
      <c r="D335" s="19">
        <v>1002500</v>
      </c>
      <c r="G335" s="1"/>
    </row>
    <row r="336" spans="1:7" x14ac:dyDescent="0.25">
      <c r="A336" s="17"/>
      <c r="C336" t="s">
        <v>756</v>
      </c>
      <c r="D336" s="20">
        <v>15002500</v>
      </c>
      <c r="G336" s="1"/>
    </row>
    <row r="337" spans="1:7" x14ac:dyDescent="0.25">
      <c r="A337" s="17"/>
      <c r="D337" s="19">
        <f>SUM(D323:D336)</f>
        <v>4272135400</v>
      </c>
      <c r="G337" s="1"/>
    </row>
    <row r="338" spans="1:7" x14ac:dyDescent="0.25">
      <c r="A338" s="17"/>
      <c r="D338" s="19"/>
      <c r="G338" s="1"/>
    </row>
    <row r="339" spans="1:7" x14ac:dyDescent="0.25">
      <c r="A339" s="17"/>
      <c r="B339" s="24" t="s">
        <v>46</v>
      </c>
      <c r="D339" s="19"/>
      <c r="G339" s="1"/>
    </row>
    <row r="340" spans="1:7" x14ac:dyDescent="0.25">
      <c r="A340" s="17"/>
      <c r="B340" s="24"/>
      <c r="C340" t="s">
        <v>784</v>
      </c>
      <c r="D340" s="19">
        <f>31*602500</f>
        <v>18677500</v>
      </c>
      <c r="G340" s="1"/>
    </row>
    <row r="341" spans="1:7" x14ac:dyDescent="0.25">
      <c r="A341" s="17"/>
      <c r="B341" s="24"/>
      <c r="C341" t="s">
        <v>126</v>
      </c>
      <c r="D341" s="20">
        <f>6*602500</f>
        <v>3615000</v>
      </c>
      <c r="G341" s="1"/>
    </row>
    <row r="342" spans="1:7" x14ac:dyDescent="0.25">
      <c r="A342" s="17"/>
      <c r="D342" s="19">
        <f>SUM(D340:D341)</f>
        <v>22292500</v>
      </c>
      <c r="G342" s="1"/>
    </row>
    <row r="343" spans="1:7" x14ac:dyDescent="0.25">
      <c r="A343" s="17"/>
      <c r="D343" s="19"/>
      <c r="G343" s="1"/>
    </row>
    <row r="344" spans="1:7" x14ac:dyDescent="0.25">
      <c r="A344" s="23" t="s">
        <v>22</v>
      </c>
      <c r="D344" s="19"/>
      <c r="G344" s="1"/>
    </row>
    <row r="345" spans="1:7" x14ac:dyDescent="0.25">
      <c r="A345" s="17"/>
      <c r="C345" t="s">
        <v>23</v>
      </c>
      <c r="D345" s="19">
        <v>1740100000</v>
      </c>
      <c r="G345" s="1"/>
    </row>
    <row r="346" spans="1:7" x14ac:dyDescent="0.25">
      <c r="A346" s="17"/>
      <c r="C346" t="s">
        <v>24</v>
      </c>
      <c r="D346" s="19">
        <v>1323357750</v>
      </c>
      <c r="G346" s="1"/>
    </row>
    <row r="347" spans="1:7" x14ac:dyDescent="0.25">
      <c r="A347" s="17"/>
      <c r="C347" t="s">
        <v>602</v>
      </c>
      <c r="D347" s="19">
        <v>88000000</v>
      </c>
      <c r="G347" s="1"/>
    </row>
    <row r="348" spans="1:7" x14ac:dyDescent="0.25">
      <c r="A348" s="17"/>
      <c r="C348" t="s">
        <v>44</v>
      </c>
      <c r="D348" s="19">
        <v>106950000</v>
      </c>
      <c r="G348" s="1"/>
    </row>
    <row r="349" spans="1:7" x14ac:dyDescent="0.25">
      <c r="A349" s="17"/>
      <c r="C349" t="s">
        <v>190</v>
      </c>
      <c r="D349" s="20">
        <v>35400000</v>
      </c>
      <c r="G349" s="1"/>
    </row>
    <row r="350" spans="1:7" x14ac:dyDescent="0.25">
      <c r="A350" s="17"/>
      <c r="D350" s="19">
        <f>SUM(D345:D349)</f>
        <v>3293807750</v>
      </c>
      <c r="G350" s="1"/>
    </row>
    <row r="351" spans="1:7" x14ac:dyDescent="0.25">
      <c r="A351" s="17"/>
      <c r="D351" s="19"/>
      <c r="G351" s="1"/>
    </row>
    <row r="352" spans="1:7" x14ac:dyDescent="0.25">
      <c r="A352" s="43" t="s">
        <v>25</v>
      </c>
      <c r="B352" s="44"/>
      <c r="C352" s="44"/>
      <c r="D352" s="25">
        <f>D320+D337+D342-D350</f>
        <v>1382787472.96</v>
      </c>
      <c r="G352" s="1"/>
    </row>
    <row r="353" spans="1:7" x14ac:dyDescent="0.25">
      <c r="A353" s="21"/>
      <c r="B353" s="22"/>
      <c r="C353" s="22"/>
      <c r="D353" s="20"/>
      <c r="G353" s="1"/>
    </row>
    <row r="355" spans="1:7" x14ac:dyDescent="0.25">
      <c r="A355" s="40" t="s">
        <v>13</v>
      </c>
      <c r="B355" s="40"/>
      <c r="C355" s="40"/>
      <c r="D355" s="40"/>
      <c r="G355" s="1"/>
    </row>
    <row r="356" spans="1:7" x14ac:dyDescent="0.25">
      <c r="A356" s="41" t="s">
        <v>14</v>
      </c>
      <c r="B356" s="41"/>
      <c r="C356" s="41"/>
      <c r="D356" s="41"/>
      <c r="G356" s="1"/>
    </row>
    <row r="357" spans="1:7" x14ac:dyDescent="0.25">
      <c r="A357" s="42">
        <v>45847</v>
      </c>
      <c r="B357" s="42"/>
      <c r="C357" s="42"/>
      <c r="D357" s="42"/>
      <c r="G357" s="1"/>
    </row>
    <row r="358" spans="1:7" x14ac:dyDescent="0.25">
      <c r="A358" s="13"/>
      <c r="B358" s="13"/>
      <c r="C358" s="13"/>
      <c r="D358" s="13"/>
      <c r="G358" s="1"/>
    </row>
    <row r="359" spans="1:7" x14ac:dyDescent="0.25">
      <c r="A359" s="14"/>
      <c r="B359" s="15"/>
      <c r="C359" s="15"/>
      <c r="D359" s="16"/>
      <c r="F359" s="5" t="s">
        <v>26</v>
      </c>
      <c r="G359" s="1">
        <f>D402-D352</f>
        <v>8640422</v>
      </c>
    </row>
    <row r="360" spans="1:7" x14ac:dyDescent="0.25">
      <c r="A360" s="17"/>
      <c r="D360" s="32" t="s">
        <v>16</v>
      </c>
      <c r="G360" s="1"/>
    </row>
    <row r="361" spans="1:7" x14ac:dyDescent="0.25">
      <c r="A361" s="23" t="s">
        <v>15</v>
      </c>
      <c r="D361" s="18" t="s">
        <v>17</v>
      </c>
      <c r="F361" s="26" t="s">
        <v>27</v>
      </c>
      <c r="G361" s="1"/>
    </row>
    <row r="362" spans="1:7" x14ac:dyDescent="0.25">
      <c r="A362" s="17"/>
      <c r="B362" s="24" t="s">
        <v>18</v>
      </c>
      <c r="D362" s="19"/>
      <c r="F362" s="27" t="s">
        <v>28</v>
      </c>
      <c r="G362" s="1"/>
    </row>
    <row r="363" spans="1:7" x14ac:dyDescent="0.25">
      <c r="A363" s="17"/>
      <c r="C363" s="2" t="s">
        <v>31</v>
      </c>
      <c r="D363" s="19">
        <v>52844218.909999996</v>
      </c>
      <c r="F363" t="s">
        <v>467</v>
      </c>
      <c r="G363" s="1">
        <v>7529500</v>
      </c>
    </row>
    <row r="364" spans="1:7" x14ac:dyDescent="0.25">
      <c r="A364" s="17"/>
      <c r="C364" s="2" t="s">
        <v>32</v>
      </c>
      <c r="D364" s="19">
        <v>181933787.05000001</v>
      </c>
      <c r="F364" t="s">
        <v>90</v>
      </c>
      <c r="G364" s="1">
        <v>687500</v>
      </c>
    </row>
    <row r="365" spans="1:7" x14ac:dyDescent="0.25">
      <c r="A365" s="17"/>
      <c r="C365" s="2" t="s">
        <v>33</v>
      </c>
      <c r="D365" s="19">
        <v>253671482.40000001</v>
      </c>
      <c r="F365" t="s">
        <v>789</v>
      </c>
      <c r="G365" s="1">
        <v>450000</v>
      </c>
    </row>
    <row r="366" spans="1:7" x14ac:dyDescent="0.25">
      <c r="A366" s="17"/>
      <c r="C366" s="2" t="s">
        <v>34</v>
      </c>
      <c r="D366" s="19">
        <v>40177116</v>
      </c>
      <c r="F366" t="s">
        <v>790</v>
      </c>
      <c r="G366" s="1">
        <v>180000</v>
      </c>
    </row>
    <row r="367" spans="1:7" x14ac:dyDescent="0.25">
      <c r="A367" s="17"/>
      <c r="C367" s="2" t="s">
        <v>35</v>
      </c>
      <c r="D367" s="19">
        <v>8250</v>
      </c>
      <c r="G367" s="30">
        <f>SUM(G363:G366)</f>
        <v>8847000</v>
      </c>
    </row>
    <row r="368" spans="1:7" x14ac:dyDescent="0.25">
      <c r="A368" s="17"/>
      <c r="C368" s="2" t="s">
        <v>36</v>
      </c>
      <c r="D368" s="19">
        <v>139733.6</v>
      </c>
      <c r="F368" s="28" t="s">
        <v>29</v>
      </c>
      <c r="G368" s="1"/>
    </row>
    <row r="369" spans="1:7" x14ac:dyDescent="0.25">
      <c r="A369" s="17"/>
      <c r="C369" s="2" t="s">
        <v>37</v>
      </c>
      <c r="D369" s="19">
        <v>265925745</v>
      </c>
      <c r="F369" t="s">
        <v>787</v>
      </c>
      <c r="G369" s="1">
        <v>46578</v>
      </c>
    </row>
    <row r="370" spans="1:7" x14ac:dyDescent="0.25">
      <c r="A370" s="17"/>
      <c r="C370" s="2" t="s">
        <v>51</v>
      </c>
      <c r="D370" s="20">
        <v>130317</v>
      </c>
      <c r="F370" t="s">
        <v>788</v>
      </c>
      <c r="G370" s="1">
        <v>73500</v>
      </c>
    </row>
    <row r="371" spans="1:7" x14ac:dyDescent="0.25">
      <c r="A371" s="17"/>
      <c r="B371" s="24" t="s">
        <v>19</v>
      </c>
      <c r="D371" s="19">
        <f>SUM(D363:D370)</f>
        <v>794830649.96000004</v>
      </c>
      <c r="F371" t="s">
        <v>788</v>
      </c>
      <c r="G371" s="1">
        <v>84000</v>
      </c>
    </row>
    <row r="372" spans="1:7" x14ac:dyDescent="0.25">
      <c r="A372" s="17"/>
      <c r="D372" s="19"/>
      <c r="F372" t="s">
        <v>49</v>
      </c>
      <c r="G372" s="1">
        <v>2500</v>
      </c>
    </row>
    <row r="373" spans="1:7" x14ac:dyDescent="0.25">
      <c r="A373" s="17"/>
      <c r="B373" s="24" t="s">
        <v>20</v>
      </c>
      <c r="D373" s="19"/>
      <c r="G373" s="30">
        <f>SUM(G369:G372)</f>
        <v>206578</v>
      </c>
    </row>
    <row r="374" spans="1:7" x14ac:dyDescent="0.25">
      <c r="A374" s="17"/>
      <c r="C374" t="s">
        <v>7</v>
      </c>
      <c r="D374" s="19">
        <v>2632151450</v>
      </c>
    </row>
    <row r="375" spans="1:7" x14ac:dyDescent="0.25">
      <c r="A375" s="17"/>
      <c r="C375" t="s">
        <v>47</v>
      </c>
      <c r="D375" s="19">
        <v>27020000</v>
      </c>
      <c r="F375" s="28" t="s">
        <v>30</v>
      </c>
      <c r="G375" s="29">
        <f>G367-G373</f>
        <v>8640422</v>
      </c>
    </row>
    <row r="376" spans="1:7" x14ac:dyDescent="0.25">
      <c r="A376" s="17"/>
      <c r="C376" t="s">
        <v>21</v>
      </c>
      <c r="D376" s="19">
        <v>718309000</v>
      </c>
    </row>
    <row r="377" spans="1:7" x14ac:dyDescent="0.25">
      <c r="A377" s="17"/>
      <c r="C377" t="s">
        <v>45</v>
      </c>
      <c r="D377" s="19">
        <v>25000000</v>
      </c>
    </row>
    <row r="378" spans="1:7" x14ac:dyDescent="0.25">
      <c r="A378" s="17"/>
      <c r="C378" t="s">
        <v>48</v>
      </c>
      <c r="D378" s="19">
        <v>30000000</v>
      </c>
    </row>
    <row r="379" spans="1:7" x14ac:dyDescent="0.25">
      <c r="A379" s="17"/>
      <c r="C379" t="s">
        <v>68</v>
      </c>
      <c r="D379" s="19">
        <v>141000000</v>
      </c>
    </row>
    <row r="380" spans="1:7" x14ac:dyDescent="0.25">
      <c r="A380" s="17"/>
      <c r="C380" t="s">
        <v>68</v>
      </c>
      <c r="D380" s="19">
        <v>145000000</v>
      </c>
    </row>
    <row r="381" spans="1:7" x14ac:dyDescent="0.25">
      <c r="A381" s="17"/>
      <c r="C381" t="s">
        <v>518</v>
      </c>
      <c r="D381" s="19">
        <v>100000000</v>
      </c>
    </row>
    <row r="382" spans="1:7" x14ac:dyDescent="0.25">
      <c r="A382" s="17"/>
      <c r="C382" t="s">
        <v>786</v>
      </c>
      <c r="D382" s="19">
        <v>30000000</v>
      </c>
    </row>
    <row r="383" spans="1:7" x14ac:dyDescent="0.25">
      <c r="A383" s="17"/>
      <c r="C383" t="s">
        <v>643</v>
      </c>
      <c r="D383" s="19">
        <v>156395550</v>
      </c>
      <c r="G383" s="1"/>
    </row>
    <row r="384" spans="1:7" x14ac:dyDescent="0.25">
      <c r="A384" s="17"/>
      <c r="C384" t="s">
        <v>703</v>
      </c>
      <c r="D384" s="19">
        <v>304750000</v>
      </c>
      <c r="G384" s="1"/>
    </row>
    <row r="385" spans="1:7" x14ac:dyDescent="0.25">
      <c r="A385" s="17"/>
      <c r="C385" t="s">
        <v>732</v>
      </c>
      <c r="D385" s="19">
        <v>1185745</v>
      </c>
      <c r="G385" s="1"/>
    </row>
    <row r="386" spans="1:7" x14ac:dyDescent="0.25">
      <c r="A386" s="17"/>
      <c r="C386" t="s">
        <v>744</v>
      </c>
      <c r="D386" s="19">
        <v>1002500</v>
      </c>
      <c r="G386" s="1"/>
    </row>
    <row r="387" spans="1:7" x14ac:dyDescent="0.25">
      <c r="A387" s="17"/>
      <c r="C387" t="s">
        <v>756</v>
      </c>
      <c r="D387" s="20">
        <v>15002500</v>
      </c>
      <c r="G387" s="1"/>
    </row>
    <row r="388" spans="1:7" x14ac:dyDescent="0.25">
      <c r="A388" s="17"/>
      <c r="D388" s="19">
        <f>SUM(D374:D387)</f>
        <v>4326816745</v>
      </c>
      <c r="G388" s="1"/>
    </row>
    <row r="389" spans="1:7" x14ac:dyDescent="0.25">
      <c r="A389" s="17"/>
      <c r="D389" s="19"/>
      <c r="G389" s="1"/>
    </row>
    <row r="390" spans="1:7" x14ac:dyDescent="0.25">
      <c r="A390" s="17"/>
      <c r="B390" s="24" t="s">
        <v>46</v>
      </c>
      <c r="D390" s="19"/>
      <c r="G390" s="1"/>
    </row>
    <row r="391" spans="1:7" x14ac:dyDescent="0.25">
      <c r="A391" s="17"/>
      <c r="B391" s="24"/>
      <c r="C391" t="s">
        <v>126</v>
      </c>
      <c r="D391" s="19">
        <f>6*602500</f>
        <v>3615000</v>
      </c>
      <c r="G391" s="1"/>
    </row>
    <row r="392" spans="1:7" x14ac:dyDescent="0.25">
      <c r="A392" s="17"/>
      <c r="B392" s="24"/>
      <c r="C392" t="s">
        <v>126</v>
      </c>
      <c r="D392" s="20">
        <f>6*602500</f>
        <v>3615000</v>
      </c>
      <c r="G392" s="1"/>
    </row>
    <row r="393" spans="1:7" x14ac:dyDescent="0.25">
      <c r="A393" s="17"/>
      <c r="D393" s="19">
        <f>SUM(D391:D392)</f>
        <v>7230000</v>
      </c>
      <c r="G393" s="1"/>
    </row>
    <row r="394" spans="1:7" x14ac:dyDescent="0.25">
      <c r="A394" s="17"/>
      <c r="D394" s="19"/>
      <c r="G394" s="1"/>
    </row>
    <row r="395" spans="1:7" x14ac:dyDescent="0.25">
      <c r="A395" s="23" t="s">
        <v>22</v>
      </c>
      <c r="D395" s="19"/>
      <c r="G395" s="1"/>
    </row>
    <row r="396" spans="1:7" x14ac:dyDescent="0.25">
      <c r="A396" s="17"/>
      <c r="C396" t="s">
        <v>23</v>
      </c>
      <c r="D396" s="19">
        <v>1740100000</v>
      </c>
      <c r="G396" s="1"/>
    </row>
    <row r="397" spans="1:7" x14ac:dyDescent="0.25">
      <c r="A397" s="17"/>
      <c r="C397" t="s">
        <v>24</v>
      </c>
      <c r="D397" s="19">
        <v>1802399500</v>
      </c>
      <c r="G397" s="1"/>
    </row>
    <row r="398" spans="1:7" x14ac:dyDescent="0.25">
      <c r="A398" s="17"/>
      <c r="C398" t="s">
        <v>602</v>
      </c>
      <c r="D398" s="19">
        <v>88000000</v>
      </c>
      <c r="G398" s="1"/>
    </row>
    <row r="399" spans="1:7" x14ac:dyDescent="0.25">
      <c r="A399" s="17"/>
      <c r="C399" t="s">
        <v>44</v>
      </c>
      <c r="D399" s="20">
        <v>106950000</v>
      </c>
      <c r="G399" s="1"/>
    </row>
    <row r="400" spans="1:7" x14ac:dyDescent="0.25">
      <c r="A400" s="17"/>
      <c r="D400" s="19">
        <f>SUM(D396:D399)</f>
        <v>3737449500</v>
      </c>
      <c r="G400" s="1"/>
    </row>
    <row r="401" spans="1:7" x14ac:dyDescent="0.25">
      <c r="A401" s="17"/>
      <c r="D401" s="19"/>
      <c r="G401" s="1"/>
    </row>
    <row r="402" spans="1:7" x14ac:dyDescent="0.25">
      <c r="A402" s="43" t="s">
        <v>25</v>
      </c>
      <c r="B402" s="44"/>
      <c r="C402" s="44"/>
      <c r="D402" s="25">
        <f>D371+D388+D393-D400</f>
        <v>1391427894.96</v>
      </c>
      <c r="G402" s="1"/>
    </row>
    <row r="403" spans="1:7" x14ac:dyDescent="0.25">
      <c r="A403" s="21"/>
      <c r="B403" s="22"/>
      <c r="C403" s="22"/>
      <c r="D403" s="20"/>
      <c r="G403" s="1"/>
    </row>
    <row r="405" spans="1:7" x14ac:dyDescent="0.25">
      <c r="A405" s="40" t="s">
        <v>13</v>
      </c>
      <c r="B405" s="40"/>
      <c r="C405" s="40"/>
      <c r="D405" s="40"/>
      <c r="G405" s="1"/>
    </row>
    <row r="406" spans="1:7" x14ac:dyDescent="0.25">
      <c r="A406" s="41" t="s">
        <v>14</v>
      </c>
      <c r="B406" s="41"/>
      <c r="C406" s="41"/>
      <c r="D406" s="41"/>
      <c r="G406" s="1"/>
    </row>
    <row r="407" spans="1:7" x14ac:dyDescent="0.25">
      <c r="A407" s="42">
        <v>45848</v>
      </c>
      <c r="B407" s="42"/>
      <c r="C407" s="42"/>
      <c r="D407" s="42"/>
      <c r="G407" s="1"/>
    </row>
    <row r="408" spans="1:7" x14ac:dyDescent="0.25">
      <c r="A408" s="13"/>
      <c r="B408" s="13"/>
      <c r="C408" s="13"/>
      <c r="D408" s="13"/>
      <c r="G408" s="1"/>
    </row>
    <row r="409" spans="1:7" x14ac:dyDescent="0.25">
      <c r="A409" s="14"/>
      <c r="B409" s="15"/>
      <c r="C409" s="15"/>
      <c r="D409" s="16"/>
      <c r="F409" s="5" t="s">
        <v>26</v>
      </c>
      <c r="G409" s="1">
        <f>D452-D402</f>
        <v>9522000</v>
      </c>
    </row>
    <row r="410" spans="1:7" x14ac:dyDescent="0.25">
      <c r="A410" s="17"/>
      <c r="D410" s="32" t="s">
        <v>16</v>
      </c>
      <c r="G410" s="1"/>
    </row>
    <row r="411" spans="1:7" x14ac:dyDescent="0.25">
      <c r="A411" s="23" t="s">
        <v>15</v>
      </c>
      <c r="D411" s="18" t="s">
        <v>17</v>
      </c>
      <c r="F411" s="26" t="s">
        <v>27</v>
      </c>
      <c r="G411" s="1"/>
    </row>
    <row r="412" spans="1:7" x14ac:dyDescent="0.25">
      <c r="A412" s="17"/>
      <c r="B412" s="24" t="s">
        <v>18</v>
      </c>
      <c r="D412" s="19"/>
      <c r="F412" s="27" t="s">
        <v>28</v>
      </c>
      <c r="G412" s="1"/>
    </row>
    <row r="413" spans="1:7" x14ac:dyDescent="0.25">
      <c r="A413" s="17"/>
      <c r="C413" s="2" t="s">
        <v>31</v>
      </c>
      <c r="D413" s="19">
        <v>52844218.909999996</v>
      </c>
      <c r="F413" t="s">
        <v>148</v>
      </c>
      <c r="G413" s="1">
        <v>13690000</v>
      </c>
    </row>
    <row r="414" spans="1:7" x14ac:dyDescent="0.25">
      <c r="A414" s="17"/>
      <c r="C414" s="2" t="s">
        <v>32</v>
      </c>
      <c r="D414" s="19">
        <v>28983787.050000001</v>
      </c>
      <c r="F414" t="s">
        <v>90</v>
      </c>
      <c r="G414" s="1">
        <v>115000</v>
      </c>
    </row>
    <row r="415" spans="1:7" x14ac:dyDescent="0.25">
      <c r="A415" s="17"/>
      <c r="C415" s="2" t="s">
        <v>33</v>
      </c>
      <c r="D415" s="19">
        <v>252886482.40000001</v>
      </c>
      <c r="G415" s="30">
        <f>SUM(G413:G414)</f>
        <v>13805000</v>
      </c>
    </row>
    <row r="416" spans="1:7" x14ac:dyDescent="0.25">
      <c r="A416" s="17"/>
      <c r="C416" s="2" t="s">
        <v>34</v>
      </c>
      <c r="D416" s="19">
        <v>37521116</v>
      </c>
      <c r="F416" s="28" t="s">
        <v>29</v>
      </c>
      <c r="G416" s="1"/>
    </row>
    <row r="417" spans="1:7" x14ac:dyDescent="0.25">
      <c r="A417" s="17"/>
      <c r="C417" s="2" t="s">
        <v>35</v>
      </c>
      <c r="D417" s="19">
        <v>8250</v>
      </c>
      <c r="F417" t="s">
        <v>104</v>
      </c>
      <c r="G417" s="1">
        <v>2250000</v>
      </c>
    </row>
    <row r="418" spans="1:7" x14ac:dyDescent="0.25">
      <c r="A418" s="17"/>
      <c r="C418" s="2" t="s">
        <v>36</v>
      </c>
      <c r="D418" s="19">
        <v>139733.6</v>
      </c>
      <c r="F418" t="s">
        <v>161</v>
      </c>
      <c r="G418" s="1">
        <v>5000</v>
      </c>
    </row>
    <row r="419" spans="1:7" x14ac:dyDescent="0.25">
      <c r="A419" s="17"/>
      <c r="C419" s="2" t="s">
        <v>37</v>
      </c>
      <c r="D419" s="19">
        <v>-18952255</v>
      </c>
      <c r="F419" t="s">
        <v>181</v>
      </c>
      <c r="G419" s="1">
        <v>1528000</v>
      </c>
    </row>
    <row r="420" spans="1:7" x14ac:dyDescent="0.25">
      <c r="A420" s="17"/>
      <c r="C420" s="2" t="s">
        <v>51</v>
      </c>
      <c r="D420" s="20">
        <v>130317</v>
      </c>
      <c r="F420" t="s">
        <v>182</v>
      </c>
      <c r="G420" s="1">
        <v>500000</v>
      </c>
    </row>
    <row r="421" spans="1:7" x14ac:dyDescent="0.25">
      <c r="A421" s="17"/>
      <c r="B421" s="24" t="s">
        <v>19</v>
      </c>
      <c r="D421" s="19">
        <f>SUM(D413:D420)</f>
        <v>353561649.96000004</v>
      </c>
      <c r="G421" s="30">
        <f>SUM(G417:G420)</f>
        <v>4283000</v>
      </c>
    </row>
    <row r="422" spans="1:7" x14ac:dyDescent="0.25">
      <c r="A422" s="17"/>
      <c r="D422" s="19"/>
    </row>
    <row r="423" spans="1:7" x14ac:dyDescent="0.25">
      <c r="A423" s="17"/>
      <c r="B423" s="24" t="s">
        <v>20</v>
      </c>
      <c r="D423" s="19"/>
      <c r="F423" s="28" t="s">
        <v>30</v>
      </c>
      <c r="G423" s="29">
        <f>G415-G421</f>
        <v>9522000</v>
      </c>
    </row>
    <row r="424" spans="1:7" x14ac:dyDescent="0.25">
      <c r="A424" s="17"/>
      <c r="C424" t="s">
        <v>7</v>
      </c>
      <c r="D424" s="19">
        <v>2591039450</v>
      </c>
    </row>
    <row r="425" spans="1:7" x14ac:dyDescent="0.25">
      <c r="A425" s="17"/>
      <c r="C425" t="s">
        <v>47</v>
      </c>
      <c r="D425" s="19">
        <v>12590000</v>
      </c>
    </row>
    <row r="426" spans="1:7" x14ac:dyDescent="0.25">
      <c r="A426" s="17"/>
      <c r="C426" t="s">
        <v>21</v>
      </c>
      <c r="D426" s="19">
        <v>699582000</v>
      </c>
    </row>
    <row r="427" spans="1:7" x14ac:dyDescent="0.25">
      <c r="A427" s="17"/>
      <c r="C427" t="s">
        <v>45</v>
      </c>
      <c r="D427" s="19">
        <v>25000000</v>
      </c>
    </row>
    <row r="428" spans="1:7" x14ac:dyDescent="0.25">
      <c r="A428" s="17"/>
      <c r="C428" t="s">
        <v>48</v>
      </c>
      <c r="D428" s="19">
        <v>30000000</v>
      </c>
    </row>
    <row r="429" spans="1:7" x14ac:dyDescent="0.25">
      <c r="A429" s="17"/>
      <c r="C429" t="s">
        <v>68</v>
      </c>
      <c r="D429" s="19">
        <v>141000000</v>
      </c>
    </row>
    <row r="430" spans="1:7" x14ac:dyDescent="0.25">
      <c r="A430" s="17"/>
      <c r="C430" t="s">
        <v>68</v>
      </c>
      <c r="D430" s="19">
        <v>145000000</v>
      </c>
    </row>
    <row r="431" spans="1:7" x14ac:dyDescent="0.25">
      <c r="A431" s="17"/>
      <c r="C431" t="s">
        <v>518</v>
      </c>
      <c r="D431" s="19">
        <v>100000000</v>
      </c>
    </row>
    <row r="432" spans="1:7" x14ac:dyDescent="0.25">
      <c r="A432" s="17"/>
      <c r="C432" t="s">
        <v>786</v>
      </c>
      <c r="D432" s="19">
        <v>30000000</v>
      </c>
    </row>
    <row r="433" spans="1:7" x14ac:dyDescent="0.25">
      <c r="A433" s="17"/>
      <c r="C433" t="s">
        <v>643</v>
      </c>
      <c r="D433" s="19">
        <v>156395550</v>
      </c>
      <c r="G433" s="1"/>
    </row>
    <row r="434" spans="1:7" x14ac:dyDescent="0.25">
      <c r="A434" s="17"/>
      <c r="C434" t="s">
        <v>703</v>
      </c>
      <c r="D434" s="19">
        <v>304750000</v>
      </c>
      <c r="G434" s="1"/>
    </row>
    <row r="435" spans="1:7" x14ac:dyDescent="0.25">
      <c r="A435" s="17"/>
      <c r="C435" t="s">
        <v>732</v>
      </c>
      <c r="D435" s="19">
        <v>1185745</v>
      </c>
      <c r="G435" s="1"/>
    </row>
    <row r="436" spans="1:7" x14ac:dyDescent="0.25">
      <c r="A436" s="17"/>
      <c r="C436" t="s">
        <v>744</v>
      </c>
      <c r="D436" s="19">
        <v>1002500</v>
      </c>
      <c r="G436" s="1"/>
    </row>
    <row r="437" spans="1:7" x14ac:dyDescent="0.25">
      <c r="A437" s="17"/>
      <c r="C437" t="s">
        <v>756</v>
      </c>
      <c r="D437" s="20">
        <v>15002500</v>
      </c>
      <c r="G437" s="1"/>
    </row>
    <row r="438" spans="1:7" x14ac:dyDescent="0.25">
      <c r="A438" s="17"/>
      <c r="D438" s="19">
        <f>SUM(D424:D437)</f>
        <v>4252547745</v>
      </c>
      <c r="G438" s="1"/>
    </row>
    <row r="439" spans="1:7" x14ac:dyDescent="0.25">
      <c r="A439" s="17"/>
      <c r="D439" s="19"/>
      <c r="G439" s="1"/>
    </row>
    <row r="440" spans="1:7" x14ac:dyDescent="0.25">
      <c r="A440" s="17"/>
      <c r="B440" s="24" t="s">
        <v>46</v>
      </c>
      <c r="D440" s="19"/>
      <c r="G440" s="1"/>
    </row>
    <row r="441" spans="1:7" x14ac:dyDescent="0.25">
      <c r="A441" s="17"/>
      <c r="B441" s="24"/>
      <c r="C441" t="s">
        <v>791</v>
      </c>
      <c r="D441" s="19">
        <f>284*602500</f>
        <v>171110000</v>
      </c>
      <c r="G441" s="1"/>
    </row>
    <row r="442" spans="1:7" x14ac:dyDescent="0.25">
      <c r="A442" s="17"/>
      <c r="B442" s="24"/>
      <c r="C442" t="s">
        <v>126</v>
      </c>
      <c r="D442" s="20">
        <f>6*602500</f>
        <v>3615000</v>
      </c>
      <c r="G442" s="1"/>
    </row>
    <row r="443" spans="1:7" x14ac:dyDescent="0.25">
      <c r="A443" s="17"/>
      <c r="D443" s="19">
        <f>SUM(D441:D442)</f>
        <v>174725000</v>
      </c>
      <c r="G443" s="1"/>
    </row>
    <row r="444" spans="1:7" x14ac:dyDescent="0.25">
      <c r="A444" s="17"/>
      <c r="D444" s="19"/>
      <c r="G444" s="1"/>
    </row>
    <row r="445" spans="1:7" x14ac:dyDescent="0.25">
      <c r="A445" s="23" t="s">
        <v>22</v>
      </c>
      <c r="D445" s="19"/>
      <c r="G445" s="1"/>
    </row>
    <row r="446" spans="1:7" x14ac:dyDescent="0.25">
      <c r="A446" s="17"/>
      <c r="C446" t="s">
        <v>23</v>
      </c>
      <c r="D446" s="19">
        <v>1481100000</v>
      </c>
      <c r="G446" s="1"/>
    </row>
    <row r="447" spans="1:7" x14ac:dyDescent="0.25">
      <c r="A447" s="17"/>
      <c r="C447" t="s">
        <v>24</v>
      </c>
      <c r="D447" s="19">
        <v>1703834500</v>
      </c>
      <c r="G447" s="1"/>
    </row>
    <row r="448" spans="1:7" x14ac:dyDescent="0.25">
      <c r="A448" s="17"/>
      <c r="C448" t="s">
        <v>602</v>
      </c>
      <c r="D448" s="19">
        <v>88000000</v>
      </c>
      <c r="G448" s="1"/>
    </row>
    <row r="449" spans="1:7" x14ac:dyDescent="0.25">
      <c r="A449" s="17"/>
      <c r="C449" t="s">
        <v>44</v>
      </c>
      <c r="D449" s="20">
        <v>106950000</v>
      </c>
      <c r="G449" s="1"/>
    </row>
    <row r="450" spans="1:7" x14ac:dyDescent="0.25">
      <c r="A450" s="17"/>
      <c r="D450" s="19">
        <f>SUM(D446:D449)</f>
        <v>3379884500</v>
      </c>
      <c r="G450" s="1"/>
    </row>
    <row r="451" spans="1:7" x14ac:dyDescent="0.25">
      <c r="A451" s="17"/>
      <c r="D451" s="19"/>
      <c r="G451" s="1"/>
    </row>
    <row r="452" spans="1:7" x14ac:dyDescent="0.25">
      <c r="A452" s="43" t="s">
        <v>25</v>
      </c>
      <c r="B452" s="44"/>
      <c r="C452" s="44"/>
      <c r="D452" s="25">
        <f>D421+D438+D443-D450</f>
        <v>1400949894.96</v>
      </c>
      <c r="G452" s="1"/>
    </row>
    <row r="453" spans="1:7" x14ac:dyDescent="0.25">
      <c r="A453" s="21"/>
      <c r="B453" s="22"/>
      <c r="C453" s="22"/>
      <c r="D453" s="20"/>
      <c r="G453" s="1"/>
    </row>
    <row r="455" spans="1:7" x14ac:dyDescent="0.25">
      <c r="A455" s="40" t="s">
        <v>13</v>
      </c>
      <c r="B455" s="40"/>
      <c r="C455" s="40"/>
      <c r="D455" s="40"/>
      <c r="G455" s="1"/>
    </row>
    <row r="456" spans="1:7" x14ac:dyDescent="0.25">
      <c r="A456" s="41" t="s">
        <v>14</v>
      </c>
      <c r="B456" s="41"/>
      <c r="C456" s="41"/>
      <c r="D456" s="41"/>
      <c r="G456" s="1"/>
    </row>
    <row r="457" spans="1:7" x14ac:dyDescent="0.25">
      <c r="A457" s="42">
        <v>45849</v>
      </c>
      <c r="B457" s="42"/>
      <c r="C457" s="42"/>
      <c r="D457" s="42"/>
      <c r="G457" s="1"/>
    </row>
    <row r="458" spans="1:7" x14ac:dyDescent="0.25">
      <c r="A458" s="13"/>
      <c r="B458" s="13"/>
      <c r="C458" s="13"/>
      <c r="D458" s="13"/>
      <c r="G458" s="1"/>
    </row>
    <row r="459" spans="1:7" x14ac:dyDescent="0.25">
      <c r="A459" s="14"/>
      <c r="B459" s="15"/>
      <c r="C459" s="15"/>
      <c r="D459" s="16"/>
      <c r="F459" s="5" t="s">
        <v>26</v>
      </c>
      <c r="G459" s="1">
        <f>D501-D452</f>
        <v>-8758400</v>
      </c>
    </row>
    <row r="460" spans="1:7" x14ac:dyDescent="0.25">
      <c r="A460" s="17"/>
      <c r="D460" s="32" t="s">
        <v>16</v>
      </c>
      <c r="G460" s="1"/>
    </row>
    <row r="461" spans="1:7" x14ac:dyDescent="0.25">
      <c r="A461" s="23" t="s">
        <v>15</v>
      </c>
      <c r="D461" s="18" t="s">
        <v>17</v>
      </c>
      <c r="F461" s="26" t="s">
        <v>27</v>
      </c>
      <c r="G461" s="1"/>
    </row>
    <row r="462" spans="1:7" x14ac:dyDescent="0.25">
      <c r="A462" s="17"/>
      <c r="B462" s="24" t="s">
        <v>18</v>
      </c>
      <c r="D462" s="19"/>
      <c r="F462" s="27" t="s">
        <v>28</v>
      </c>
      <c r="G462" s="1"/>
    </row>
    <row r="463" spans="1:7" x14ac:dyDescent="0.25">
      <c r="A463" s="17"/>
      <c r="C463" s="2" t="s">
        <v>31</v>
      </c>
      <c r="D463" s="19">
        <v>302144218.91000003</v>
      </c>
      <c r="F463" t="s">
        <v>151</v>
      </c>
      <c r="G463" s="1">
        <v>-3690000</v>
      </c>
    </row>
    <row r="464" spans="1:7" x14ac:dyDescent="0.25">
      <c r="A464" s="17"/>
      <c r="C464" s="2" t="s">
        <v>32</v>
      </c>
      <c r="D464" s="19">
        <v>28983787.050000001</v>
      </c>
      <c r="F464" t="s">
        <v>796</v>
      </c>
      <c r="G464" s="1">
        <v>89500</v>
      </c>
    </row>
    <row r="465" spans="1:9" x14ac:dyDescent="0.25">
      <c r="A465" s="17"/>
      <c r="C465" s="2" t="s">
        <v>33</v>
      </c>
      <c r="D465" s="19">
        <v>63067082.399999999</v>
      </c>
      <c r="G465" s="30">
        <f>SUM(G463:G464)</f>
        <v>-3600500</v>
      </c>
    </row>
    <row r="466" spans="1:9" x14ac:dyDescent="0.25">
      <c r="A466" s="17"/>
      <c r="C466" s="2" t="s">
        <v>34</v>
      </c>
      <c r="D466" s="19">
        <v>61771116</v>
      </c>
      <c r="F466" s="28" t="s">
        <v>29</v>
      </c>
      <c r="G466" s="1"/>
    </row>
    <row r="467" spans="1:9" x14ac:dyDescent="0.25">
      <c r="A467" s="17"/>
      <c r="C467" s="2" t="s">
        <v>35</v>
      </c>
      <c r="D467" s="19">
        <v>8250</v>
      </c>
      <c r="F467" t="s">
        <v>794</v>
      </c>
      <c r="G467" s="1">
        <v>84000</v>
      </c>
    </row>
    <row r="468" spans="1:9" x14ac:dyDescent="0.25">
      <c r="A468" s="17"/>
      <c r="C468" s="2" t="s">
        <v>36</v>
      </c>
      <c r="D468" s="19">
        <v>139733.6</v>
      </c>
      <c r="F468" t="s">
        <v>795</v>
      </c>
      <c r="G468" s="1">
        <v>71400</v>
      </c>
      <c r="I468" s="38"/>
    </row>
    <row r="469" spans="1:9" x14ac:dyDescent="0.25">
      <c r="A469" s="17"/>
      <c r="C469" s="2" t="s">
        <v>37</v>
      </c>
      <c r="D469" s="19">
        <v>48645245</v>
      </c>
      <c r="F469" t="s">
        <v>112</v>
      </c>
      <c r="G469" s="1">
        <v>5000000</v>
      </c>
    </row>
    <row r="470" spans="1:9" x14ac:dyDescent="0.25">
      <c r="A470" s="17"/>
      <c r="C470" s="2" t="s">
        <v>51</v>
      </c>
      <c r="D470" s="20">
        <v>130317</v>
      </c>
      <c r="F470" t="s">
        <v>161</v>
      </c>
      <c r="G470" s="1">
        <v>2500</v>
      </c>
    </row>
    <row r="471" spans="1:9" x14ac:dyDescent="0.25">
      <c r="A471" s="17"/>
      <c r="B471" s="24" t="s">
        <v>19</v>
      </c>
      <c r="D471" s="19">
        <f>SUM(D463:D470)</f>
        <v>504889749.96000004</v>
      </c>
      <c r="G471" s="30">
        <f>SUM(G467:G470)</f>
        <v>5157900</v>
      </c>
    </row>
    <row r="472" spans="1:9" x14ac:dyDescent="0.25">
      <c r="A472" s="17"/>
      <c r="D472" s="19"/>
    </row>
    <row r="473" spans="1:9" x14ac:dyDescent="0.25">
      <c r="A473" s="17"/>
      <c r="B473" s="24" t="s">
        <v>20</v>
      </c>
      <c r="D473" s="19"/>
      <c r="F473" s="28" t="s">
        <v>30</v>
      </c>
      <c r="G473" s="29">
        <f>G465-G471</f>
        <v>-8758400</v>
      </c>
    </row>
    <row r="474" spans="1:9" x14ac:dyDescent="0.25">
      <c r="A474" s="17"/>
      <c r="C474" t="s">
        <v>7</v>
      </c>
      <c r="D474" s="19">
        <v>2241802950</v>
      </c>
    </row>
    <row r="475" spans="1:9" x14ac:dyDescent="0.25">
      <c r="A475" s="17"/>
      <c r="C475" t="s">
        <v>47</v>
      </c>
      <c r="D475" s="19">
        <v>12590000</v>
      </c>
    </row>
    <row r="476" spans="1:9" x14ac:dyDescent="0.25">
      <c r="A476" s="17"/>
      <c r="C476" t="s">
        <v>21</v>
      </c>
      <c r="D476" s="19">
        <v>722332000</v>
      </c>
    </row>
    <row r="477" spans="1:9" x14ac:dyDescent="0.25">
      <c r="A477" s="17"/>
      <c r="C477" t="s">
        <v>45</v>
      </c>
      <c r="D477" s="19">
        <v>25000000</v>
      </c>
    </row>
    <row r="478" spans="1:9" x14ac:dyDescent="0.25">
      <c r="A478" s="17"/>
      <c r="C478" t="s">
        <v>48</v>
      </c>
      <c r="D478" s="19">
        <v>30000000</v>
      </c>
    </row>
    <row r="479" spans="1:9" x14ac:dyDescent="0.25">
      <c r="A479" s="17"/>
      <c r="C479" t="s">
        <v>68</v>
      </c>
      <c r="D479" s="19">
        <v>141000000</v>
      </c>
    </row>
    <row r="480" spans="1:9" x14ac:dyDescent="0.25">
      <c r="A480" s="17"/>
      <c r="C480" t="s">
        <v>68</v>
      </c>
      <c r="D480" s="19">
        <v>145000000</v>
      </c>
    </row>
    <row r="481" spans="1:7" x14ac:dyDescent="0.25">
      <c r="A481" s="17"/>
      <c r="C481" t="s">
        <v>518</v>
      </c>
      <c r="D481" s="19">
        <v>100000000</v>
      </c>
    </row>
    <row r="482" spans="1:7" x14ac:dyDescent="0.25">
      <c r="A482" s="17"/>
      <c r="C482" t="s">
        <v>786</v>
      </c>
      <c r="D482" s="19">
        <v>30000000</v>
      </c>
    </row>
    <row r="483" spans="1:7" x14ac:dyDescent="0.25">
      <c r="A483" s="17"/>
      <c r="C483" t="s">
        <v>643</v>
      </c>
      <c r="D483" s="19">
        <v>156395550</v>
      </c>
      <c r="G483" s="1"/>
    </row>
    <row r="484" spans="1:7" x14ac:dyDescent="0.25">
      <c r="A484" s="17"/>
      <c r="C484" t="s">
        <v>732</v>
      </c>
      <c r="D484" s="19">
        <v>1185745</v>
      </c>
      <c r="G484" s="1"/>
    </row>
    <row r="485" spans="1:7" x14ac:dyDescent="0.25">
      <c r="A485" s="17"/>
      <c r="C485" t="s">
        <v>744</v>
      </c>
      <c r="D485" s="19">
        <v>1002500</v>
      </c>
      <c r="G485" s="1"/>
    </row>
    <row r="486" spans="1:7" x14ac:dyDescent="0.25">
      <c r="A486" s="17"/>
      <c r="C486" t="s">
        <v>756</v>
      </c>
      <c r="D486" s="20">
        <v>15002500</v>
      </c>
      <c r="G486" s="1"/>
    </row>
    <row r="487" spans="1:7" x14ac:dyDescent="0.25">
      <c r="A487" s="17"/>
      <c r="D487" s="19">
        <f>SUM(D474:D486)</f>
        <v>3621311245</v>
      </c>
      <c r="G487" s="1"/>
    </row>
    <row r="488" spans="1:7" x14ac:dyDescent="0.25">
      <c r="A488" s="17"/>
      <c r="D488" s="19"/>
      <c r="G488" s="1"/>
    </row>
    <row r="489" spans="1:7" x14ac:dyDescent="0.25">
      <c r="A489" s="17"/>
      <c r="B489" s="24" t="s">
        <v>46</v>
      </c>
      <c r="D489" s="19"/>
      <c r="G489" s="1"/>
    </row>
    <row r="490" spans="1:7" x14ac:dyDescent="0.25">
      <c r="A490" s="17"/>
      <c r="B490" s="24"/>
      <c r="C490" t="s">
        <v>791</v>
      </c>
      <c r="D490" s="19">
        <f>284*602500</f>
        <v>171110000</v>
      </c>
      <c r="G490" s="1"/>
    </row>
    <row r="491" spans="1:7" x14ac:dyDescent="0.25">
      <c r="A491" s="17"/>
      <c r="B491" s="24"/>
      <c r="C491" t="s">
        <v>126</v>
      </c>
      <c r="D491" s="20">
        <f>6*602500</f>
        <v>3615000</v>
      </c>
      <c r="G491" s="1"/>
    </row>
    <row r="492" spans="1:7" x14ac:dyDescent="0.25">
      <c r="A492" s="17"/>
      <c r="D492" s="19">
        <f>SUM(D490:D491)</f>
        <v>174725000</v>
      </c>
      <c r="G492" s="1"/>
    </row>
    <row r="493" spans="1:7" x14ac:dyDescent="0.25">
      <c r="A493" s="17"/>
      <c r="D493" s="19"/>
      <c r="G493" s="1"/>
    </row>
    <row r="494" spans="1:7" x14ac:dyDescent="0.25">
      <c r="A494" s="23" t="s">
        <v>22</v>
      </c>
      <c r="D494" s="19"/>
      <c r="G494" s="1"/>
    </row>
    <row r="495" spans="1:7" x14ac:dyDescent="0.25">
      <c r="A495" s="17"/>
      <c r="C495" t="s">
        <v>23</v>
      </c>
      <c r="D495" s="19">
        <v>1356000000</v>
      </c>
      <c r="G495" s="1"/>
    </row>
    <row r="496" spans="1:7" x14ac:dyDescent="0.25">
      <c r="A496" s="17"/>
      <c r="C496" t="s">
        <v>24</v>
      </c>
      <c r="D496" s="19">
        <v>1403834500</v>
      </c>
      <c r="G496" s="1"/>
    </row>
    <row r="497" spans="1:7" x14ac:dyDescent="0.25">
      <c r="A497" s="17"/>
      <c r="C497" t="s">
        <v>602</v>
      </c>
      <c r="D497" s="19">
        <v>88000000</v>
      </c>
      <c r="G497" s="1"/>
    </row>
    <row r="498" spans="1:7" x14ac:dyDescent="0.25">
      <c r="A498" s="17"/>
      <c r="C498" t="s">
        <v>44</v>
      </c>
      <c r="D498" s="20">
        <v>60900000</v>
      </c>
      <c r="G498" s="1"/>
    </row>
    <row r="499" spans="1:7" x14ac:dyDescent="0.25">
      <c r="A499" s="17"/>
      <c r="D499" s="19">
        <f>SUM(D495:D498)</f>
        <v>2908734500</v>
      </c>
      <c r="G499" s="1"/>
    </row>
    <row r="500" spans="1:7" x14ac:dyDescent="0.25">
      <c r="A500" s="17"/>
      <c r="D500" s="19"/>
      <c r="G500" s="1"/>
    </row>
    <row r="501" spans="1:7" x14ac:dyDescent="0.25">
      <c r="A501" s="43" t="s">
        <v>25</v>
      </c>
      <c r="B501" s="44"/>
      <c r="C501" s="44"/>
      <c r="D501" s="25">
        <f>D471+D487+D492-D499</f>
        <v>1392191494.96</v>
      </c>
      <c r="G501" s="1"/>
    </row>
    <row r="502" spans="1:7" x14ac:dyDescent="0.25">
      <c r="A502" s="21"/>
      <c r="B502" s="22"/>
      <c r="C502" s="22"/>
      <c r="D502" s="20"/>
      <c r="G502" s="1"/>
    </row>
    <row r="504" spans="1:7" x14ac:dyDescent="0.25">
      <c r="A504" s="40" t="s">
        <v>13</v>
      </c>
      <c r="B504" s="40"/>
      <c r="C504" s="40"/>
      <c r="D504" s="40"/>
      <c r="G504" s="1"/>
    </row>
    <row r="505" spans="1:7" x14ac:dyDescent="0.25">
      <c r="A505" s="41" t="s">
        <v>14</v>
      </c>
      <c r="B505" s="41"/>
      <c r="C505" s="41"/>
      <c r="D505" s="41"/>
      <c r="G505" s="1"/>
    </row>
    <row r="506" spans="1:7" x14ac:dyDescent="0.25">
      <c r="A506" s="42">
        <v>45850</v>
      </c>
      <c r="B506" s="42"/>
      <c r="C506" s="42"/>
      <c r="D506" s="42"/>
      <c r="G506" s="1"/>
    </row>
    <row r="507" spans="1:7" x14ac:dyDescent="0.25">
      <c r="A507" s="13"/>
      <c r="B507" s="13"/>
      <c r="C507" s="13"/>
      <c r="D507" s="13"/>
      <c r="G507" s="1"/>
    </row>
    <row r="508" spans="1:7" x14ac:dyDescent="0.25">
      <c r="A508" s="14"/>
      <c r="B508" s="15"/>
      <c r="C508" s="15"/>
      <c r="D508" s="16"/>
      <c r="F508" s="5" t="s">
        <v>26</v>
      </c>
      <c r="G508" s="1">
        <f>D550-D501</f>
        <v>-6628838</v>
      </c>
    </row>
    <row r="509" spans="1:7" x14ac:dyDescent="0.25">
      <c r="A509" s="17"/>
      <c r="D509" s="32" t="s">
        <v>16</v>
      </c>
      <c r="G509" s="1"/>
    </row>
    <row r="510" spans="1:7" x14ac:dyDescent="0.25">
      <c r="A510" s="23" t="s">
        <v>15</v>
      </c>
      <c r="D510" s="18" t="s">
        <v>17</v>
      </c>
      <c r="F510" s="26" t="s">
        <v>27</v>
      </c>
      <c r="G510" s="1"/>
    </row>
    <row r="511" spans="1:7" x14ac:dyDescent="0.25">
      <c r="A511" s="17"/>
      <c r="B511" s="24" t="s">
        <v>18</v>
      </c>
      <c r="D511" s="19"/>
      <c r="F511" s="27" t="s">
        <v>28</v>
      </c>
      <c r="G511" s="1"/>
    </row>
    <row r="512" spans="1:7" x14ac:dyDescent="0.25">
      <c r="A512" s="17"/>
      <c r="C512" s="2" t="s">
        <v>31</v>
      </c>
      <c r="D512" s="19">
        <v>3534689.91</v>
      </c>
      <c r="F512" t="s">
        <v>317</v>
      </c>
      <c r="G512" s="1">
        <v>-2697000</v>
      </c>
    </row>
    <row r="513" spans="1:9" x14ac:dyDescent="0.25">
      <c r="A513" s="17"/>
      <c r="C513" s="2" t="s">
        <v>32</v>
      </c>
      <c r="D513" s="19">
        <v>40333787.049999997</v>
      </c>
      <c r="F513" t="s">
        <v>90</v>
      </c>
      <c r="G513" s="1">
        <v>545000</v>
      </c>
    </row>
    <row r="514" spans="1:9" x14ac:dyDescent="0.25">
      <c r="A514" s="17"/>
      <c r="C514" s="2" t="s">
        <v>33</v>
      </c>
      <c r="D514" s="19">
        <v>143501163.40000001</v>
      </c>
      <c r="G514" s="30">
        <f>SUM(G512:G513)</f>
        <v>-2152000</v>
      </c>
    </row>
    <row r="515" spans="1:9" x14ac:dyDescent="0.25">
      <c r="A515" s="17"/>
      <c r="C515" s="2" t="s">
        <v>34</v>
      </c>
      <c r="D515" s="19">
        <v>57519726</v>
      </c>
      <c r="F515" s="28" t="s">
        <v>29</v>
      </c>
      <c r="G515" s="1"/>
    </row>
    <row r="516" spans="1:9" x14ac:dyDescent="0.25">
      <c r="A516" s="17"/>
      <c r="C516" s="2" t="s">
        <v>35</v>
      </c>
      <c r="D516" s="19">
        <v>8250</v>
      </c>
      <c r="F516" t="s">
        <v>597</v>
      </c>
      <c r="G516" s="1">
        <v>815919</v>
      </c>
    </row>
    <row r="517" spans="1:9" x14ac:dyDescent="0.25">
      <c r="A517" s="17"/>
      <c r="C517" s="2" t="s">
        <v>36</v>
      </c>
      <c r="D517" s="19">
        <v>139733.6</v>
      </c>
      <c r="F517" t="s">
        <v>598</v>
      </c>
      <c r="G517" s="1">
        <v>2051390</v>
      </c>
    </row>
    <row r="518" spans="1:9" x14ac:dyDescent="0.25">
      <c r="A518" s="17"/>
      <c r="C518" s="2" t="s">
        <v>37</v>
      </c>
      <c r="D518" s="19">
        <v>48645245</v>
      </c>
      <c r="F518" t="s">
        <v>443</v>
      </c>
      <c r="G518" s="1">
        <v>72404</v>
      </c>
    </row>
    <row r="519" spans="1:9" x14ac:dyDescent="0.25">
      <c r="A519" s="17"/>
      <c r="C519" s="2" t="s">
        <v>51</v>
      </c>
      <c r="D519" s="20">
        <v>130317</v>
      </c>
      <c r="F519" t="s">
        <v>171</v>
      </c>
      <c r="G519" s="1">
        <v>1537125</v>
      </c>
      <c r="I519" s="38"/>
    </row>
    <row r="520" spans="1:9" x14ac:dyDescent="0.25">
      <c r="A520" s="17"/>
      <c r="B520" s="24" t="s">
        <v>19</v>
      </c>
      <c r="D520" s="19">
        <f>SUM(D512:D519)</f>
        <v>293812911.96000004</v>
      </c>
      <c r="G520" s="30">
        <f>SUM(G516:G519)</f>
        <v>4476838</v>
      </c>
    </row>
    <row r="521" spans="1:9" x14ac:dyDescent="0.25">
      <c r="A521" s="17"/>
      <c r="D521" s="19"/>
    </row>
    <row r="522" spans="1:9" x14ac:dyDescent="0.25">
      <c r="A522" s="17"/>
      <c r="B522" s="24" t="s">
        <v>20</v>
      </c>
      <c r="D522" s="19"/>
      <c r="F522" s="28" t="s">
        <v>30</v>
      </c>
      <c r="G522" s="29">
        <f>G514-G520</f>
        <v>-6628838</v>
      </c>
    </row>
    <row r="523" spans="1:9" x14ac:dyDescent="0.25">
      <c r="A523" s="17"/>
      <c r="C523" t="s">
        <v>7</v>
      </c>
      <c r="D523" s="19">
        <v>2788427950</v>
      </c>
    </row>
    <row r="524" spans="1:9" x14ac:dyDescent="0.25">
      <c r="A524" s="17"/>
      <c r="C524" t="s">
        <v>47</v>
      </c>
      <c r="D524" s="19">
        <v>13835000</v>
      </c>
    </row>
    <row r="525" spans="1:9" x14ac:dyDescent="0.25">
      <c r="A525" s="17"/>
      <c r="C525" t="s">
        <v>21</v>
      </c>
      <c r="D525" s="19">
        <v>796132000</v>
      </c>
    </row>
    <row r="526" spans="1:9" x14ac:dyDescent="0.25">
      <c r="A526" s="17"/>
      <c r="C526" t="s">
        <v>773</v>
      </c>
      <c r="D526" s="19">
        <v>158850000</v>
      </c>
    </row>
    <row r="527" spans="1:9" x14ac:dyDescent="0.25">
      <c r="A527" s="17"/>
      <c r="C527" t="s">
        <v>45</v>
      </c>
      <c r="D527" s="19">
        <v>25000000</v>
      </c>
    </row>
    <row r="528" spans="1:9" x14ac:dyDescent="0.25">
      <c r="A528" s="17"/>
      <c r="C528" t="s">
        <v>48</v>
      </c>
      <c r="D528" s="19">
        <v>30000000</v>
      </c>
    </row>
    <row r="529" spans="1:7" x14ac:dyDescent="0.25">
      <c r="A529" s="17"/>
      <c r="C529" t="s">
        <v>68</v>
      </c>
      <c r="D529" s="19">
        <v>141000000</v>
      </c>
    </row>
    <row r="530" spans="1:7" x14ac:dyDescent="0.25">
      <c r="A530" s="17"/>
      <c r="C530" t="s">
        <v>68</v>
      </c>
      <c r="D530" s="19">
        <v>145000000</v>
      </c>
    </row>
    <row r="531" spans="1:7" x14ac:dyDescent="0.25">
      <c r="A531" s="17"/>
      <c r="C531" t="s">
        <v>518</v>
      </c>
      <c r="D531" s="19">
        <v>100000000</v>
      </c>
    </row>
    <row r="532" spans="1:7" x14ac:dyDescent="0.25">
      <c r="A532" s="17"/>
      <c r="C532" t="s">
        <v>786</v>
      </c>
      <c r="D532" s="19">
        <v>30000000</v>
      </c>
    </row>
    <row r="533" spans="1:7" x14ac:dyDescent="0.25">
      <c r="A533" s="17"/>
      <c r="C533" t="s">
        <v>643</v>
      </c>
      <c r="D533" s="19">
        <v>156395550</v>
      </c>
      <c r="G533" s="1"/>
    </row>
    <row r="534" spans="1:7" x14ac:dyDescent="0.25">
      <c r="A534" s="17"/>
      <c r="C534" t="s">
        <v>732</v>
      </c>
      <c r="D534" s="19">
        <v>1185745</v>
      </c>
      <c r="G534" s="1"/>
    </row>
    <row r="535" spans="1:7" x14ac:dyDescent="0.25">
      <c r="A535" s="17"/>
      <c r="C535" t="s">
        <v>744</v>
      </c>
      <c r="D535" s="19">
        <v>1002500</v>
      </c>
      <c r="G535" s="1"/>
    </row>
    <row r="536" spans="1:7" x14ac:dyDescent="0.25">
      <c r="A536" s="17"/>
      <c r="C536" t="s">
        <v>756</v>
      </c>
      <c r="D536" s="20">
        <v>15002500</v>
      </c>
      <c r="G536" s="1"/>
    </row>
    <row r="537" spans="1:7" x14ac:dyDescent="0.25">
      <c r="A537" s="17"/>
      <c r="D537" s="19">
        <f>SUM(D523:D536)</f>
        <v>4401831245</v>
      </c>
      <c r="G537" s="1"/>
    </row>
    <row r="538" spans="1:7" x14ac:dyDescent="0.25">
      <c r="A538" s="17"/>
      <c r="D538" s="19"/>
      <c r="G538" s="1"/>
    </row>
    <row r="539" spans="1:7" x14ac:dyDescent="0.25">
      <c r="A539" s="17"/>
      <c r="B539" s="24" t="s">
        <v>46</v>
      </c>
      <c r="D539" s="19"/>
      <c r="G539" s="1"/>
    </row>
    <row r="540" spans="1:7" x14ac:dyDescent="0.25">
      <c r="A540" s="17"/>
      <c r="B540" s="24"/>
      <c r="C540" t="s">
        <v>797</v>
      </c>
      <c r="D540" s="20">
        <f>270*602500</f>
        <v>162675000</v>
      </c>
      <c r="G540" s="1"/>
    </row>
    <row r="541" spans="1:7" x14ac:dyDescent="0.25">
      <c r="A541" s="17"/>
      <c r="D541" s="19">
        <f>SUM(D540:D540)</f>
        <v>162675000</v>
      </c>
      <c r="G541" s="1"/>
    </row>
    <row r="542" spans="1:7" x14ac:dyDescent="0.25">
      <c r="A542" s="17"/>
      <c r="D542" s="19"/>
      <c r="G542" s="1"/>
    </row>
    <row r="543" spans="1:7" x14ac:dyDescent="0.25">
      <c r="A543" s="23" t="s">
        <v>22</v>
      </c>
      <c r="D543" s="19"/>
      <c r="G543" s="1"/>
    </row>
    <row r="544" spans="1:7" x14ac:dyDescent="0.25">
      <c r="A544" s="17"/>
      <c r="C544" t="s">
        <v>23</v>
      </c>
      <c r="D544" s="19">
        <v>1356000000</v>
      </c>
      <c r="G544" s="1"/>
    </row>
    <row r="545" spans="1:7" x14ac:dyDescent="0.25">
      <c r="A545" s="17"/>
      <c r="C545" t="s">
        <v>24</v>
      </c>
      <c r="D545" s="19">
        <v>1811256500</v>
      </c>
      <c r="G545" s="1"/>
    </row>
    <row r="546" spans="1:7" x14ac:dyDescent="0.25">
      <c r="A546" s="17"/>
      <c r="C546" t="s">
        <v>602</v>
      </c>
      <c r="D546" s="19">
        <v>88000000</v>
      </c>
      <c r="G546" s="1"/>
    </row>
    <row r="547" spans="1:7" x14ac:dyDescent="0.25">
      <c r="A547" s="17"/>
      <c r="C547" t="s">
        <v>44</v>
      </c>
      <c r="D547" s="20">
        <v>217500000</v>
      </c>
      <c r="G547" s="1"/>
    </row>
    <row r="548" spans="1:7" x14ac:dyDescent="0.25">
      <c r="A548" s="17"/>
      <c r="D548" s="19">
        <f>SUM(D544:D547)</f>
        <v>3472756500</v>
      </c>
      <c r="G548" s="1"/>
    </row>
    <row r="549" spans="1:7" x14ac:dyDescent="0.25">
      <c r="A549" s="17"/>
      <c r="D549" s="19"/>
      <c r="G549" s="1"/>
    </row>
    <row r="550" spans="1:7" x14ac:dyDescent="0.25">
      <c r="A550" s="43" t="s">
        <v>25</v>
      </c>
      <c r="B550" s="44"/>
      <c r="C550" s="44"/>
      <c r="D550" s="25">
        <f>D520+D537+D541-D548</f>
        <v>1385562656.96</v>
      </c>
      <c r="G550" s="1"/>
    </row>
    <row r="551" spans="1:7" x14ac:dyDescent="0.25">
      <c r="A551" s="21"/>
      <c r="B551" s="22"/>
      <c r="C551" s="22"/>
      <c r="D551" s="20"/>
      <c r="G551" s="1"/>
    </row>
    <row r="553" spans="1:7" x14ac:dyDescent="0.25">
      <c r="A553" s="40" t="s">
        <v>13</v>
      </c>
      <c r="B553" s="40"/>
      <c r="C553" s="40"/>
      <c r="D553" s="40"/>
      <c r="G553" s="1"/>
    </row>
    <row r="554" spans="1:7" x14ac:dyDescent="0.25">
      <c r="A554" s="41" t="s">
        <v>14</v>
      </c>
      <c r="B554" s="41"/>
      <c r="C554" s="41"/>
      <c r="D554" s="41"/>
      <c r="G554" s="1"/>
    </row>
    <row r="555" spans="1:7" x14ac:dyDescent="0.25">
      <c r="A555" s="42">
        <v>45852</v>
      </c>
      <c r="B555" s="42"/>
      <c r="C555" s="42"/>
      <c r="D555" s="42"/>
      <c r="G555" s="1"/>
    </row>
    <row r="556" spans="1:7" x14ac:dyDescent="0.25">
      <c r="A556" s="13"/>
      <c r="B556" s="13"/>
      <c r="C556" s="13"/>
      <c r="D556" s="13"/>
      <c r="G556" s="1"/>
    </row>
    <row r="557" spans="1:7" x14ac:dyDescent="0.25">
      <c r="A557" s="14"/>
      <c r="B557" s="15"/>
      <c r="C557" s="15"/>
      <c r="D557" s="16"/>
      <c r="F557" s="5" t="s">
        <v>26</v>
      </c>
      <c r="G557" s="1">
        <f>D600-D550</f>
        <v>-11472500</v>
      </c>
    </row>
    <row r="558" spans="1:7" x14ac:dyDescent="0.25">
      <c r="A558" s="17"/>
      <c r="D558" s="32" t="s">
        <v>16</v>
      </c>
      <c r="G558" s="1"/>
    </row>
    <row r="559" spans="1:7" x14ac:dyDescent="0.25">
      <c r="A559" s="23" t="s">
        <v>15</v>
      </c>
      <c r="D559" s="18" t="s">
        <v>17</v>
      </c>
      <c r="F559" s="26" t="s">
        <v>27</v>
      </c>
      <c r="G559" s="1"/>
    </row>
    <row r="560" spans="1:7" x14ac:dyDescent="0.25">
      <c r="A560" s="17"/>
      <c r="B560" s="24" t="s">
        <v>18</v>
      </c>
      <c r="D560" s="19"/>
      <c r="F560" s="27" t="s">
        <v>28</v>
      </c>
      <c r="G560" s="1"/>
    </row>
    <row r="561" spans="1:9" x14ac:dyDescent="0.25">
      <c r="A561" s="17"/>
      <c r="C561" s="2" t="s">
        <v>31</v>
      </c>
      <c r="D561" s="19">
        <v>93284689.909999996</v>
      </c>
      <c r="F561" t="s">
        <v>160</v>
      </c>
      <c r="G561" s="1">
        <v>-696000</v>
      </c>
    </row>
    <row r="562" spans="1:9" x14ac:dyDescent="0.25">
      <c r="A562" s="17"/>
      <c r="C562" s="2" t="s">
        <v>32</v>
      </c>
      <c r="D562" s="19">
        <v>52581287.049999997</v>
      </c>
      <c r="F562" t="s">
        <v>90</v>
      </c>
      <c r="G562" s="1">
        <v>2062500</v>
      </c>
    </row>
    <row r="563" spans="1:9" x14ac:dyDescent="0.25">
      <c r="A563" s="17"/>
      <c r="C563" s="2" t="s">
        <v>33</v>
      </c>
      <c r="D563" s="19">
        <v>69812163.400000006</v>
      </c>
      <c r="F563" t="s">
        <v>798</v>
      </c>
      <c r="G563" s="1">
        <v>179000</v>
      </c>
    </row>
    <row r="564" spans="1:9" x14ac:dyDescent="0.25">
      <c r="A564" s="17"/>
      <c r="C564" s="2" t="s">
        <v>34</v>
      </c>
      <c r="D564" s="19">
        <v>4319726</v>
      </c>
      <c r="F564" t="s">
        <v>799</v>
      </c>
      <c r="G564" s="1">
        <v>182000</v>
      </c>
    </row>
    <row r="565" spans="1:9" x14ac:dyDescent="0.25">
      <c r="A565" s="17"/>
      <c r="C565" s="2" t="s">
        <v>35</v>
      </c>
      <c r="D565" s="19">
        <v>8250</v>
      </c>
      <c r="F565" t="s">
        <v>800</v>
      </c>
      <c r="G565" s="1">
        <v>450000</v>
      </c>
      <c r="I565" s="38"/>
    </row>
    <row r="566" spans="1:9" x14ac:dyDescent="0.25">
      <c r="A566" s="17"/>
      <c r="C566" s="2" t="s">
        <v>36</v>
      </c>
      <c r="D566" s="19">
        <v>139733.6</v>
      </c>
      <c r="G566" s="30">
        <f>SUM(G561:G565)</f>
        <v>2177500</v>
      </c>
    </row>
    <row r="567" spans="1:9" x14ac:dyDescent="0.25">
      <c r="A567" s="17"/>
      <c r="C567" s="2" t="s">
        <v>37</v>
      </c>
      <c r="D567" s="19">
        <v>278121245</v>
      </c>
      <c r="F567" s="28" t="s">
        <v>29</v>
      </c>
      <c r="G567" s="1"/>
    </row>
    <row r="568" spans="1:9" x14ac:dyDescent="0.25">
      <c r="A568" s="17"/>
      <c r="C568" s="2" t="s">
        <v>51</v>
      </c>
      <c r="D568" s="20">
        <v>130317</v>
      </c>
      <c r="F568" t="s">
        <v>802</v>
      </c>
      <c r="G568" s="1">
        <v>13650000</v>
      </c>
    </row>
    <row r="569" spans="1:9" x14ac:dyDescent="0.25">
      <c r="A569" s="17"/>
      <c r="B569" s="24" t="s">
        <v>19</v>
      </c>
      <c r="D569" s="19">
        <f>SUM(D561:D568)</f>
        <v>498397411.95999998</v>
      </c>
      <c r="G569" s="30">
        <f>SUM(G568:G568)</f>
        <v>13650000</v>
      </c>
    </row>
    <row r="570" spans="1:9" x14ac:dyDescent="0.25">
      <c r="A570" s="17"/>
      <c r="D570" s="19"/>
    </row>
    <row r="571" spans="1:9" x14ac:dyDescent="0.25">
      <c r="A571" s="17"/>
      <c r="B571" s="24" t="s">
        <v>20</v>
      </c>
      <c r="D571" s="19"/>
      <c r="F571" s="28" t="s">
        <v>30</v>
      </c>
      <c r="G571" s="29">
        <f>G566-G569</f>
        <v>-11472500</v>
      </c>
    </row>
    <row r="572" spans="1:9" x14ac:dyDescent="0.25">
      <c r="A572" s="17"/>
      <c r="C572" t="s">
        <v>7</v>
      </c>
      <c r="D572" s="19">
        <v>2359727950</v>
      </c>
    </row>
    <row r="573" spans="1:9" x14ac:dyDescent="0.25">
      <c r="A573" s="17"/>
      <c r="C573" t="s">
        <v>47</v>
      </c>
      <c r="D573" s="19">
        <v>13835000</v>
      </c>
    </row>
    <row r="574" spans="1:9" x14ac:dyDescent="0.25">
      <c r="A574" s="17"/>
      <c r="C574" t="s">
        <v>21</v>
      </c>
      <c r="D574" s="19">
        <v>761756000</v>
      </c>
    </row>
    <row r="575" spans="1:9" x14ac:dyDescent="0.25">
      <c r="A575" s="17"/>
      <c r="C575" t="s">
        <v>773</v>
      </c>
      <c r="D575" s="19">
        <v>158850000</v>
      </c>
    </row>
    <row r="576" spans="1:9" x14ac:dyDescent="0.25">
      <c r="A576" s="17"/>
      <c r="C576" t="s">
        <v>45</v>
      </c>
      <c r="D576" s="19">
        <v>25000000</v>
      </c>
    </row>
    <row r="577" spans="1:7" x14ac:dyDescent="0.25">
      <c r="A577" s="17"/>
      <c r="C577" t="s">
        <v>48</v>
      </c>
      <c r="D577" s="19">
        <v>30000000</v>
      </c>
    </row>
    <row r="578" spans="1:7" x14ac:dyDescent="0.25">
      <c r="A578" s="17"/>
      <c r="C578" t="s">
        <v>68</v>
      </c>
      <c r="D578" s="19">
        <v>141000000</v>
      </c>
    </row>
    <row r="579" spans="1:7" x14ac:dyDescent="0.25">
      <c r="A579" s="17"/>
      <c r="C579" t="s">
        <v>68</v>
      </c>
      <c r="D579" s="19">
        <v>145000000</v>
      </c>
    </row>
    <row r="580" spans="1:7" x14ac:dyDescent="0.25">
      <c r="A580" s="17"/>
      <c r="C580" t="s">
        <v>518</v>
      </c>
      <c r="D580" s="19">
        <v>100000000</v>
      </c>
    </row>
    <row r="581" spans="1:7" x14ac:dyDescent="0.25">
      <c r="A581" s="17"/>
      <c r="C581" t="s">
        <v>786</v>
      </c>
      <c r="D581" s="19">
        <v>30000000</v>
      </c>
    </row>
    <row r="582" spans="1:7" x14ac:dyDescent="0.25">
      <c r="A582" s="17"/>
      <c r="C582" t="s">
        <v>643</v>
      </c>
      <c r="D582" s="19">
        <v>156395550</v>
      </c>
      <c r="G582" s="1"/>
    </row>
    <row r="583" spans="1:7" x14ac:dyDescent="0.25">
      <c r="A583" s="17"/>
      <c r="C583" t="s">
        <v>732</v>
      </c>
      <c r="D583" s="19">
        <v>1185745</v>
      </c>
      <c r="G583" s="1"/>
    </row>
    <row r="584" spans="1:7" x14ac:dyDescent="0.25">
      <c r="A584" s="17"/>
      <c r="C584" t="s">
        <v>744</v>
      </c>
      <c r="D584" s="19">
        <v>1002500</v>
      </c>
      <c r="G584" s="1"/>
    </row>
    <row r="585" spans="1:7" x14ac:dyDescent="0.25">
      <c r="A585" s="17"/>
      <c r="C585" t="s">
        <v>756</v>
      </c>
      <c r="D585" s="20">
        <v>50005000</v>
      </c>
      <c r="G585" s="1"/>
    </row>
    <row r="586" spans="1:7" x14ac:dyDescent="0.25">
      <c r="A586" s="17"/>
      <c r="D586" s="19">
        <f>SUM(D572:D585)</f>
        <v>3973757745</v>
      </c>
      <c r="G586" s="1"/>
    </row>
    <row r="587" spans="1:7" x14ac:dyDescent="0.25">
      <c r="A587" s="17"/>
      <c r="D587" s="19"/>
      <c r="G587" s="1"/>
    </row>
    <row r="588" spans="1:7" x14ac:dyDescent="0.25">
      <c r="A588" s="17"/>
      <c r="B588" s="24" t="s">
        <v>46</v>
      </c>
      <c r="D588" s="19"/>
      <c r="G588" s="1"/>
    </row>
    <row r="589" spans="1:7" x14ac:dyDescent="0.25">
      <c r="A589" s="17"/>
      <c r="B589" s="24"/>
      <c r="C589" t="s">
        <v>801</v>
      </c>
      <c r="D589" s="19">
        <f>193*602500</f>
        <v>116282500</v>
      </c>
      <c r="G589" s="1"/>
    </row>
    <row r="590" spans="1:7" x14ac:dyDescent="0.25">
      <c r="A590" s="17"/>
      <c r="B590" s="24"/>
      <c r="C590" t="s">
        <v>426</v>
      </c>
      <c r="D590" s="20">
        <f>2*602500</f>
        <v>1205000</v>
      </c>
      <c r="G590" s="1"/>
    </row>
    <row r="591" spans="1:7" x14ac:dyDescent="0.25">
      <c r="A591" s="17"/>
      <c r="D591" s="19">
        <f>SUM(D589:D590)</f>
        <v>117487500</v>
      </c>
      <c r="G591" s="1"/>
    </row>
    <row r="592" spans="1:7" x14ac:dyDescent="0.25">
      <c r="A592" s="17"/>
      <c r="D592" s="19"/>
      <c r="G592" s="1"/>
    </row>
    <row r="593" spans="1:7" x14ac:dyDescent="0.25">
      <c r="A593" s="23" t="s">
        <v>22</v>
      </c>
      <c r="D593" s="19"/>
      <c r="G593" s="1"/>
    </row>
    <row r="594" spans="1:7" x14ac:dyDescent="0.25">
      <c r="A594" s="17"/>
      <c r="C594" t="s">
        <v>23</v>
      </c>
      <c r="D594" s="19">
        <v>1024000000</v>
      </c>
      <c r="G594" s="1"/>
    </row>
    <row r="595" spans="1:7" x14ac:dyDescent="0.25">
      <c r="A595" s="17"/>
      <c r="C595" t="s">
        <v>24</v>
      </c>
      <c r="D595" s="19">
        <v>1809252500</v>
      </c>
      <c r="G595" s="1"/>
    </row>
    <row r="596" spans="1:7" x14ac:dyDescent="0.25">
      <c r="A596" s="17"/>
      <c r="C596" t="s">
        <v>602</v>
      </c>
      <c r="D596" s="19">
        <v>86500000</v>
      </c>
      <c r="G596" s="1"/>
    </row>
    <row r="597" spans="1:7" x14ac:dyDescent="0.25">
      <c r="A597" s="17"/>
      <c r="C597" t="s">
        <v>44</v>
      </c>
      <c r="D597" s="20">
        <v>295800000</v>
      </c>
      <c r="G597" s="1"/>
    </row>
    <row r="598" spans="1:7" x14ac:dyDescent="0.25">
      <c r="A598" s="17"/>
      <c r="D598" s="19">
        <f>SUM(D594:D597)</f>
        <v>3215552500</v>
      </c>
      <c r="G598" s="1"/>
    </row>
    <row r="599" spans="1:7" x14ac:dyDescent="0.25">
      <c r="A599" s="17"/>
      <c r="D599" s="19"/>
      <c r="G599" s="1"/>
    </row>
    <row r="600" spans="1:7" x14ac:dyDescent="0.25">
      <c r="A600" s="43" t="s">
        <v>25</v>
      </c>
      <c r="B600" s="44"/>
      <c r="C600" s="44"/>
      <c r="D600" s="25">
        <f>D569+D586+D591-D598</f>
        <v>1374090156.96</v>
      </c>
      <c r="G600" s="1"/>
    </row>
    <row r="601" spans="1:7" x14ac:dyDescent="0.25">
      <c r="A601" s="21"/>
      <c r="B601" s="22"/>
      <c r="C601" s="22"/>
      <c r="D601" s="20"/>
      <c r="G601" s="1"/>
    </row>
    <row r="603" spans="1:7" x14ac:dyDescent="0.25">
      <c r="A603" s="40" t="s">
        <v>13</v>
      </c>
      <c r="B603" s="40"/>
      <c r="C603" s="40"/>
      <c r="D603" s="40"/>
      <c r="G603" s="1"/>
    </row>
    <row r="604" spans="1:7" x14ac:dyDescent="0.25">
      <c r="A604" s="41" t="s">
        <v>14</v>
      </c>
      <c r="B604" s="41"/>
      <c r="C604" s="41"/>
      <c r="D604" s="41"/>
      <c r="G604" s="1"/>
    </row>
    <row r="605" spans="1:7" x14ac:dyDescent="0.25">
      <c r="A605" s="42">
        <v>45853</v>
      </c>
      <c r="B605" s="42"/>
      <c r="C605" s="42"/>
      <c r="D605" s="42"/>
      <c r="G605" s="1"/>
    </row>
    <row r="606" spans="1:7" x14ac:dyDescent="0.25">
      <c r="A606" s="13"/>
      <c r="B606" s="13"/>
      <c r="C606" s="13"/>
      <c r="D606" s="13"/>
      <c r="G606" s="1"/>
    </row>
    <row r="607" spans="1:7" x14ac:dyDescent="0.25">
      <c r="A607" s="14"/>
      <c r="B607" s="15"/>
      <c r="C607" s="15"/>
      <c r="D607" s="16"/>
      <c r="F607" s="5" t="s">
        <v>26</v>
      </c>
      <c r="G607" s="1">
        <f>D650-D600</f>
        <v>-4609305</v>
      </c>
    </row>
    <row r="608" spans="1:7" x14ac:dyDescent="0.25">
      <c r="A608" s="17"/>
      <c r="D608" s="32" t="s">
        <v>16</v>
      </c>
      <c r="G608" s="1"/>
    </row>
    <row r="609" spans="1:7" x14ac:dyDescent="0.25">
      <c r="A609" s="23" t="s">
        <v>15</v>
      </c>
      <c r="D609" s="18" t="s">
        <v>17</v>
      </c>
      <c r="F609" s="26" t="s">
        <v>27</v>
      </c>
      <c r="G609" s="1"/>
    </row>
    <row r="610" spans="1:7" x14ac:dyDescent="0.25">
      <c r="A610" s="17"/>
      <c r="B610" s="24" t="s">
        <v>18</v>
      </c>
      <c r="D610" s="19"/>
      <c r="F610" s="27" t="s">
        <v>28</v>
      </c>
      <c r="G610" s="1"/>
    </row>
    <row r="611" spans="1:7" x14ac:dyDescent="0.25">
      <c r="A611" s="17"/>
      <c r="C611" s="2" t="s">
        <v>31</v>
      </c>
      <c r="D611" s="19">
        <v>1284689.9099999999</v>
      </c>
      <c r="F611" t="s">
        <v>328</v>
      </c>
      <c r="G611" s="1">
        <v>-2595000</v>
      </c>
    </row>
    <row r="612" spans="1:7" x14ac:dyDescent="0.25">
      <c r="A612" s="17"/>
      <c r="C612" s="2" t="s">
        <v>32</v>
      </c>
      <c r="D612" s="19">
        <v>52581287.049999997</v>
      </c>
      <c r="F612" t="s">
        <v>90</v>
      </c>
      <c r="G612" s="1">
        <v>65000</v>
      </c>
    </row>
    <row r="613" spans="1:7" x14ac:dyDescent="0.25">
      <c r="A613" s="17"/>
      <c r="C613" s="2" t="s">
        <v>33</v>
      </c>
      <c r="D613" s="19">
        <v>-121630836.59999999</v>
      </c>
      <c r="F613" t="s">
        <v>803</v>
      </c>
      <c r="G613" s="1">
        <v>176000</v>
      </c>
    </row>
    <row r="614" spans="1:7" x14ac:dyDescent="0.25">
      <c r="A614" s="17"/>
      <c r="C614" s="2" t="s">
        <v>34</v>
      </c>
      <c r="D614" s="19">
        <v>82619726</v>
      </c>
      <c r="G614" s="30">
        <f>SUM(G611:G613)</f>
        <v>-2354000</v>
      </c>
    </row>
    <row r="615" spans="1:7" x14ac:dyDescent="0.25">
      <c r="A615" s="17"/>
      <c r="C615" s="2" t="s">
        <v>35</v>
      </c>
      <c r="D615" s="19">
        <v>8250</v>
      </c>
      <c r="F615" s="28" t="s">
        <v>29</v>
      </c>
      <c r="G615" s="1"/>
    </row>
    <row r="616" spans="1:7" x14ac:dyDescent="0.25">
      <c r="A616" s="17"/>
      <c r="C616" s="2" t="s">
        <v>36</v>
      </c>
      <c r="D616" s="19">
        <v>139733.6</v>
      </c>
      <c r="F616" t="s">
        <v>2</v>
      </c>
      <c r="G616" s="1">
        <v>2250000</v>
      </c>
    </row>
    <row r="617" spans="1:7" x14ac:dyDescent="0.25">
      <c r="A617" s="17"/>
      <c r="C617" s="2" t="s">
        <v>37</v>
      </c>
      <c r="D617" s="19">
        <v>220825940</v>
      </c>
      <c r="F617" t="s">
        <v>161</v>
      </c>
      <c r="G617" s="1">
        <v>2500</v>
      </c>
    </row>
    <row r="618" spans="1:7" x14ac:dyDescent="0.25">
      <c r="A618" s="17"/>
      <c r="C618" s="2" t="s">
        <v>51</v>
      </c>
      <c r="D618" s="20">
        <v>130317</v>
      </c>
      <c r="F618" t="s">
        <v>571</v>
      </c>
      <c r="G618" s="1">
        <v>2805</v>
      </c>
    </row>
    <row r="619" spans="1:7" x14ac:dyDescent="0.25">
      <c r="A619" s="17"/>
      <c r="B619" s="24" t="s">
        <v>19</v>
      </c>
      <c r="D619" s="19">
        <f>SUM(D611:D618)</f>
        <v>235959106.96000001</v>
      </c>
      <c r="G619" s="30">
        <f>SUM(G616:G618)</f>
        <v>2255305</v>
      </c>
    </row>
    <row r="620" spans="1:7" x14ac:dyDescent="0.25">
      <c r="A620" s="17"/>
      <c r="D620" s="19"/>
    </row>
    <row r="621" spans="1:7" x14ac:dyDescent="0.25">
      <c r="A621" s="17"/>
      <c r="B621" s="24" t="s">
        <v>20</v>
      </c>
      <c r="D621" s="19"/>
      <c r="F621" s="28" t="s">
        <v>30</v>
      </c>
      <c r="G621" s="29">
        <f>G614-G619</f>
        <v>-4609305</v>
      </c>
    </row>
    <row r="622" spans="1:7" x14ac:dyDescent="0.25">
      <c r="A622" s="17"/>
      <c r="C622" t="s">
        <v>7</v>
      </c>
      <c r="D622" s="19">
        <v>2115852950</v>
      </c>
    </row>
    <row r="623" spans="1:7" x14ac:dyDescent="0.25">
      <c r="A623" s="17"/>
      <c r="C623" t="s">
        <v>47</v>
      </c>
      <c r="D623" s="19">
        <v>15105000</v>
      </c>
    </row>
    <row r="624" spans="1:7" x14ac:dyDescent="0.25">
      <c r="A624" s="17"/>
      <c r="C624" t="s">
        <v>21</v>
      </c>
      <c r="D624" s="19">
        <v>787371000</v>
      </c>
    </row>
    <row r="625" spans="1:7" x14ac:dyDescent="0.25">
      <c r="A625" s="17"/>
      <c r="C625" t="s">
        <v>773</v>
      </c>
      <c r="D625" s="19">
        <v>158850000</v>
      </c>
    </row>
    <row r="626" spans="1:7" x14ac:dyDescent="0.25">
      <c r="A626" s="17"/>
      <c r="C626" t="s">
        <v>45</v>
      </c>
      <c r="D626" s="19">
        <v>25000000</v>
      </c>
    </row>
    <row r="627" spans="1:7" x14ac:dyDescent="0.25">
      <c r="A627" s="17"/>
      <c r="C627" t="s">
        <v>48</v>
      </c>
      <c r="D627" s="19">
        <v>30000000</v>
      </c>
    </row>
    <row r="628" spans="1:7" x14ac:dyDescent="0.25">
      <c r="A628" s="17"/>
      <c r="C628" t="s">
        <v>68</v>
      </c>
      <c r="D628" s="19">
        <v>141000000</v>
      </c>
    </row>
    <row r="629" spans="1:7" x14ac:dyDescent="0.25">
      <c r="A629" s="17"/>
      <c r="C629" t="s">
        <v>68</v>
      </c>
      <c r="D629" s="19">
        <v>145000000</v>
      </c>
    </row>
    <row r="630" spans="1:7" x14ac:dyDescent="0.25">
      <c r="A630" s="17"/>
      <c r="C630" t="s">
        <v>518</v>
      </c>
      <c r="D630" s="19">
        <v>100000000</v>
      </c>
    </row>
    <row r="631" spans="1:7" x14ac:dyDescent="0.25">
      <c r="A631" s="17"/>
      <c r="C631" t="s">
        <v>786</v>
      </c>
      <c r="D631" s="19">
        <v>30000000</v>
      </c>
    </row>
    <row r="632" spans="1:7" x14ac:dyDescent="0.25">
      <c r="A632" s="17"/>
      <c r="C632" t="s">
        <v>643</v>
      </c>
      <c r="D632" s="19">
        <v>156395550</v>
      </c>
      <c r="G632" s="1"/>
    </row>
    <row r="633" spans="1:7" x14ac:dyDescent="0.25">
      <c r="A633" s="17"/>
      <c r="C633" t="s">
        <v>732</v>
      </c>
      <c r="D633" s="19">
        <v>1185745</v>
      </c>
      <c r="G633" s="1"/>
    </row>
    <row r="634" spans="1:7" x14ac:dyDescent="0.25">
      <c r="A634" s="17"/>
      <c r="C634" t="s">
        <v>744</v>
      </c>
      <c r="D634" s="19">
        <v>1002500</v>
      </c>
      <c r="G634" s="1"/>
    </row>
    <row r="635" spans="1:7" x14ac:dyDescent="0.25">
      <c r="A635" s="17"/>
      <c r="C635" t="s">
        <v>756</v>
      </c>
      <c r="D635" s="20">
        <v>50005000</v>
      </c>
      <c r="G635" s="1"/>
    </row>
    <row r="636" spans="1:7" x14ac:dyDescent="0.25">
      <c r="A636" s="17"/>
      <c r="D636" s="19">
        <f>SUM(D622:D635)</f>
        <v>3756767745</v>
      </c>
      <c r="G636" s="1"/>
    </row>
    <row r="637" spans="1:7" x14ac:dyDescent="0.25">
      <c r="A637" s="17"/>
      <c r="D637" s="19"/>
      <c r="G637" s="1"/>
    </row>
    <row r="638" spans="1:7" x14ac:dyDescent="0.25">
      <c r="A638" s="17"/>
      <c r="B638" s="24" t="s">
        <v>46</v>
      </c>
      <c r="D638" s="19"/>
      <c r="G638" s="1"/>
    </row>
    <row r="639" spans="1:7" x14ac:dyDescent="0.25">
      <c r="A639" s="17"/>
      <c r="B639" s="24"/>
      <c r="C639" t="s">
        <v>801</v>
      </c>
      <c r="D639" s="20">
        <f>193*602500</f>
        <v>116282500</v>
      </c>
      <c r="G639" s="1"/>
    </row>
    <row r="640" spans="1:7" x14ac:dyDescent="0.25">
      <c r="A640" s="17"/>
      <c r="D640" s="19">
        <f>SUM(D639:D639)</f>
        <v>116282500</v>
      </c>
      <c r="G640" s="1"/>
    </row>
    <row r="641" spans="1:7" x14ac:dyDescent="0.25">
      <c r="A641" s="17"/>
      <c r="D641" s="19"/>
      <c r="G641" s="1"/>
    </row>
    <row r="642" spans="1:7" x14ac:dyDescent="0.25">
      <c r="A642" s="23" t="s">
        <v>22</v>
      </c>
      <c r="D642" s="19"/>
      <c r="G642" s="1"/>
    </row>
    <row r="643" spans="1:7" x14ac:dyDescent="0.25">
      <c r="A643" s="17"/>
      <c r="C643" t="s">
        <v>23</v>
      </c>
      <c r="D643" s="19">
        <v>803100000</v>
      </c>
      <c r="G643" s="1"/>
    </row>
    <row r="644" spans="1:7" x14ac:dyDescent="0.25">
      <c r="A644" s="17"/>
      <c r="C644" t="s">
        <v>24</v>
      </c>
      <c r="D644" s="19">
        <v>1475828500</v>
      </c>
      <c r="G644" s="1"/>
    </row>
    <row r="645" spans="1:7" x14ac:dyDescent="0.25">
      <c r="A645" s="17"/>
      <c r="C645" t="s">
        <v>602</v>
      </c>
      <c r="D645" s="19">
        <v>86500000</v>
      </c>
      <c r="G645" s="1"/>
    </row>
    <row r="646" spans="1:7" x14ac:dyDescent="0.25">
      <c r="A646" s="17"/>
      <c r="C646" t="s">
        <v>44</v>
      </c>
      <c r="D646" s="19">
        <v>295800000</v>
      </c>
      <c r="G646" s="1"/>
    </row>
    <row r="647" spans="1:7" x14ac:dyDescent="0.25">
      <c r="A647" s="17"/>
      <c r="C647" t="s">
        <v>111</v>
      </c>
      <c r="D647" s="20">
        <v>78300000</v>
      </c>
      <c r="G647" s="1"/>
    </row>
    <row r="648" spans="1:7" x14ac:dyDescent="0.25">
      <c r="A648" s="17"/>
      <c r="D648" s="19">
        <f>SUM(D643:D647)</f>
        <v>2739528500</v>
      </c>
      <c r="G648" s="1"/>
    </row>
    <row r="649" spans="1:7" x14ac:dyDescent="0.25">
      <c r="A649" s="17"/>
      <c r="D649" s="19"/>
      <c r="G649" s="1"/>
    </row>
    <row r="650" spans="1:7" x14ac:dyDescent="0.25">
      <c r="A650" s="43" t="s">
        <v>25</v>
      </c>
      <c r="B650" s="44"/>
      <c r="C650" s="44"/>
      <c r="D650" s="25">
        <f>D619+D636+D640-D648</f>
        <v>1369480851.96</v>
      </c>
      <c r="G650" s="1"/>
    </row>
    <row r="651" spans="1:7" x14ac:dyDescent="0.25">
      <c r="A651" s="21"/>
      <c r="B651" s="22"/>
      <c r="C651" s="22"/>
      <c r="D651" s="20"/>
      <c r="G651" s="1"/>
    </row>
    <row r="653" spans="1:7" x14ac:dyDescent="0.25">
      <c r="A653" s="40" t="s">
        <v>13</v>
      </c>
      <c r="B653" s="40"/>
      <c r="C653" s="40"/>
      <c r="D653" s="40"/>
      <c r="G653" s="1"/>
    </row>
    <row r="654" spans="1:7" x14ac:dyDescent="0.25">
      <c r="A654" s="41" t="s">
        <v>14</v>
      </c>
      <c r="B654" s="41"/>
      <c r="C654" s="41"/>
      <c r="D654" s="41"/>
      <c r="G654" s="1"/>
    </row>
    <row r="655" spans="1:7" x14ac:dyDescent="0.25">
      <c r="A655" s="42">
        <v>45854</v>
      </c>
      <c r="B655" s="42"/>
      <c r="C655" s="42"/>
      <c r="D655" s="42"/>
      <c r="G655" s="1"/>
    </row>
    <row r="656" spans="1:7" x14ac:dyDescent="0.25">
      <c r="A656" s="13"/>
      <c r="B656" s="13"/>
      <c r="C656" s="13"/>
      <c r="D656" s="13"/>
      <c r="G656" s="1"/>
    </row>
    <row r="657" spans="1:7" x14ac:dyDescent="0.25">
      <c r="A657" s="14"/>
      <c r="B657" s="15"/>
      <c r="C657" s="15"/>
      <c r="D657" s="16"/>
      <c r="F657" s="5" t="s">
        <v>26</v>
      </c>
      <c r="G657" s="1">
        <f>D700-D650</f>
        <v>-3284000</v>
      </c>
    </row>
    <row r="658" spans="1:7" x14ac:dyDescent="0.25">
      <c r="A658" s="17"/>
      <c r="D658" s="32" t="s">
        <v>16</v>
      </c>
      <c r="G658" s="1"/>
    </row>
    <row r="659" spans="1:7" x14ac:dyDescent="0.25">
      <c r="A659" s="23" t="s">
        <v>15</v>
      </c>
      <c r="D659" s="18" t="s">
        <v>17</v>
      </c>
      <c r="F659" s="26" t="s">
        <v>27</v>
      </c>
      <c r="G659" s="1"/>
    </row>
    <row r="660" spans="1:7" x14ac:dyDescent="0.25">
      <c r="A660" s="17"/>
      <c r="B660" s="24" t="s">
        <v>18</v>
      </c>
      <c r="D660" s="19"/>
      <c r="F660" s="27" t="s">
        <v>28</v>
      </c>
      <c r="G660" s="1"/>
    </row>
    <row r="661" spans="1:7" x14ac:dyDescent="0.25">
      <c r="A661" s="17"/>
      <c r="C661" s="2" t="s">
        <v>31</v>
      </c>
      <c r="D661" s="19">
        <v>1284689.9099999999</v>
      </c>
      <c r="F661" t="s">
        <v>179</v>
      </c>
      <c r="G661" s="1">
        <v>-3279000</v>
      </c>
    </row>
    <row r="662" spans="1:7" x14ac:dyDescent="0.25">
      <c r="A662" s="17"/>
      <c r="C662" s="2" t="s">
        <v>32</v>
      </c>
      <c r="D662" s="19">
        <v>52581287.049999997</v>
      </c>
      <c r="G662" s="30">
        <f>SUM(G661:G661)</f>
        <v>-3279000</v>
      </c>
    </row>
    <row r="663" spans="1:7" x14ac:dyDescent="0.25">
      <c r="A663" s="17"/>
      <c r="C663" s="2" t="s">
        <v>33</v>
      </c>
      <c r="D663" s="19">
        <v>185419163.40000001</v>
      </c>
      <c r="F663" s="28" t="s">
        <v>29</v>
      </c>
      <c r="G663" s="1"/>
    </row>
    <row r="664" spans="1:7" x14ac:dyDescent="0.25">
      <c r="A664" s="17"/>
      <c r="C664" s="2" t="s">
        <v>34</v>
      </c>
      <c r="D664" s="19">
        <v>165319726</v>
      </c>
      <c r="F664" t="s">
        <v>161</v>
      </c>
      <c r="G664" s="1">
        <v>5000</v>
      </c>
    </row>
    <row r="665" spans="1:7" x14ac:dyDescent="0.25">
      <c r="A665" s="17"/>
      <c r="C665" s="2" t="s">
        <v>35</v>
      </c>
      <c r="D665" s="19">
        <v>8250</v>
      </c>
      <c r="G665" s="30">
        <f>SUM(G664:G664)</f>
        <v>5000</v>
      </c>
    </row>
    <row r="666" spans="1:7" x14ac:dyDescent="0.25">
      <c r="A666" s="17"/>
      <c r="C666" s="2" t="s">
        <v>36</v>
      </c>
      <c r="D666" s="19">
        <v>139733.6</v>
      </c>
    </row>
    <row r="667" spans="1:7" x14ac:dyDescent="0.25">
      <c r="A667" s="17"/>
      <c r="C667" s="2" t="s">
        <v>37</v>
      </c>
      <c r="D667" s="19">
        <v>101571940</v>
      </c>
      <c r="F667" s="28" t="s">
        <v>30</v>
      </c>
      <c r="G667" s="29">
        <f>G662-G665</f>
        <v>-3284000</v>
      </c>
    </row>
    <row r="668" spans="1:7" x14ac:dyDescent="0.25">
      <c r="A668" s="17"/>
      <c r="C668" s="2" t="s">
        <v>51</v>
      </c>
      <c r="D668" s="20">
        <v>130317</v>
      </c>
    </row>
    <row r="669" spans="1:7" x14ac:dyDescent="0.25">
      <c r="A669" s="17"/>
      <c r="B669" s="24" t="s">
        <v>19</v>
      </c>
      <c r="D669" s="19">
        <f>SUM(D661:D668)</f>
        <v>506455106.96000004</v>
      </c>
    </row>
    <row r="670" spans="1:7" x14ac:dyDescent="0.25">
      <c r="A670" s="17"/>
      <c r="D670" s="19"/>
    </row>
    <row r="671" spans="1:7" x14ac:dyDescent="0.25">
      <c r="A671" s="17"/>
      <c r="B671" s="24" t="s">
        <v>20</v>
      </c>
      <c r="D671" s="19"/>
    </row>
    <row r="672" spans="1:7" x14ac:dyDescent="0.25">
      <c r="A672" s="17"/>
      <c r="C672" t="s">
        <v>7</v>
      </c>
      <c r="D672" s="19">
        <v>2273977950</v>
      </c>
    </row>
    <row r="673" spans="1:7" x14ac:dyDescent="0.25">
      <c r="A673" s="17"/>
      <c r="C673" t="s">
        <v>47</v>
      </c>
      <c r="D673" s="19">
        <v>15105000</v>
      </c>
    </row>
    <row r="674" spans="1:7" x14ac:dyDescent="0.25">
      <c r="A674" s="17"/>
      <c r="C674" t="s">
        <v>21</v>
      </c>
      <c r="D674" s="19">
        <v>769495000</v>
      </c>
    </row>
    <row r="675" spans="1:7" x14ac:dyDescent="0.25">
      <c r="A675" s="17"/>
      <c r="C675" t="s">
        <v>773</v>
      </c>
      <c r="D675" s="19">
        <v>238950000</v>
      </c>
    </row>
    <row r="676" spans="1:7" x14ac:dyDescent="0.25">
      <c r="A676" s="17"/>
      <c r="C676" t="s">
        <v>45</v>
      </c>
      <c r="D676" s="19">
        <v>25000000</v>
      </c>
    </row>
    <row r="677" spans="1:7" x14ac:dyDescent="0.25">
      <c r="A677" s="17"/>
      <c r="C677" t="s">
        <v>48</v>
      </c>
      <c r="D677" s="19">
        <v>30000000</v>
      </c>
    </row>
    <row r="678" spans="1:7" x14ac:dyDescent="0.25">
      <c r="A678" s="17"/>
      <c r="C678" t="s">
        <v>68</v>
      </c>
      <c r="D678" s="19">
        <v>141000000</v>
      </c>
    </row>
    <row r="679" spans="1:7" x14ac:dyDescent="0.25">
      <c r="A679" s="17"/>
      <c r="C679" t="s">
        <v>68</v>
      </c>
      <c r="D679" s="19">
        <v>145000000</v>
      </c>
    </row>
    <row r="680" spans="1:7" x14ac:dyDescent="0.25">
      <c r="A680" s="17"/>
      <c r="C680" t="s">
        <v>518</v>
      </c>
      <c r="D680" s="19">
        <v>100000000</v>
      </c>
    </row>
    <row r="681" spans="1:7" x14ac:dyDescent="0.25">
      <c r="A681" s="17"/>
      <c r="C681" t="s">
        <v>786</v>
      </c>
      <c r="D681" s="19">
        <v>30000000</v>
      </c>
    </row>
    <row r="682" spans="1:7" x14ac:dyDescent="0.25">
      <c r="A682" s="17"/>
      <c r="C682" t="s">
        <v>643</v>
      </c>
      <c r="D682" s="19">
        <v>156395550</v>
      </c>
      <c r="G682" s="1"/>
    </row>
    <row r="683" spans="1:7" x14ac:dyDescent="0.25">
      <c r="A683" s="17"/>
      <c r="C683" t="s">
        <v>732</v>
      </c>
      <c r="D683" s="19">
        <v>1185745</v>
      </c>
      <c r="G683" s="1"/>
    </row>
    <row r="684" spans="1:7" x14ac:dyDescent="0.25">
      <c r="A684" s="17"/>
      <c r="C684" t="s">
        <v>744</v>
      </c>
      <c r="D684" s="19">
        <v>1002500</v>
      </c>
      <c r="G684" s="1"/>
    </row>
    <row r="685" spans="1:7" x14ac:dyDescent="0.25">
      <c r="A685" s="17"/>
      <c r="C685" t="s">
        <v>756</v>
      </c>
      <c r="D685" s="20">
        <v>50005000</v>
      </c>
      <c r="G685" s="1"/>
    </row>
    <row r="686" spans="1:7" x14ac:dyDescent="0.25">
      <c r="A686" s="17"/>
      <c r="D686" s="19">
        <f>SUM(D672:D685)</f>
        <v>3977116745</v>
      </c>
      <c r="G686" s="1"/>
    </row>
    <row r="687" spans="1:7" x14ac:dyDescent="0.25">
      <c r="A687" s="17"/>
      <c r="D687" s="19"/>
      <c r="G687" s="1"/>
    </row>
    <row r="688" spans="1:7" x14ac:dyDescent="0.25">
      <c r="A688" s="17"/>
      <c r="B688" s="24" t="s">
        <v>46</v>
      </c>
      <c r="D688" s="19"/>
      <c r="G688" s="1"/>
    </row>
    <row r="689" spans="1:7" x14ac:dyDescent="0.25">
      <c r="A689" s="17"/>
      <c r="B689" s="24"/>
      <c r="C689" t="s">
        <v>801</v>
      </c>
      <c r="D689" s="20">
        <f>193*602500</f>
        <v>116282500</v>
      </c>
      <c r="G689" s="1"/>
    </row>
    <row r="690" spans="1:7" x14ac:dyDescent="0.25">
      <c r="A690" s="17"/>
      <c r="D690" s="19">
        <f>SUM(D689:D689)</f>
        <v>116282500</v>
      </c>
      <c r="G690" s="1"/>
    </row>
    <row r="691" spans="1:7" x14ac:dyDescent="0.25">
      <c r="A691" s="17"/>
      <c r="D691" s="19"/>
      <c r="G691" s="1"/>
    </row>
    <row r="692" spans="1:7" x14ac:dyDescent="0.25">
      <c r="A692" s="23" t="s">
        <v>22</v>
      </c>
      <c r="D692" s="19"/>
      <c r="G692" s="1"/>
    </row>
    <row r="693" spans="1:7" x14ac:dyDescent="0.25">
      <c r="A693" s="17"/>
      <c r="C693" t="s">
        <v>23</v>
      </c>
      <c r="D693" s="19">
        <v>803100000</v>
      </c>
      <c r="G693" s="1"/>
    </row>
    <row r="694" spans="1:7" x14ac:dyDescent="0.25">
      <c r="A694" s="17"/>
      <c r="C694" t="s">
        <v>24</v>
      </c>
      <c r="D694" s="19">
        <v>1892107500</v>
      </c>
      <c r="G694" s="1"/>
    </row>
    <row r="695" spans="1:7" x14ac:dyDescent="0.25">
      <c r="A695" s="17"/>
      <c r="C695" t="s">
        <v>602</v>
      </c>
      <c r="D695" s="19">
        <v>86500000</v>
      </c>
      <c r="G695" s="1"/>
    </row>
    <row r="696" spans="1:7" x14ac:dyDescent="0.25">
      <c r="A696" s="17"/>
      <c r="C696" t="s">
        <v>44</v>
      </c>
      <c r="D696" s="19">
        <v>295800000</v>
      </c>
      <c r="G696" s="1"/>
    </row>
    <row r="697" spans="1:7" x14ac:dyDescent="0.25">
      <c r="A697" s="17"/>
      <c r="C697" t="s">
        <v>111</v>
      </c>
      <c r="D697" s="20">
        <v>156150000</v>
      </c>
      <c r="G697" s="1"/>
    </row>
    <row r="698" spans="1:7" x14ac:dyDescent="0.25">
      <c r="A698" s="17"/>
      <c r="D698" s="19">
        <f>SUM(D693:D697)</f>
        <v>3233657500</v>
      </c>
      <c r="G698" s="1"/>
    </row>
    <row r="699" spans="1:7" x14ac:dyDescent="0.25">
      <c r="A699" s="17"/>
      <c r="D699" s="19"/>
      <c r="G699" s="1"/>
    </row>
    <row r="700" spans="1:7" x14ac:dyDescent="0.25">
      <c r="A700" s="43" t="s">
        <v>25</v>
      </c>
      <c r="B700" s="44"/>
      <c r="C700" s="44"/>
      <c r="D700" s="25">
        <f>D669+D686+D690-D698</f>
        <v>1366196851.96</v>
      </c>
      <c r="G700" s="1"/>
    </row>
    <row r="701" spans="1:7" x14ac:dyDescent="0.25">
      <c r="A701" s="21"/>
      <c r="B701" s="22"/>
      <c r="C701" s="22"/>
      <c r="D701" s="20"/>
      <c r="G701" s="1"/>
    </row>
    <row r="703" spans="1:7" x14ac:dyDescent="0.25">
      <c r="A703" s="40" t="s">
        <v>13</v>
      </c>
      <c r="B703" s="40"/>
      <c r="C703" s="40"/>
      <c r="D703" s="40"/>
      <c r="G703" s="1"/>
    </row>
    <row r="704" spans="1:7" x14ac:dyDescent="0.25">
      <c r="A704" s="41" t="s">
        <v>14</v>
      </c>
      <c r="B704" s="41"/>
      <c r="C704" s="41"/>
      <c r="D704" s="41"/>
      <c r="G704" s="1"/>
    </row>
    <row r="705" spans="1:9" x14ac:dyDescent="0.25">
      <c r="A705" s="42">
        <v>45855</v>
      </c>
      <c r="B705" s="42"/>
      <c r="C705" s="42"/>
      <c r="D705" s="42"/>
      <c r="G705" s="1"/>
    </row>
    <row r="706" spans="1:9" x14ac:dyDescent="0.25">
      <c r="A706" s="13"/>
      <c r="B706" s="13"/>
      <c r="C706" s="13"/>
      <c r="D706" s="13"/>
      <c r="G706" s="1"/>
    </row>
    <row r="707" spans="1:9" x14ac:dyDescent="0.25">
      <c r="A707" s="14"/>
      <c r="B707" s="15"/>
      <c r="C707" s="15"/>
      <c r="D707" s="16"/>
      <c r="F707" s="5" t="s">
        <v>26</v>
      </c>
      <c r="G707" s="1">
        <f>D752-D700</f>
        <v>4886500</v>
      </c>
    </row>
    <row r="708" spans="1:9" x14ac:dyDescent="0.25">
      <c r="A708" s="17"/>
      <c r="D708" s="32" t="s">
        <v>16</v>
      </c>
      <c r="G708" s="1"/>
    </row>
    <row r="709" spans="1:9" x14ac:dyDescent="0.25">
      <c r="A709" s="23" t="s">
        <v>15</v>
      </c>
      <c r="D709" s="18" t="s">
        <v>17</v>
      </c>
      <c r="F709" s="26" t="s">
        <v>27</v>
      </c>
      <c r="G709" s="1"/>
    </row>
    <row r="710" spans="1:9" x14ac:dyDescent="0.25">
      <c r="A710" s="17"/>
      <c r="B710" s="24" t="s">
        <v>18</v>
      </c>
      <c r="D710" s="19"/>
      <c r="F710" s="27" t="s">
        <v>28</v>
      </c>
      <c r="G710" s="1"/>
    </row>
    <row r="711" spans="1:9" x14ac:dyDescent="0.25">
      <c r="A711" s="17"/>
      <c r="C711" s="2" t="s">
        <v>31</v>
      </c>
      <c r="D711" s="19">
        <v>14784689.91</v>
      </c>
      <c r="F711" t="s">
        <v>185</v>
      </c>
      <c r="G711" s="1">
        <v>6572500</v>
      </c>
    </row>
    <row r="712" spans="1:9" x14ac:dyDescent="0.25">
      <c r="A712" s="17"/>
      <c r="C712" s="2" t="s">
        <v>32</v>
      </c>
      <c r="D712" s="19">
        <v>52581287.049999997</v>
      </c>
      <c r="F712" t="s">
        <v>90</v>
      </c>
      <c r="G712" s="1">
        <v>115000</v>
      </c>
    </row>
    <row r="713" spans="1:9" x14ac:dyDescent="0.25">
      <c r="A713" s="17"/>
      <c r="C713" s="2" t="s">
        <v>33</v>
      </c>
      <c r="D713" s="19">
        <v>161589825.40000001</v>
      </c>
      <c r="F713" t="s">
        <v>805</v>
      </c>
      <c r="G713" s="1">
        <v>267000</v>
      </c>
    </row>
    <row r="714" spans="1:9" x14ac:dyDescent="0.25">
      <c r="A714" s="17"/>
      <c r="C714" s="2" t="s">
        <v>34</v>
      </c>
      <c r="D714" s="19">
        <v>919726</v>
      </c>
      <c r="F714" t="s">
        <v>808</v>
      </c>
      <c r="G714" s="1">
        <v>182000</v>
      </c>
    </row>
    <row r="715" spans="1:9" x14ac:dyDescent="0.25">
      <c r="A715" s="17"/>
      <c r="C715" s="2" t="s">
        <v>35</v>
      </c>
      <c r="D715" s="19">
        <v>8250</v>
      </c>
      <c r="G715" s="30">
        <f>SUM(G711:G714)</f>
        <v>7136500</v>
      </c>
      <c r="I715" s="38"/>
    </row>
    <row r="716" spans="1:9" x14ac:dyDescent="0.25">
      <c r="A716" s="17"/>
      <c r="C716" s="2" t="s">
        <v>36</v>
      </c>
      <c r="D716" s="19">
        <v>139733.6</v>
      </c>
      <c r="F716" s="28" t="s">
        <v>29</v>
      </c>
      <c r="G716" s="1"/>
    </row>
    <row r="717" spans="1:9" x14ac:dyDescent="0.25">
      <c r="A717" s="17"/>
      <c r="C717" s="2" t="s">
        <v>37</v>
      </c>
      <c r="D717" s="19">
        <v>235564940</v>
      </c>
      <c r="F717" t="s">
        <v>104</v>
      </c>
      <c r="G717" s="1">
        <v>2250000</v>
      </c>
    </row>
    <row r="718" spans="1:9" x14ac:dyDescent="0.25">
      <c r="A718" s="17"/>
      <c r="C718" s="2" t="s">
        <v>51</v>
      </c>
      <c r="D718" s="20">
        <v>130317</v>
      </c>
      <c r="G718" s="30">
        <f>SUM(G717:G717)</f>
        <v>2250000</v>
      </c>
    </row>
    <row r="719" spans="1:9" x14ac:dyDescent="0.25">
      <c r="A719" s="17"/>
      <c r="B719" s="24" t="s">
        <v>19</v>
      </c>
      <c r="D719" s="19">
        <f>SUM(D711:D718)</f>
        <v>465718768.96000004</v>
      </c>
    </row>
    <row r="720" spans="1:9" x14ac:dyDescent="0.25">
      <c r="A720" s="17"/>
      <c r="D720" s="19"/>
      <c r="F720" s="28" t="s">
        <v>30</v>
      </c>
      <c r="G720" s="29">
        <f>G715-G718</f>
        <v>4886500</v>
      </c>
    </row>
    <row r="721" spans="1:7" x14ac:dyDescent="0.25">
      <c r="A721" s="17"/>
      <c r="B721" s="24" t="s">
        <v>20</v>
      </c>
      <c r="D721" s="19"/>
    </row>
    <row r="722" spans="1:7" x14ac:dyDescent="0.25">
      <c r="A722" s="17"/>
      <c r="C722" t="s">
        <v>7</v>
      </c>
      <c r="D722" s="19">
        <v>2254672950</v>
      </c>
    </row>
    <row r="723" spans="1:7" x14ac:dyDescent="0.25">
      <c r="A723" s="17"/>
      <c r="C723" t="s">
        <v>47</v>
      </c>
      <c r="D723" s="19">
        <v>16425000</v>
      </c>
    </row>
    <row r="724" spans="1:7" x14ac:dyDescent="0.25">
      <c r="A724" s="17"/>
      <c r="C724" t="s">
        <v>21</v>
      </c>
      <c r="D724" s="19">
        <v>713259838</v>
      </c>
    </row>
    <row r="725" spans="1:7" x14ac:dyDescent="0.25">
      <c r="A725" s="17"/>
      <c r="C725" t="s">
        <v>773</v>
      </c>
      <c r="D725" s="19">
        <v>238950000</v>
      </c>
    </row>
    <row r="726" spans="1:7" x14ac:dyDescent="0.25">
      <c r="A726" s="17"/>
      <c r="C726" t="s">
        <v>45</v>
      </c>
      <c r="D726" s="19">
        <v>25000000</v>
      </c>
    </row>
    <row r="727" spans="1:7" x14ac:dyDescent="0.25">
      <c r="A727" s="17"/>
      <c r="C727" t="s">
        <v>48</v>
      </c>
      <c r="D727" s="19">
        <v>30000000</v>
      </c>
    </row>
    <row r="728" spans="1:7" x14ac:dyDescent="0.25">
      <c r="A728" s="17"/>
      <c r="C728" t="s">
        <v>68</v>
      </c>
      <c r="D728" s="19">
        <v>141000000</v>
      </c>
    </row>
    <row r="729" spans="1:7" x14ac:dyDescent="0.25">
      <c r="A729" s="17"/>
      <c r="C729" t="s">
        <v>68</v>
      </c>
      <c r="D729" s="19">
        <v>145000000</v>
      </c>
    </row>
    <row r="730" spans="1:7" x14ac:dyDescent="0.25">
      <c r="A730" s="17"/>
      <c r="C730" t="s">
        <v>518</v>
      </c>
      <c r="D730" s="19">
        <v>100000000</v>
      </c>
    </row>
    <row r="731" spans="1:7" x14ac:dyDescent="0.25">
      <c r="A731" s="17"/>
      <c r="C731" t="s">
        <v>786</v>
      </c>
      <c r="D731" s="19">
        <v>30000000</v>
      </c>
    </row>
    <row r="732" spans="1:7" x14ac:dyDescent="0.25">
      <c r="A732" s="17"/>
      <c r="C732" t="s">
        <v>643</v>
      </c>
      <c r="D732" s="19">
        <v>156395550</v>
      </c>
      <c r="G732" s="1"/>
    </row>
    <row r="733" spans="1:7" x14ac:dyDescent="0.25">
      <c r="A733" s="17"/>
      <c r="C733" t="s">
        <v>732</v>
      </c>
      <c r="D733" s="19">
        <v>1185745</v>
      </c>
      <c r="G733" s="1"/>
    </row>
    <row r="734" spans="1:7" x14ac:dyDescent="0.25">
      <c r="A734" s="17"/>
      <c r="C734" t="s">
        <v>744</v>
      </c>
      <c r="D734" s="19">
        <v>1002500</v>
      </c>
      <c r="G734" s="1"/>
    </row>
    <row r="735" spans="1:7" x14ac:dyDescent="0.25">
      <c r="A735" s="17"/>
      <c r="C735" t="s">
        <v>806</v>
      </c>
      <c r="D735" s="19">
        <v>7200000</v>
      </c>
      <c r="G735" s="1"/>
    </row>
    <row r="736" spans="1:7" x14ac:dyDescent="0.25">
      <c r="A736" s="17"/>
      <c r="C736" t="s">
        <v>756</v>
      </c>
      <c r="D736" s="20">
        <v>50005000</v>
      </c>
      <c r="G736" s="1"/>
    </row>
    <row r="737" spans="1:7" x14ac:dyDescent="0.25">
      <c r="A737" s="17"/>
      <c r="D737" s="19">
        <f>SUM(D722:D736)</f>
        <v>3910096583</v>
      </c>
      <c r="G737" s="1"/>
    </row>
    <row r="738" spans="1:7" x14ac:dyDescent="0.25">
      <c r="A738" s="17"/>
      <c r="D738" s="19"/>
      <c r="G738" s="1"/>
    </row>
    <row r="739" spans="1:7" x14ac:dyDescent="0.25">
      <c r="A739" s="17"/>
      <c r="B739" s="24" t="s">
        <v>46</v>
      </c>
      <c r="D739" s="19"/>
      <c r="G739" s="1"/>
    </row>
    <row r="740" spans="1:7" x14ac:dyDescent="0.25">
      <c r="A740" s="17"/>
      <c r="B740" s="24"/>
      <c r="C740" t="s">
        <v>807</v>
      </c>
      <c r="D740" s="19">
        <f>183*602500</f>
        <v>110257500</v>
      </c>
      <c r="G740" s="1"/>
    </row>
    <row r="741" spans="1:7" x14ac:dyDescent="0.25">
      <c r="A741" s="17"/>
      <c r="B741" s="24"/>
      <c r="C741" t="s">
        <v>740</v>
      </c>
      <c r="D741" s="20">
        <f>8*602500</f>
        <v>4820000</v>
      </c>
      <c r="G741" s="1"/>
    </row>
    <row r="742" spans="1:7" x14ac:dyDescent="0.25">
      <c r="A742" s="17"/>
      <c r="D742" s="19">
        <f>SUM(D740:D741)</f>
        <v>115077500</v>
      </c>
      <c r="G742" s="1"/>
    </row>
    <row r="743" spans="1:7" x14ac:dyDescent="0.25">
      <c r="A743" s="17"/>
      <c r="D743" s="19"/>
      <c r="G743" s="1"/>
    </row>
    <row r="744" spans="1:7" x14ac:dyDescent="0.25">
      <c r="A744" s="23" t="s">
        <v>22</v>
      </c>
      <c r="D744" s="19"/>
      <c r="G744" s="1"/>
    </row>
    <row r="745" spans="1:7" x14ac:dyDescent="0.25">
      <c r="A745" s="17"/>
      <c r="C745" t="s">
        <v>23</v>
      </c>
      <c r="D745" s="19">
        <v>956100000</v>
      </c>
      <c r="G745" s="1"/>
    </row>
    <row r="746" spans="1:7" x14ac:dyDescent="0.25">
      <c r="A746" s="17"/>
      <c r="C746" t="s">
        <v>24</v>
      </c>
      <c r="D746" s="19">
        <v>1625259500</v>
      </c>
      <c r="G746" s="1"/>
    </row>
    <row r="747" spans="1:7" x14ac:dyDescent="0.25">
      <c r="A747" s="17"/>
      <c r="C747" t="s">
        <v>602</v>
      </c>
      <c r="D747" s="19">
        <v>86500000</v>
      </c>
      <c r="G747" s="1"/>
    </row>
    <row r="748" spans="1:7" x14ac:dyDescent="0.25">
      <c r="A748" s="17"/>
      <c r="C748" t="s">
        <v>44</v>
      </c>
      <c r="D748" s="19">
        <v>295800000</v>
      </c>
      <c r="G748" s="1"/>
    </row>
    <row r="749" spans="1:7" x14ac:dyDescent="0.25">
      <c r="A749" s="17"/>
      <c r="C749" t="s">
        <v>111</v>
      </c>
      <c r="D749" s="20">
        <v>156150000</v>
      </c>
      <c r="G749" s="1"/>
    </row>
    <row r="750" spans="1:7" x14ac:dyDescent="0.25">
      <c r="A750" s="17"/>
      <c r="D750" s="19">
        <f>SUM(D745:D749)</f>
        <v>3119809500</v>
      </c>
      <c r="G750" s="1"/>
    </row>
    <row r="751" spans="1:7" x14ac:dyDescent="0.25">
      <c r="A751" s="17"/>
      <c r="D751" s="19"/>
      <c r="G751" s="1"/>
    </row>
    <row r="752" spans="1:7" x14ac:dyDescent="0.25">
      <c r="A752" s="43" t="s">
        <v>25</v>
      </c>
      <c r="B752" s="44"/>
      <c r="C752" s="44"/>
      <c r="D752" s="25">
        <f>D719+D737+D742-D750</f>
        <v>1371083351.96</v>
      </c>
      <c r="G752" s="1"/>
    </row>
    <row r="753" spans="1:7" x14ac:dyDescent="0.25">
      <c r="A753" s="21"/>
      <c r="B753" s="22"/>
      <c r="C753" s="22"/>
      <c r="D753" s="20"/>
      <c r="G753" s="1"/>
    </row>
    <row r="755" spans="1:7" x14ac:dyDescent="0.25">
      <c r="A755" s="40" t="s">
        <v>13</v>
      </c>
      <c r="B755" s="40"/>
      <c r="C755" s="40"/>
      <c r="D755" s="40"/>
      <c r="G755" s="1"/>
    </row>
    <row r="756" spans="1:7" x14ac:dyDescent="0.25">
      <c r="A756" s="41" t="s">
        <v>14</v>
      </c>
      <c r="B756" s="41"/>
      <c r="C756" s="41"/>
      <c r="D756" s="41"/>
      <c r="G756" s="1"/>
    </row>
    <row r="757" spans="1:7" x14ac:dyDescent="0.25">
      <c r="A757" s="42">
        <v>45856</v>
      </c>
      <c r="B757" s="42"/>
      <c r="C757" s="42"/>
      <c r="D757" s="42"/>
      <c r="G757" s="1"/>
    </row>
    <row r="758" spans="1:7" x14ac:dyDescent="0.25">
      <c r="A758" s="13"/>
      <c r="B758" s="13"/>
      <c r="C758" s="13"/>
      <c r="D758" s="13"/>
      <c r="G758" s="1"/>
    </row>
    <row r="759" spans="1:7" x14ac:dyDescent="0.25">
      <c r="A759" s="14"/>
      <c r="B759" s="15"/>
      <c r="C759" s="15"/>
      <c r="D759" s="16"/>
      <c r="F759" s="5" t="s">
        <v>26</v>
      </c>
      <c r="G759" s="1">
        <f>D804-D752</f>
        <v>7271000</v>
      </c>
    </row>
    <row r="760" spans="1:7" x14ac:dyDescent="0.25">
      <c r="A760" s="17"/>
      <c r="D760" s="32" t="s">
        <v>16</v>
      </c>
      <c r="G760" s="1"/>
    </row>
    <row r="761" spans="1:7" x14ac:dyDescent="0.25">
      <c r="A761" s="23" t="s">
        <v>15</v>
      </c>
      <c r="D761" s="18" t="s">
        <v>17</v>
      </c>
      <c r="F761" s="26" t="s">
        <v>27</v>
      </c>
      <c r="G761" s="1"/>
    </row>
    <row r="762" spans="1:7" x14ac:dyDescent="0.25">
      <c r="A762" s="17"/>
      <c r="B762" s="24" t="s">
        <v>18</v>
      </c>
      <c r="D762" s="19"/>
      <c r="F762" s="27" t="s">
        <v>28</v>
      </c>
      <c r="G762" s="1"/>
    </row>
    <row r="763" spans="1:7" x14ac:dyDescent="0.25">
      <c r="A763" s="17"/>
      <c r="C763" s="2" t="s">
        <v>31</v>
      </c>
      <c r="D763" s="19">
        <v>14784689.91</v>
      </c>
      <c r="F763" t="s">
        <v>191</v>
      </c>
      <c r="G763" s="1">
        <v>6786000</v>
      </c>
    </row>
    <row r="764" spans="1:7" x14ac:dyDescent="0.25">
      <c r="A764" s="17"/>
      <c r="C764" s="2" t="s">
        <v>32</v>
      </c>
      <c r="D764" s="19">
        <v>53901287.049999997</v>
      </c>
      <c r="F764" t="s">
        <v>90</v>
      </c>
      <c r="G764" s="1">
        <v>487500</v>
      </c>
    </row>
    <row r="765" spans="1:7" x14ac:dyDescent="0.25">
      <c r="A765" s="17"/>
      <c r="C765" s="2" t="s">
        <v>33</v>
      </c>
      <c r="D765" s="19">
        <v>236449825.40000001</v>
      </c>
      <c r="G765" s="30">
        <f>SUM(G763:G764)</f>
        <v>7273500</v>
      </c>
    </row>
    <row r="766" spans="1:7" x14ac:dyDescent="0.25">
      <c r="A766" s="17"/>
      <c r="C766" s="2" t="s">
        <v>34</v>
      </c>
      <c r="D766" s="19">
        <v>60619726</v>
      </c>
      <c r="F766" s="28" t="s">
        <v>29</v>
      </c>
      <c r="G766" s="1"/>
    </row>
    <row r="767" spans="1:7" x14ac:dyDescent="0.25">
      <c r="A767" s="17"/>
      <c r="C767" s="2" t="s">
        <v>35</v>
      </c>
      <c r="D767" s="19">
        <v>8250</v>
      </c>
      <c r="F767" t="s">
        <v>161</v>
      </c>
      <c r="G767" s="1">
        <v>2500</v>
      </c>
    </row>
    <row r="768" spans="1:7" x14ac:dyDescent="0.25">
      <c r="A768" s="17"/>
      <c r="C768" s="2" t="s">
        <v>36</v>
      </c>
      <c r="D768" s="19">
        <v>139733.6</v>
      </c>
      <c r="G768" s="30">
        <f>SUM(G767:G767)</f>
        <v>2500</v>
      </c>
    </row>
    <row r="769" spans="1:7" x14ac:dyDescent="0.25">
      <c r="A769" s="17"/>
      <c r="C769" s="2" t="s">
        <v>37</v>
      </c>
      <c r="D769" s="19">
        <v>47912440</v>
      </c>
    </row>
    <row r="770" spans="1:7" x14ac:dyDescent="0.25">
      <c r="A770" s="17"/>
      <c r="C770" s="2" t="s">
        <v>51</v>
      </c>
      <c r="D770" s="20">
        <v>130317</v>
      </c>
      <c r="F770" s="28" t="s">
        <v>30</v>
      </c>
      <c r="G770" s="29">
        <f>G765-G768</f>
        <v>7271000</v>
      </c>
    </row>
    <row r="771" spans="1:7" x14ac:dyDescent="0.25">
      <c r="A771" s="17"/>
      <c r="B771" s="24" t="s">
        <v>19</v>
      </c>
      <c r="D771" s="19">
        <f>SUM(D763:D770)</f>
        <v>413946268.96000004</v>
      </c>
    </row>
    <row r="772" spans="1:7" x14ac:dyDescent="0.25">
      <c r="A772" s="17"/>
      <c r="D772" s="19"/>
    </row>
    <row r="773" spans="1:7" x14ac:dyDescent="0.25">
      <c r="A773" s="17"/>
      <c r="B773" s="24" t="s">
        <v>20</v>
      </c>
      <c r="D773" s="19"/>
    </row>
    <row r="774" spans="1:7" x14ac:dyDescent="0.25">
      <c r="A774" s="17"/>
      <c r="C774" t="s">
        <v>7</v>
      </c>
      <c r="D774" s="19">
        <v>2529612950</v>
      </c>
    </row>
    <row r="775" spans="1:7" x14ac:dyDescent="0.25">
      <c r="A775" s="17"/>
      <c r="C775" t="s">
        <v>47</v>
      </c>
      <c r="D775" s="19">
        <v>24630000</v>
      </c>
    </row>
    <row r="776" spans="1:7" x14ac:dyDescent="0.25">
      <c r="A776" s="17"/>
      <c r="C776" t="s">
        <v>21</v>
      </c>
      <c r="D776" s="19">
        <v>742609838</v>
      </c>
    </row>
    <row r="777" spans="1:7" x14ac:dyDescent="0.25">
      <c r="A777" s="17"/>
      <c r="C777" t="s">
        <v>773</v>
      </c>
      <c r="D777" s="19">
        <v>246450000</v>
      </c>
    </row>
    <row r="778" spans="1:7" x14ac:dyDescent="0.25">
      <c r="A778" s="17"/>
      <c r="C778" t="s">
        <v>45</v>
      </c>
      <c r="D778" s="19">
        <v>25000000</v>
      </c>
    </row>
    <row r="779" spans="1:7" x14ac:dyDescent="0.25">
      <c r="A779" s="17"/>
      <c r="C779" t="s">
        <v>48</v>
      </c>
      <c r="D779" s="19">
        <v>30000000</v>
      </c>
    </row>
    <row r="780" spans="1:7" x14ac:dyDescent="0.25">
      <c r="A780" s="17"/>
      <c r="C780" t="s">
        <v>68</v>
      </c>
      <c r="D780" s="19">
        <v>141000000</v>
      </c>
    </row>
    <row r="781" spans="1:7" x14ac:dyDescent="0.25">
      <c r="A781" s="17"/>
      <c r="C781" t="s">
        <v>68</v>
      </c>
      <c r="D781" s="19">
        <v>145000000</v>
      </c>
    </row>
    <row r="782" spans="1:7" x14ac:dyDescent="0.25">
      <c r="A782" s="17"/>
      <c r="C782" t="s">
        <v>518</v>
      </c>
      <c r="D782" s="19">
        <v>100000000</v>
      </c>
    </row>
    <row r="783" spans="1:7" x14ac:dyDescent="0.25">
      <c r="A783" s="17"/>
      <c r="C783" t="s">
        <v>786</v>
      </c>
      <c r="D783" s="19">
        <v>30000000</v>
      </c>
    </row>
    <row r="784" spans="1:7" x14ac:dyDescent="0.25">
      <c r="A784" s="17"/>
      <c r="C784" t="s">
        <v>643</v>
      </c>
      <c r="D784" s="19">
        <v>156395550</v>
      </c>
      <c r="G784" s="1"/>
    </row>
    <row r="785" spans="1:7" x14ac:dyDescent="0.25">
      <c r="A785" s="17"/>
      <c r="C785" t="s">
        <v>732</v>
      </c>
      <c r="D785" s="19">
        <v>1185745</v>
      </c>
      <c r="G785" s="1"/>
    </row>
    <row r="786" spans="1:7" x14ac:dyDescent="0.25">
      <c r="A786" s="17"/>
      <c r="C786" t="s">
        <v>744</v>
      </c>
      <c r="D786" s="19">
        <v>1002500</v>
      </c>
      <c r="G786" s="1"/>
    </row>
    <row r="787" spans="1:7" x14ac:dyDescent="0.25">
      <c r="A787" s="17"/>
      <c r="C787" t="s">
        <v>809</v>
      </c>
      <c r="D787" s="19">
        <f>9000*8575</f>
        <v>77175000</v>
      </c>
      <c r="G787" s="1"/>
    </row>
    <row r="788" spans="1:7" x14ac:dyDescent="0.25">
      <c r="A788" s="17"/>
      <c r="C788" t="s">
        <v>756</v>
      </c>
      <c r="D788" s="20">
        <v>50005000</v>
      </c>
      <c r="G788" s="1"/>
    </row>
    <row r="789" spans="1:7" x14ac:dyDescent="0.25">
      <c r="A789" s="17"/>
      <c r="D789" s="19">
        <f>SUM(D774:D788)</f>
        <v>4300066583</v>
      </c>
      <c r="G789" s="1"/>
    </row>
    <row r="790" spans="1:7" x14ac:dyDescent="0.25">
      <c r="A790" s="17"/>
      <c r="D790" s="19"/>
      <c r="G790" s="1"/>
    </row>
    <row r="791" spans="1:7" x14ac:dyDescent="0.25">
      <c r="A791" s="17"/>
      <c r="B791" s="24" t="s">
        <v>46</v>
      </c>
      <c r="D791" s="19"/>
      <c r="G791" s="1"/>
    </row>
    <row r="792" spans="1:7" x14ac:dyDescent="0.25">
      <c r="A792" s="17"/>
      <c r="B792" s="24"/>
      <c r="C792" t="s">
        <v>810</v>
      </c>
      <c r="D792" s="19">
        <f>168*602500</f>
        <v>101220000</v>
      </c>
      <c r="G792" s="1"/>
    </row>
    <row r="793" spans="1:7" x14ac:dyDescent="0.25">
      <c r="A793" s="17"/>
      <c r="B793" s="24"/>
      <c r="C793" t="s">
        <v>740</v>
      </c>
      <c r="D793" s="20">
        <f>8*602500</f>
        <v>4820000</v>
      </c>
      <c r="G793" s="1"/>
    </row>
    <row r="794" spans="1:7" x14ac:dyDescent="0.25">
      <c r="A794" s="17"/>
      <c r="D794" s="19">
        <f>SUM(D792:D793)</f>
        <v>106040000</v>
      </c>
      <c r="G794" s="1"/>
    </row>
    <row r="795" spans="1:7" x14ac:dyDescent="0.25">
      <c r="A795" s="17"/>
      <c r="D795" s="19"/>
      <c r="G795" s="1"/>
    </row>
    <row r="796" spans="1:7" x14ac:dyDescent="0.25">
      <c r="A796" s="23" t="s">
        <v>22</v>
      </c>
      <c r="D796" s="19"/>
      <c r="G796" s="1"/>
    </row>
    <row r="797" spans="1:7" x14ac:dyDescent="0.25">
      <c r="A797" s="17"/>
      <c r="C797" t="s">
        <v>23</v>
      </c>
      <c r="D797" s="19">
        <v>1038850000</v>
      </c>
      <c r="G797" s="1"/>
    </row>
    <row r="798" spans="1:7" x14ac:dyDescent="0.25">
      <c r="A798" s="17"/>
      <c r="C798" t="s">
        <v>24</v>
      </c>
      <c r="D798" s="19">
        <v>1864398500</v>
      </c>
      <c r="G798" s="1"/>
    </row>
    <row r="799" spans="1:7" x14ac:dyDescent="0.25">
      <c r="A799" s="17"/>
      <c r="C799" t="s">
        <v>602</v>
      </c>
      <c r="D799" s="19">
        <v>86500000</v>
      </c>
      <c r="G799" s="1"/>
    </row>
    <row r="800" spans="1:7" x14ac:dyDescent="0.25">
      <c r="A800" s="17"/>
      <c r="C800" t="s">
        <v>44</v>
      </c>
      <c r="D800" s="19">
        <v>295800000</v>
      </c>
      <c r="G800" s="1"/>
    </row>
    <row r="801" spans="1:7" x14ac:dyDescent="0.25">
      <c r="A801" s="17"/>
      <c r="C801" t="s">
        <v>111</v>
      </c>
      <c r="D801" s="20">
        <v>156150000</v>
      </c>
      <c r="G801" s="1"/>
    </row>
    <row r="802" spans="1:7" x14ac:dyDescent="0.25">
      <c r="A802" s="17"/>
      <c r="D802" s="19">
        <f>SUM(D797:D801)</f>
        <v>3441698500</v>
      </c>
      <c r="G802" s="1"/>
    </row>
    <row r="803" spans="1:7" x14ac:dyDescent="0.25">
      <c r="A803" s="17"/>
      <c r="D803" s="19"/>
      <c r="G803" s="1"/>
    </row>
    <row r="804" spans="1:7" x14ac:dyDescent="0.25">
      <c r="A804" s="43" t="s">
        <v>25</v>
      </c>
      <c r="B804" s="44"/>
      <c r="C804" s="44"/>
      <c r="D804" s="25">
        <f>D771+D789+D794-D802</f>
        <v>1378354351.96</v>
      </c>
      <c r="G804" s="1"/>
    </row>
    <row r="805" spans="1:7" x14ac:dyDescent="0.25">
      <c r="A805" s="21"/>
      <c r="B805" s="22"/>
      <c r="C805" s="22"/>
      <c r="D805" s="20"/>
      <c r="G805" s="1"/>
    </row>
    <row r="807" spans="1:7" x14ac:dyDescent="0.25">
      <c r="A807" s="40" t="s">
        <v>13</v>
      </c>
      <c r="B807" s="40"/>
      <c r="C807" s="40"/>
      <c r="D807" s="40"/>
      <c r="G807" s="1"/>
    </row>
    <row r="808" spans="1:7" x14ac:dyDescent="0.25">
      <c r="A808" s="41" t="s">
        <v>14</v>
      </c>
      <c r="B808" s="41"/>
      <c r="C808" s="41"/>
      <c r="D808" s="41"/>
      <c r="G808" s="1"/>
    </row>
    <row r="809" spans="1:7" x14ac:dyDescent="0.25">
      <c r="A809" s="42">
        <v>45857</v>
      </c>
      <c r="B809" s="42"/>
      <c r="C809" s="42"/>
      <c r="D809" s="42"/>
      <c r="G809" s="1"/>
    </row>
    <row r="810" spans="1:7" x14ac:dyDescent="0.25">
      <c r="A810" s="13"/>
      <c r="B810" s="13"/>
      <c r="C810" s="13"/>
      <c r="D810" s="13"/>
      <c r="G810" s="1"/>
    </row>
    <row r="811" spans="1:7" x14ac:dyDescent="0.25">
      <c r="A811" s="14"/>
      <c r="B811" s="15"/>
      <c r="C811" s="15"/>
      <c r="D811" s="16"/>
      <c r="F811" s="5" t="s">
        <v>26</v>
      </c>
      <c r="G811" s="1">
        <f>D855-D804</f>
        <v>-13603400</v>
      </c>
    </row>
    <row r="812" spans="1:7" x14ac:dyDescent="0.25">
      <c r="A812" s="17"/>
      <c r="D812" s="32" t="s">
        <v>16</v>
      </c>
      <c r="G812" s="1"/>
    </row>
    <row r="813" spans="1:7" x14ac:dyDescent="0.25">
      <c r="A813" s="23" t="s">
        <v>15</v>
      </c>
      <c r="D813" s="18" t="s">
        <v>17</v>
      </c>
      <c r="F813" s="26" t="s">
        <v>27</v>
      </c>
      <c r="G813" s="1"/>
    </row>
    <row r="814" spans="1:7" x14ac:dyDescent="0.25">
      <c r="A814" s="17"/>
      <c r="B814" s="24" t="s">
        <v>18</v>
      </c>
      <c r="D814" s="19"/>
      <c r="F814" s="27" t="s">
        <v>28</v>
      </c>
      <c r="G814" s="1"/>
    </row>
    <row r="815" spans="1:7" x14ac:dyDescent="0.25">
      <c r="A815" s="17"/>
      <c r="C815" s="2" t="s">
        <v>31</v>
      </c>
      <c r="D815" s="19">
        <v>14764689.91</v>
      </c>
      <c r="F815" t="s">
        <v>336</v>
      </c>
      <c r="G815" s="1">
        <v>1175000</v>
      </c>
    </row>
    <row r="816" spans="1:7" x14ac:dyDescent="0.25">
      <c r="A816" s="17"/>
      <c r="C816" s="2" t="s">
        <v>32</v>
      </c>
      <c r="D816" s="19">
        <v>33878787.049999997</v>
      </c>
      <c r="F816" t="s">
        <v>90</v>
      </c>
      <c r="G816" s="1">
        <v>400000</v>
      </c>
    </row>
    <row r="817" spans="1:7" x14ac:dyDescent="0.25">
      <c r="A817" s="17"/>
      <c r="C817" s="2" t="s">
        <v>33</v>
      </c>
      <c r="D817" s="19">
        <v>138379825.40000001</v>
      </c>
      <c r="G817" s="30">
        <f>SUM(G815:G816)</f>
        <v>1575000</v>
      </c>
    </row>
    <row r="818" spans="1:7" x14ac:dyDescent="0.25">
      <c r="A818" s="17"/>
      <c r="C818" s="2" t="s">
        <v>34</v>
      </c>
      <c r="D818" s="19">
        <v>96144726</v>
      </c>
      <c r="F818" s="28" t="s">
        <v>29</v>
      </c>
      <c r="G818" s="1"/>
    </row>
    <row r="819" spans="1:7" x14ac:dyDescent="0.25">
      <c r="A819" s="17"/>
      <c r="C819" s="2" t="s">
        <v>35</v>
      </c>
      <c r="D819" s="19">
        <v>2450083.6</v>
      </c>
      <c r="F819" t="s">
        <v>429</v>
      </c>
      <c r="G819" s="1">
        <v>40000</v>
      </c>
    </row>
    <row r="820" spans="1:7" x14ac:dyDescent="0.25">
      <c r="A820" s="17"/>
      <c r="C820" s="2" t="s">
        <v>36</v>
      </c>
      <c r="D820" s="19">
        <v>50000</v>
      </c>
      <c r="F820" t="s">
        <v>738</v>
      </c>
      <c r="G820" s="1">
        <v>8000</v>
      </c>
    </row>
    <row r="821" spans="1:7" x14ac:dyDescent="0.25">
      <c r="A821" s="17"/>
      <c r="C821" s="2" t="s">
        <v>37</v>
      </c>
      <c r="D821" s="19">
        <v>191407685</v>
      </c>
      <c r="F821" t="s">
        <v>731</v>
      </c>
      <c r="G821" s="1">
        <v>10130400</v>
      </c>
    </row>
    <row r="822" spans="1:7" x14ac:dyDescent="0.25">
      <c r="A822" s="17"/>
      <c r="C822" s="2" t="s">
        <v>51</v>
      </c>
      <c r="D822" s="20">
        <v>130317</v>
      </c>
      <c r="F822" t="s">
        <v>112</v>
      </c>
      <c r="G822" s="1">
        <v>5000000</v>
      </c>
    </row>
    <row r="823" spans="1:7" x14ac:dyDescent="0.25">
      <c r="A823" s="17"/>
      <c r="B823" s="24" t="s">
        <v>19</v>
      </c>
      <c r="D823" s="19">
        <f>SUM(D815:D822)</f>
        <v>477206113.96000004</v>
      </c>
      <c r="G823" s="30">
        <f>SUM(G819:G822)</f>
        <v>15178400</v>
      </c>
    </row>
    <row r="824" spans="1:7" x14ac:dyDescent="0.25">
      <c r="A824" s="17"/>
      <c r="D824" s="19"/>
    </row>
    <row r="825" spans="1:7" x14ac:dyDescent="0.25">
      <c r="A825" s="17"/>
      <c r="B825" s="24" t="s">
        <v>20</v>
      </c>
      <c r="D825" s="19"/>
      <c r="F825" s="28" t="s">
        <v>30</v>
      </c>
      <c r="G825" s="29">
        <f>G817-G823</f>
        <v>-13603400</v>
      </c>
    </row>
    <row r="826" spans="1:7" x14ac:dyDescent="0.25">
      <c r="A826" s="17"/>
      <c r="C826" t="s">
        <v>7</v>
      </c>
      <c r="D826" s="19">
        <v>2320337950</v>
      </c>
    </row>
    <row r="827" spans="1:7" x14ac:dyDescent="0.25">
      <c r="A827" s="17"/>
      <c r="C827" t="s">
        <v>47</v>
      </c>
      <c r="D827" s="19">
        <v>31055000</v>
      </c>
    </row>
    <row r="828" spans="1:7" x14ac:dyDescent="0.25">
      <c r="A828" s="17"/>
      <c r="C828" t="s">
        <v>21</v>
      </c>
      <c r="D828" s="19">
        <v>737609838</v>
      </c>
    </row>
    <row r="829" spans="1:7" x14ac:dyDescent="0.25">
      <c r="A829" s="17"/>
      <c r="C829" t="s">
        <v>773</v>
      </c>
      <c r="D829" s="19">
        <v>246450000</v>
      </c>
    </row>
    <row r="830" spans="1:7" x14ac:dyDescent="0.25">
      <c r="A830" s="17"/>
      <c r="C830" t="s">
        <v>45</v>
      </c>
      <c r="D830" s="19">
        <v>25000000</v>
      </c>
    </row>
    <row r="831" spans="1:7" x14ac:dyDescent="0.25">
      <c r="A831" s="17"/>
      <c r="C831" t="s">
        <v>48</v>
      </c>
      <c r="D831" s="19">
        <v>30000000</v>
      </c>
    </row>
    <row r="832" spans="1:7" x14ac:dyDescent="0.25">
      <c r="A832" s="17"/>
      <c r="C832" t="s">
        <v>68</v>
      </c>
      <c r="D832" s="19">
        <v>141000000</v>
      </c>
    </row>
    <row r="833" spans="1:7" x14ac:dyDescent="0.25">
      <c r="A833" s="17"/>
      <c r="C833" t="s">
        <v>68</v>
      </c>
      <c r="D833" s="19">
        <v>145000000</v>
      </c>
    </row>
    <row r="834" spans="1:7" x14ac:dyDescent="0.25">
      <c r="A834" s="17"/>
      <c r="C834" t="s">
        <v>518</v>
      </c>
      <c r="D834" s="19">
        <v>100000000</v>
      </c>
    </row>
    <row r="835" spans="1:7" x14ac:dyDescent="0.25">
      <c r="A835" s="17"/>
      <c r="C835" t="s">
        <v>786</v>
      </c>
      <c r="D835" s="19">
        <v>30000000</v>
      </c>
    </row>
    <row r="836" spans="1:7" x14ac:dyDescent="0.25">
      <c r="A836" s="17"/>
      <c r="C836" t="s">
        <v>643</v>
      </c>
      <c r="D836" s="19">
        <v>156395550</v>
      </c>
      <c r="G836" s="1"/>
    </row>
    <row r="837" spans="1:7" x14ac:dyDescent="0.25">
      <c r="A837" s="17"/>
      <c r="C837" t="s">
        <v>811</v>
      </c>
      <c r="D837" s="19">
        <v>20002500</v>
      </c>
      <c r="G837" s="1"/>
    </row>
    <row r="838" spans="1:7" x14ac:dyDescent="0.25">
      <c r="A838" s="17"/>
      <c r="C838" t="s">
        <v>744</v>
      </c>
      <c r="D838" s="19">
        <v>1002500</v>
      </c>
      <c r="G838" s="1"/>
    </row>
    <row r="839" spans="1:7" x14ac:dyDescent="0.25">
      <c r="A839" s="17"/>
      <c r="C839" t="s">
        <v>756</v>
      </c>
      <c r="D839" s="20">
        <v>50005000</v>
      </c>
      <c r="G839" s="1"/>
    </row>
    <row r="840" spans="1:7" x14ac:dyDescent="0.25">
      <c r="A840" s="17"/>
      <c r="D840" s="19">
        <f>SUM(D826:D839)</f>
        <v>4033858338</v>
      </c>
      <c r="G840" s="1"/>
    </row>
    <row r="841" spans="1:7" x14ac:dyDescent="0.25">
      <c r="A841" s="17"/>
      <c r="D841" s="19"/>
      <c r="G841" s="1"/>
    </row>
    <row r="842" spans="1:7" x14ac:dyDescent="0.25">
      <c r="A842" s="17"/>
      <c r="B842" s="24" t="s">
        <v>46</v>
      </c>
      <c r="D842" s="19"/>
      <c r="G842" s="1"/>
    </row>
    <row r="843" spans="1:7" x14ac:dyDescent="0.25">
      <c r="A843" s="17"/>
      <c r="B843" s="24"/>
      <c r="C843" t="s">
        <v>102</v>
      </c>
      <c r="D843" s="19">
        <f>163*602500</f>
        <v>98207500</v>
      </c>
      <c r="G843" s="1"/>
    </row>
    <row r="844" spans="1:7" x14ac:dyDescent="0.25">
      <c r="A844" s="17"/>
      <c r="B844" s="24"/>
      <c r="C844" t="s">
        <v>295</v>
      </c>
      <c r="D844" s="20">
        <f>3*602500</f>
        <v>1807500</v>
      </c>
      <c r="G844" s="1"/>
    </row>
    <row r="845" spans="1:7" x14ac:dyDescent="0.25">
      <c r="A845" s="17"/>
      <c r="D845" s="19">
        <f>SUM(D843:D844)</f>
        <v>100015000</v>
      </c>
      <c r="G845" s="1"/>
    </row>
    <row r="846" spans="1:7" x14ac:dyDescent="0.25">
      <c r="A846" s="17"/>
      <c r="D846" s="19"/>
      <c r="G846" s="1"/>
    </row>
    <row r="847" spans="1:7" x14ac:dyDescent="0.25">
      <c r="A847" s="23" t="s">
        <v>22</v>
      </c>
      <c r="D847" s="19"/>
      <c r="G847" s="1"/>
    </row>
    <row r="848" spans="1:7" x14ac:dyDescent="0.25">
      <c r="A848" s="17"/>
      <c r="C848" t="s">
        <v>23</v>
      </c>
      <c r="D848" s="19">
        <v>932050000</v>
      </c>
      <c r="G848" s="1"/>
    </row>
    <row r="849" spans="1:7" x14ac:dyDescent="0.25">
      <c r="A849" s="17"/>
      <c r="C849" t="s">
        <v>24</v>
      </c>
      <c r="D849" s="19">
        <v>1775828500</v>
      </c>
      <c r="G849" s="1"/>
    </row>
    <row r="850" spans="1:7" x14ac:dyDescent="0.25">
      <c r="A850" s="17"/>
      <c r="C850" t="s">
        <v>602</v>
      </c>
      <c r="D850" s="19">
        <v>86500000</v>
      </c>
      <c r="G850" s="1"/>
    </row>
    <row r="851" spans="1:7" x14ac:dyDescent="0.25">
      <c r="A851" s="17"/>
      <c r="C851" t="s">
        <v>44</v>
      </c>
      <c r="D851" s="19">
        <v>295800000</v>
      </c>
      <c r="G851" s="1"/>
    </row>
    <row r="852" spans="1:7" x14ac:dyDescent="0.25">
      <c r="A852" s="17"/>
      <c r="C852" t="s">
        <v>111</v>
      </c>
      <c r="D852" s="20">
        <v>156150000</v>
      </c>
      <c r="G852" s="1"/>
    </row>
    <row r="853" spans="1:7" x14ac:dyDescent="0.25">
      <c r="A853" s="17"/>
      <c r="D853" s="19">
        <f>SUM(D848:D852)</f>
        <v>3246328500</v>
      </c>
      <c r="G853" s="1"/>
    </row>
    <row r="854" spans="1:7" x14ac:dyDescent="0.25">
      <c r="A854" s="17"/>
      <c r="D854" s="19"/>
      <c r="G854" s="1"/>
    </row>
    <row r="855" spans="1:7" x14ac:dyDescent="0.25">
      <c r="A855" s="43" t="s">
        <v>25</v>
      </c>
      <c r="B855" s="44"/>
      <c r="C855" s="44"/>
      <c r="D855" s="25">
        <f>D823+D840+D845-D853</f>
        <v>1364750951.96</v>
      </c>
      <c r="G855" s="1"/>
    </row>
    <row r="856" spans="1:7" x14ac:dyDescent="0.25">
      <c r="A856" s="21"/>
      <c r="B856" s="22"/>
      <c r="C856" s="22"/>
      <c r="D856" s="20"/>
      <c r="G856" s="1"/>
    </row>
    <row r="858" spans="1:7" x14ac:dyDescent="0.25">
      <c r="A858" s="40" t="s">
        <v>13</v>
      </c>
      <c r="B858" s="40"/>
      <c r="C858" s="40"/>
      <c r="D858" s="40"/>
      <c r="G858" s="1"/>
    </row>
    <row r="859" spans="1:7" x14ac:dyDescent="0.25">
      <c r="A859" s="41" t="s">
        <v>14</v>
      </c>
      <c r="B859" s="41"/>
      <c r="C859" s="41"/>
      <c r="D859" s="41"/>
      <c r="G859" s="1"/>
    </row>
    <row r="860" spans="1:7" x14ac:dyDescent="0.25">
      <c r="A860" s="42">
        <v>45859</v>
      </c>
      <c r="B860" s="42"/>
      <c r="C860" s="42"/>
      <c r="D860" s="42"/>
      <c r="G860" s="1"/>
    </row>
    <row r="861" spans="1:7" x14ac:dyDescent="0.25">
      <c r="A861" s="13"/>
      <c r="B861" s="13"/>
      <c r="C861" s="13"/>
      <c r="D861" s="13"/>
      <c r="G861" s="1"/>
    </row>
    <row r="862" spans="1:7" x14ac:dyDescent="0.25">
      <c r="A862" s="14"/>
      <c r="B862" s="15"/>
      <c r="C862" s="15"/>
      <c r="D862" s="16"/>
      <c r="F862" s="5" t="s">
        <v>26</v>
      </c>
      <c r="G862" s="1">
        <f>D903-D855</f>
        <v>-2135817</v>
      </c>
    </row>
    <row r="863" spans="1:7" x14ac:dyDescent="0.25">
      <c r="A863" s="17"/>
      <c r="D863" s="32" t="s">
        <v>16</v>
      </c>
      <c r="G863" s="1"/>
    </row>
    <row r="864" spans="1:7" x14ac:dyDescent="0.25">
      <c r="A864" s="23" t="s">
        <v>15</v>
      </c>
      <c r="D864" s="18" t="s">
        <v>17</v>
      </c>
      <c r="F864" s="26" t="s">
        <v>27</v>
      </c>
      <c r="G864" s="1"/>
    </row>
    <row r="865" spans="1:7" x14ac:dyDescent="0.25">
      <c r="A865" s="17"/>
      <c r="B865" s="24" t="s">
        <v>18</v>
      </c>
      <c r="D865" s="19"/>
      <c r="F865" s="27" t="s">
        <v>28</v>
      </c>
      <c r="G865" s="1"/>
    </row>
    <row r="866" spans="1:7" x14ac:dyDescent="0.25">
      <c r="A866" s="17"/>
      <c r="C866" s="2" t="s">
        <v>31</v>
      </c>
      <c r="D866" s="19">
        <v>308262189.91000003</v>
      </c>
      <c r="F866" t="s">
        <v>204</v>
      </c>
      <c r="G866" s="1">
        <v>-3721000</v>
      </c>
    </row>
    <row r="867" spans="1:7" x14ac:dyDescent="0.25">
      <c r="A867" s="17"/>
      <c r="C867" s="2" t="s">
        <v>32</v>
      </c>
      <c r="D867" s="19">
        <v>211721287.05000001</v>
      </c>
      <c r="F867" t="s">
        <v>90</v>
      </c>
      <c r="G867" s="1">
        <v>290000</v>
      </c>
    </row>
    <row r="868" spans="1:7" x14ac:dyDescent="0.25">
      <c r="A868" s="17"/>
      <c r="C868" s="2" t="s">
        <v>33</v>
      </c>
      <c r="D868" s="19">
        <v>16138525.4</v>
      </c>
      <c r="F868" t="s">
        <v>736</v>
      </c>
      <c r="G868" s="1">
        <v>1876604</v>
      </c>
    </row>
    <row r="869" spans="1:7" x14ac:dyDescent="0.25">
      <c r="A869" s="17"/>
      <c r="C869" s="2" t="s">
        <v>34</v>
      </c>
      <c r="D869" s="19">
        <v>61994726</v>
      </c>
      <c r="G869" s="30">
        <f>SUM(G866:G868)</f>
        <v>-1554396</v>
      </c>
    </row>
    <row r="870" spans="1:7" x14ac:dyDescent="0.25">
      <c r="A870" s="17"/>
      <c r="C870" s="2" t="s">
        <v>35</v>
      </c>
      <c r="D870" s="19">
        <v>2450083.6</v>
      </c>
      <c r="F870" s="28" t="s">
        <v>29</v>
      </c>
      <c r="G870" s="1"/>
    </row>
    <row r="871" spans="1:7" x14ac:dyDescent="0.25">
      <c r="A871" s="17"/>
      <c r="C871" s="2" t="s">
        <v>36</v>
      </c>
      <c r="D871" s="19">
        <v>90550000</v>
      </c>
      <c r="F871" t="s">
        <v>737</v>
      </c>
      <c r="G871" s="1">
        <v>375321</v>
      </c>
    </row>
    <row r="872" spans="1:7" x14ac:dyDescent="0.25">
      <c r="A872" s="17"/>
      <c r="C872" s="2" t="s">
        <v>37</v>
      </c>
      <c r="D872" s="19">
        <v>310821468</v>
      </c>
      <c r="F872" t="s">
        <v>812</v>
      </c>
      <c r="G872" s="1">
        <v>119600</v>
      </c>
    </row>
    <row r="873" spans="1:7" x14ac:dyDescent="0.25">
      <c r="A873" s="17"/>
      <c r="C873" s="2" t="s">
        <v>51</v>
      </c>
      <c r="D873" s="20">
        <v>130317</v>
      </c>
      <c r="F873" t="s">
        <v>813</v>
      </c>
      <c r="G873" s="1">
        <v>84000</v>
      </c>
    </row>
    <row r="874" spans="1:7" x14ac:dyDescent="0.25">
      <c r="A874" s="17"/>
      <c r="B874" s="24" t="s">
        <v>19</v>
      </c>
      <c r="D874" s="19">
        <f>SUM(D866:D873)</f>
        <v>1002068596.96</v>
      </c>
      <c r="F874" t="s">
        <v>49</v>
      </c>
      <c r="G874" s="1">
        <v>2500</v>
      </c>
    </row>
    <row r="875" spans="1:7" x14ac:dyDescent="0.25">
      <c r="A875" s="17"/>
      <c r="D875" s="19"/>
      <c r="G875" s="30">
        <f>SUM(G871:G874)</f>
        <v>581421</v>
      </c>
    </row>
    <row r="876" spans="1:7" x14ac:dyDescent="0.25">
      <c r="A876" s="17"/>
      <c r="B876" s="24" t="s">
        <v>20</v>
      </c>
      <c r="D876" s="19"/>
    </row>
    <row r="877" spans="1:7" x14ac:dyDescent="0.25">
      <c r="A877" s="17"/>
      <c r="C877" t="s">
        <v>7</v>
      </c>
      <c r="D877" s="19">
        <v>2195688150</v>
      </c>
      <c r="F877" s="28" t="s">
        <v>30</v>
      </c>
      <c r="G877" s="29">
        <f>G869-G875</f>
        <v>-2135817</v>
      </c>
    </row>
    <row r="878" spans="1:7" x14ac:dyDescent="0.25">
      <c r="A878" s="17"/>
      <c r="C878" t="s">
        <v>47</v>
      </c>
      <c r="D878" s="19">
        <v>32735000</v>
      </c>
    </row>
    <row r="879" spans="1:7" x14ac:dyDescent="0.25">
      <c r="A879" s="17"/>
      <c r="C879" t="s">
        <v>21</v>
      </c>
      <c r="D879" s="19">
        <v>712809838</v>
      </c>
    </row>
    <row r="880" spans="1:7" x14ac:dyDescent="0.25">
      <c r="A880" s="17"/>
      <c r="C880" t="s">
        <v>773</v>
      </c>
      <c r="D880" s="19">
        <v>246450000</v>
      </c>
    </row>
    <row r="881" spans="1:7" x14ac:dyDescent="0.25">
      <c r="A881" s="17"/>
      <c r="C881" t="s">
        <v>45</v>
      </c>
      <c r="D881" s="19">
        <v>25000000</v>
      </c>
    </row>
    <row r="882" spans="1:7" x14ac:dyDescent="0.25">
      <c r="A882" s="17"/>
      <c r="C882" t="s">
        <v>48</v>
      </c>
      <c r="D882" s="19">
        <v>30000000</v>
      </c>
    </row>
    <row r="883" spans="1:7" x14ac:dyDescent="0.25">
      <c r="A883" s="17"/>
      <c r="C883" t="s">
        <v>518</v>
      </c>
      <c r="D883" s="19">
        <v>100000000</v>
      </c>
    </row>
    <row r="884" spans="1:7" x14ac:dyDescent="0.25">
      <c r="A884" s="17"/>
      <c r="C884" t="s">
        <v>786</v>
      </c>
      <c r="D884" s="19">
        <v>23000000</v>
      </c>
    </row>
    <row r="885" spans="1:7" x14ac:dyDescent="0.25">
      <c r="A885" s="17"/>
      <c r="C885" t="s">
        <v>643</v>
      </c>
      <c r="D885" s="19">
        <v>156395550</v>
      </c>
      <c r="G885" s="1"/>
    </row>
    <row r="886" spans="1:7" x14ac:dyDescent="0.25">
      <c r="A886" s="17"/>
      <c r="C886" t="s">
        <v>744</v>
      </c>
      <c r="D886" s="19">
        <v>1002500</v>
      </c>
      <c r="G886" s="1"/>
    </row>
    <row r="887" spans="1:7" x14ac:dyDescent="0.25">
      <c r="A887" s="17"/>
      <c r="C887" t="s">
        <v>756</v>
      </c>
      <c r="D887" s="20">
        <v>50005000</v>
      </c>
      <c r="G887" s="1"/>
    </row>
    <row r="888" spans="1:7" x14ac:dyDescent="0.25">
      <c r="A888" s="17"/>
      <c r="D888" s="19">
        <f>SUM(D877:D887)</f>
        <v>3573086038</v>
      </c>
      <c r="G888" s="1"/>
    </row>
    <row r="889" spans="1:7" x14ac:dyDescent="0.25">
      <c r="A889" s="17"/>
      <c r="D889" s="19"/>
      <c r="G889" s="1"/>
    </row>
    <row r="890" spans="1:7" x14ac:dyDescent="0.25">
      <c r="A890" s="17"/>
      <c r="B890" s="24" t="s">
        <v>46</v>
      </c>
      <c r="D890" s="19"/>
      <c r="G890" s="1"/>
    </row>
    <row r="891" spans="1:7" x14ac:dyDescent="0.25">
      <c r="A891" s="17"/>
      <c r="B891" s="24"/>
      <c r="C891" t="s">
        <v>814</v>
      </c>
      <c r="D891" s="19">
        <f>153*602500</f>
        <v>92182500</v>
      </c>
      <c r="G891" s="1"/>
    </row>
    <row r="892" spans="1:7" x14ac:dyDescent="0.25">
      <c r="A892" s="17"/>
      <c r="B892" s="24"/>
      <c r="C892" t="s">
        <v>408</v>
      </c>
      <c r="D892" s="20">
        <f>1*602500</f>
        <v>602500</v>
      </c>
      <c r="G892" s="1"/>
    </row>
    <row r="893" spans="1:7" x14ac:dyDescent="0.25">
      <c r="A893" s="17"/>
      <c r="D893" s="19">
        <f>SUM(D891:D892)</f>
        <v>92785000</v>
      </c>
      <c r="G893" s="1"/>
    </row>
    <row r="894" spans="1:7" x14ac:dyDescent="0.25">
      <c r="A894" s="17"/>
      <c r="D894" s="19"/>
      <c r="G894" s="1"/>
    </row>
    <row r="895" spans="1:7" x14ac:dyDescent="0.25">
      <c r="A895" s="23" t="s">
        <v>22</v>
      </c>
      <c r="D895" s="19"/>
      <c r="G895" s="1"/>
    </row>
    <row r="896" spans="1:7" x14ac:dyDescent="0.25">
      <c r="A896" s="17"/>
      <c r="C896" t="s">
        <v>23</v>
      </c>
      <c r="D896" s="19">
        <v>1026100000</v>
      </c>
      <c r="G896" s="1"/>
    </row>
    <row r="897" spans="1:7" x14ac:dyDescent="0.25">
      <c r="A897" s="17"/>
      <c r="C897" t="s">
        <v>24</v>
      </c>
      <c r="D897" s="19">
        <v>1723824500</v>
      </c>
      <c r="G897" s="1"/>
    </row>
    <row r="898" spans="1:7" x14ac:dyDescent="0.25">
      <c r="A898" s="17"/>
      <c r="C898" t="s">
        <v>602</v>
      </c>
      <c r="D898" s="19">
        <v>86500000</v>
      </c>
      <c r="G898" s="1"/>
    </row>
    <row r="899" spans="1:7" x14ac:dyDescent="0.25">
      <c r="A899" s="17"/>
      <c r="C899" t="s">
        <v>44</v>
      </c>
      <c r="D899" s="19">
        <v>312750000</v>
      </c>
      <c r="G899" s="1"/>
    </row>
    <row r="900" spans="1:7" x14ac:dyDescent="0.25">
      <c r="A900" s="17"/>
      <c r="C900" t="s">
        <v>111</v>
      </c>
      <c r="D900" s="20">
        <v>156150000</v>
      </c>
      <c r="G900" s="1"/>
    </row>
    <row r="901" spans="1:7" x14ac:dyDescent="0.25">
      <c r="A901" s="17"/>
      <c r="D901" s="19">
        <f>SUM(D896:D900)</f>
        <v>3305324500</v>
      </c>
      <c r="G901" s="1"/>
    </row>
    <row r="902" spans="1:7" x14ac:dyDescent="0.25">
      <c r="A902" s="17"/>
      <c r="D902" s="19"/>
      <c r="G902" s="1"/>
    </row>
    <row r="903" spans="1:7" x14ac:dyDescent="0.25">
      <c r="A903" s="43" t="s">
        <v>25</v>
      </c>
      <c r="B903" s="44"/>
      <c r="C903" s="44"/>
      <c r="D903" s="25">
        <f>D874+D888+D893-D901</f>
        <v>1362615134.96</v>
      </c>
      <c r="G903" s="1"/>
    </row>
    <row r="904" spans="1:7" x14ac:dyDescent="0.25">
      <c r="A904" s="21"/>
      <c r="B904" s="22"/>
      <c r="C904" s="22"/>
      <c r="D904" s="20"/>
      <c r="G904" s="1"/>
    </row>
    <row r="906" spans="1:7" x14ac:dyDescent="0.25">
      <c r="A906" s="40" t="s">
        <v>13</v>
      </c>
      <c r="B906" s="40"/>
      <c r="C906" s="40"/>
      <c r="D906" s="40"/>
      <c r="G906" s="1"/>
    </row>
    <row r="907" spans="1:7" x14ac:dyDescent="0.25">
      <c r="A907" s="41" t="s">
        <v>14</v>
      </c>
      <c r="B907" s="41"/>
      <c r="C907" s="41"/>
      <c r="D907" s="41"/>
      <c r="G907" s="1"/>
    </row>
    <row r="908" spans="1:7" x14ac:dyDescent="0.25">
      <c r="A908" s="42">
        <v>45860</v>
      </c>
      <c r="B908" s="42"/>
      <c r="C908" s="42"/>
      <c r="D908" s="42"/>
      <c r="G908" s="1"/>
    </row>
    <row r="909" spans="1:7" x14ac:dyDescent="0.25">
      <c r="A909" s="13"/>
      <c r="B909" s="13"/>
      <c r="C909" s="13"/>
      <c r="D909" s="13"/>
      <c r="G909" s="1"/>
    </row>
    <row r="910" spans="1:7" x14ac:dyDescent="0.25">
      <c r="A910" s="14"/>
      <c r="B910" s="15"/>
      <c r="C910" s="15"/>
      <c r="D910" s="16"/>
      <c r="F910" s="5" t="s">
        <v>26</v>
      </c>
      <c r="G910" s="1">
        <f>D952-D903</f>
        <v>-997500</v>
      </c>
    </row>
    <row r="911" spans="1:7" x14ac:dyDescent="0.25">
      <c r="A911" s="17"/>
      <c r="D911" s="32" t="s">
        <v>16</v>
      </c>
      <c r="G911" s="1"/>
    </row>
    <row r="912" spans="1:7" x14ac:dyDescent="0.25">
      <c r="A912" s="23" t="s">
        <v>15</v>
      </c>
      <c r="D912" s="18" t="s">
        <v>17</v>
      </c>
      <c r="F912" s="26" t="s">
        <v>27</v>
      </c>
      <c r="G912" s="1"/>
    </row>
    <row r="913" spans="1:9" x14ac:dyDescent="0.25">
      <c r="A913" s="17"/>
      <c r="B913" s="24" t="s">
        <v>18</v>
      </c>
      <c r="D913" s="19"/>
      <c r="F913" s="27" t="s">
        <v>28</v>
      </c>
      <c r="G913" s="1"/>
    </row>
    <row r="914" spans="1:9" x14ac:dyDescent="0.25">
      <c r="A914" s="17"/>
      <c r="C914" s="2" t="s">
        <v>31</v>
      </c>
      <c r="D914" s="19">
        <v>78262189.909999996</v>
      </c>
      <c r="F914" t="s">
        <v>216</v>
      </c>
      <c r="G914" s="1">
        <v>-78000</v>
      </c>
    </row>
    <row r="915" spans="1:9" x14ac:dyDescent="0.25">
      <c r="A915" s="17"/>
      <c r="C915" s="2" t="s">
        <v>32</v>
      </c>
      <c r="D915" s="19">
        <v>226721287.05000001</v>
      </c>
      <c r="F915" t="s">
        <v>90</v>
      </c>
      <c r="G915" s="1">
        <v>1070000</v>
      </c>
    </row>
    <row r="916" spans="1:9" x14ac:dyDescent="0.25">
      <c r="A916" s="17"/>
      <c r="C916" s="2" t="s">
        <v>33</v>
      </c>
      <c r="D916" s="19">
        <v>40986025.399999999</v>
      </c>
      <c r="F916" t="s">
        <v>815</v>
      </c>
      <c r="G916" s="1">
        <v>265500</v>
      </c>
    </row>
    <row r="917" spans="1:9" x14ac:dyDescent="0.25">
      <c r="A917" s="17"/>
      <c r="C917" s="2" t="s">
        <v>34</v>
      </c>
      <c r="D917" s="19">
        <v>130944726</v>
      </c>
      <c r="G917" s="30">
        <f>SUM(G914:G916)</f>
        <v>1257500</v>
      </c>
    </row>
    <row r="918" spans="1:9" x14ac:dyDescent="0.25">
      <c r="A918" s="17"/>
      <c r="C918" s="2" t="s">
        <v>35</v>
      </c>
      <c r="D918" s="19">
        <v>2450083.6</v>
      </c>
      <c r="F918" s="28" t="s">
        <v>29</v>
      </c>
      <c r="G918" s="1"/>
    </row>
    <row r="919" spans="1:9" x14ac:dyDescent="0.25">
      <c r="A919" s="17"/>
      <c r="C919" s="2" t="s">
        <v>36</v>
      </c>
      <c r="D919" s="19">
        <v>90550000</v>
      </c>
      <c r="F919" t="s">
        <v>2</v>
      </c>
      <c r="G919" s="1">
        <v>2250000</v>
      </c>
    </row>
    <row r="920" spans="1:9" x14ac:dyDescent="0.25">
      <c r="A920" s="17"/>
      <c r="C920" s="2" t="s">
        <v>37</v>
      </c>
      <c r="D920" s="19">
        <v>4066468</v>
      </c>
      <c r="F920" t="s">
        <v>161</v>
      </c>
      <c r="G920" s="1">
        <v>5000</v>
      </c>
      <c r="I920" s="38"/>
    </row>
    <row r="921" spans="1:9" x14ac:dyDescent="0.25">
      <c r="A921" s="17"/>
      <c r="C921" s="2" t="s">
        <v>51</v>
      </c>
      <c r="D921" s="20">
        <v>130317</v>
      </c>
      <c r="G921" s="30">
        <f>SUM(G919:G920)</f>
        <v>2255000</v>
      </c>
    </row>
    <row r="922" spans="1:9" x14ac:dyDescent="0.25">
      <c r="A922" s="17"/>
      <c r="B922" s="24" t="s">
        <v>19</v>
      </c>
      <c r="D922" s="19">
        <f>SUM(D914:D921)</f>
        <v>574111096.96000004</v>
      </c>
    </row>
    <row r="923" spans="1:9" x14ac:dyDescent="0.25">
      <c r="A923" s="17"/>
      <c r="D923" s="19"/>
      <c r="F923" s="28" t="s">
        <v>30</v>
      </c>
      <c r="G923" s="29">
        <f>G917-G921</f>
        <v>-997500</v>
      </c>
    </row>
    <row r="924" spans="1:9" x14ac:dyDescent="0.25">
      <c r="A924" s="17"/>
      <c r="B924" s="24" t="s">
        <v>20</v>
      </c>
      <c r="D924" s="19"/>
    </row>
    <row r="925" spans="1:9" x14ac:dyDescent="0.25">
      <c r="A925" s="17"/>
      <c r="C925" t="s">
        <v>7</v>
      </c>
      <c r="D925" s="19">
        <v>2445123150</v>
      </c>
    </row>
    <row r="926" spans="1:9" x14ac:dyDescent="0.25">
      <c r="A926" s="17"/>
      <c r="C926" t="s">
        <v>47</v>
      </c>
      <c r="D926" s="19">
        <v>32060000</v>
      </c>
    </row>
    <row r="927" spans="1:9" x14ac:dyDescent="0.25">
      <c r="A927" s="17"/>
      <c r="C927" t="s">
        <v>21</v>
      </c>
      <c r="D927" s="19">
        <v>738609838</v>
      </c>
    </row>
    <row r="928" spans="1:9" x14ac:dyDescent="0.25">
      <c r="A928" s="17"/>
      <c r="C928" t="s">
        <v>773</v>
      </c>
      <c r="D928" s="19">
        <v>246450000</v>
      </c>
    </row>
    <row r="929" spans="1:7" x14ac:dyDescent="0.25">
      <c r="A929" s="17"/>
      <c r="C929" t="s">
        <v>45</v>
      </c>
      <c r="D929" s="19">
        <v>25000000</v>
      </c>
    </row>
    <row r="930" spans="1:7" x14ac:dyDescent="0.25">
      <c r="A930" s="17"/>
      <c r="C930" t="s">
        <v>48</v>
      </c>
      <c r="D930" s="19">
        <v>30000000</v>
      </c>
    </row>
    <row r="931" spans="1:7" x14ac:dyDescent="0.25">
      <c r="A931" s="17"/>
      <c r="C931" t="s">
        <v>518</v>
      </c>
      <c r="D931" s="19">
        <v>100000000</v>
      </c>
    </row>
    <row r="932" spans="1:7" x14ac:dyDescent="0.25">
      <c r="A932" s="17"/>
      <c r="C932" t="s">
        <v>786</v>
      </c>
      <c r="D932" s="19">
        <v>23000000</v>
      </c>
    </row>
    <row r="933" spans="1:7" x14ac:dyDescent="0.25">
      <c r="A933" s="17"/>
      <c r="C933" t="s">
        <v>643</v>
      </c>
      <c r="D933" s="19">
        <v>156395550</v>
      </c>
      <c r="G933" s="1"/>
    </row>
    <row r="934" spans="1:7" x14ac:dyDescent="0.25">
      <c r="A934" s="17"/>
      <c r="C934" t="s">
        <v>744</v>
      </c>
      <c r="D934" s="19">
        <v>1002500</v>
      </c>
      <c r="G934" s="1"/>
    </row>
    <row r="935" spans="1:7" x14ac:dyDescent="0.25">
      <c r="A935" s="17"/>
      <c r="C935" t="s">
        <v>756</v>
      </c>
      <c r="D935" s="20">
        <v>50005000</v>
      </c>
      <c r="G935" s="1"/>
    </row>
    <row r="936" spans="1:7" x14ac:dyDescent="0.25">
      <c r="A936" s="17"/>
      <c r="D936" s="19">
        <f>SUM(D925:D935)</f>
        <v>3847646038</v>
      </c>
      <c r="G936" s="1"/>
    </row>
    <row r="937" spans="1:7" x14ac:dyDescent="0.25">
      <c r="A937" s="17"/>
      <c r="D937" s="19"/>
      <c r="G937" s="1"/>
    </row>
    <row r="938" spans="1:7" x14ac:dyDescent="0.25">
      <c r="A938" s="17"/>
      <c r="B938" s="24" t="s">
        <v>46</v>
      </c>
      <c r="D938" s="19"/>
      <c r="G938" s="1"/>
    </row>
    <row r="939" spans="1:7" x14ac:dyDescent="0.25">
      <c r="A939" s="17"/>
      <c r="B939" s="24"/>
      <c r="C939" t="s">
        <v>816</v>
      </c>
      <c r="D939" s="19">
        <f>124*602500</f>
        <v>74710000</v>
      </c>
      <c r="G939" s="1"/>
    </row>
    <row r="940" spans="1:7" x14ac:dyDescent="0.25">
      <c r="A940" s="17"/>
      <c r="B940" s="24"/>
      <c r="C940" t="s">
        <v>426</v>
      </c>
      <c r="D940" s="19">
        <f>2*602500</f>
        <v>1205000</v>
      </c>
      <c r="G940" s="1"/>
    </row>
    <row r="941" spans="1:7" x14ac:dyDescent="0.25">
      <c r="A941" s="17"/>
      <c r="B941" s="24"/>
      <c r="C941" t="s">
        <v>126</v>
      </c>
      <c r="D941" s="20">
        <f>6*602500</f>
        <v>3615000</v>
      </c>
      <c r="G941" s="1"/>
    </row>
    <row r="942" spans="1:7" x14ac:dyDescent="0.25">
      <c r="A942" s="17"/>
      <c r="D942" s="19">
        <f>SUM(D939:D941)</f>
        <v>79530000</v>
      </c>
      <c r="G942" s="1"/>
    </row>
    <row r="943" spans="1:7" x14ac:dyDescent="0.25">
      <c r="A943" s="17"/>
      <c r="D943" s="19"/>
      <c r="G943" s="1"/>
    </row>
    <row r="944" spans="1:7" x14ac:dyDescent="0.25">
      <c r="A944" s="23" t="s">
        <v>22</v>
      </c>
      <c r="D944" s="19"/>
      <c r="G944" s="1"/>
    </row>
    <row r="945" spans="1:7" x14ac:dyDescent="0.25">
      <c r="A945" s="17"/>
      <c r="C945" t="s">
        <v>23</v>
      </c>
      <c r="D945" s="19">
        <v>1064725000</v>
      </c>
      <c r="G945" s="1"/>
    </row>
    <row r="946" spans="1:7" x14ac:dyDescent="0.25">
      <c r="A946" s="17"/>
      <c r="C946" t="s">
        <v>24</v>
      </c>
      <c r="D946" s="19">
        <v>1519544500</v>
      </c>
      <c r="G946" s="1"/>
    </row>
    <row r="947" spans="1:7" x14ac:dyDescent="0.25">
      <c r="A947" s="17"/>
      <c r="C947" t="s">
        <v>602</v>
      </c>
      <c r="D947" s="19">
        <v>86500000</v>
      </c>
      <c r="G947" s="1"/>
    </row>
    <row r="948" spans="1:7" x14ac:dyDescent="0.25">
      <c r="A948" s="17"/>
      <c r="C948" t="s">
        <v>44</v>
      </c>
      <c r="D948" s="19">
        <v>312750000</v>
      </c>
      <c r="G948" s="1"/>
    </row>
    <row r="949" spans="1:7" x14ac:dyDescent="0.25">
      <c r="A949" s="17"/>
      <c r="C949" t="s">
        <v>111</v>
      </c>
      <c r="D949" s="20">
        <v>156150000</v>
      </c>
      <c r="G949" s="1"/>
    </row>
    <row r="950" spans="1:7" x14ac:dyDescent="0.25">
      <c r="A950" s="17"/>
      <c r="D950" s="19">
        <f>SUM(D945:D949)</f>
        <v>3139669500</v>
      </c>
      <c r="G950" s="1"/>
    </row>
    <row r="951" spans="1:7" x14ac:dyDescent="0.25">
      <c r="A951" s="17"/>
      <c r="D951" s="19"/>
      <c r="G951" s="1"/>
    </row>
    <row r="952" spans="1:7" x14ac:dyDescent="0.25">
      <c r="A952" s="43" t="s">
        <v>25</v>
      </c>
      <c r="B952" s="44"/>
      <c r="C952" s="44"/>
      <c r="D952" s="25">
        <f>D922+D936+D942-D950</f>
        <v>1361617634.96</v>
      </c>
      <c r="G952" s="1"/>
    </row>
    <row r="953" spans="1:7" x14ac:dyDescent="0.25">
      <c r="A953" s="21"/>
      <c r="B953" s="22"/>
      <c r="C953" s="22"/>
      <c r="D953" s="20"/>
      <c r="G953" s="1"/>
    </row>
    <row r="955" spans="1:7" x14ac:dyDescent="0.25">
      <c r="A955" s="40" t="s">
        <v>13</v>
      </c>
      <c r="B955" s="40"/>
      <c r="C955" s="40"/>
      <c r="D955" s="40"/>
      <c r="G955" s="1"/>
    </row>
    <row r="956" spans="1:7" x14ac:dyDescent="0.25">
      <c r="A956" s="41" t="s">
        <v>14</v>
      </c>
      <c r="B956" s="41"/>
      <c r="C956" s="41"/>
      <c r="D956" s="41"/>
      <c r="G956" s="1"/>
    </row>
    <row r="957" spans="1:7" x14ac:dyDescent="0.25">
      <c r="A957" s="42">
        <v>45861</v>
      </c>
      <c r="B957" s="42"/>
      <c r="C957" s="42"/>
      <c r="D957" s="42"/>
      <c r="G957" s="1"/>
    </row>
    <row r="958" spans="1:7" x14ac:dyDescent="0.25">
      <c r="A958" s="13"/>
      <c r="B958" s="13"/>
      <c r="C958" s="13"/>
      <c r="D958" s="13"/>
      <c r="G958" s="1"/>
    </row>
    <row r="959" spans="1:7" x14ac:dyDescent="0.25">
      <c r="A959" s="14"/>
      <c r="B959" s="15"/>
      <c r="C959" s="15"/>
      <c r="D959" s="16"/>
      <c r="F959" s="5" t="s">
        <v>26</v>
      </c>
      <c r="G959" s="1">
        <f>D999-D952</f>
        <v>2748226</v>
      </c>
    </row>
    <row r="960" spans="1:7" x14ac:dyDescent="0.25">
      <c r="A960" s="17"/>
      <c r="D960" s="32" t="s">
        <v>16</v>
      </c>
      <c r="G960" s="1"/>
    </row>
    <row r="961" spans="1:7" x14ac:dyDescent="0.25">
      <c r="A961" s="23" t="s">
        <v>15</v>
      </c>
      <c r="D961" s="18" t="s">
        <v>17</v>
      </c>
      <c r="F961" s="26" t="s">
        <v>27</v>
      </c>
      <c r="G961" s="1"/>
    </row>
    <row r="962" spans="1:7" x14ac:dyDescent="0.25">
      <c r="A962" s="17"/>
      <c r="B962" s="24" t="s">
        <v>18</v>
      </c>
      <c r="D962" s="19"/>
      <c r="F962" s="27" t="s">
        <v>28</v>
      </c>
      <c r="G962" s="1"/>
    </row>
    <row r="963" spans="1:7" x14ac:dyDescent="0.25">
      <c r="A963" s="17"/>
      <c r="C963" s="2" t="s">
        <v>31</v>
      </c>
      <c r="D963" s="19">
        <v>3262189.91</v>
      </c>
      <c r="F963" t="s">
        <v>223</v>
      </c>
      <c r="G963" s="1">
        <v>2462000</v>
      </c>
    </row>
    <row r="964" spans="1:7" x14ac:dyDescent="0.25">
      <c r="A964" s="17"/>
      <c r="C964" s="2" t="s">
        <v>32</v>
      </c>
      <c r="D964" s="19">
        <v>234926287.05000001</v>
      </c>
      <c r="F964" t="s">
        <v>90</v>
      </c>
      <c r="G964" s="1">
        <v>322500</v>
      </c>
    </row>
    <row r="965" spans="1:7" x14ac:dyDescent="0.25">
      <c r="A965" s="17"/>
      <c r="C965" s="2" t="s">
        <v>33</v>
      </c>
      <c r="D965" s="19">
        <v>392861025.39999998</v>
      </c>
      <c r="F965" t="s">
        <v>97</v>
      </c>
      <c r="G965" s="1">
        <v>109</v>
      </c>
    </row>
    <row r="966" spans="1:7" x14ac:dyDescent="0.25">
      <c r="A966" s="17"/>
      <c r="C966" s="2" t="s">
        <v>34</v>
      </c>
      <c r="D966" s="19">
        <v>3519726</v>
      </c>
      <c r="F966" t="s">
        <v>647</v>
      </c>
      <c r="G966" s="1">
        <v>32184</v>
      </c>
    </row>
    <row r="967" spans="1:7" x14ac:dyDescent="0.25">
      <c r="A967" s="17"/>
      <c r="C967" s="2" t="s">
        <v>35</v>
      </c>
      <c r="D967" s="19">
        <v>2450083.6</v>
      </c>
      <c r="F967" t="s">
        <v>122</v>
      </c>
      <c r="G967" s="1">
        <v>1937870</v>
      </c>
    </row>
    <row r="968" spans="1:7" x14ac:dyDescent="0.25">
      <c r="A968" s="17"/>
      <c r="C968" s="2" t="s">
        <v>36</v>
      </c>
      <c r="D968" s="19">
        <v>91875747</v>
      </c>
      <c r="G968" s="30">
        <f>SUM(G963:G967)</f>
        <v>4754663</v>
      </c>
    </row>
    <row r="969" spans="1:7" x14ac:dyDescent="0.25">
      <c r="A969" s="17"/>
      <c r="C969" s="2" t="s">
        <v>37</v>
      </c>
      <c r="D969" s="19">
        <v>183527577</v>
      </c>
      <c r="F969" s="28" t="s">
        <v>29</v>
      </c>
      <c r="G969" s="1"/>
    </row>
    <row r="970" spans="1:7" x14ac:dyDescent="0.25">
      <c r="A970" s="17"/>
      <c r="C970" s="2" t="s">
        <v>51</v>
      </c>
      <c r="D970" s="20">
        <v>130317</v>
      </c>
      <c r="F970" t="s">
        <v>648</v>
      </c>
      <c r="G970" s="1">
        <v>6437</v>
      </c>
    </row>
    <row r="971" spans="1:7" x14ac:dyDescent="0.25">
      <c r="A971" s="17"/>
      <c r="B971" s="24" t="s">
        <v>19</v>
      </c>
      <c r="D971" s="19">
        <f>SUM(D963:D970)</f>
        <v>912552952.96000004</v>
      </c>
      <c r="F971" t="s">
        <v>820</v>
      </c>
      <c r="G971" s="1">
        <v>2000000</v>
      </c>
    </row>
    <row r="972" spans="1:7" x14ac:dyDescent="0.25">
      <c r="A972" s="17"/>
      <c r="D972" s="19"/>
      <c r="G972" s="30">
        <f>SUM(G970:G971)</f>
        <v>2006437</v>
      </c>
    </row>
    <row r="973" spans="1:7" x14ac:dyDescent="0.25">
      <c r="A973" s="17"/>
      <c r="B973" s="24" t="s">
        <v>20</v>
      </c>
      <c r="D973" s="19"/>
    </row>
    <row r="974" spans="1:7" x14ac:dyDescent="0.25">
      <c r="A974" s="17"/>
      <c r="C974" t="s">
        <v>7</v>
      </c>
      <c r="D974" s="19">
        <v>2479023150</v>
      </c>
      <c r="F974" s="28" t="s">
        <v>30</v>
      </c>
      <c r="G974" s="29">
        <f>G968-G972</f>
        <v>2748226</v>
      </c>
    </row>
    <row r="975" spans="1:7" x14ac:dyDescent="0.25">
      <c r="A975" s="17"/>
      <c r="C975" t="s">
        <v>47</v>
      </c>
      <c r="D975" s="19">
        <v>32010000</v>
      </c>
    </row>
    <row r="976" spans="1:7" x14ac:dyDescent="0.25">
      <c r="A976" s="17"/>
      <c r="C976" t="s">
        <v>21</v>
      </c>
      <c r="D976" s="19">
        <v>649491838</v>
      </c>
    </row>
    <row r="977" spans="1:7" x14ac:dyDescent="0.25">
      <c r="A977" s="17"/>
      <c r="C977" t="s">
        <v>773</v>
      </c>
      <c r="D977" s="19">
        <v>240057000</v>
      </c>
    </row>
    <row r="978" spans="1:7" x14ac:dyDescent="0.25">
      <c r="A978" s="17"/>
      <c r="C978" t="s">
        <v>45</v>
      </c>
      <c r="D978" s="19">
        <v>25000000</v>
      </c>
    </row>
    <row r="979" spans="1:7" x14ac:dyDescent="0.25">
      <c r="A979" s="17"/>
      <c r="C979" t="s">
        <v>48</v>
      </c>
      <c r="D979" s="19">
        <v>30000000</v>
      </c>
    </row>
    <row r="980" spans="1:7" x14ac:dyDescent="0.25">
      <c r="A980" s="17"/>
      <c r="C980" t="s">
        <v>518</v>
      </c>
      <c r="D980" s="19">
        <v>100000000</v>
      </c>
    </row>
    <row r="981" spans="1:7" x14ac:dyDescent="0.25">
      <c r="A981" s="17"/>
      <c r="C981" t="s">
        <v>786</v>
      </c>
      <c r="D981" s="19">
        <v>23000000</v>
      </c>
    </row>
    <row r="982" spans="1:7" x14ac:dyDescent="0.25">
      <c r="A982" s="17"/>
      <c r="C982" t="s">
        <v>643</v>
      </c>
      <c r="D982" s="19">
        <v>156395550</v>
      </c>
      <c r="G982" s="1"/>
    </row>
    <row r="983" spans="1:7" x14ac:dyDescent="0.25">
      <c r="A983" s="17"/>
      <c r="C983" t="s">
        <v>744</v>
      </c>
      <c r="D983" s="19">
        <v>1002500</v>
      </c>
      <c r="G983" s="1"/>
    </row>
    <row r="984" spans="1:7" x14ac:dyDescent="0.25">
      <c r="A984" s="17"/>
      <c r="C984" t="s">
        <v>756</v>
      </c>
      <c r="D984" s="20">
        <v>50005000</v>
      </c>
      <c r="G984" s="1"/>
    </row>
    <row r="985" spans="1:7" x14ac:dyDescent="0.25">
      <c r="A985" s="17"/>
      <c r="D985" s="19">
        <f>SUM(D974:D984)</f>
        <v>3785985038</v>
      </c>
      <c r="G985" s="1"/>
    </row>
    <row r="986" spans="1:7" x14ac:dyDescent="0.25">
      <c r="A986" s="17"/>
      <c r="D986" s="19"/>
      <c r="G986" s="1"/>
    </row>
    <row r="987" spans="1:7" x14ac:dyDescent="0.25">
      <c r="A987" s="17"/>
      <c r="B987" s="24" t="s">
        <v>46</v>
      </c>
      <c r="D987" s="19"/>
      <c r="G987" s="1"/>
    </row>
    <row r="988" spans="1:7" x14ac:dyDescent="0.25">
      <c r="A988" s="17"/>
      <c r="B988" s="24"/>
      <c r="C988" t="s">
        <v>819</v>
      </c>
      <c r="D988" s="19">
        <f>117*602500</f>
        <v>70492500</v>
      </c>
      <c r="G988" s="1"/>
    </row>
    <row r="989" spans="1:7" x14ac:dyDescent="0.25">
      <c r="A989" s="17"/>
      <c r="B989" s="24"/>
      <c r="C989" t="s">
        <v>426</v>
      </c>
      <c r="D989" s="20">
        <f>2*602500</f>
        <v>1205000</v>
      </c>
      <c r="G989" s="1"/>
    </row>
    <row r="990" spans="1:7" x14ac:dyDescent="0.25">
      <c r="A990" s="17"/>
      <c r="D990" s="19">
        <f>SUM(D988:D989)</f>
        <v>71697500</v>
      </c>
      <c r="G990" s="1"/>
    </row>
    <row r="991" spans="1:7" x14ac:dyDescent="0.25">
      <c r="A991" s="17"/>
      <c r="D991" s="19"/>
      <c r="G991" s="1"/>
    </row>
    <row r="992" spans="1:7" x14ac:dyDescent="0.25">
      <c r="A992" s="23" t="s">
        <v>22</v>
      </c>
      <c r="D992" s="19"/>
      <c r="G992" s="1"/>
    </row>
    <row r="993" spans="1:7" x14ac:dyDescent="0.25">
      <c r="A993" s="17"/>
      <c r="C993" t="s">
        <v>23</v>
      </c>
      <c r="D993" s="19">
        <v>1167325000</v>
      </c>
      <c r="G993" s="1"/>
    </row>
    <row r="994" spans="1:7" x14ac:dyDescent="0.25">
      <c r="A994" s="17"/>
      <c r="C994" t="s">
        <v>24</v>
      </c>
      <c r="D994" s="19">
        <v>1839294630</v>
      </c>
      <c r="G994" s="1"/>
    </row>
    <row r="995" spans="1:7" x14ac:dyDescent="0.25">
      <c r="A995" s="17"/>
      <c r="C995" t="s">
        <v>602</v>
      </c>
      <c r="D995" s="19">
        <v>86500000</v>
      </c>
      <c r="G995" s="1"/>
    </row>
    <row r="996" spans="1:7" x14ac:dyDescent="0.25">
      <c r="A996" s="17"/>
      <c r="C996" t="s">
        <v>44</v>
      </c>
      <c r="D996" s="20">
        <v>312750000</v>
      </c>
      <c r="G996" s="1"/>
    </row>
    <row r="997" spans="1:7" x14ac:dyDescent="0.25">
      <c r="A997" s="17"/>
      <c r="D997" s="19">
        <f>SUM(D993:D996)</f>
        <v>3405869630</v>
      </c>
      <c r="G997" s="1"/>
    </row>
    <row r="998" spans="1:7" x14ac:dyDescent="0.25">
      <c r="A998" s="17"/>
      <c r="D998" s="19"/>
      <c r="G998" s="1"/>
    </row>
    <row r="999" spans="1:7" x14ac:dyDescent="0.25">
      <c r="A999" s="43" t="s">
        <v>25</v>
      </c>
      <c r="B999" s="44"/>
      <c r="C999" s="44"/>
      <c r="D999" s="25">
        <f>D971+D985+D990-D997</f>
        <v>1364365860.96</v>
      </c>
      <c r="G999" s="1"/>
    </row>
    <row r="1000" spans="1:7" x14ac:dyDescent="0.25">
      <c r="A1000" s="21"/>
      <c r="B1000" s="22"/>
      <c r="C1000" s="22"/>
      <c r="D1000" s="20"/>
      <c r="G1000" s="1"/>
    </row>
    <row r="1002" spans="1:7" x14ac:dyDescent="0.25">
      <c r="A1002" s="40" t="s">
        <v>13</v>
      </c>
      <c r="B1002" s="40"/>
      <c r="C1002" s="40"/>
      <c r="D1002" s="40"/>
      <c r="G1002" s="1"/>
    </row>
    <row r="1003" spans="1:7" x14ac:dyDescent="0.25">
      <c r="A1003" s="41" t="s">
        <v>14</v>
      </c>
      <c r="B1003" s="41"/>
      <c r="C1003" s="41"/>
      <c r="D1003" s="41"/>
      <c r="G1003" s="1"/>
    </row>
    <row r="1004" spans="1:7" x14ac:dyDescent="0.25">
      <c r="A1004" s="42">
        <v>45862</v>
      </c>
      <c r="B1004" s="42"/>
      <c r="C1004" s="42"/>
      <c r="D1004" s="42"/>
      <c r="G1004" s="1"/>
    </row>
    <row r="1005" spans="1:7" x14ac:dyDescent="0.25">
      <c r="A1005" s="13"/>
      <c r="B1005" s="13"/>
      <c r="C1005" s="13"/>
      <c r="D1005" s="13"/>
      <c r="G1005" s="1"/>
    </row>
    <row r="1006" spans="1:7" x14ac:dyDescent="0.25">
      <c r="A1006" s="14"/>
      <c r="B1006" s="15"/>
      <c r="C1006" s="15"/>
      <c r="D1006" s="16"/>
      <c r="F1006" s="5" t="s">
        <v>26</v>
      </c>
      <c r="G1006" s="1">
        <f>D1043-D999</f>
        <v>13033500</v>
      </c>
    </row>
    <row r="1007" spans="1:7" x14ac:dyDescent="0.25">
      <c r="A1007" s="17"/>
      <c r="D1007" s="32" t="s">
        <v>16</v>
      </c>
      <c r="G1007" s="1"/>
    </row>
    <row r="1008" spans="1:7" x14ac:dyDescent="0.25">
      <c r="A1008" s="23" t="s">
        <v>15</v>
      </c>
      <c r="D1008" s="18" t="s">
        <v>17</v>
      </c>
      <c r="F1008" s="26" t="s">
        <v>27</v>
      </c>
      <c r="G1008" s="1"/>
    </row>
    <row r="1009" spans="1:9" x14ac:dyDescent="0.25">
      <c r="A1009" s="17"/>
      <c r="B1009" s="24" t="s">
        <v>18</v>
      </c>
      <c r="D1009" s="19"/>
      <c r="F1009" s="27" t="s">
        <v>28</v>
      </c>
      <c r="G1009" s="1"/>
    </row>
    <row r="1010" spans="1:9" x14ac:dyDescent="0.25">
      <c r="A1010" s="17"/>
      <c r="C1010" s="2" t="s">
        <v>31</v>
      </c>
      <c r="D1010" s="19">
        <v>236857739.91</v>
      </c>
      <c r="F1010" t="s">
        <v>348</v>
      </c>
      <c r="G1010" s="1">
        <v>16939000</v>
      </c>
    </row>
    <row r="1011" spans="1:9" x14ac:dyDescent="0.25">
      <c r="A1011" s="17"/>
      <c r="C1011" s="2" t="s">
        <v>32</v>
      </c>
      <c r="D1011" s="19">
        <v>257926287.05000001</v>
      </c>
      <c r="F1011" t="s">
        <v>90</v>
      </c>
      <c r="G1011" s="1">
        <v>2242500</v>
      </c>
    </row>
    <row r="1012" spans="1:9" x14ac:dyDescent="0.25">
      <c r="A1012" s="17"/>
      <c r="C1012" s="2" t="s">
        <v>33</v>
      </c>
      <c r="D1012" s="19">
        <v>131304525.40000001</v>
      </c>
      <c r="F1012" t="s">
        <v>826</v>
      </c>
      <c r="G1012" s="1">
        <v>268500</v>
      </c>
    </row>
    <row r="1013" spans="1:9" x14ac:dyDescent="0.25">
      <c r="A1013" s="17"/>
      <c r="C1013" s="2" t="s">
        <v>34</v>
      </c>
      <c r="D1013" s="19">
        <v>3491726</v>
      </c>
      <c r="G1013" s="30">
        <f>SUM(G1010:G1012)</f>
        <v>19450000</v>
      </c>
    </row>
    <row r="1014" spans="1:9" x14ac:dyDescent="0.25">
      <c r="A1014" s="17"/>
      <c r="C1014" s="2" t="s">
        <v>35</v>
      </c>
      <c r="D1014" s="19">
        <v>2450083.6</v>
      </c>
      <c r="F1014" s="28" t="s">
        <v>29</v>
      </c>
      <c r="G1014" s="1"/>
    </row>
    <row r="1015" spans="1:9" x14ac:dyDescent="0.25">
      <c r="A1015" s="17"/>
      <c r="C1015" s="2" t="s">
        <v>36</v>
      </c>
      <c r="D1015" s="19">
        <v>89625747</v>
      </c>
      <c r="F1015" t="s">
        <v>161</v>
      </c>
      <c r="G1015" s="1">
        <v>2500</v>
      </c>
      <c r="I1015" s="38"/>
    </row>
    <row r="1016" spans="1:9" x14ac:dyDescent="0.25">
      <c r="A1016" s="17"/>
      <c r="C1016" s="2" t="s">
        <v>37</v>
      </c>
      <c r="D1016" s="19">
        <v>57920077</v>
      </c>
      <c r="F1016" t="s">
        <v>104</v>
      </c>
      <c r="G1016" s="1">
        <v>2250000</v>
      </c>
    </row>
    <row r="1017" spans="1:9" x14ac:dyDescent="0.25">
      <c r="A1017" s="17"/>
      <c r="C1017" s="2" t="s">
        <v>51</v>
      </c>
      <c r="D1017" s="20">
        <v>130317</v>
      </c>
      <c r="F1017" t="s">
        <v>823</v>
      </c>
      <c r="G1017" s="1">
        <v>2000000</v>
      </c>
    </row>
    <row r="1018" spans="1:9" x14ac:dyDescent="0.25">
      <c r="A1018" s="17"/>
      <c r="B1018" s="24" t="s">
        <v>19</v>
      </c>
      <c r="D1018" s="19">
        <f>SUM(D1010:D1017)</f>
        <v>779706502.96000004</v>
      </c>
      <c r="F1018" t="s">
        <v>824</v>
      </c>
      <c r="G1018" s="1">
        <v>1664000</v>
      </c>
    </row>
    <row r="1019" spans="1:9" x14ac:dyDescent="0.25">
      <c r="A1019" s="17"/>
      <c r="D1019" s="19"/>
      <c r="F1019" t="s">
        <v>825</v>
      </c>
      <c r="G1019" s="1">
        <v>500000</v>
      </c>
    </row>
    <row r="1020" spans="1:9" x14ac:dyDescent="0.25">
      <c r="A1020" s="17"/>
      <c r="B1020" s="24" t="s">
        <v>20</v>
      </c>
      <c r="D1020" s="19"/>
      <c r="G1020" s="30">
        <f>SUM(G1015:G1019)</f>
        <v>6416500</v>
      </c>
    </row>
    <row r="1021" spans="1:9" x14ac:dyDescent="0.25">
      <c r="A1021" s="17"/>
      <c r="C1021" t="s">
        <v>7</v>
      </c>
      <c r="D1021" s="19">
        <v>2634501150</v>
      </c>
    </row>
    <row r="1022" spans="1:9" x14ac:dyDescent="0.25">
      <c r="A1022" s="17"/>
      <c r="C1022" t="s">
        <v>47</v>
      </c>
      <c r="D1022" s="19">
        <v>81850000</v>
      </c>
      <c r="F1022" s="28" t="s">
        <v>30</v>
      </c>
      <c r="G1022" s="29">
        <f>G1013-G1020</f>
        <v>13033500</v>
      </c>
    </row>
    <row r="1023" spans="1:9" x14ac:dyDescent="0.25">
      <c r="A1023" s="17"/>
      <c r="C1023" t="s">
        <v>21</v>
      </c>
      <c r="D1023" s="19">
        <v>699496838</v>
      </c>
    </row>
    <row r="1024" spans="1:9" x14ac:dyDescent="0.25">
      <c r="A1024" s="17"/>
      <c r="C1024" t="s">
        <v>773</v>
      </c>
      <c r="D1024" s="19">
        <v>240057000</v>
      </c>
    </row>
    <row r="1025" spans="1:7" x14ac:dyDescent="0.25">
      <c r="A1025" s="17"/>
      <c r="C1025" t="s">
        <v>45</v>
      </c>
      <c r="D1025" s="19">
        <v>25000000</v>
      </c>
    </row>
    <row r="1026" spans="1:7" x14ac:dyDescent="0.25">
      <c r="A1026" s="17"/>
      <c r="C1026" t="s">
        <v>48</v>
      </c>
      <c r="D1026" s="19">
        <v>30000000</v>
      </c>
    </row>
    <row r="1027" spans="1:7" x14ac:dyDescent="0.25">
      <c r="A1027" s="17"/>
      <c r="C1027" t="s">
        <v>518</v>
      </c>
      <c r="D1027" s="19">
        <v>100000000</v>
      </c>
    </row>
    <row r="1028" spans="1:7" x14ac:dyDescent="0.25">
      <c r="A1028" s="17"/>
      <c r="C1028" t="s">
        <v>744</v>
      </c>
      <c r="D1028" s="19">
        <v>1002500</v>
      </c>
      <c r="G1028" s="1"/>
    </row>
    <row r="1029" spans="1:7" x14ac:dyDescent="0.25">
      <c r="A1029" s="17"/>
      <c r="C1029" t="s">
        <v>756</v>
      </c>
      <c r="D1029" s="20">
        <v>50005000</v>
      </c>
      <c r="G1029" s="1"/>
    </row>
    <row r="1030" spans="1:7" x14ac:dyDescent="0.25">
      <c r="A1030" s="17"/>
      <c r="D1030" s="19">
        <f>SUM(D1021:D1029)</f>
        <v>3861912488</v>
      </c>
      <c r="G1030" s="1"/>
    </row>
    <row r="1031" spans="1:7" x14ac:dyDescent="0.25">
      <c r="A1031" s="17"/>
      <c r="D1031" s="19"/>
      <c r="G1031" s="1"/>
    </row>
    <row r="1032" spans="1:7" x14ac:dyDescent="0.25">
      <c r="A1032" s="17"/>
      <c r="B1032" s="24" t="s">
        <v>46</v>
      </c>
      <c r="D1032" s="19"/>
      <c r="G1032" s="1"/>
    </row>
    <row r="1033" spans="1:7" x14ac:dyDescent="0.25">
      <c r="A1033" s="17"/>
      <c r="B1033" s="24"/>
      <c r="C1033" t="s">
        <v>393</v>
      </c>
      <c r="D1033" s="20">
        <f>40*602500</f>
        <v>24100000</v>
      </c>
      <c r="G1033" s="1"/>
    </row>
    <row r="1034" spans="1:7" x14ac:dyDescent="0.25">
      <c r="A1034" s="17"/>
      <c r="D1034" s="19">
        <f>SUM(D1033:D1033)</f>
        <v>24100000</v>
      </c>
      <c r="G1034" s="1"/>
    </row>
    <row r="1035" spans="1:7" x14ac:dyDescent="0.25">
      <c r="A1035" s="17"/>
      <c r="D1035" s="19"/>
      <c r="G1035" s="1"/>
    </row>
    <row r="1036" spans="1:7" x14ac:dyDescent="0.25">
      <c r="A1036" s="23" t="s">
        <v>22</v>
      </c>
      <c r="D1036" s="19"/>
      <c r="G1036" s="1"/>
    </row>
    <row r="1037" spans="1:7" x14ac:dyDescent="0.25">
      <c r="A1037" s="17"/>
      <c r="C1037" t="s">
        <v>23</v>
      </c>
      <c r="D1037" s="19">
        <v>1215925000</v>
      </c>
      <c r="G1037" s="1"/>
    </row>
    <row r="1038" spans="1:7" x14ac:dyDescent="0.25">
      <c r="A1038" s="17"/>
      <c r="C1038" t="s">
        <v>24</v>
      </c>
      <c r="D1038" s="19">
        <v>1839294630</v>
      </c>
      <c r="G1038" s="1"/>
    </row>
    <row r="1039" spans="1:7" x14ac:dyDescent="0.25">
      <c r="A1039" s="17"/>
      <c r="C1039" t="s">
        <v>44</v>
      </c>
      <c r="D1039" s="19">
        <v>156150000</v>
      </c>
      <c r="G1039" s="1"/>
    </row>
    <row r="1040" spans="1:7" x14ac:dyDescent="0.25">
      <c r="A1040" s="17"/>
      <c r="C1040" t="s">
        <v>821</v>
      </c>
      <c r="D1040" s="20">
        <f>9000*8550</f>
        <v>76950000</v>
      </c>
      <c r="G1040" s="1"/>
    </row>
    <row r="1041" spans="1:7" x14ac:dyDescent="0.25">
      <c r="A1041" s="17"/>
      <c r="D1041" s="19">
        <f>SUM(D1037:D1040)</f>
        <v>3288319630</v>
      </c>
      <c r="G1041" s="1"/>
    </row>
    <row r="1042" spans="1:7" x14ac:dyDescent="0.25">
      <c r="A1042" s="17"/>
      <c r="D1042" s="19"/>
      <c r="G1042" s="1"/>
    </row>
    <row r="1043" spans="1:7" x14ac:dyDescent="0.25">
      <c r="A1043" s="43" t="s">
        <v>25</v>
      </c>
      <c r="B1043" s="44"/>
      <c r="C1043" s="44"/>
      <c r="D1043" s="25">
        <f>D1018+D1030+D1034-D1041</f>
        <v>1377399360.96</v>
      </c>
      <c r="G1043" s="1"/>
    </row>
    <row r="1044" spans="1:7" x14ac:dyDescent="0.25">
      <c r="A1044" s="21"/>
      <c r="B1044" s="22"/>
      <c r="C1044" s="22"/>
      <c r="D1044" s="20"/>
      <c r="G1044" s="1"/>
    </row>
    <row r="1046" spans="1:7" x14ac:dyDescent="0.25">
      <c r="A1046" s="40" t="s">
        <v>13</v>
      </c>
      <c r="B1046" s="40"/>
      <c r="C1046" s="40"/>
      <c r="D1046" s="40"/>
      <c r="G1046" s="1"/>
    </row>
    <row r="1047" spans="1:7" x14ac:dyDescent="0.25">
      <c r="A1047" s="41" t="s">
        <v>14</v>
      </c>
      <c r="B1047" s="41"/>
      <c r="C1047" s="41"/>
      <c r="D1047" s="41"/>
      <c r="G1047" s="1"/>
    </row>
    <row r="1048" spans="1:7" x14ac:dyDescent="0.25">
      <c r="A1048" s="42">
        <v>45863</v>
      </c>
      <c r="B1048" s="42"/>
      <c r="C1048" s="42"/>
      <c r="D1048" s="42"/>
      <c r="G1048" s="1"/>
    </row>
    <row r="1049" spans="1:7" x14ac:dyDescent="0.25">
      <c r="A1049" s="13"/>
      <c r="B1049" s="13"/>
      <c r="C1049" s="13"/>
      <c r="D1049" s="13"/>
      <c r="G1049" s="1"/>
    </row>
    <row r="1050" spans="1:7" x14ac:dyDescent="0.25">
      <c r="A1050" s="14"/>
      <c r="B1050" s="15"/>
      <c r="C1050" s="15"/>
      <c r="D1050" s="16"/>
      <c r="F1050" s="5" t="s">
        <v>26</v>
      </c>
      <c r="G1050" s="1">
        <f>D1087-D1043</f>
        <v>-44306357</v>
      </c>
    </row>
    <row r="1051" spans="1:7" x14ac:dyDescent="0.25">
      <c r="A1051" s="17"/>
      <c r="D1051" s="32" t="s">
        <v>16</v>
      </c>
      <c r="G1051" s="1"/>
    </row>
    <row r="1052" spans="1:7" x14ac:dyDescent="0.25">
      <c r="A1052" s="23" t="s">
        <v>15</v>
      </c>
      <c r="D1052" s="18" t="s">
        <v>17</v>
      </c>
      <c r="F1052" s="26" t="s">
        <v>27</v>
      </c>
      <c r="G1052" s="1"/>
    </row>
    <row r="1053" spans="1:7" x14ac:dyDescent="0.25">
      <c r="A1053" s="17"/>
      <c r="B1053" s="24" t="s">
        <v>18</v>
      </c>
      <c r="D1053" s="19"/>
      <c r="F1053" s="27" t="s">
        <v>28</v>
      </c>
      <c r="G1053" s="1"/>
    </row>
    <row r="1054" spans="1:7" x14ac:dyDescent="0.25">
      <c r="A1054" s="17"/>
      <c r="C1054" s="2" t="s">
        <v>31</v>
      </c>
      <c r="D1054" s="19">
        <v>176957739.91</v>
      </c>
      <c r="F1054" t="s">
        <v>354</v>
      </c>
      <c r="G1054" s="1">
        <v>4710000</v>
      </c>
    </row>
    <row r="1055" spans="1:7" x14ac:dyDescent="0.25">
      <c r="A1055" s="17"/>
      <c r="C1055" s="2" t="s">
        <v>32</v>
      </c>
      <c r="D1055" s="19">
        <v>313096287.05000001</v>
      </c>
      <c r="G1055" s="30">
        <f>SUM(G1054:G1054)</f>
        <v>4710000</v>
      </c>
    </row>
    <row r="1056" spans="1:7" x14ac:dyDescent="0.25">
      <c r="A1056" s="17"/>
      <c r="C1056" s="2" t="s">
        <v>33</v>
      </c>
      <c r="D1056" s="19">
        <v>88243132.400000006</v>
      </c>
      <c r="F1056" s="28" t="s">
        <v>29</v>
      </c>
      <c r="G1056" s="1"/>
    </row>
    <row r="1057" spans="1:7" x14ac:dyDescent="0.25">
      <c r="A1057" s="17"/>
      <c r="C1057" s="2" t="s">
        <v>34</v>
      </c>
      <c r="D1057" s="19">
        <v>3091726</v>
      </c>
      <c r="F1057" t="s">
        <v>539</v>
      </c>
      <c r="G1057" s="1">
        <v>697500</v>
      </c>
    </row>
    <row r="1058" spans="1:7" x14ac:dyDescent="0.25">
      <c r="A1058" s="17"/>
      <c r="C1058" s="2" t="s">
        <v>35</v>
      </c>
      <c r="D1058" s="19">
        <v>2450083.6</v>
      </c>
      <c r="F1058" t="s">
        <v>540</v>
      </c>
      <c r="G1058" s="1">
        <v>1960000</v>
      </c>
    </row>
    <row r="1059" spans="1:7" x14ac:dyDescent="0.25">
      <c r="A1059" s="17"/>
      <c r="C1059" s="2" t="s">
        <v>36</v>
      </c>
      <c r="D1059" s="19">
        <v>89625747</v>
      </c>
      <c r="F1059" t="s">
        <v>827</v>
      </c>
      <c r="G1059" s="1">
        <v>46006951</v>
      </c>
    </row>
    <row r="1060" spans="1:7" x14ac:dyDescent="0.25">
      <c r="A1060" s="17"/>
      <c r="C1060" s="2" t="s">
        <v>37</v>
      </c>
      <c r="D1060" s="19">
        <v>222543626</v>
      </c>
      <c r="F1060" t="s">
        <v>813</v>
      </c>
      <c r="G1060" s="1">
        <v>142800</v>
      </c>
    </row>
    <row r="1061" spans="1:7" x14ac:dyDescent="0.25">
      <c r="A1061" s="17"/>
      <c r="C1061" s="2" t="s">
        <v>51</v>
      </c>
      <c r="D1061" s="20">
        <v>130317</v>
      </c>
      <c r="F1061" t="s">
        <v>828</v>
      </c>
      <c r="G1061" s="1">
        <v>75706</v>
      </c>
    </row>
    <row r="1062" spans="1:7" x14ac:dyDescent="0.25">
      <c r="A1062" s="17"/>
      <c r="B1062" s="24" t="s">
        <v>19</v>
      </c>
      <c r="D1062" s="19">
        <f>SUM(D1054:D1061)</f>
        <v>896138658.96000004</v>
      </c>
      <c r="F1062" t="s">
        <v>832</v>
      </c>
      <c r="G1062" s="1">
        <v>133400</v>
      </c>
    </row>
    <row r="1063" spans="1:7" x14ac:dyDescent="0.25">
      <c r="A1063" s="17"/>
      <c r="D1063" s="19"/>
      <c r="G1063" s="30">
        <f>SUM(G1057:G1062)</f>
        <v>49016357</v>
      </c>
    </row>
    <row r="1064" spans="1:7" x14ac:dyDescent="0.25">
      <c r="A1064" s="17"/>
      <c r="B1064" s="24" t="s">
        <v>20</v>
      </c>
      <c r="D1064" s="19"/>
    </row>
    <row r="1065" spans="1:7" x14ac:dyDescent="0.25">
      <c r="A1065" s="17"/>
      <c r="C1065" t="s">
        <v>7</v>
      </c>
      <c r="D1065" s="19">
        <v>2416796537</v>
      </c>
      <c r="F1065" s="28" t="s">
        <v>30</v>
      </c>
      <c r="G1065" s="29">
        <f>G1055-G1063</f>
        <v>-44306357</v>
      </c>
    </row>
    <row r="1066" spans="1:7" x14ac:dyDescent="0.25">
      <c r="A1066" s="17"/>
      <c r="C1066" t="s">
        <v>47</v>
      </c>
      <c r="D1066" s="19">
        <v>26680000</v>
      </c>
    </row>
    <row r="1067" spans="1:7" x14ac:dyDescent="0.25">
      <c r="A1067" s="17"/>
      <c r="C1067" t="s">
        <v>21</v>
      </c>
      <c r="D1067" s="19">
        <v>768383838</v>
      </c>
    </row>
    <row r="1068" spans="1:7" x14ac:dyDescent="0.25">
      <c r="A1068" s="17"/>
      <c r="C1068" t="s">
        <v>773</v>
      </c>
      <c r="D1068" s="19">
        <v>316557000</v>
      </c>
    </row>
    <row r="1069" spans="1:7" x14ac:dyDescent="0.25">
      <c r="A1069" s="17"/>
      <c r="C1069" t="s">
        <v>45</v>
      </c>
      <c r="D1069" s="19">
        <v>25000000</v>
      </c>
    </row>
    <row r="1070" spans="1:7" x14ac:dyDescent="0.25">
      <c r="A1070" s="17"/>
      <c r="C1070" t="s">
        <v>48</v>
      </c>
      <c r="D1070" s="19">
        <v>30000000</v>
      </c>
    </row>
    <row r="1071" spans="1:7" x14ac:dyDescent="0.25">
      <c r="A1071" s="17"/>
      <c r="C1071" t="s">
        <v>518</v>
      </c>
      <c r="D1071" s="19">
        <v>100000000</v>
      </c>
    </row>
    <row r="1072" spans="1:7" x14ac:dyDescent="0.25">
      <c r="A1072" s="17"/>
      <c r="C1072" t="s">
        <v>744</v>
      </c>
      <c r="D1072" s="19">
        <v>1002500</v>
      </c>
      <c r="G1072" s="1"/>
    </row>
    <row r="1073" spans="1:7" x14ac:dyDescent="0.25">
      <c r="A1073" s="17"/>
      <c r="C1073" t="s">
        <v>756</v>
      </c>
      <c r="D1073" s="20">
        <v>50005000</v>
      </c>
      <c r="G1073" s="1"/>
    </row>
    <row r="1074" spans="1:7" x14ac:dyDescent="0.25">
      <c r="A1074" s="17"/>
      <c r="D1074" s="19">
        <f>SUM(D1065:D1073)</f>
        <v>3734424875</v>
      </c>
      <c r="G1074" s="1"/>
    </row>
    <row r="1075" spans="1:7" x14ac:dyDescent="0.25">
      <c r="A1075" s="17"/>
      <c r="D1075" s="19"/>
      <c r="G1075" s="1"/>
    </row>
    <row r="1076" spans="1:7" x14ac:dyDescent="0.25">
      <c r="A1076" s="17"/>
      <c r="B1076" s="24" t="s">
        <v>46</v>
      </c>
      <c r="D1076" s="19"/>
      <c r="G1076" s="1"/>
    </row>
    <row r="1077" spans="1:7" x14ac:dyDescent="0.25">
      <c r="A1077" s="17"/>
      <c r="B1077" s="24"/>
      <c r="C1077" t="s">
        <v>829</v>
      </c>
      <c r="D1077" s="19">
        <f>38*602500</f>
        <v>22895000</v>
      </c>
      <c r="G1077" s="1"/>
    </row>
    <row r="1078" spans="1:7" x14ac:dyDescent="0.25">
      <c r="A1078" s="17"/>
      <c r="B1078" s="24"/>
      <c r="C1078" t="s">
        <v>426</v>
      </c>
      <c r="D1078" s="20">
        <f>2*602500</f>
        <v>1205000</v>
      </c>
      <c r="G1078" s="1"/>
    </row>
    <row r="1079" spans="1:7" x14ac:dyDescent="0.25">
      <c r="A1079" s="17"/>
      <c r="D1079" s="19">
        <f>SUM(D1077:D1078)</f>
        <v>24100000</v>
      </c>
      <c r="G1079" s="1"/>
    </row>
    <row r="1080" spans="1:7" x14ac:dyDescent="0.25">
      <c r="A1080" s="17"/>
      <c r="D1080" s="19"/>
      <c r="G1080" s="1"/>
    </row>
    <row r="1081" spans="1:7" x14ac:dyDescent="0.25">
      <c r="A1081" s="23" t="s">
        <v>22</v>
      </c>
      <c r="D1081" s="19"/>
      <c r="G1081" s="1"/>
    </row>
    <row r="1082" spans="1:7" x14ac:dyDescent="0.25">
      <c r="A1082" s="17"/>
      <c r="C1082" t="s">
        <v>23</v>
      </c>
      <c r="D1082" s="19">
        <v>1496050000</v>
      </c>
      <c r="G1082" s="1"/>
    </row>
    <row r="1083" spans="1:7" x14ac:dyDescent="0.25">
      <c r="A1083" s="17"/>
      <c r="C1083" t="s">
        <v>24</v>
      </c>
      <c r="D1083" s="19">
        <v>1669370530</v>
      </c>
      <c r="G1083" s="1"/>
    </row>
    <row r="1084" spans="1:7" x14ac:dyDescent="0.25">
      <c r="A1084" s="17"/>
      <c r="C1084" t="s">
        <v>44</v>
      </c>
      <c r="D1084" s="20">
        <v>156150000</v>
      </c>
      <c r="G1084" s="1"/>
    </row>
    <row r="1085" spans="1:7" x14ac:dyDescent="0.25">
      <c r="A1085" s="17"/>
      <c r="D1085" s="19">
        <f>SUM(D1082:D1084)</f>
        <v>3321570530</v>
      </c>
      <c r="G1085" s="1"/>
    </row>
    <row r="1086" spans="1:7" x14ac:dyDescent="0.25">
      <c r="A1086" s="17"/>
      <c r="D1086" s="19"/>
      <c r="G1086" s="1"/>
    </row>
    <row r="1087" spans="1:7" x14ac:dyDescent="0.25">
      <c r="A1087" s="43" t="s">
        <v>25</v>
      </c>
      <c r="B1087" s="44"/>
      <c r="C1087" s="44"/>
      <c r="D1087" s="25">
        <f>D1062+D1074+D1079-D1085</f>
        <v>1333093003.96</v>
      </c>
      <c r="G1087" s="1"/>
    </row>
    <row r="1088" spans="1:7" x14ac:dyDescent="0.25">
      <c r="A1088" s="21"/>
      <c r="B1088" s="22"/>
      <c r="C1088" s="22"/>
      <c r="D1088" s="20"/>
      <c r="G1088" s="1"/>
    </row>
    <row r="1090" spans="1:7" x14ac:dyDescent="0.25">
      <c r="A1090" s="40" t="s">
        <v>13</v>
      </c>
      <c r="B1090" s="40"/>
      <c r="C1090" s="40"/>
      <c r="D1090" s="40"/>
      <c r="G1090" s="1"/>
    </row>
    <row r="1091" spans="1:7" x14ac:dyDescent="0.25">
      <c r="A1091" s="41" t="s">
        <v>14</v>
      </c>
      <c r="B1091" s="41"/>
      <c r="C1091" s="41"/>
      <c r="D1091" s="41"/>
      <c r="G1091" s="1"/>
    </row>
    <row r="1092" spans="1:7" x14ac:dyDescent="0.25">
      <c r="A1092" s="42">
        <v>45864</v>
      </c>
      <c r="B1092" s="42"/>
      <c r="C1092" s="42"/>
      <c r="D1092" s="42"/>
      <c r="G1092" s="1"/>
    </row>
    <row r="1093" spans="1:7" x14ac:dyDescent="0.25">
      <c r="A1093" s="13"/>
      <c r="B1093" s="13"/>
      <c r="C1093" s="13"/>
      <c r="D1093" s="13"/>
      <c r="G1093" s="1"/>
    </row>
    <row r="1094" spans="1:7" x14ac:dyDescent="0.25">
      <c r="A1094" s="14"/>
      <c r="B1094" s="15"/>
      <c r="C1094" s="15"/>
      <c r="D1094" s="16"/>
      <c r="F1094" s="5" t="s">
        <v>26</v>
      </c>
      <c r="G1094" s="1">
        <f>D1132-D1087</f>
        <v>1590000</v>
      </c>
    </row>
    <row r="1095" spans="1:7" x14ac:dyDescent="0.25">
      <c r="A1095" s="17"/>
      <c r="D1095" s="32" t="s">
        <v>16</v>
      </c>
      <c r="G1095" s="1"/>
    </row>
    <row r="1096" spans="1:7" x14ac:dyDescent="0.25">
      <c r="A1096" s="23" t="s">
        <v>15</v>
      </c>
      <c r="D1096" s="18" t="s">
        <v>17</v>
      </c>
      <c r="F1096" s="26" t="s">
        <v>27</v>
      </c>
      <c r="G1096" s="1"/>
    </row>
    <row r="1097" spans="1:7" x14ac:dyDescent="0.25">
      <c r="A1097" s="17"/>
      <c r="B1097" s="24" t="s">
        <v>18</v>
      </c>
      <c r="D1097" s="19"/>
      <c r="F1097" s="27" t="s">
        <v>28</v>
      </c>
      <c r="G1097" s="1"/>
    </row>
    <row r="1098" spans="1:7" x14ac:dyDescent="0.25">
      <c r="A1098" s="17"/>
      <c r="C1098" s="2" t="s">
        <v>31</v>
      </c>
      <c r="D1098" s="19">
        <v>176957739.91</v>
      </c>
      <c r="F1098" t="s">
        <v>359</v>
      </c>
      <c r="G1098" s="1">
        <v>1525000</v>
      </c>
    </row>
    <row r="1099" spans="1:7" x14ac:dyDescent="0.25">
      <c r="A1099" s="17"/>
      <c r="C1099" s="2" t="s">
        <v>32</v>
      </c>
      <c r="D1099" s="19">
        <v>319396287.05000001</v>
      </c>
      <c r="F1099" t="s">
        <v>90</v>
      </c>
      <c r="G1099" s="1">
        <v>65000</v>
      </c>
    </row>
    <row r="1100" spans="1:7" x14ac:dyDescent="0.25">
      <c r="A1100" s="17"/>
      <c r="C1100" s="2" t="s">
        <v>33</v>
      </c>
      <c r="D1100" s="19">
        <v>390355132.39999998</v>
      </c>
      <c r="G1100" s="30">
        <f>SUM(G1098:G1099)</f>
        <v>1590000</v>
      </c>
    </row>
    <row r="1101" spans="1:7" x14ac:dyDescent="0.25">
      <c r="A1101" s="17"/>
      <c r="C1101" s="2" t="s">
        <v>34</v>
      </c>
      <c r="D1101" s="19">
        <v>-31333274</v>
      </c>
      <c r="F1101" s="28" t="s">
        <v>29</v>
      </c>
      <c r="G1101" s="1"/>
    </row>
    <row r="1102" spans="1:7" x14ac:dyDescent="0.25">
      <c r="A1102" s="17"/>
      <c r="C1102" s="2" t="s">
        <v>35</v>
      </c>
      <c r="D1102" s="19">
        <v>2450083.6</v>
      </c>
      <c r="G1102" s="1">
        <v>0</v>
      </c>
    </row>
    <row r="1103" spans="1:7" x14ac:dyDescent="0.25">
      <c r="A1103" s="17"/>
      <c r="C1103" s="2" t="s">
        <v>36</v>
      </c>
      <c r="D1103" s="19">
        <v>89625747</v>
      </c>
      <c r="G1103" s="30">
        <f>SUM(G1102:G1102)</f>
        <v>0</v>
      </c>
    </row>
    <row r="1104" spans="1:7" x14ac:dyDescent="0.25">
      <c r="A1104" s="17"/>
      <c r="C1104" s="2" t="s">
        <v>37</v>
      </c>
      <c r="D1104" s="19">
        <v>333988626</v>
      </c>
    </row>
    <row r="1105" spans="1:7" x14ac:dyDescent="0.25">
      <c r="A1105" s="17"/>
      <c r="C1105" s="2" t="s">
        <v>51</v>
      </c>
      <c r="D1105" s="20">
        <v>130317</v>
      </c>
      <c r="F1105" s="28" t="s">
        <v>30</v>
      </c>
      <c r="G1105" s="29">
        <f>G1100-G1103</f>
        <v>1590000</v>
      </c>
    </row>
    <row r="1106" spans="1:7" x14ac:dyDescent="0.25">
      <c r="A1106" s="17"/>
      <c r="B1106" s="24" t="s">
        <v>19</v>
      </c>
      <c r="D1106" s="19">
        <f>SUM(D1098:D1105)</f>
        <v>1281570658.96</v>
      </c>
    </row>
    <row r="1107" spans="1:7" x14ac:dyDescent="0.25">
      <c r="A1107" s="17"/>
      <c r="D1107" s="19"/>
    </row>
    <row r="1108" spans="1:7" x14ac:dyDescent="0.25">
      <c r="A1108" s="17"/>
      <c r="B1108" s="24" t="s">
        <v>20</v>
      </c>
      <c r="D1108" s="19"/>
    </row>
    <row r="1109" spans="1:7" x14ac:dyDescent="0.25">
      <c r="A1109" s="17"/>
      <c r="C1109" t="s">
        <v>7</v>
      </c>
      <c r="D1109" s="19">
        <v>2493996537</v>
      </c>
    </row>
    <row r="1110" spans="1:7" x14ac:dyDescent="0.25">
      <c r="A1110" s="17"/>
      <c r="C1110" t="s">
        <v>47</v>
      </c>
      <c r="D1110" s="19">
        <v>21650000</v>
      </c>
    </row>
    <row r="1111" spans="1:7" x14ac:dyDescent="0.25">
      <c r="A1111" s="17"/>
      <c r="C1111" t="s">
        <v>21</v>
      </c>
      <c r="D1111" s="19">
        <v>759483838</v>
      </c>
    </row>
    <row r="1112" spans="1:7" x14ac:dyDescent="0.25">
      <c r="A1112" s="17"/>
      <c r="C1112" t="s">
        <v>773</v>
      </c>
      <c r="D1112" s="19">
        <v>310500000</v>
      </c>
    </row>
    <row r="1113" spans="1:7" x14ac:dyDescent="0.25">
      <c r="A1113" s="17"/>
      <c r="C1113" t="s">
        <v>45</v>
      </c>
      <c r="D1113" s="19">
        <v>25000000</v>
      </c>
    </row>
    <row r="1114" spans="1:7" x14ac:dyDescent="0.25">
      <c r="A1114" s="17"/>
      <c r="C1114" t="s">
        <v>48</v>
      </c>
      <c r="D1114" s="19">
        <v>30000000</v>
      </c>
    </row>
    <row r="1115" spans="1:7" x14ac:dyDescent="0.25">
      <c r="A1115" s="17"/>
      <c r="C1115" t="s">
        <v>518</v>
      </c>
      <c r="D1115" s="19">
        <v>50000000</v>
      </c>
    </row>
    <row r="1116" spans="1:7" x14ac:dyDescent="0.25">
      <c r="A1116" s="17"/>
      <c r="C1116" t="s">
        <v>744</v>
      </c>
      <c r="D1116" s="19">
        <v>1002500</v>
      </c>
      <c r="G1116" s="1"/>
    </row>
    <row r="1117" spans="1:7" x14ac:dyDescent="0.25">
      <c r="A1117" s="17"/>
      <c r="C1117" t="s">
        <v>756</v>
      </c>
      <c r="D1117" s="20">
        <v>50005000</v>
      </c>
      <c r="G1117" s="1"/>
    </row>
    <row r="1118" spans="1:7" x14ac:dyDescent="0.25">
      <c r="A1118" s="17"/>
      <c r="D1118" s="19">
        <f>SUM(D1109:D1117)</f>
        <v>3741637875</v>
      </c>
      <c r="G1118" s="1"/>
    </row>
    <row r="1119" spans="1:7" x14ac:dyDescent="0.25">
      <c r="A1119" s="17"/>
      <c r="D1119" s="19"/>
      <c r="G1119" s="1"/>
    </row>
    <row r="1120" spans="1:7" x14ac:dyDescent="0.25">
      <c r="A1120" s="17"/>
      <c r="B1120" s="24" t="s">
        <v>46</v>
      </c>
      <c r="D1120" s="19"/>
      <c r="G1120" s="1"/>
    </row>
    <row r="1121" spans="1:7" x14ac:dyDescent="0.25">
      <c r="A1121" s="17"/>
      <c r="B1121" s="24"/>
      <c r="C1121" t="s">
        <v>398</v>
      </c>
      <c r="D1121" s="19">
        <f>26*602500</f>
        <v>15665000</v>
      </c>
      <c r="G1121" s="1"/>
    </row>
    <row r="1122" spans="1:7" x14ac:dyDescent="0.25">
      <c r="A1122" s="17"/>
      <c r="B1122" s="24"/>
      <c r="C1122" t="s">
        <v>740</v>
      </c>
      <c r="D1122" s="19">
        <f>8*602500</f>
        <v>4820000</v>
      </c>
      <c r="G1122" s="1"/>
    </row>
    <row r="1123" spans="1:7" x14ac:dyDescent="0.25">
      <c r="A1123" s="17"/>
      <c r="B1123" s="24"/>
      <c r="C1123" t="s">
        <v>323</v>
      </c>
      <c r="D1123" s="20">
        <f>4*602500</f>
        <v>2410000</v>
      </c>
      <c r="G1123" s="1"/>
    </row>
    <row r="1124" spans="1:7" x14ac:dyDescent="0.25">
      <c r="A1124" s="17"/>
      <c r="D1124" s="19">
        <f>SUM(D1121:D1123)</f>
        <v>22895000</v>
      </c>
      <c r="G1124" s="1"/>
    </row>
    <row r="1125" spans="1:7" x14ac:dyDescent="0.25">
      <c r="A1125" s="17"/>
      <c r="D1125" s="19"/>
      <c r="G1125" s="1"/>
    </row>
    <row r="1126" spans="1:7" x14ac:dyDescent="0.25">
      <c r="A1126" s="23" t="s">
        <v>22</v>
      </c>
      <c r="D1126" s="19"/>
      <c r="G1126" s="1"/>
    </row>
    <row r="1127" spans="1:7" x14ac:dyDescent="0.25">
      <c r="A1127" s="17"/>
      <c r="C1127" t="s">
        <v>23</v>
      </c>
      <c r="D1127" s="19">
        <v>1885900000</v>
      </c>
      <c r="G1127" s="1"/>
    </row>
    <row r="1128" spans="1:7" x14ac:dyDescent="0.25">
      <c r="A1128" s="17"/>
      <c r="C1128" t="s">
        <v>24</v>
      </c>
      <c r="D1128" s="19">
        <v>1669370530</v>
      </c>
      <c r="G1128" s="1"/>
    </row>
    <row r="1129" spans="1:7" x14ac:dyDescent="0.25">
      <c r="A1129" s="17"/>
      <c r="C1129" t="s">
        <v>44</v>
      </c>
      <c r="D1129" s="20">
        <v>156150000</v>
      </c>
      <c r="G1129" s="1"/>
    </row>
    <row r="1130" spans="1:7" x14ac:dyDescent="0.25">
      <c r="A1130" s="17"/>
      <c r="D1130" s="19">
        <f>SUM(D1127:D1129)</f>
        <v>3711420530</v>
      </c>
      <c r="G1130" s="1"/>
    </row>
    <row r="1131" spans="1:7" x14ac:dyDescent="0.25">
      <c r="A1131" s="17"/>
      <c r="D1131" s="19"/>
      <c r="G1131" s="1"/>
    </row>
    <row r="1132" spans="1:7" x14ac:dyDescent="0.25">
      <c r="A1132" s="43" t="s">
        <v>25</v>
      </c>
      <c r="B1132" s="44"/>
      <c r="C1132" s="44"/>
      <c r="D1132" s="25">
        <f>D1106+D1118+D1124-D1130</f>
        <v>1334683003.96</v>
      </c>
      <c r="G1132" s="1"/>
    </row>
    <row r="1133" spans="1:7" x14ac:dyDescent="0.25">
      <c r="A1133" s="21"/>
      <c r="B1133" s="22"/>
      <c r="C1133" s="22"/>
      <c r="D1133" s="20"/>
      <c r="G1133" s="1"/>
    </row>
    <row r="1135" spans="1:7" x14ac:dyDescent="0.25">
      <c r="A1135" s="40" t="s">
        <v>13</v>
      </c>
      <c r="B1135" s="40"/>
      <c r="C1135" s="40"/>
      <c r="D1135" s="40"/>
      <c r="G1135" s="1"/>
    </row>
    <row r="1136" spans="1:7" x14ac:dyDescent="0.25">
      <c r="A1136" s="41" t="s">
        <v>14</v>
      </c>
      <c r="B1136" s="41"/>
      <c r="C1136" s="41"/>
      <c r="D1136" s="41"/>
      <c r="G1136" s="1"/>
    </row>
    <row r="1137" spans="1:7" x14ac:dyDescent="0.25">
      <c r="A1137" s="42">
        <v>45866</v>
      </c>
      <c r="B1137" s="42"/>
      <c r="C1137" s="42"/>
      <c r="D1137" s="42"/>
      <c r="G1137" s="1"/>
    </row>
    <row r="1138" spans="1:7" x14ac:dyDescent="0.25">
      <c r="A1138" s="13"/>
      <c r="B1138" s="13"/>
      <c r="C1138" s="13"/>
      <c r="D1138" s="13"/>
      <c r="G1138" s="1"/>
    </row>
    <row r="1139" spans="1:7" x14ac:dyDescent="0.25">
      <c r="A1139" s="14"/>
      <c r="B1139" s="15"/>
      <c r="C1139" s="15"/>
      <c r="D1139" s="16"/>
      <c r="F1139" s="5" t="s">
        <v>26</v>
      </c>
      <c r="G1139" s="1">
        <f>D1177-D1132</f>
        <v>3424000</v>
      </c>
    </row>
    <row r="1140" spans="1:7" x14ac:dyDescent="0.25">
      <c r="A1140" s="17"/>
      <c r="D1140" s="32" t="s">
        <v>16</v>
      </c>
      <c r="G1140" s="1"/>
    </row>
    <row r="1141" spans="1:7" x14ac:dyDescent="0.25">
      <c r="A1141" s="23" t="s">
        <v>15</v>
      </c>
      <c r="D1141" s="18" t="s">
        <v>17</v>
      </c>
      <c r="F1141" s="26" t="s">
        <v>27</v>
      </c>
      <c r="G1141" s="1"/>
    </row>
    <row r="1142" spans="1:7" x14ac:dyDescent="0.25">
      <c r="A1142" s="17"/>
      <c r="B1142" s="24" t="s">
        <v>18</v>
      </c>
      <c r="D1142" s="19"/>
      <c r="F1142" s="27" t="s">
        <v>28</v>
      </c>
      <c r="G1142" s="1"/>
    </row>
    <row r="1143" spans="1:7" x14ac:dyDescent="0.25">
      <c r="A1143" s="17"/>
      <c r="C1143" s="2" t="s">
        <v>31</v>
      </c>
      <c r="D1143" s="19">
        <v>260112239.91</v>
      </c>
      <c r="F1143" t="s">
        <v>254</v>
      </c>
      <c r="G1143" s="1">
        <v>5467000</v>
      </c>
    </row>
    <row r="1144" spans="1:7" x14ac:dyDescent="0.25">
      <c r="A1144" s="17"/>
      <c r="C1144" s="2" t="s">
        <v>32</v>
      </c>
      <c r="D1144" s="19">
        <v>327581287.05000001</v>
      </c>
      <c r="G1144" s="30">
        <f>SUM(G1143:G1143)</f>
        <v>5467000</v>
      </c>
    </row>
    <row r="1145" spans="1:7" x14ac:dyDescent="0.25">
      <c r="A1145" s="17"/>
      <c r="C1145" s="2" t="s">
        <v>33</v>
      </c>
      <c r="D1145" s="19">
        <v>445980132.39999998</v>
      </c>
      <c r="F1145" s="28" t="s">
        <v>29</v>
      </c>
      <c r="G1145" s="1"/>
    </row>
    <row r="1146" spans="1:7" x14ac:dyDescent="0.25">
      <c r="A1146" s="17"/>
      <c r="C1146" s="2" t="s">
        <v>34</v>
      </c>
      <c r="D1146" s="19">
        <v>28616726</v>
      </c>
      <c r="F1146" t="s">
        <v>161</v>
      </c>
      <c r="G1146" s="1">
        <v>5000</v>
      </c>
    </row>
    <row r="1147" spans="1:7" x14ac:dyDescent="0.25">
      <c r="A1147" s="17"/>
      <c r="C1147" s="2" t="s">
        <v>35</v>
      </c>
      <c r="D1147" s="19">
        <v>2450083.6</v>
      </c>
      <c r="F1147" t="s">
        <v>230</v>
      </c>
      <c r="G1147" s="1">
        <v>2500</v>
      </c>
    </row>
    <row r="1148" spans="1:7" x14ac:dyDescent="0.25">
      <c r="A1148" s="17"/>
      <c r="C1148" s="2" t="s">
        <v>36</v>
      </c>
      <c r="D1148" s="19">
        <v>873247</v>
      </c>
      <c r="F1148" t="s">
        <v>834</v>
      </c>
      <c r="G1148" s="1">
        <v>1030000</v>
      </c>
    </row>
    <row r="1149" spans="1:7" x14ac:dyDescent="0.25">
      <c r="A1149" s="17"/>
      <c r="C1149" s="2" t="s">
        <v>37</v>
      </c>
      <c r="D1149" s="19">
        <v>132117626</v>
      </c>
      <c r="F1149" t="s">
        <v>312</v>
      </c>
      <c r="G1149" s="1">
        <v>2500</v>
      </c>
    </row>
    <row r="1150" spans="1:7" x14ac:dyDescent="0.25">
      <c r="A1150" s="17"/>
      <c r="C1150" s="2" t="s">
        <v>51</v>
      </c>
      <c r="D1150" s="20">
        <v>130317</v>
      </c>
      <c r="F1150" t="s">
        <v>835</v>
      </c>
      <c r="G1150" s="1">
        <v>1003000</v>
      </c>
    </row>
    <row r="1151" spans="1:7" x14ac:dyDescent="0.25">
      <c r="A1151" s="17"/>
      <c r="B1151" s="24" t="s">
        <v>19</v>
      </c>
      <c r="D1151" s="19">
        <f>SUM(D1143:D1150)</f>
        <v>1197861658.96</v>
      </c>
      <c r="G1151" s="30">
        <f>SUM(G1146:G1150)</f>
        <v>2043000</v>
      </c>
    </row>
    <row r="1152" spans="1:7" x14ac:dyDescent="0.25">
      <c r="A1152" s="17"/>
      <c r="D1152" s="19"/>
    </row>
    <row r="1153" spans="1:7" x14ac:dyDescent="0.25">
      <c r="A1153" s="17"/>
      <c r="B1153" s="24" t="s">
        <v>20</v>
      </c>
      <c r="D1153" s="19"/>
      <c r="F1153" s="28" t="s">
        <v>30</v>
      </c>
      <c r="G1153" s="29">
        <f>G1144-G1151</f>
        <v>3424000</v>
      </c>
    </row>
    <row r="1154" spans="1:7" x14ac:dyDescent="0.25">
      <c r="A1154" s="17"/>
      <c r="C1154" t="s">
        <v>7</v>
      </c>
      <c r="D1154" s="19">
        <v>2367921537</v>
      </c>
    </row>
    <row r="1155" spans="1:7" x14ac:dyDescent="0.25">
      <c r="A1155" s="17"/>
      <c r="C1155" t="s">
        <v>47</v>
      </c>
      <c r="D1155" s="19">
        <v>13465000</v>
      </c>
    </row>
    <row r="1156" spans="1:7" x14ac:dyDescent="0.25">
      <c r="A1156" s="17"/>
      <c r="C1156" t="s">
        <v>21</v>
      </c>
      <c r="D1156" s="19">
        <v>776309838</v>
      </c>
    </row>
    <row r="1157" spans="1:7" x14ac:dyDescent="0.25">
      <c r="A1157" s="17"/>
      <c r="C1157" t="s">
        <v>773</v>
      </c>
      <c r="D1157" s="19">
        <v>310500000</v>
      </c>
    </row>
    <row r="1158" spans="1:7" x14ac:dyDescent="0.25">
      <c r="A1158" s="17"/>
      <c r="C1158" t="s">
        <v>45</v>
      </c>
      <c r="D1158" s="19">
        <v>25000000</v>
      </c>
    </row>
    <row r="1159" spans="1:7" x14ac:dyDescent="0.25">
      <c r="A1159" s="17"/>
      <c r="C1159" t="s">
        <v>48</v>
      </c>
      <c r="D1159" s="19">
        <v>30000000</v>
      </c>
    </row>
    <row r="1160" spans="1:7" x14ac:dyDescent="0.25">
      <c r="A1160" s="17"/>
      <c r="C1160" t="s">
        <v>518</v>
      </c>
      <c r="D1160" s="19">
        <v>50000000</v>
      </c>
    </row>
    <row r="1161" spans="1:7" x14ac:dyDescent="0.25">
      <c r="A1161" s="17"/>
      <c r="C1161" t="s">
        <v>744</v>
      </c>
      <c r="D1161" s="19">
        <v>1002500</v>
      </c>
      <c r="G1161" s="1"/>
    </row>
    <row r="1162" spans="1:7" x14ac:dyDescent="0.25">
      <c r="A1162" s="17"/>
      <c r="C1162" t="s">
        <v>756</v>
      </c>
      <c r="D1162" s="20">
        <v>50005000</v>
      </c>
      <c r="G1162" s="1"/>
    </row>
    <row r="1163" spans="1:7" x14ac:dyDescent="0.25">
      <c r="A1163" s="17"/>
      <c r="D1163" s="19">
        <f>SUM(D1154:D1162)</f>
        <v>3624203875</v>
      </c>
      <c r="G1163" s="1"/>
    </row>
    <row r="1164" spans="1:7" x14ac:dyDescent="0.25">
      <c r="A1164" s="17"/>
      <c r="D1164" s="19"/>
      <c r="G1164" s="1"/>
    </row>
    <row r="1165" spans="1:7" x14ac:dyDescent="0.25">
      <c r="A1165" s="17"/>
      <c r="B1165" s="24" t="s">
        <v>46</v>
      </c>
      <c r="D1165" s="19"/>
      <c r="G1165" s="1"/>
    </row>
    <row r="1166" spans="1:7" x14ac:dyDescent="0.25">
      <c r="A1166" s="17"/>
      <c r="B1166" s="24"/>
      <c r="C1166" t="s">
        <v>398</v>
      </c>
      <c r="D1166" s="19">
        <f>26*602500</f>
        <v>15665000</v>
      </c>
      <c r="G1166" s="1"/>
    </row>
    <row r="1167" spans="1:7" x14ac:dyDescent="0.25">
      <c r="A1167" s="17"/>
      <c r="B1167" s="24"/>
      <c r="C1167" t="s">
        <v>740</v>
      </c>
      <c r="D1167" s="19">
        <f>8*602500</f>
        <v>4820000</v>
      </c>
      <c r="G1167" s="1"/>
    </row>
    <row r="1168" spans="1:7" x14ac:dyDescent="0.25">
      <c r="A1168" s="17"/>
      <c r="B1168" s="24"/>
      <c r="C1168" t="s">
        <v>323</v>
      </c>
      <c r="D1168" s="20">
        <f>4*602500</f>
        <v>2410000</v>
      </c>
      <c r="G1168" s="1"/>
    </row>
    <row r="1169" spans="1:7" x14ac:dyDescent="0.25">
      <c r="A1169" s="17"/>
      <c r="D1169" s="19">
        <f>SUM(D1166:D1168)</f>
        <v>22895000</v>
      </c>
      <c r="G1169" s="1"/>
    </row>
    <row r="1170" spans="1:7" x14ac:dyDescent="0.25">
      <c r="A1170" s="17"/>
      <c r="D1170" s="19"/>
      <c r="G1170" s="1"/>
    </row>
    <row r="1171" spans="1:7" x14ac:dyDescent="0.25">
      <c r="A1171" s="23" t="s">
        <v>22</v>
      </c>
      <c r="D1171" s="19"/>
      <c r="G1171" s="1"/>
    </row>
    <row r="1172" spans="1:7" x14ac:dyDescent="0.25">
      <c r="A1172" s="17"/>
      <c r="C1172" t="s">
        <v>23</v>
      </c>
      <c r="D1172" s="19">
        <v>1769800000</v>
      </c>
      <c r="G1172" s="1"/>
    </row>
    <row r="1173" spans="1:7" x14ac:dyDescent="0.25">
      <c r="A1173" s="17"/>
      <c r="C1173" t="s">
        <v>24</v>
      </c>
      <c r="D1173" s="19">
        <v>1580903530</v>
      </c>
      <c r="G1173" s="1"/>
    </row>
    <row r="1174" spans="1:7" x14ac:dyDescent="0.25">
      <c r="A1174" s="17"/>
      <c r="C1174" t="s">
        <v>44</v>
      </c>
      <c r="D1174" s="20">
        <v>156150000</v>
      </c>
      <c r="G1174" s="1"/>
    </row>
    <row r="1175" spans="1:7" x14ac:dyDescent="0.25">
      <c r="A1175" s="17"/>
      <c r="D1175" s="19">
        <f>SUM(D1172:D1174)</f>
        <v>3506853530</v>
      </c>
      <c r="G1175" s="1"/>
    </row>
    <row r="1176" spans="1:7" x14ac:dyDescent="0.25">
      <c r="A1176" s="17"/>
      <c r="D1176" s="19"/>
      <c r="G1176" s="1"/>
    </row>
    <row r="1177" spans="1:7" x14ac:dyDescent="0.25">
      <c r="A1177" s="43" t="s">
        <v>25</v>
      </c>
      <c r="B1177" s="44"/>
      <c r="C1177" s="44"/>
      <c r="D1177" s="25">
        <f>D1151+D1163+D1169-D1175</f>
        <v>1338107003.96</v>
      </c>
      <c r="G1177" s="1"/>
    </row>
    <row r="1178" spans="1:7" x14ac:dyDescent="0.25">
      <c r="A1178" s="21"/>
      <c r="B1178" s="22"/>
      <c r="C1178" s="22"/>
      <c r="D1178" s="20"/>
      <c r="G1178" s="1"/>
    </row>
    <row r="1180" spans="1:7" x14ac:dyDescent="0.25">
      <c r="A1180" s="40" t="s">
        <v>13</v>
      </c>
      <c r="B1180" s="40"/>
      <c r="C1180" s="40"/>
      <c r="D1180" s="40"/>
      <c r="G1180" s="1"/>
    </row>
    <row r="1181" spans="1:7" x14ac:dyDescent="0.25">
      <c r="A1181" s="41" t="s">
        <v>14</v>
      </c>
      <c r="B1181" s="41"/>
      <c r="C1181" s="41"/>
      <c r="D1181" s="41"/>
      <c r="G1181" s="1"/>
    </row>
    <row r="1182" spans="1:7" x14ac:dyDescent="0.25">
      <c r="A1182" s="42">
        <v>45867</v>
      </c>
      <c r="B1182" s="42"/>
      <c r="C1182" s="42"/>
      <c r="D1182" s="42"/>
      <c r="G1182" s="1"/>
    </row>
    <row r="1183" spans="1:7" x14ac:dyDescent="0.25">
      <c r="A1183" s="13"/>
      <c r="B1183" s="13"/>
      <c r="C1183" s="13"/>
      <c r="D1183" s="13"/>
      <c r="G1183" s="1"/>
    </row>
    <row r="1184" spans="1:7" x14ac:dyDescent="0.25">
      <c r="A1184" s="14"/>
      <c r="B1184" s="15"/>
      <c r="C1184" s="15"/>
      <c r="D1184" s="16"/>
      <c r="F1184" s="5" t="s">
        <v>26</v>
      </c>
      <c r="G1184" s="1">
        <f>D1222-D1177</f>
        <v>-2567000</v>
      </c>
    </row>
    <row r="1185" spans="1:7" x14ac:dyDescent="0.25">
      <c r="A1185" s="17"/>
      <c r="D1185" s="32" t="s">
        <v>16</v>
      </c>
      <c r="G1185" s="1"/>
    </row>
    <row r="1186" spans="1:7" x14ac:dyDescent="0.25">
      <c r="A1186" s="23" t="s">
        <v>15</v>
      </c>
      <c r="D1186" s="18" t="s">
        <v>17</v>
      </c>
      <c r="F1186" s="26" t="s">
        <v>27</v>
      </c>
      <c r="G1186" s="1"/>
    </row>
    <row r="1187" spans="1:7" x14ac:dyDescent="0.25">
      <c r="A1187" s="17"/>
      <c r="B1187" s="24" t="s">
        <v>18</v>
      </c>
      <c r="D1187" s="19"/>
      <c r="F1187" s="27" t="s">
        <v>28</v>
      </c>
      <c r="G1187" s="1"/>
    </row>
    <row r="1188" spans="1:7" x14ac:dyDescent="0.25">
      <c r="A1188" s="17"/>
      <c r="C1188" s="2" t="s">
        <v>31</v>
      </c>
      <c r="D1188" s="19">
        <v>116372239.91</v>
      </c>
      <c r="F1188" t="s">
        <v>546</v>
      </c>
      <c r="G1188" s="1">
        <v>4683000</v>
      </c>
    </row>
    <row r="1189" spans="1:7" x14ac:dyDescent="0.25">
      <c r="A1189" s="17"/>
      <c r="C1189" s="2" t="s">
        <v>32</v>
      </c>
      <c r="D1189" s="19">
        <v>327581287.05000001</v>
      </c>
      <c r="G1189" s="30">
        <f>SUM(G1188:G1188)</f>
        <v>4683000</v>
      </c>
    </row>
    <row r="1190" spans="1:7" x14ac:dyDescent="0.25">
      <c r="A1190" s="17"/>
      <c r="C1190" s="2" t="s">
        <v>33</v>
      </c>
      <c r="D1190" s="19">
        <v>391751132.39999998</v>
      </c>
      <c r="F1190" s="28" t="s">
        <v>29</v>
      </c>
      <c r="G1190" s="1"/>
    </row>
    <row r="1191" spans="1:7" x14ac:dyDescent="0.25">
      <c r="A1191" s="17"/>
      <c r="C1191" s="2" t="s">
        <v>34</v>
      </c>
      <c r="D1191" s="19">
        <v>1841726</v>
      </c>
      <c r="F1191" t="s">
        <v>2</v>
      </c>
      <c r="G1191" s="1">
        <v>2250000</v>
      </c>
    </row>
    <row r="1192" spans="1:7" x14ac:dyDescent="0.25">
      <c r="A1192" s="17"/>
      <c r="C1192" s="2" t="s">
        <v>35</v>
      </c>
      <c r="D1192" s="19">
        <v>2450083.6</v>
      </c>
      <c r="F1192" t="s">
        <v>112</v>
      </c>
      <c r="G1192" s="1">
        <v>5000000</v>
      </c>
    </row>
    <row r="1193" spans="1:7" x14ac:dyDescent="0.25">
      <c r="A1193" s="17"/>
      <c r="C1193" s="2" t="s">
        <v>36</v>
      </c>
      <c r="D1193" s="19">
        <v>873247</v>
      </c>
      <c r="G1193" s="30">
        <f>SUM(G1191:G1192)</f>
        <v>7250000</v>
      </c>
    </row>
    <row r="1194" spans="1:7" x14ac:dyDescent="0.25">
      <c r="A1194" s="17"/>
      <c r="C1194" s="2" t="s">
        <v>37</v>
      </c>
      <c r="D1194" s="19">
        <v>246403626</v>
      </c>
    </row>
    <row r="1195" spans="1:7" x14ac:dyDescent="0.25">
      <c r="A1195" s="17"/>
      <c r="C1195" s="2" t="s">
        <v>51</v>
      </c>
      <c r="D1195" s="20">
        <v>130317</v>
      </c>
      <c r="F1195" s="28" t="s">
        <v>30</v>
      </c>
      <c r="G1195" s="29">
        <f>G1189-G1193</f>
        <v>-2567000</v>
      </c>
    </row>
    <row r="1196" spans="1:7" x14ac:dyDescent="0.25">
      <c r="A1196" s="17"/>
      <c r="B1196" s="24" t="s">
        <v>19</v>
      </c>
      <c r="D1196" s="19">
        <f>SUM(D1188:D1195)</f>
        <v>1087403658.96</v>
      </c>
    </row>
    <row r="1197" spans="1:7" x14ac:dyDescent="0.25">
      <c r="A1197" s="17"/>
      <c r="D1197" s="19"/>
    </row>
    <row r="1198" spans="1:7" x14ac:dyDescent="0.25">
      <c r="A1198" s="17"/>
      <c r="B1198" s="24" t="s">
        <v>20</v>
      </c>
      <c r="D1198" s="19"/>
    </row>
    <row r="1199" spans="1:7" x14ac:dyDescent="0.25">
      <c r="A1199" s="17"/>
      <c r="C1199" t="s">
        <v>7</v>
      </c>
      <c r="D1199" s="19">
        <v>2812936537</v>
      </c>
    </row>
    <row r="1200" spans="1:7" x14ac:dyDescent="0.25">
      <c r="A1200" s="17"/>
      <c r="C1200" t="s">
        <v>47</v>
      </c>
      <c r="D1200" s="19">
        <v>13465000</v>
      </c>
    </row>
    <row r="1201" spans="1:7" x14ac:dyDescent="0.25">
      <c r="A1201" s="17"/>
      <c r="C1201" t="s">
        <v>21</v>
      </c>
      <c r="D1201" s="19">
        <v>755323838</v>
      </c>
    </row>
    <row r="1202" spans="1:7" x14ac:dyDescent="0.25">
      <c r="A1202" s="17"/>
      <c r="C1202" t="s">
        <v>773</v>
      </c>
      <c r="D1202" s="19">
        <v>310500000</v>
      </c>
    </row>
    <row r="1203" spans="1:7" x14ac:dyDescent="0.25">
      <c r="A1203" s="17"/>
      <c r="C1203" t="s">
        <v>45</v>
      </c>
      <c r="D1203" s="19">
        <v>25000000</v>
      </c>
    </row>
    <row r="1204" spans="1:7" x14ac:dyDescent="0.25">
      <c r="A1204" s="17"/>
      <c r="C1204" t="s">
        <v>48</v>
      </c>
      <c r="D1204" s="19">
        <v>30000000</v>
      </c>
    </row>
    <row r="1205" spans="1:7" x14ac:dyDescent="0.25">
      <c r="A1205" s="17"/>
      <c r="C1205" t="s">
        <v>518</v>
      </c>
      <c r="D1205" s="19">
        <v>50000000</v>
      </c>
    </row>
    <row r="1206" spans="1:7" x14ac:dyDescent="0.25">
      <c r="A1206" s="17"/>
      <c r="C1206" t="s">
        <v>744</v>
      </c>
      <c r="D1206" s="19">
        <v>1002500</v>
      </c>
      <c r="G1206" s="1"/>
    </row>
    <row r="1207" spans="1:7" x14ac:dyDescent="0.25">
      <c r="A1207" s="17"/>
      <c r="C1207" t="s">
        <v>836</v>
      </c>
      <c r="D1207" s="19">
        <f>9000*8750</f>
        <v>78750000</v>
      </c>
      <c r="G1207" s="1"/>
    </row>
    <row r="1208" spans="1:7" x14ac:dyDescent="0.25">
      <c r="A1208" s="17"/>
      <c r="C1208" t="s">
        <v>756</v>
      </c>
      <c r="D1208" s="20">
        <v>50005000</v>
      </c>
      <c r="G1208" s="1"/>
    </row>
    <row r="1209" spans="1:7" x14ac:dyDescent="0.25">
      <c r="A1209" s="17"/>
      <c r="D1209" s="19">
        <f>SUM(D1199:D1208)</f>
        <v>4126982875</v>
      </c>
      <c r="G1209" s="1"/>
    </row>
    <row r="1210" spans="1:7" x14ac:dyDescent="0.25">
      <c r="A1210" s="17"/>
      <c r="D1210" s="19"/>
      <c r="G1210" s="1"/>
    </row>
    <row r="1211" spans="1:7" x14ac:dyDescent="0.25">
      <c r="A1211" s="17"/>
      <c r="B1211" s="24" t="s">
        <v>46</v>
      </c>
      <c r="D1211" s="19"/>
      <c r="G1211" s="1"/>
    </row>
    <row r="1212" spans="1:7" x14ac:dyDescent="0.25">
      <c r="A1212" s="17"/>
      <c r="B1212" s="24"/>
      <c r="C1212" t="s">
        <v>398</v>
      </c>
      <c r="D1212" s="19">
        <f>26*602500</f>
        <v>15665000</v>
      </c>
      <c r="G1212" s="1"/>
    </row>
    <row r="1213" spans="1:7" x14ac:dyDescent="0.25">
      <c r="A1213" s="17"/>
      <c r="B1213" s="24"/>
      <c r="C1213" t="s">
        <v>740</v>
      </c>
      <c r="D1213" s="19">
        <f>8*602500</f>
        <v>4820000</v>
      </c>
      <c r="G1213" s="1"/>
    </row>
    <row r="1214" spans="1:7" x14ac:dyDescent="0.25">
      <c r="A1214" s="17"/>
      <c r="B1214" s="24"/>
      <c r="C1214" t="s">
        <v>323</v>
      </c>
      <c r="D1214" s="20">
        <f>4*602500</f>
        <v>2410000</v>
      </c>
      <c r="G1214" s="1"/>
    </row>
    <row r="1215" spans="1:7" x14ac:dyDescent="0.25">
      <c r="A1215" s="17"/>
      <c r="D1215" s="19">
        <f>SUM(D1212:D1214)</f>
        <v>22895000</v>
      </c>
      <c r="G1215" s="1"/>
    </row>
    <row r="1216" spans="1:7" x14ac:dyDescent="0.25">
      <c r="A1216" s="17"/>
      <c r="D1216" s="19"/>
      <c r="G1216" s="1"/>
    </row>
    <row r="1217" spans="1:7" x14ac:dyDescent="0.25">
      <c r="A1217" s="23" t="s">
        <v>22</v>
      </c>
      <c r="D1217" s="19"/>
      <c r="G1217" s="1"/>
    </row>
    <row r="1218" spans="1:7" x14ac:dyDescent="0.25">
      <c r="A1218" s="17"/>
      <c r="C1218" t="s">
        <v>23</v>
      </c>
      <c r="D1218" s="19">
        <v>2109025000</v>
      </c>
      <c r="G1218" s="1"/>
    </row>
    <row r="1219" spans="1:7" x14ac:dyDescent="0.25">
      <c r="A1219" s="17"/>
      <c r="C1219" t="s">
        <v>24</v>
      </c>
      <c r="D1219" s="20">
        <v>1792716530</v>
      </c>
      <c r="G1219" s="1"/>
    </row>
    <row r="1220" spans="1:7" x14ac:dyDescent="0.25">
      <c r="A1220" s="17"/>
      <c r="D1220" s="19">
        <f>SUM(D1218:D1219)</f>
        <v>3901741530</v>
      </c>
      <c r="G1220" s="1"/>
    </row>
    <row r="1221" spans="1:7" x14ac:dyDescent="0.25">
      <c r="A1221" s="17"/>
      <c r="D1221" s="19"/>
      <c r="G1221" s="1"/>
    </row>
    <row r="1222" spans="1:7" x14ac:dyDescent="0.25">
      <c r="A1222" s="43" t="s">
        <v>25</v>
      </c>
      <c r="B1222" s="44"/>
      <c r="C1222" s="44"/>
      <c r="D1222" s="25">
        <f>D1196+D1209+D1215-D1220</f>
        <v>1335540003.96</v>
      </c>
      <c r="G1222" s="1"/>
    </row>
    <row r="1223" spans="1:7" x14ac:dyDescent="0.25">
      <c r="A1223" s="21"/>
      <c r="B1223" s="22"/>
      <c r="C1223" s="22"/>
      <c r="D1223" s="20"/>
      <c r="G1223" s="1"/>
    </row>
    <row r="1225" spans="1:7" x14ac:dyDescent="0.25">
      <c r="A1225" s="40" t="s">
        <v>13</v>
      </c>
      <c r="B1225" s="40"/>
      <c r="C1225" s="40"/>
      <c r="D1225" s="40"/>
      <c r="G1225" s="1"/>
    </row>
    <row r="1226" spans="1:7" x14ac:dyDescent="0.25">
      <c r="A1226" s="41" t="s">
        <v>14</v>
      </c>
      <c r="B1226" s="41"/>
      <c r="C1226" s="41"/>
      <c r="D1226" s="41"/>
      <c r="G1226" s="1"/>
    </row>
    <row r="1227" spans="1:7" x14ac:dyDescent="0.25">
      <c r="A1227" s="42">
        <v>45868</v>
      </c>
      <c r="B1227" s="42"/>
      <c r="C1227" s="42"/>
      <c r="D1227" s="42"/>
      <c r="G1227" s="1"/>
    </row>
    <row r="1228" spans="1:7" x14ac:dyDescent="0.25">
      <c r="A1228" s="13"/>
      <c r="B1228" s="13"/>
      <c r="C1228" s="13"/>
      <c r="D1228" s="13"/>
      <c r="G1228" s="1"/>
    </row>
    <row r="1229" spans="1:7" x14ac:dyDescent="0.25">
      <c r="A1229" s="14"/>
      <c r="B1229" s="15"/>
      <c r="C1229" s="15"/>
      <c r="D1229" s="16"/>
      <c r="F1229" s="5" t="s">
        <v>26</v>
      </c>
      <c r="G1229" s="1">
        <f>D1267-D1222</f>
        <v>13823000</v>
      </c>
    </row>
    <row r="1230" spans="1:7" x14ac:dyDescent="0.25">
      <c r="A1230" s="17"/>
      <c r="D1230" s="32" t="s">
        <v>16</v>
      </c>
      <c r="G1230" s="1"/>
    </row>
    <row r="1231" spans="1:7" x14ac:dyDescent="0.25">
      <c r="A1231" s="23" t="s">
        <v>15</v>
      </c>
      <c r="D1231" s="18" t="s">
        <v>17</v>
      </c>
      <c r="F1231" s="26" t="s">
        <v>27</v>
      </c>
      <c r="G1231" s="1"/>
    </row>
    <row r="1232" spans="1:7" x14ac:dyDescent="0.25">
      <c r="A1232" s="17"/>
      <c r="B1232" s="24" t="s">
        <v>18</v>
      </c>
      <c r="D1232" s="19"/>
      <c r="F1232" s="27" t="s">
        <v>28</v>
      </c>
      <c r="G1232" s="1"/>
    </row>
    <row r="1233" spans="1:9" x14ac:dyDescent="0.25">
      <c r="A1233" s="17"/>
      <c r="C1233" s="2" t="s">
        <v>31</v>
      </c>
      <c r="D1233" s="19">
        <v>121372239.91</v>
      </c>
      <c r="F1233" t="s">
        <v>669</v>
      </c>
      <c r="G1233" s="1">
        <v>15722500</v>
      </c>
    </row>
    <row r="1234" spans="1:9" x14ac:dyDescent="0.25">
      <c r="A1234" s="17"/>
      <c r="C1234" s="2" t="s">
        <v>32</v>
      </c>
      <c r="D1234" s="19">
        <v>158881287.05000001</v>
      </c>
      <c r="F1234" t="s">
        <v>90</v>
      </c>
      <c r="G1234" s="1">
        <v>115000</v>
      </c>
    </row>
    <row r="1235" spans="1:9" x14ac:dyDescent="0.25">
      <c r="A1235" s="17"/>
      <c r="C1235" s="2" t="s">
        <v>33</v>
      </c>
      <c r="D1235" s="19">
        <v>352193632.39999998</v>
      </c>
      <c r="F1235" t="s">
        <v>122</v>
      </c>
      <c r="G1235" s="1">
        <v>457500</v>
      </c>
    </row>
    <row r="1236" spans="1:9" x14ac:dyDescent="0.25">
      <c r="A1236" s="17"/>
      <c r="C1236" s="2" t="s">
        <v>34</v>
      </c>
      <c r="D1236" s="19">
        <v>2541726</v>
      </c>
      <c r="G1236" s="30">
        <f>SUM(G1233:G1235)</f>
        <v>16295000</v>
      </c>
      <c r="I1236" s="38"/>
    </row>
    <row r="1237" spans="1:9" x14ac:dyDescent="0.25">
      <c r="A1237" s="17"/>
      <c r="C1237" s="2" t="s">
        <v>35</v>
      </c>
      <c r="D1237" s="19">
        <v>2450083.6</v>
      </c>
      <c r="F1237" s="28" t="s">
        <v>29</v>
      </c>
      <c r="G1237" s="1"/>
    </row>
    <row r="1238" spans="1:9" x14ac:dyDescent="0.25">
      <c r="A1238" s="17"/>
      <c r="C1238" s="2" t="s">
        <v>36</v>
      </c>
      <c r="D1238" s="19">
        <v>873247</v>
      </c>
      <c r="F1238" t="s">
        <v>181</v>
      </c>
      <c r="G1238" s="1">
        <v>1500000</v>
      </c>
    </row>
    <row r="1239" spans="1:9" x14ac:dyDescent="0.25">
      <c r="A1239" s="17"/>
      <c r="C1239" s="2" t="s">
        <v>37</v>
      </c>
      <c r="D1239" s="19">
        <v>411628626</v>
      </c>
      <c r="F1239" t="s">
        <v>182</v>
      </c>
      <c r="G1239" s="1">
        <v>500000</v>
      </c>
    </row>
    <row r="1240" spans="1:9" x14ac:dyDescent="0.25">
      <c r="A1240" s="17"/>
      <c r="C1240" s="2" t="s">
        <v>51</v>
      </c>
      <c r="D1240" s="20">
        <v>130317</v>
      </c>
      <c r="F1240" t="s">
        <v>840</v>
      </c>
      <c r="G1240" s="1">
        <v>472000</v>
      </c>
    </row>
    <row r="1241" spans="1:9" x14ac:dyDescent="0.25">
      <c r="A1241" s="17"/>
      <c r="B1241" s="24" t="s">
        <v>19</v>
      </c>
      <c r="D1241" s="19">
        <f>SUM(D1233:D1240)</f>
        <v>1050071158.96</v>
      </c>
      <c r="G1241" s="30">
        <f>SUM(G1238:G1240)</f>
        <v>2472000</v>
      </c>
    </row>
    <row r="1242" spans="1:9" x14ac:dyDescent="0.25">
      <c r="A1242" s="17"/>
      <c r="D1242" s="19"/>
    </row>
    <row r="1243" spans="1:9" x14ac:dyDescent="0.25">
      <c r="A1243" s="17"/>
      <c r="B1243" s="24" t="s">
        <v>20</v>
      </c>
      <c r="D1243" s="19"/>
      <c r="F1243" s="28" t="s">
        <v>30</v>
      </c>
      <c r="G1243" s="29">
        <f>G1236-G1241</f>
        <v>13823000</v>
      </c>
    </row>
    <row r="1244" spans="1:9" x14ac:dyDescent="0.25">
      <c r="A1244" s="17"/>
      <c r="C1244" t="s">
        <v>7</v>
      </c>
      <c r="D1244" s="19">
        <v>2343915537</v>
      </c>
    </row>
    <row r="1245" spans="1:9" x14ac:dyDescent="0.25">
      <c r="A1245" s="17"/>
      <c r="C1245" t="s">
        <v>47</v>
      </c>
      <c r="D1245" s="19">
        <v>14785000</v>
      </c>
    </row>
    <row r="1246" spans="1:9" x14ac:dyDescent="0.25">
      <c r="A1246" s="17"/>
      <c r="C1246" t="s">
        <v>21</v>
      </c>
      <c r="D1246" s="19">
        <v>860923838</v>
      </c>
    </row>
    <row r="1247" spans="1:9" x14ac:dyDescent="0.25">
      <c r="A1247" s="17"/>
      <c r="C1247" t="s">
        <v>773</v>
      </c>
      <c r="D1247" s="19">
        <v>386550000</v>
      </c>
    </row>
    <row r="1248" spans="1:9" x14ac:dyDescent="0.25">
      <c r="A1248" s="17"/>
      <c r="C1248" t="s">
        <v>45</v>
      </c>
      <c r="D1248" s="19">
        <v>25000000</v>
      </c>
    </row>
    <row r="1249" spans="1:7" x14ac:dyDescent="0.25">
      <c r="A1249" s="17"/>
      <c r="C1249" t="s">
        <v>48</v>
      </c>
      <c r="D1249" s="19">
        <v>30000000</v>
      </c>
    </row>
    <row r="1250" spans="1:7" x14ac:dyDescent="0.25">
      <c r="A1250" s="17"/>
      <c r="C1250" t="s">
        <v>518</v>
      </c>
      <c r="D1250" s="19">
        <v>50000000</v>
      </c>
    </row>
    <row r="1251" spans="1:7" x14ac:dyDescent="0.25">
      <c r="A1251" s="17"/>
      <c r="C1251" t="s">
        <v>744</v>
      </c>
      <c r="D1251" s="19">
        <v>1002500</v>
      </c>
      <c r="G1251" s="1"/>
    </row>
    <row r="1252" spans="1:7" x14ac:dyDescent="0.25">
      <c r="A1252" s="17"/>
      <c r="C1252" t="s">
        <v>839</v>
      </c>
      <c r="D1252" s="19">
        <v>4484000</v>
      </c>
      <c r="G1252" s="1"/>
    </row>
    <row r="1253" spans="1:7" x14ac:dyDescent="0.25">
      <c r="A1253" s="17"/>
      <c r="C1253" t="s">
        <v>756</v>
      </c>
      <c r="D1253" s="20">
        <v>50005000</v>
      </c>
      <c r="G1253" s="1"/>
    </row>
    <row r="1254" spans="1:7" x14ac:dyDescent="0.25">
      <c r="A1254" s="17"/>
      <c r="D1254" s="19">
        <f>SUM(D1244:D1253)</f>
        <v>3766665875</v>
      </c>
      <c r="G1254" s="1"/>
    </row>
    <row r="1255" spans="1:7" x14ac:dyDescent="0.25">
      <c r="A1255" s="17"/>
      <c r="D1255" s="19"/>
      <c r="G1255" s="1"/>
    </row>
    <row r="1256" spans="1:7" x14ac:dyDescent="0.25">
      <c r="A1256" s="17"/>
      <c r="B1256" s="24" t="s">
        <v>46</v>
      </c>
      <c r="D1256" s="19"/>
      <c r="G1256" s="1"/>
    </row>
    <row r="1257" spans="1:7" x14ac:dyDescent="0.25">
      <c r="A1257" s="17"/>
      <c r="B1257" s="24"/>
      <c r="C1257" t="s">
        <v>837</v>
      </c>
      <c r="D1257" s="19">
        <f>306*602500</f>
        <v>184365000</v>
      </c>
      <c r="G1257" s="1"/>
    </row>
    <row r="1258" spans="1:7" x14ac:dyDescent="0.25">
      <c r="A1258" s="17"/>
      <c r="B1258" s="24"/>
      <c r="C1258" t="s">
        <v>126</v>
      </c>
      <c r="D1258" s="19">
        <f>6*602500</f>
        <v>3615000</v>
      </c>
      <c r="G1258" s="1"/>
    </row>
    <row r="1259" spans="1:7" x14ac:dyDescent="0.25">
      <c r="A1259" s="17"/>
      <c r="B1259" s="24"/>
      <c r="C1259" t="s">
        <v>323</v>
      </c>
      <c r="D1259" s="20">
        <f>4*602500</f>
        <v>2410000</v>
      </c>
      <c r="G1259" s="1"/>
    </row>
    <row r="1260" spans="1:7" x14ac:dyDescent="0.25">
      <c r="A1260" s="17"/>
      <c r="D1260" s="19">
        <f>SUM(D1257:D1259)</f>
        <v>190390000</v>
      </c>
      <c r="G1260" s="1"/>
    </row>
    <row r="1261" spans="1:7" x14ac:dyDescent="0.25">
      <c r="A1261" s="17"/>
      <c r="D1261" s="19"/>
      <c r="G1261" s="1"/>
    </row>
    <row r="1262" spans="1:7" x14ac:dyDescent="0.25">
      <c r="A1262" s="23" t="s">
        <v>22</v>
      </c>
      <c r="D1262" s="19"/>
      <c r="G1262" s="1"/>
    </row>
    <row r="1263" spans="1:7" x14ac:dyDescent="0.25">
      <c r="A1263" s="17"/>
      <c r="C1263" t="s">
        <v>23</v>
      </c>
      <c r="D1263" s="19">
        <v>2120775000</v>
      </c>
      <c r="G1263" s="1"/>
    </row>
    <row r="1264" spans="1:7" x14ac:dyDescent="0.25">
      <c r="A1264" s="17"/>
      <c r="C1264" t="s">
        <v>24</v>
      </c>
      <c r="D1264" s="20">
        <v>1536989030</v>
      </c>
      <c r="G1264" s="1"/>
    </row>
    <row r="1265" spans="1:7" x14ac:dyDescent="0.25">
      <c r="A1265" s="17"/>
      <c r="D1265" s="19">
        <f>SUM(D1263:D1264)</f>
        <v>3657764030</v>
      </c>
      <c r="G1265" s="1"/>
    </row>
    <row r="1266" spans="1:7" x14ac:dyDescent="0.25">
      <c r="A1266" s="17"/>
      <c r="D1266" s="19"/>
      <c r="G1266" s="1"/>
    </row>
    <row r="1267" spans="1:7" x14ac:dyDescent="0.25">
      <c r="A1267" s="43" t="s">
        <v>25</v>
      </c>
      <c r="B1267" s="44"/>
      <c r="C1267" s="44"/>
      <c r="D1267" s="25">
        <f>D1241+D1254+D1260-D1265</f>
        <v>1349363003.96</v>
      </c>
      <c r="G1267" s="1"/>
    </row>
    <row r="1268" spans="1:7" x14ac:dyDescent="0.25">
      <c r="A1268" s="21"/>
      <c r="B1268" s="22"/>
      <c r="C1268" s="22"/>
      <c r="D1268" s="20"/>
      <c r="G1268" s="1"/>
    </row>
    <row r="1270" spans="1:7" x14ac:dyDescent="0.25">
      <c r="A1270" s="40" t="s">
        <v>13</v>
      </c>
      <c r="B1270" s="40"/>
      <c r="C1270" s="40"/>
      <c r="D1270" s="40"/>
      <c r="G1270" s="1"/>
    </row>
    <row r="1271" spans="1:7" x14ac:dyDescent="0.25">
      <c r="A1271" s="41" t="s">
        <v>14</v>
      </c>
      <c r="B1271" s="41"/>
      <c r="C1271" s="41"/>
      <c r="D1271" s="41"/>
      <c r="G1271" s="1"/>
    </row>
    <row r="1272" spans="1:7" x14ac:dyDescent="0.25">
      <c r="A1272" s="42">
        <v>45869</v>
      </c>
      <c r="B1272" s="42"/>
      <c r="C1272" s="42"/>
      <c r="D1272" s="42"/>
      <c r="G1272" s="1"/>
    </row>
    <row r="1273" spans="1:7" x14ac:dyDescent="0.25">
      <c r="A1273" s="13"/>
      <c r="B1273" s="13"/>
      <c r="C1273" s="13"/>
      <c r="D1273" s="13"/>
      <c r="G1273" s="1"/>
    </row>
    <row r="1274" spans="1:7" x14ac:dyDescent="0.25">
      <c r="A1274" s="14"/>
      <c r="B1274" s="15"/>
      <c r="C1274" s="15"/>
      <c r="D1274" s="16"/>
      <c r="F1274" s="5" t="s">
        <v>26</v>
      </c>
      <c r="G1274" s="1">
        <f>D1312-D1267</f>
        <v>3403450</v>
      </c>
    </row>
    <row r="1275" spans="1:7" x14ac:dyDescent="0.25">
      <c r="A1275" s="17"/>
      <c r="D1275" s="32" t="s">
        <v>16</v>
      </c>
      <c r="G1275" s="1"/>
    </row>
    <row r="1276" spans="1:7" x14ac:dyDescent="0.25">
      <c r="A1276" s="23" t="s">
        <v>15</v>
      </c>
      <c r="D1276" s="18" t="s">
        <v>17</v>
      </c>
      <c r="F1276" s="26" t="s">
        <v>27</v>
      </c>
      <c r="G1276" s="1"/>
    </row>
    <row r="1277" spans="1:7" x14ac:dyDescent="0.25">
      <c r="A1277" s="17"/>
      <c r="B1277" s="24" t="s">
        <v>18</v>
      </c>
      <c r="D1277" s="19"/>
      <c r="F1277" s="27" t="s">
        <v>28</v>
      </c>
      <c r="G1277" s="1"/>
    </row>
    <row r="1278" spans="1:7" x14ac:dyDescent="0.25">
      <c r="A1278" s="17"/>
      <c r="C1278" s="2" t="s">
        <v>31</v>
      </c>
      <c r="D1278" s="19">
        <v>101372239.91</v>
      </c>
      <c r="F1278" t="s">
        <v>11</v>
      </c>
      <c r="G1278" s="1">
        <v>5046000</v>
      </c>
    </row>
    <row r="1279" spans="1:7" x14ac:dyDescent="0.25">
      <c r="A1279" s="17"/>
      <c r="C1279" s="2" t="s">
        <v>32</v>
      </c>
      <c r="D1279" s="19">
        <v>166551287.05000001</v>
      </c>
      <c r="F1279" t="s">
        <v>90</v>
      </c>
      <c r="G1279" s="1">
        <v>325000</v>
      </c>
    </row>
    <row r="1280" spans="1:7" x14ac:dyDescent="0.25">
      <c r="A1280" s="17"/>
      <c r="C1280" s="2" t="s">
        <v>33</v>
      </c>
      <c r="D1280" s="19">
        <v>421188982.39999998</v>
      </c>
      <c r="F1280" t="s">
        <v>842</v>
      </c>
      <c r="G1280" s="1">
        <v>450000</v>
      </c>
    </row>
    <row r="1281" spans="1:9" x14ac:dyDescent="0.25">
      <c r="A1281" s="17"/>
      <c r="C1281" s="2" t="s">
        <v>34</v>
      </c>
      <c r="D1281" s="19">
        <v>7150726</v>
      </c>
      <c r="G1281" s="30">
        <f>SUM(G1278:G1280)</f>
        <v>5821000</v>
      </c>
    </row>
    <row r="1282" spans="1:9" x14ac:dyDescent="0.25">
      <c r="A1282" s="17"/>
      <c r="C1282" s="2" t="s">
        <v>35</v>
      </c>
      <c r="D1282" s="19">
        <v>2450083.6</v>
      </c>
      <c r="F1282" s="28" t="s">
        <v>29</v>
      </c>
      <c r="G1282" s="1"/>
    </row>
    <row r="1283" spans="1:9" x14ac:dyDescent="0.25">
      <c r="A1283" s="17"/>
      <c r="C1283" s="2" t="s">
        <v>36</v>
      </c>
      <c r="D1283" s="19">
        <v>873247</v>
      </c>
      <c r="F1283" t="s">
        <v>104</v>
      </c>
      <c r="G1283" s="1">
        <v>2250000</v>
      </c>
      <c r="I1283" s="38"/>
    </row>
    <row r="1284" spans="1:9" x14ac:dyDescent="0.25">
      <c r="A1284" s="17"/>
      <c r="C1284" s="2" t="s">
        <v>37</v>
      </c>
      <c r="D1284" s="19">
        <v>308126126</v>
      </c>
      <c r="F1284" t="s">
        <v>161</v>
      </c>
      <c r="G1284" s="1">
        <v>2500</v>
      </c>
    </row>
    <row r="1285" spans="1:9" x14ac:dyDescent="0.25">
      <c r="A1285" s="17"/>
      <c r="C1285" s="2" t="s">
        <v>51</v>
      </c>
      <c r="D1285" s="20">
        <v>130317</v>
      </c>
      <c r="F1285" t="s">
        <v>828</v>
      </c>
      <c r="G1285" s="1">
        <v>42000</v>
      </c>
    </row>
    <row r="1286" spans="1:9" x14ac:dyDescent="0.25">
      <c r="A1286" s="17"/>
      <c r="B1286" s="24" t="s">
        <v>19</v>
      </c>
      <c r="D1286" s="19">
        <f>SUM(D1278:D1285)</f>
        <v>1007843008.96</v>
      </c>
      <c r="F1286" t="s">
        <v>828</v>
      </c>
      <c r="G1286" s="1">
        <v>123050</v>
      </c>
    </row>
    <row r="1287" spans="1:9" x14ac:dyDescent="0.25">
      <c r="A1287" s="17"/>
      <c r="D1287" s="19"/>
      <c r="G1287" s="30">
        <f>SUM(G1283:G1286)</f>
        <v>2417550</v>
      </c>
    </row>
    <row r="1288" spans="1:9" x14ac:dyDescent="0.25">
      <c r="A1288" s="17"/>
      <c r="B1288" s="24" t="s">
        <v>20</v>
      </c>
      <c r="D1288" s="19"/>
    </row>
    <row r="1289" spans="1:9" x14ac:dyDescent="0.25">
      <c r="A1289" s="17"/>
      <c r="C1289" t="s">
        <v>7</v>
      </c>
      <c r="D1289" s="19">
        <v>2667017137</v>
      </c>
      <c r="F1289" s="28" t="s">
        <v>30</v>
      </c>
      <c r="G1289" s="29">
        <f>G1281-G1287</f>
        <v>3403450</v>
      </c>
    </row>
    <row r="1290" spans="1:9" x14ac:dyDescent="0.25">
      <c r="A1290" s="17"/>
      <c r="C1290" t="s">
        <v>47</v>
      </c>
      <c r="D1290" s="19">
        <v>13465000</v>
      </c>
    </row>
    <row r="1291" spans="1:9" x14ac:dyDescent="0.25">
      <c r="A1291" s="17"/>
      <c r="C1291" t="s">
        <v>21</v>
      </c>
      <c r="D1291" s="19">
        <v>968136838</v>
      </c>
    </row>
    <row r="1292" spans="1:9" x14ac:dyDescent="0.25">
      <c r="A1292" s="17"/>
      <c r="C1292" t="s">
        <v>773</v>
      </c>
      <c r="D1292" s="19">
        <v>386550000</v>
      </c>
    </row>
    <row r="1293" spans="1:9" x14ac:dyDescent="0.25">
      <c r="A1293" s="17"/>
      <c r="C1293" t="s">
        <v>45</v>
      </c>
      <c r="D1293" s="19">
        <v>25000000</v>
      </c>
    </row>
    <row r="1294" spans="1:9" x14ac:dyDescent="0.25">
      <c r="A1294" s="17"/>
      <c r="C1294" t="s">
        <v>48</v>
      </c>
      <c r="D1294" s="19">
        <v>30000000</v>
      </c>
    </row>
    <row r="1295" spans="1:9" x14ac:dyDescent="0.25">
      <c r="A1295" s="17"/>
      <c r="C1295" t="s">
        <v>518</v>
      </c>
      <c r="D1295" s="19">
        <v>50000000</v>
      </c>
    </row>
    <row r="1296" spans="1:9" x14ac:dyDescent="0.25">
      <c r="A1296" s="17"/>
      <c r="C1296" t="s">
        <v>744</v>
      </c>
      <c r="D1296" s="19">
        <v>1002500</v>
      </c>
      <c r="G1296" s="1"/>
    </row>
    <row r="1297" spans="1:7" x14ac:dyDescent="0.25">
      <c r="A1297" s="17"/>
      <c r="C1297" t="s">
        <v>756</v>
      </c>
      <c r="D1297" s="20">
        <v>50005000</v>
      </c>
      <c r="G1297" s="1"/>
    </row>
    <row r="1298" spans="1:7" x14ac:dyDescent="0.25">
      <c r="A1298" s="17"/>
      <c r="D1298" s="19">
        <f>SUM(D1289:D1297)</f>
        <v>4191176475</v>
      </c>
      <c r="G1298" s="1"/>
    </row>
    <row r="1299" spans="1:7" x14ac:dyDescent="0.25">
      <c r="A1299" s="17"/>
      <c r="D1299" s="19"/>
      <c r="G1299" s="1"/>
    </row>
    <row r="1300" spans="1:7" x14ac:dyDescent="0.25">
      <c r="A1300" s="17"/>
      <c r="B1300" s="24" t="s">
        <v>46</v>
      </c>
      <c r="D1300" s="19"/>
      <c r="G1300" s="1"/>
    </row>
    <row r="1301" spans="1:7" x14ac:dyDescent="0.25">
      <c r="A1301" s="17"/>
      <c r="B1301" s="24"/>
      <c r="C1301" t="s">
        <v>841</v>
      </c>
      <c r="D1301" s="19">
        <f>296*602500</f>
        <v>178340000</v>
      </c>
      <c r="G1301" s="1"/>
    </row>
    <row r="1302" spans="1:7" x14ac:dyDescent="0.25">
      <c r="A1302" s="17"/>
      <c r="B1302" s="24"/>
      <c r="C1302" t="s">
        <v>126</v>
      </c>
      <c r="D1302" s="19">
        <f>6*602500</f>
        <v>3615000</v>
      </c>
      <c r="G1302" s="1"/>
    </row>
    <row r="1303" spans="1:7" x14ac:dyDescent="0.25">
      <c r="A1303" s="17"/>
      <c r="B1303" s="24"/>
      <c r="C1303" t="s">
        <v>323</v>
      </c>
      <c r="D1303" s="20">
        <f>4*602500</f>
        <v>2410000</v>
      </c>
      <c r="G1303" s="1"/>
    </row>
    <row r="1304" spans="1:7" x14ac:dyDescent="0.25">
      <c r="A1304" s="17"/>
      <c r="D1304" s="19">
        <f>SUM(D1301:D1303)</f>
        <v>184365000</v>
      </c>
      <c r="G1304" s="1"/>
    </row>
    <row r="1305" spans="1:7" x14ac:dyDescent="0.25">
      <c r="A1305" s="17"/>
      <c r="D1305" s="19"/>
      <c r="G1305" s="1"/>
    </row>
    <row r="1306" spans="1:7" x14ac:dyDescent="0.25">
      <c r="A1306" s="23" t="s">
        <v>22</v>
      </c>
      <c r="D1306" s="19"/>
      <c r="G1306" s="1"/>
    </row>
    <row r="1307" spans="1:7" x14ac:dyDescent="0.25">
      <c r="A1307" s="17"/>
      <c r="C1307" t="s">
        <v>23</v>
      </c>
      <c r="D1307" s="19">
        <v>2281800000</v>
      </c>
      <c r="G1307" s="1"/>
    </row>
    <row r="1308" spans="1:7" x14ac:dyDescent="0.25">
      <c r="A1308" s="17"/>
      <c r="C1308" t="s">
        <v>24</v>
      </c>
      <c r="D1308" s="19">
        <v>1588493030</v>
      </c>
      <c r="G1308" s="1"/>
    </row>
    <row r="1309" spans="1:7" x14ac:dyDescent="0.25">
      <c r="A1309" s="17"/>
      <c r="C1309" t="s">
        <v>111</v>
      </c>
      <c r="D1309" s="20">
        <v>160325000</v>
      </c>
      <c r="G1309" s="1"/>
    </row>
    <row r="1310" spans="1:7" x14ac:dyDescent="0.25">
      <c r="A1310" s="17"/>
      <c r="D1310" s="19">
        <f>SUM(D1307:D1309)</f>
        <v>4030618030</v>
      </c>
      <c r="G1310" s="1"/>
    </row>
    <row r="1311" spans="1:7" x14ac:dyDescent="0.25">
      <c r="A1311" s="17"/>
      <c r="D1311" s="19"/>
      <c r="G1311" s="1"/>
    </row>
    <row r="1312" spans="1:7" x14ac:dyDescent="0.25">
      <c r="A1312" s="43" t="s">
        <v>25</v>
      </c>
      <c r="B1312" s="44"/>
      <c r="C1312" s="44"/>
      <c r="D1312" s="25">
        <f>D1286+D1298+D1304-D1310</f>
        <v>1352766453.96</v>
      </c>
      <c r="G1312" s="1"/>
    </row>
    <row r="1313" spans="1:7" x14ac:dyDescent="0.25">
      <c r="A1313" s="21"/>
      <c r="B1313" s="22"/>
      <c r="C1313" s="22"/>
      <c r="D1313" s="20"/>
      <c r="G1313" s="1"/>
    </row>
  </sheetData>
  <mergeCells count="108">
    <mergeCell ref="A452:C452"/>
    <mergeCell ref="A654:D654"/>
    <mergeCell ref="A655:D655"/>
    <mergeCell ref="A700:C700"/>
    <mergeCell ref="A605:D605"/>
    <mergeCell ref="A650:C650"/>
    <mergeCell ref="A553:D553"/>
    <mergeCell ref="A554:D554"/>
    <mergeCell ref="A555:D555"/>
    <mergeCell ref="A600:C600"/>
    <mergeCell ref="A653:D653"/>
    <mergeCell ref="A455:D455"/>
    <mergeCell ref="A456:D456"/>
    <mergeCell ref="A457:D457"/>
    <mergeCell ref="A501:C501"/>
    <mergeCell ref="A504:D504"/>
    <mergeCell ref="A505:D505"/>
    <mergeCell ref="A506:D506"/>
    <mergeCell ref="A550:C550"/>
    <mergeCell ref="A603:D603"/>
    <mergeCell ref="A604:D604"/>
    <mergeCell ref="A304:D304"/>
    <mergeCell ref="A253:D253"/>
    <mergeCell ref="A254:D254"/>
    <mergeCell ref="A255:D255"/>
    <mergeCell ref="A301:C301"/>
    <mergeCell ref="A153:D153"/>
    <mergeCell ref="A154:D154"/>
    <mergeCell ref="A155:D155"/>
    <mergeCell ref="A200:C200"/>
    <mergeCell ref="A250:C250"/>
    <mergeCell ref="A203:D203"/>
    <mergeCell ref="A204:D204"/>
    <mergeCell ref="A205:D205"/>
    <mergeCell ref="A1:D1"/>
    <mergeCell ref="A2:D2"/>
    <mergeCell ref="A3:D3"/>
    <mergeCell ref="A49:C49"/>
    <mergeCell ref="A52:D52"/>
    <mergeCell ref="A103:D103"/>
    <mergeCell ref="A104:D104"/>
    <mergeCell ref="A105:D105"/>
    <mergeCell ref="A150:C150"/>
    <mergeCell ref="A53:D53"/>
    <mergeCell ref="A54:D54"/>
    <mergeCell ref="A100:C100"/>
    <mergeCell ref="A355:D355"/>
    <mergeCell ref="A305:D305"/>
    <mergeCell ref="A306:D306"/>
    <mergeCell ref="A352:C352"/>
    <mergeCell ref="A407:D407"/>
    <mergeCell ref="A356:D356"/>
    <mergeCell ref="A357:D357"/>
    <mergeCell ref="A402:C402"/>
    <mergeCell ref="A405:D405"/>
    <mergeCell ref="A406:D406"/>
    <mergeCell ref="A703:D703"/>
    <mergeCell ref="A704:D704"/>
    <mergeCell ref="A705:D705"/>
    <mergeCell ref="A752:C752"/>
    <mergeCell ref="A755:D755"/>
    <mergeCell ref="A756:D756"/>
    <mergeCell ref="A757:D757"/>
    <mergeCell ref="A804:C804"/>
    <mergeCell ref="A807:D807"/>
    <mergeCell ref="A808:D808"/>
    <mergeCell ref="A860:D860"/>
    <mergeCell ref="A903:C903"/>
    <mergeCell ref="A809:D809"/>
    <mergeCell ref="A855:C855"/>
    <mergeCell ref="A906:D906"/>
    <mergeCell ref="A858:D858"/>
    <mergeCell ref="A859:D859"/>
    <mergeCell ref="A907:D907"/>
    <mergeCell ref="A908:D908"/>
    <mergeCell ref="A1090:D1090"/>
    <mergeCell ref="A1091:D1091"/>
    <mergeCell ref="A1092:D1092"/>
    <mergeCell ref="A1004:D1004"/>
    <mergeCell ref="A1043:C1043"/>
    <mergeCell ref="A1003:D1003"/>
    <mergeCell ref="A955:D955"/>
    <mergeCell ref="A956:D956"/>
    <mergeCell ref="A957:D957"/>
    <mergeCell ref="A999:C999"/>
    <mergeCell ref="A1002:D1002"/>
    <mergeCell ref="A952:C952"/>
    <mergeCell ref="A1270:D1270"/>
    <mergeCell ref="A1271:D1271"/>
    <mergeCell ref="A1272:D1272"/>
    <mergeCell ref="A1312:C1312"/>
    <mergeCell ref="A1132:C1132"/>
    <mergeCell ref="A1046:D1046"/>
    <mergeCell ref="A1047:D1047"/>
    <mergeCell ref="A1048:D1048"/>
    <mergeCell ref="A1087:C1087"/>
    <mergeCell ref="A1180:D1180"/>
    <mergeCell ref="A1181:D1181"/>
    <mergeCell ref="A1182:D1182"/>
    <mergeCell ref="A1222:C1222"/>
    <mergeCell ref="A1135:D1135"/>
    <mergeCell ref="A1136:D1136"/>
    <mergeCell ref="A1137:D1137"/>
    <mergeCell ref="A1177:C1177"/>
    <mergeCell ref="A1225:D1225"/>
    <mergeCell ref="A1226:D1226"/>
    <mergeCell ref="A1227:D1227"/>
    <mergeCell ref="A1267:C126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1EF5F-E453-481D-BE02-AB4203E9E8E4}">
  <dimension ref="A1:I1210"/>
  <sheetViews>
    <sheetView topLeftCell="A1164" zoomScale="80" zoomScaleNormal="80" workbookViewId="0">
      <selection activeCell="G1179" sqref="G1179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7.7109375" bestFit="1" customWidth="1"/>
    <col min="4" max="4" width="24.7109375" customWidth="1"/>
    <col min="5" max="5" width="5" customWidth="1"/>
    <col min="6" max="6" width="51.5703125" bestFit="1" customWidth="1"/>
    <col min="7" max="7" width="20.85546875" customWidth="1"/>
    <col min="9" max="9" width="18.85546875" bestFit="1" customWidth="1"/>
  </cols>
  <sheetData>
    <row r="1" spans="1:9" x14ac:dyDescent="0.25">
      <c r="A1" s="40" t="s">
        <v>13</v>
      </c>
      <c r="B1" s="40"/>
      <c r="C1" s="40"/>
      <c r="D1" s="40"/>
      <c r="G1" s="1"/>
    </row>
    <row r="2" spans="1:9" x14ac:dyDescent="0.25">
      <c r="A2" s="41" t="s">
        <v>14</v>
      </c>
      <c r="B2" s="41"/>
      <c r="C2" s="41"/>
      <c r="D2" s="41"/>
      <c r="G2" s="1"/>
    </row>
    <row r="3" spans="1:9" x14ac:dyDescent="0.25">
      <c r="A3" s="42">
        <v>45870</v>
      </c>
      <c r="B3" s="42"/>
      <c r="C3" s="42"/>
      <c r="D3" s="42"/>
      <c r="G3" s="1"/>
    </row>
    <row r="4" spans="1:9" x14ac:dyDescent="0.25">
      <c r="A4" s="13"/>
      <c r="B4" s="13"/>
      <c r="C4" s="13"/>
      <c r="D4" s="13"/>
      <c r="G4" s="1"/>
    </row>
    <row r="5" spans="1:9" x14ac:dyDescent="0.25">
      <c r="A5" s="14"/>
      <c r="B5" s="15"/>
      <c r="C5" s="15"/>
      <c r="D5" s="16"/>
      <c r="F5" s="5" t="s">
        <v>26</v>
      </c>
      <c r="G5" s="1">
        <f>D43-Juli!D1312</f>
        <v>-77545350.539999962</v>
      </c>
    </row>
    <row r="6" spans="1:9" x14ac:dyDescent="0.25">
      <c r="A6" s="17"/>
      <c r="D6" s="32" t="s">
        <v>16</v>
      </c>
      <c r="G6" s="1"/>
    </row>
    <row r="7" spans="1:9" x14ac:dyDescent="0.25">
      <c r="A7" s="23" t="s">
        <v>15</v>
      </c>
      <c r="D7" s="18" t="s">
        <v>17</v>
      </c>
      <c r="F7" s="26" t="s">
        <v>27</v>
      </c>
      <c r="G7" s="1"/>
    </row>
    <row r="8" spans="1:9" x14ac:dyDescent="0.25">
      <c r="A8" s="17"/>
      <c r="B8" s="24" t="s">
        <v>18</v>
      </c>
      <c r="D8" s="19"/>
      <c r="F8" s="27" t="s">
        <v>28</v>
      </c>
      <c r="G8" s="1"/>
    </row>
    <row r="9" spans="1:9" x14ac:dyDescent="0.25">
      <c r="A9" s="17"/>
      <c r="C9" s="2" t="s">
        <v>31</v>
      </c>
      <c r="D9" s="19">
        <v>101372910.15000001</v>
      </c>
      <c r="F9" t="s">
        <v>279</v>
      </c>
      <c r="G9" s="1">
        <v>2744000</v>
      </c>
    </row>
    <row r="10" spans="1:9" x14ac:dyDescent="0.25">
      <c r="A10" s="17"/>
      <c r="C10" s="2" t="s">
        <v>32</v>
      </c>
      <c r="D10" s="19">
        <v>166552266.27000001</v>
      </c>
      <c r="F10" t="s">
        <v>847</v>
      </c>
      <c r="G10" s="1">
        <v>178000</v>
      </c>
    </row>
    <row r="11" spans="1:9" x14ac:dyDescent="0.25">
      <c r="A11" s="17"/>
      <c r="C11" s="2" t="s">
        <v>33</v>
      </c>
      <c r="D11" s="19">
        <v>215829982.40000001</v>
      </c>
      <c r="F11" t="s">
        <v>675</v>
      </c>
      <c r="G11" s="1">
        <v>1224.03</v>
      </c>
    </row>
    <row r="12" spans="1:9" x14ac:dyDescent="0.25">
      <c r="A12" s="17"/>
      <c r="C12" s="2" t="s">
        <v>34</v>
      </c>
      <c r="D12" s="19">
        <v>5993726</v>
      </c>
      <c r="F12" t="s">
        <v>676</v>
      </c>
      <c r="G12" s="1">
        <v>837.8</v>
      </c>
    </row>
    <row r="13" spans="1:9" x14ac:dyDescent="0.25">
      <c r="A13" s="17"/>
      <c r="C13" s="2" t="s">
        <v>35</v>
      </c>
      <c r="D13" s="19">
        <v>2450083.6</v>
      </c>
      <c r="G13" s="30">
        <f>SUM(G9:G12)</f>
        <v>2924061.8299999996</v>
      </c>
    </row>
    <row r="14" spans="1:9" x14ac:dyDescent="0.25">
      <c r="A14" s="17"/>
      <c r="C14" s="2" t="s">
        <v>36</v>
      </c>
      <c r="D14" s="19">
        <v>873247</v>
      </c>
      <c r="F14" s="28" t="s">
        <v>29</v>
      </c>
      <c r="G14" s="1"/>
    </row>
    <row r="15" spans="1:9" x14ac:dyDescent="0.25">
      <c r="A15" s="17"/>
      <c r="C15" s="2" t="s">
        <v>37</v>
      </c>
      <c r="D15" s="19">
        <v>376452126</v>
      </c>
      <c r="F15" t="s">
        <v>843</v>
      </c>
      <c r="G15" s="1">
        <v>31350000</v>
      </c>
    </row>
    <row r="16" spans="1:9" x14ac:dyDescent="0.25">
      <c r="A16" s="17"/>
      <c r="C16" s="2" t="s">
        <v>51</v>
      </c>
      <c r="D16" s="20">
        <v>130317</v>
      </c>
      <c r="F16" t="s">
        <v>844</v>
      </c>
      <c r="G16" s="1">
        <v>7500</v>
      </c>
      <c r="I16" s="38"/>
    </row>
    <row r="17" spans="1:7" x14ac:dyDescent="0.25">
      <c r="A17" s="17"/>
      <c r="B17" s="24" t="s">
        <v>19</v>
      </c>
      <c r="D17" s="19">
        <f>SUM(D9:D16)</f>
        <v>869654658.42000008</v>
      </c>
      <c r="F17" t="s">
        <v>846</v>
      </c>
      <c r="G17" s="1">
        <v>60000</v>
      </c>
    </row>
    <row r="18" spans="1:7" x14ac:dyDescent="0.25">
      <c r="A18" s="17"/>
      <c r="D18" s="19"/>
      <c r="F18" t="s">
        <v>91</v>
      </c>
      <c r="G18" s="1">
        <v>2000</v>
      </c>
    </row>
    <row r="19" spans="1:7" x14ac:dyDescent="0.25">
      <c r="A19" s="17"/>
      <c r="B19" s="24" t="s">
        <v>20</v>
      </c>
      <c r="D19" s="19"/>
      <c r="F19" t="s">
        <v>848</v>
      </c>
      <c r="G19" s="1">
        <v>14550000</v>
      </c>
    </row>
    <row r="20" spans="1:7" x14ac:dyDescent="0.25">
      <c r="A20" s="17"/>
      <c r="C20" t="s">
        <v>7</v>
      </c>
      <c r="D20" s="19">
        <v>2428442137</v>
      </c>
      <c r="F20" t="s">
        <v>849</v>
      </c>
      <c r="G20" s="1">
        <v>7578500</v>
      </c>
    </row>
    <row r="21" spans="1:7" x14ac:dyDescent="0.25">
      <c r="A21" s="17"/>
      <c r="C21" t="s">
        <v>47</v>
      </c>
      <c r="D21" s="19">
        <v>13465000</v>
      </c>
      <c r="F21" t="s">
        <v>850</v>
      </c>
      <c r="G21" s="1">
        <v>11503000</v>
      </c>
    </row>
    <row r="22" spans="1:7" x14ac:dyDescent="0.25">
      <c r="A22" s="17"/>
      <c r="C22" t="s">
        <v>21</v>
      </c>
      <c r="D22" s="19">
        <v>1035510838</v>
      </c>
      <c r="F22" t="s">
        <v>851</v>
      </c>
      <c r="G22" s="1">
        <v>10418000</v>
      </c>
    </row>
    <row r="23" spans="1:7" x14ac:dyDescent="0.25">
      <c r="A23" s="17"/>
      <c r="C23" t="s">
        <v>773</v>
      </c>
      <c r="D23" s="19">
        <v>463050000</v>
      </c>
      <c r="F23" t="s">
        <v>677</v>
      </c>
      <c r="G23" s="1">
        <v>244.81</v>
      </c>
    </row>
    <row r="24" spans="1:7" x14ac:dyDescent="0.25">
      <c r="A24" s="17"/>
      <c r="C24" t="s">
        <v>45</v>
      </c>
      <c r="D24" s="19">
        <v>25000000</v>
      </c>
      <c r="F24" t="s">
        <v>678</v>
      </c>
      <c r="G24" s="1">
        <v>167.56</v>
      </c>
    </row>
    <row r="25" spans="1:7" x14ac:dyDescent="0.25">
      <c r="A25" s="17"/>
      <c r="C25" t="s">
        <v>48</v>
      </c>
      <c r="D25" s="19">
        <v>30000000</v>
      </c>
      <c r="F25" t="s">
        <v>112</v>
      </c>
      <c r="G25" s="1">
        <v>5000000</v>
      </c>
    </row>
    <row r="26" spans="1:7" x14ac:dyDescent="0.25">
      <c r="A26" s="17"/>
      <c r="C26" t="s">
        <v>518</v>
      </c>
      <c r="D26" s="19">
        <v>50000000</v>
      </c>
      <c r="G26" s="30">
        <f>SUM(G15:G25)</f>
        <v>80469412.370000005</v>
      </c>
    </row>
    <row r="27" spans="1:7" x14ac:dyDescent="0.25">
      <c r="A27" s="17"/>
      <c r="C27" t="s">
        <v>744</v>
      </c>
      <c r="D27" s="19">
        <v>1002500</v>
      </c>
    </row>
    <row r="28" spans="1:7" x14ac:dyDescent="0.25">
      <c r="A28" s="17"/>
      <c r="C28" t="s">
        <v>756</v>
      </c>
      <c r="D28" s="20">
        <v>50005000</v>
      </c>
      <c r="F28" s="28" t="s">
        <v>30</v>
      </c>
      <c r="G28" s="29">
        <f>G13-G26</f>
        <v>-77545350.540000007</v>
      </c>
    </row>
    <row r="29" spans="1:7" x14ac:dyDescent="0.25">
      <c r="A29" s="17"/>
      <c r="D29" s="19">
        <f>SUM(D20:D28)</f>
        <v>4096475475</v>
      </c>
    </row>
    <row r="30" spans="1:7" x14ac:dyDescent="0.25">
      <c r="A30" s="17"/>
      <c r="D30" s="19"/>
    </row>
    <row r="31" spans="1:7" x14ac:dyDescent="0.25">
      <c r="A31" s="17"/>
      <c r="B31" s="24" t="s">
        <v>46</v>
      </c>
      <c r="D31" s="19"/>
    </row>
    <row r="32" spans="1:7" x14ac:dyDescent="0.25">
      <c r="A32" s="17"/>
      <c r="B32" s="24"/>
      <c r="C32" t="s">
        <v>841</v>
      </c>
      <c r="D32" s="19">
        <f>296*602500</f>
        <v>178340000</v>
      </c>
    </row>
    <row r="33" spans="1:7" x14ac:dyDescent="0.25">
      <c r="A33" s="17"/>
      <c r="B33" s="24"/>
      <c r="C33" t="s">
        <v>126</v>
      </c>
      <c r="D33" s="19">
        <f>6*602500</f>
        <v>3615000</v>
      </c>
    </row>
    <row r="34" spans="1:7" x14ac:dyDescent="0.25">
      <c r="A34" s="17"/>
      <c r="B34" s="24"/>
      <c r="C34" t="s">
        <v>323</v>
      </c>
      <c r="D34" s="20">
        <f>4*602500</f>
        <v>2410000</v>
      </c>
    </row>
    <row r="35" spans="1:7" x14ac:dyDescent="0.25">
      <c r="A35" s="17"/>
      <c r="D35" s="19">
        <f>SUM(D32:D34)</f>
        <v>184365000</v>
      </c>
      <c r="G35" s="1"/>
    </row>
    <row r="36" spans="1:7" x14ac:dyDescent="0.25">
      <c r="A36" s="17"/>
      <c r="D36" s="19"/>
      <c r="G36" s="1"/>
    </row>
    <row r="37" spans="1:7" x14ac:dyDescent="0.25">
      <c r="A37" s="23" t="s">
        <v>22</v>
      </c>
      <c r="D37" s="19"/>
      <c r="G37" s="1"/>
    </row>
    <row r="38" spans="1:7" x14ac:dyDescent="0.25">
      <c r="A38" s="17"/>
      <c r="C38" t="s">
        <v>23</v>
      </c>
      <c r="D38" s="19">
        <v>2182050000</v>
      </c>
      <c r="G38" s="1"/>
    </row>
    <row r="39" spans="1:7" x14ac:dyDescent="0.25">
      <c r="A39" s="17"/>
      <c r="C39" t="s">
        <v>24</v>
      </c>
      <c r="D39" s="19">
        <v>1465749030</v>
      </c>
      <c r="G39" s="1"/>
    </row>
    <row r="40" spans="1:7" x14ac:dyDescent="0.25">
      <c r="A40" s="17"/>
      <c r="C40" t="s">
        <v>111</v>
      </c>
      <c r="D40" s="20">
        <v>227475000</v>
      </c>
      <c r="G40" s="1"/>
    </row>
    <row r="41" spans="1:7" x14ac:dyDescent="0.25">
      <c r="A41" s="17"/>
      <c r="D41" s="19">
        <f>SUM(D38:D40)</f>
        <v>3875274030</v>
      </c>
      <c r="G41" s="1"/>
    </row>
    <row r="42" spans="1:7" x14ac:dyDescent="0.25">
      <c r="A42" s="17"/>
      <c r="D42" s="19"/>
      <c r="G42" s="1"/>
    </row>
    <row r="43" spans="1:7" x14ac:dyDescent="0.25">
      <c r="A43" s="43" t="s">
        <v>25</v>
      </c>
      <c r="B43" s="44"/>
      <c r="C43" s="44"/>
      <c r="D43" s="25">
        <f>D17+D29+D35-D41</f>
        <v>1275221103.4200001</v>
      </c>
      <c r="G43" s="1"/>
    </row>
    <row r="44" spans="1:7" x14ac:dyDescent="0.25">
      <c r="A44" s="21"/>
      <c r="B44" s="22"/>
      <c r="C44" s="22"/>
      <c r="D44" s="20"/>
      <c r="G44" s="1"/>
    </row>
    <row r="46" spans="1:7" x14ac:dyDescent="0.25">
      <c r="A46" s="40" t="s">
        <v>13</v>
      </c>
      <c r="B46" s="40"/>
      <c r="C46" s="40"/>
      <c r="D46" s="40"/>
      <c r="G46" s="1"/>
    </row>
    <row r="47" spans="1:7" x14ac:dyDescent="0.25">
      <c r="A47" s="41" t="s">
        <v>14</v>
      </c>
      <c r="B47" s="41"/>
      <c r="C47" s="41"/>
      <c r="D47" s="41"/>
      <c r="G47" s="1"/>
    </row>
    <row r="48" spans="1:7" x14ac:dyDescent="0.25">
      <c r="A48" s="42">
        <v>45871</v>
      </c>
      <c r="B48" s="42"/>
      <c r="C48" s="42"/>
      <c r="D48" s="42"/>
      <c r="G48" s="1"/>
    </row>
    <row r="49" spans="1:9" x14ac:dyDescent="0.25">
      <c r="A49" s="13"/>
      <c r="B49" s="13"/>
      <c r="C49" s="13"/>
      <c r="D49" s="13"/>
      <c r="G49" s="1"/>
    </row>
    <row r="50" spans="1:9" x14ac:dyDescent="0.25">
      <c r="A50" s="14"/>
      <c r="B50" s="15"/>
      <c r="C50" s="15"/>
      <c r="D50" s="16"/>
      <c r="F50" s="5" t="s">
        <v>26</v>
      </c>
      <c r="G50" s="1">
        <f>D88-D43</f>
        <v>-19121500</v>
      </c>
    </row>
    <row r="51" spans="1:9" x14ac:dyDescent="0.25">
      <c r="A51" s="17"/>
      <c r="D51" s="32" t="s">
        <v>16</v>
      </c>
      <c r="G51" s="1"/>
    </row>
    <row r="52" spans="1:9" x14ac:dyDescent="0.25">
      <c r="A52" s="23" t="s">
        <v>15</v>
      </c>
      <c r="D52" s="18" t="s">
        <v>17</v>
      </c>
      <c r="F52" s="26" t="s">
        <v>27</v>
      </c>
      <c r="G52" s="1"/>
    </row>
    <row r="53" spans="1:9" x14ac:dyDescent="0.25">
      <c r="A53" s="17"/>
      <c r="B53" s="24" t="s">
        <v>18</v>
      </c>
      <c r="D53" s="19"/>
      <c r="F53" s="27" t="s">
        <v>28</v>
      </c>
      <c r="G53" s="1"/>
    </row>
    <row r="54" spans="1:9" x14ac:dyDescent="0.25">
      <c r="A54" s="17"/>
      <c r="C54" s="2" t="s">
        <v>31</v>
      </c>
      <c r="D54" s="19">
        <v>178772910.15000001</v>
      </c>
      <c r="F54" t="s">
        <v>86</v>
      </c>
      <c r="G54" s="1">
        <v>4860000</v>
      </c>
    </row>
    <row r="55" spans="1:9" x14ac:dyDescent="0.25">
      <c r="A55" s="17"/>
      <c r="C55" s="2" t="s">
        <v>32</v>
      </c>
      <c r="D55" s="19">
        <v>166552266.27000001</v>
      </c>
      <c r="G55" s="30">
        <f>SUM(G54:G54)</f>
        <v>4860000</v>
      </c>
    </row>
    <row r="56" spans="1:9" x14ac:dyDescent="0.25">
      <c r="A56" s="17"/>
      <c r="C56" s="2" t="s">
        <v>33</v>
      </c>
      <c r="D56" s="19">
        <v>427198482.39999998</v>
      </c>
      <c r="F56" s="28" t="s">
        <v>29</v>
      </c>
      <c r="G56" s="1"/>
    </row>
    <row r="57" spans="1:9" x14ac:dyDescent="0.25">
      <c r="A57" s="17"/>
      <c r="C57" s="2" t="s">
        <v>34</v>
      </c>
      <c r="D57" s="19">
        <v>3543726</v>
      </c>
      <c r="F57" t="s">
        <v>852</v>
      </c>
      <c r="G57" s="1">
        <v>23975000</v>
      </c>
    </row>
    <row r="58" spans="1:9" x14ac:dyDescent="0.25">
      <c r="A58" s="17"/>
      <c r="C58" s="2" t="s">
        <v>35</v>
      </c>
      <c r="D58" s="19">
        <v>2450083.6</v>
      </c>
      <c r="F58" t="s">
        <v>853</v>
      </c>
      <c r="G58" s="1">
        <v>6500</v>
      </c>
      <c r="I58" s="38"/>
    </row>
    <row r="59" spans="1:9" x14ac:dyDescent="0.25">
      <c r="A59" s="17"/>
      <c r="C59" s="2" t="s">
        <v>36</v>
      </c>
      <c r="D59" s="19">
        <v>873247</v>
      </c>
      <c r="G59" s="30">
        <f>SUM(G57:G58)</f>
        <v>23981500</v>
      </c>
    </row>
    <row r="60" spans="1:9" x14ac:dyDescent="0.25">
      <c r="A60" s="17"/>
      <c r="C60" s="2" t="s">
        <v>37</v>
      </c>
      <c r="D60" s="19">
        <v>461952126</v>
      </c>
    </row>
    <row r="61" spans="1:9" x14ac:dyDescent="0.25">
      <c r="A61" s="17"/>
      <c r="C61" s="2" t="s">
        <v>51</v>
      </c>
      <c r="D61" s="20">
        <v>130317</v>
      </c>
      <c r="F61" s="28" t="s">
        <v>30</v>
      </c>
      <c r="G61" s="29">
        <f>G55-G59</f>
        <v>-19121500</v>
      </c>
    </row>
    <row r="62" spans="1:9" x14ac:dyDescent="0.25">
      <c r="A62" s="17"/>
      <c r="B62" s="24" t="s">
        <v>19</v>
      </c>
      <c r="D62" s="19">
        <f>SUM(D54:D61)</f>
        <v>1241473158.4200001</v>
      </c>
    </row>
    <row r="63" spans="1:9" x14ac:dyDescent="0.25">
      <c r="A63" s="17"/>
      <c r="D63" s="19"/>
    </row>
    <row r="64" spans="1:9" x14ac:dyDescent="0.25">
      <c r="A64" s="17"/>
      <c r="B64" s="24" t="s">
        <v>20</v>
      </c>
      <c r="D64" s="19"/>
    </row>
    <row r="65" spans="1:7" x14ac:dyDescent="0.25">
      <c r="A65" s="17"/>
      <c r="C65" t="s">
        <v>7</v>
      </c>
      <c r="D65" s="19">
        <v>2360042137</v>
      </c>
    </row>
    <row r="66" spans="1:7" x14ac:dyDescent="0.25">
      <c r="A66" s="17"/>
      <c r="C66" t="s">
        <v>47</v>
      </c>
      <c r="D66" s="19">
        <v>13465000</v>
      </c>
    </row>
    <row r="67" spans="1:7" x14ac:dyDescent="0.25">
      <c r="A67" s="17"/>
      <c r="C67" t="s">
        <v>21</v>
      </c>
      <c r="D67" s="19">
        <v>1061310838</v>
      </c>
    </row>
    <row r="68" spans="1:7" x14ac:dyDescent="0.25">
      <c r="A68" s="17"/>
      <c r="C68" t="s">
        <v>773</v>
      </c>
      <c r="D68" s="19">
        <v>463050000</v>
      </c>
    </row>
    <row r="69" spans="1:7" x14ac:dyDescent="0.25">
      <c r="A69" s="17"/>
      <c r="C69" t="s">
        <v>45</v>
      </c>
      <c r="D69" s="19">
        <v>25000000</v>
      </c>
    </row>
    <row r="70" spans="1:7" x14ac:dyDescent="0.25">
      <c r="A70" s="17"/>
      <c r="C70" t="s">
        <v>48</v>
      </c>
      <c r="D70" s="19">
        <v>30000000</v>
      </c>
    </row>
    <row r="71" spans="1:7" x14ac:dyDescent="0.25">
      <c r="A71" s="17"/>
      <c r="C71" t="s">
        <v>518</v>
      </c>
      <c r="D71" s="19">
        <v>50000000</v>
      </c>
    </row>
    <row r="72" spans="1:7" x14ac:dyDescent="0.25">
      <c r="A72" s="17"/>
      <c r="C72" t="s">
        <v>744</v>
      </c>
      <c r="D72" s="19">
        <v>1002500</v>
      </c>
    </row>
    <row r="73" spans="1:7" x14ac:dyDescent="0.25">
      <c r="A73" s="17"/>
      <c r="C73" t="s">
        <v>756</v>
      </c>
      <c r="D73" s="20">
        <v>50005000</v>
      </c>
    </row>
    <row r="74" spans="1:7" x14ac:dyDescent="0.25">
      <c r="A74" s="17"/>
      <c r="D74" s="19">
        <f>SUM(D65:D73)</f>
        <v>4053875475</v>
      </c>
    </row>
    <row r="75" spans="1:7" x14ac:dyDescent="0.25">
      <c r="A75" s="17"/>
      <c r="D75" s="19"/>
      <c r="G75" s="1"/>
    </row>
    <row r="76" spans="1:7" x14ac:dyDescent="0.25">
      <c r="A76" s="17"/>
      <c r="B76" s="24" t="s">
        <v>46</v>
      </c>
      <c r="D76" s="19"/>
      <c r="G76" s="1"/>
    </row>
    <row r="77" spans="1:7" x14ac:dyDescent="0.25">
      <c r="A77" s="17"/>
      <c r="B77" s="24"/>
      <c r="C77" t="s">
        <v>841</v>
      </c>
      <c r="D77" s="19">
        <f>296*602500</f>
        <v>178340000</v>
      </c>
      <c r="G77" s="1"/>
    </row>
    <row r="78" spans="1:7" x14ac:dyDescent="0.25">
      <c r="A78" s="17"/>
      <c r="B78" s="24"/>
      <c r="C78" t="s">
        <v>126</v>
      </c>
      <c r="D78" s="19">
        <f>6*602500</f>
        <v>3615000</v>
      </c>
    </row>
    <row r="79" spans="1:7" x14ac:dyDescent="0.25">
      <c r="A79" s="17"/>
      <c r="B79" s="24"/>
      <c r="C79" t="s">
        <v>323</v>
      </c>
      <c r="D79" s="20">
        <f>4*602500</f>
        <v>2410000</v>
      </c>
    </row>
    <row r="80" spans="1:7" x14ac:dyDescent="0.25">
      <c r="A80" s="17"/>
      <c r="D80" s="19">
        <f>SUM(D77:D79)</f>
        <v>184365000</v>
      </c>
      <c r="G80" s="1"/>
    </row>
    <row r="81" spans="1:7" x14ac:dyDescent="0.25">
      <c r="A81" s="17"/>
      <c r="D81" s="19"/>
      <c r="G81" s="1"/>
    </row>
    <row r="82" spans="1:7" x14ac:dyDescent="0.25">
      <c r="A82" s="23" t="s">
        <v>22</v>
      </c>
      <c r="D82" s="19"/>
      <c r="G82" s="1"/>
    </row>
    <row r="83" spans="1:7" x14ac:dyDescent="0.25">
      <c r="A83" s="17"/>
      <c r="C83" t="s">
        <v>23</v>
      </c>
      <c r="D83" s="19">
        <v>2368725000</v>
      </c>
      <c r="G83" s="1"/>
    </row>
    <row r="84" spans="1:7" x14ac:dyDescent="0.25">
      <c r="A84" s="17"/>
      <c r="C84" t="s">
        <v>24</v>
      </c>
      <c r="D84" s="19">
        <v>1551589030</v>
      </c>
      <c r="G84" s="1"/>
    </row>
    <row r="85" spans="1:7" x14ac:dyDescent="0.25">
      <c r="A85" s="17"/>
      <c r="C85" t="s">
        <v>111</v>
      </c>
      <c r="D85" s="20">
        <v>303300000</v>
      </c>
      <c r="G85" s="1"/>
    </row>
    <row r="86" spans="1:7" x14ac:dyDescent="0.25">
      <c r="A86" s="17"/>
      <c r="D86" s="19">
        <f>SUM(D83:D85)</f>
        <v>4223614030</v>
      </c>
      <c r="G86" s="1"/>
    </row>
    <row r="87" spans="1:7" x14ac:dyDescent="0.25">
      <c r="A87" s="17"/>
      <c r="D87" s="19"/>
      <c r="G87" s="1"/>
    </row>
    <row r="88" spans="1:7" x14ac:dyDescent="0.25">
      <c r="A88" s="43" t="s">
        <v>25</v>
      </c>
      <c r="B88" s="44"/>
      <c r="C88" s="44"/>
      <c r="D88" s="25">
        <f>D62+D74+D80-D86</f>
        <v>1256099603.4200001</v>
      </c>
      <c r="G88" s="1"/>
    </row>
    <row r="89" spans="1:7" x14ac:dyDescent="0.25">
      <c r="A89" s="21"/>
      <c r="B89" s="22"/>
      <c r="C89" s="22"/>
      <c r="D89" s="20"/>
      <c r="G89" s="1"/>
    </row>
    <row r="91" spans="1:7" x14ac:dyDescent="0.25">
      <c r="A91" s="40" t="s">
        <v>13</v>
      </c>
      <c r="B91" s="40"/>
      <c r="C91" s="40"/>
      <c r="D91" s="40"/>
      <c r="G91" s="1"/>
    </row>
    <row r="92" spans="1:7" x14ac:dyDescent="0.25">
      <c r="A92" s="41" t="s">
        <v>14</v>
      </c>
      <c r="B92" s="41"/>
      <c r="C92" s="41"/>
      <c r="D92" s="41"/>
      <c r="G92" s="1"/>
    </row>
    <row r="93" spans="1:7" x14ac:dyDescent="0.25">
      <c r="A93" s="42">
        <v>45873</v>
      </c>
      <c r="B93" s="42"/>
      <c r="C93" s="42"/>
      <c r="D93" s="42"/>
      <c r="G93" s="1"/>
    </row>
    <row r="94" spans="1:7" x14ac:dyDescent="0.25">
      <c r="A94" s="13"/>
      <c r="B94" s="13"/>
      <c r="C94" s="13"/>
      <c r="D94" s="13"/>
      <c r="G94" s="1"/>
    </row>
    <row r="95" spans="1:7" x14ac:dyDescent="0.25">
      <c r="A95" s="14"/>
      <c r="B95" s="15"/>
      <c r="C95" s="15"/>
      <c r="D95" s="16"/>
      <c r="F95" s="5" t="s">
        <v>26</v>
      </c>
      <c r="G95" s="1">
        <f>D134-D88</f>
        <v>1043000</v>
      </c>
    </row>
    <row r="96" spans="1:7" x14ac:dyDescent="0.25">
      <c r="A96" s="17"/>
      <c r="D96" s="32" t="s">
        <v>16</v>
      </c>
      <c r="G96" s="1"/>
    </row>
    <row r="97" spans="1:7" x14ac:dyDescent="0.25">
      <c r="A97" s="23" t="s">
        <v>15</v>
      </c>
      <c r="D97" s="18" t="s">
        <v>17</v>
      </c>
      <c r="F97" s="26" t="s">
        <v>27</v>
      </c>
      <c r="G97" s="1"/>
    </row>
    <row r="98" spans="1:7" x14ac:dyDescent="0.25">
      <c r="A98" s="17"/>
      <c r="B98" s="24" t="s">
        <v>18</v>
      </c>
      <c r="D98" s="19"/>
      <c r="F98" s="27" t="s">
        <v>28</v>
      </c>
      <c r="G98" s="1"/>
    </row>
    <row r="99" spans="1:7" x14ac:dyDescent="0.25">
      <c r="A99" s="17"/>
      <c r="C99" s="2" t="s">
        <v>31</v>
      </c>
      <c r="D99" s="19">
        <v>178772910.15000001</v>
      </c>
      <c r="F99" t="s">
        <v>118</v>
      </c>
      <c r="G99" s="1">
        <v>5753000</v>
      </c>
    </row>
    <row r="100" spans="1:7" x14ac:dyDescent="0.25">
      <c r="A100" s="17"/>
      <c r="C100" s="2" t="s">
        <v>32</v>
      </c>
      <c r="D100" s="19">
        <v>172977266.27000001</v>
      </c>
      <c r="F100" t="s">
        <v>90</v>
      </c>
      <c r="G100" s="1">
        <v>292500</v>
      </c>
    </row>
    <row r="101" spans="1:7" x14ac:dyDescent="0.25">
      <c r="A101" s="17"/>
      <c r="C101" s="2" t="s">
        <v>33</v>
      </c>
      <c r="D101" s="19">
        <v>163882812.40000001</v>
      </c>
      <c r="G101" s="30">
        <f>SUM(G99:G100)</f>
        <v>6045500</v>
      </c>
    </row>
    <row r="102" spans="1:7" x14ac:dyDescent="0.25">
      <c r="A102" s="17"/>
      <c r="C102" s="2" t="s">
        <v>34</v>
      </c>
      <c r="D102" s="19">
        <v>90243726</v>
      </c>
      <c r="F102" s="28" t="s">
        <v>29</v>
      </c>
      <c r="G102" s="1"/>
    </row>
    <row r="103" spans="1:7" x14ac:dyDescent="0.25">
      <c r="A103" s="17"/>
      <c r="C103" s="2" t="s">
        <v>35</v>
      </c>
      <c r="D103" s="19">
        <v>2450083.6</v>
      </c>
      <c r="F103" t="s">
        <v>161</v>
      </c>
      <c r="G103" s="1">
        <v>2500</v>
      </c>
    </row>
    <row r="104" spans="1:7" x14ac:dyDescent="0.25">
      <c r="A104" s="17"/>
      <c r="C104" s="2" t="s">
        <v>36</v>
      </c>
      <c r="D104" s="19">
        <v>873247</v>
      </c>
      <c r="F104" t="s">
        <v>112</v>
      </c>
      <c r="G104" s="1">
        <v>5000000</v>
      </c>
    </row>
    <row r="105" spans="1:7" x14ac:dyDescent="0.25">
      <c r="A105" s="17"/>
      <c r="C105" s="2" t="s">
        <v>37</v>
      </c>
      <c r="D105" s="19">
        <v>413743626</v>
      </c>
      <c r="G105" s="30">
        <f>SUM(G103:G104)</f>
        <v>5002500</v>
      </c>
    </row>
    <row r="106" spans="1:7" x14ac:dyDescent="0.25">
      <c r="A106" s="17"/>
      <c r="C106" s="2" t="s">
        <v>51</v>
      </c>
      <c r="D106" s="20">
        <v>130317</v>
      </c>
    </row>
    <row r="107" spans="1:7" x14ac:dyDescent="0.25">
      <c r="A107" s="17"/>
      <c r="B107" s="24" t="s">
        <v>19</v>
      </c>
      <c r="D107" s="19">
        <f>SUM(D99:D106)</f>
        <v>1023073988.4200001</v>
      </c>
      <c r="F107" s="28" t="s">
        <v>30</v>
      </c>
      <c r="G107" s="29">
        <f>G101-G105</f>
        <v>1043000</v>
      </c>
    </row>
    <row r="108" spans="1:7" x14ac:dyDescent="0.25">
      <c r="A108" s="17"/>
      <c r="D108" s="19"/>
    </row>
    <row r="109" spans="1:7" x14ac:dyDescent="0.25">
      <c r="A109" s="17"/>
      <c r="B109" s="24" t="s">
        <v>20</v>
      </c>
      <c r="D109" s="19"/>
    </row>
    <row r="110" spans="1:7" x14ac:dyDescent="0.25">
      <c r="A110" s="17"/>
      <c r="C110" t="s">
        <v>7</v>
      </c>
      <c r="D110" s="19">
        <v>2766392137</v>
      </c>
    </row>
    <row r="111" spans="1:7" x14ac:dyDescent="0.25">
      <c r="A111" s="17"/>
      <c r="C111" t="s">
        <v>47</v>
      </c>
      <c r="D111" s="19">
        <v>12755000</v>
      </c>
    </row>
    <row r="112" spans="1:7" x14ac:dyDescent="0.25">
      <c r="A112" s="17"/>
      <c r="C112" t="s">
        <v>21</v>
      </c>
      <c r="D112" s="19">
        <v>980566838</v>
      </c>
    </row>
    <row r="113" spans="1:7" x14ac:dyDescent="0.25">
      <c r="A113" s="17"/>
      <c r="C113" t="s">
        <v>773</v>
      </c>
      <c r="D113" s="19">
        <v>539550000</v>
      </c>
    </row>
    <row r="114" spans="1:7" x14ac:dyDescent="0.25">
      <c r="A114" s="17"/>
      <c r="C114" t="s">
        <v>45</v>
      </c>
      <c r="D114" s="19">
        <v>25000000</v>
      </c>
    </row>
    <row r="115" spans="1:7" x14ac:dyDescent="0.25">
      <c r="A115" s="17"/>
      <c r="C115" t="s">
        <v>48</v>
      </c>
      <c r="D115" s="19">
        <v>30000000</v>
      </c>
    </row>
    <row r="116" spans="1:7" x14ac:dyDescent="0.25">
      <c r="A116" s="17"/>
      <c r="C116" t="s">
        <v>518</v>
      </c>
      <c r="D116" s="19">
        <v>50000000</v>
      </c>
    </row>
    <row r="117" spans="1:7" x14ac:dyDescent="0.25">
      <c r="A117" s="17"/>
      <c r="C117" t="s">
        <v>744</v>
      </c>
      <c r="D117" s="19">
        <v>1002500</v>
      </c>
      <c r="G117" s="1"/>
    </row>
    <row r="118" spans="1:7" x14ac:dyDescent="0.25">
      <c r="A118" s="17"/>
      <c r="C118" t="s">
        <v>756</v>
      </c>
      <c r="D118" s="20">
        <v>50005000</v>
      </c>
      <c r="G118" s="1"/>
    </row>
    <row r="119" spans="1:7" x14ac:dyDescent="0.25">
      <c r="A119" s="17"/>
      <c r="D119" s="19">
        <f>SUM(D110:D118)</f>
        <v>4455271475</v>
      </c>
      <c r="G119" s="1"/>
    </row>
    <row r="120" spans="1:7" x14ac:dyDescent="0.25">
      <c r="A120" s="17"/>
      <c r="D120" s="19"/>
      <c r="G120" s="1"/>
    </row>
    <row r="121" spans="1:7" x14ac:dyDescent="0.25">
      <c r="A121" s="17"/>
      <c r="B121" s="24" t="s">
        <v>46</v>
      </c>
      <c r="D121" s="19"/>
      <c r="G121" s="1"/>
    </row>
    <row r="122" spans="1:7" x14ac:dyDescent="0.25">
      <c r="A122" s="17"/>
      <c r="B122" s="24"/>
      <c r="C122" t="s">
        <v>854</v>
      </c>
      <c r="D122" s="19">
        <f>294*602500</f>
        <v>177135000</v>
      </c>
      <c r="G122" s="1"/>
    </row>
    <row r="123" spans="1:7" x14ac:dyDescent="0.25">
      <c r="A123" s="17"/>
      <c r="B123" s="24"/>
      <c r="C123" t="s">
        <v>408</v>
      </c>
      <c r="D123" s="19">
        <f>1*602500</f>
        <v>602500</v>
      </c>
    </row>
    <row r="124" spans="1:7" x14ac:dyDescent="0.25">
      <c r="A124" s="17"/>
      <c r="B124" s="24"/>
      <c r="C124" t="s">
        <v>426</v>
      </c>
      <c r="D124" s="20">
        <f>2*602500</f>
        <v>1205000</v>
      </c>
    </row>
    <row r="125" spans="1:7" x14ac:dyDescent="0.25">
      <c r="A125" s="17"/>
      <c r="D125" s="19">
        <f>SUM(D122:D124)</f>
        <v>178942500</v>
      </c>
      <c r="G125" s="1"/>
    </row>
    <row r="126" spans="1:7" x14ac:dyDescent="0.25">
      <c r="A126" s="17"/>
      <c r="D126" s="19"/>
      <c r="G126" s="1"/>
    </row>
    <row r="127" spans="1:7" x14ac:dyDescent="0.25">
      <c r="A127" s="23" t="s">
        <v>22</v>
      </c>
      <c r="D127" s="19"/>
      <c r="G127" s="1"/>
    </row>
    <row r="128" spans="1:7" x14ac:dyDescent="0.25">
      <c r="A128" s="17"/>
      <c r="C128" t="s">
        <v>23</v>
      </c>
      <c r="D128" s="19">
        <v>2298225000</v>
      </c>
      <c r="G128" s="1"/>
    </row>
    <row r="129" spans="1:7" x14ac:dyDescent="0.25">
      <c r="A129" s="17"/>
      <c r="C129" t="s">
        <v>24</v>
      </c>
      <c r="D129" s="19">
        <v>1722120360</v>
      </c>
      <c r="G129" s="1"/>
    </row>
    <row r="130" spans="1:7" x14ac:dyDescent="0.25">
      <c r="A130" s="17"/>
      <c r="C130" t="s">
        <v>44</v>
      </c>
      <c r="D130" s="19">
        <v>76500000</v>
      </c>
      <c r="G130" s="1"/>
    </row>
    <row r="131" spans="1:7" x14ac:dyDescent="0.25">
      <c r="A131" s="17"/>
      <c r="C131" t="s">
        <v>111</v>
      </c>
      <c r="D131" s="20">
        <v>303300000</v>
      </c>
      <c r="G131" s="1"/>
    </row>
    <row r="132" spans="1:7" x14ac:dyDescent="0.25">
      <c r="A132" s="17"/>
      <c r="D132" s="19">
        <f>SUM(D128:D131)</f>
        <v>4400145360</v>
      </c>
      <c r="G132" s="1"/>
    </row>
    <row r="133" spans="1:7" x14ac:dyDescent="0.25">
      <c r="A133" s="17"/>
      <c r="D133" s="19"/>
      <c r="G133" s="1"/>
    </row>
    <row r="134" spans="1:7" x14ac:dyDescent="0.25">
      <c r="A134" s="43" t="s">
        <v>25</v>
      </c>
      <c r="B134" s="44"/>
      <c r="C134" s="44"/>
      <c r="D134" s="25">
        <f>D107+D119+D125-D132</f>
        <v>1257142603.4200001</v>
      </c>
      <c r="G134" s="1"/>
    </row>
    <row r="135" spans="1:7" x14ac:dyDescent="0.25">
      <c r="A135" s="21"/>
      <c r="B135" s="22"/>
      <c r="C135" s="22"/>
      <c r="D135" s="20"/>
      <c r="G135" s="1"/>
    </row>
    <row r="137" spans="1:7" x14ac:dyDescent="0.25">
      <c r="A137" s="40" t="s">
        <v>13</v>
      </c>
      <c r="B137" s="40"/>
      <c r="C137" s="40"/>
      <c r="D137" s="40"/>
      <c r="G137" s="1"/>
    </row>
    <row r="138" spans="1:7" x14ac:dyDescent="0.25">
      <c r="A138" s="41" t="s">
        <v>14</v>
      </c>
      <c r="B138" s="41"/>
      <c r="C138" s="41"/>
      <c r="D138" s="41"/>
      <c r="G138" s="1"/>
    </row>
    <row r="139" spans="1:7" x14ac:dyDescent="0.25">
      <c r="A139" s="42">
        <v>45874</v>
      </c>
      <c r="B139" s="42"/>
      <c r="C139" s="42"/>
      <c r="D139" s="42"/>
      <c r="G139" s="1"/>
    </row>
    <row r="140" spans="1:7" x14ac:dyDescent="0.25">
      <c r="A140" s="13"/>
      <c r="B140" s="13"/>
      <c r="C140" s="13"/>
      <c r="D140" s="13"/>
      <c r="G140" s="1"/>
    </row>
    <row r="141" spans="1:7" x14ac:dyDescent="0.25">
      <c r="A141" s="14"/>
      <c r="B141" s="15"/>
      <c r="C141" s="15"/>
      <c r="D141" s="16"/>
      <c r="F141" s="5" t="s">
        <v>26</v>
      </c>
      <c r="G141" s="1">
        <f>D181-D134</f>
        <v>551000</v>
      </c>
    </row>
    <row r="142" spans="1:7" x14ac:dyDescent="0.25">
      <c r="A142" s="17"/>
      <c r="D142" s="32" t="s">
        <v>16</v>
      </c>
      <c r="G142" s="1"/>
    </row>
    <row r="143" spans="1:7" x14ac:dyDescent="0.25">
      <c r="A143" s="23" t="s">
        <v>15</v>
      </c>
      <c r="D143" s="18" t="s">
        <v>17</v>
      </c>
      <c r="F143" s="26" t="s">
        <v>27</v>
      </c>
      <c r="G143" s="1"/>
    </row>
    <row r="144" spans="1:7" x14ac:dyDescent="0.25">
      <c r="A144" s="17"/>
      <c r="B144" s="24" t="s">
        <v>18</v>
      </c>
      <c r="D144" s="19"/>
      <c r="F144" s="27" t="s">
        <v>28</v>
      </c>
      <c r="G144" s="1"/>
    </row>
    <row r="145" spans="1:7" x14ac:dyDescent="0.25">
      <c r="A145" s="17"/>
      <c r="C145" s="2" t="s">
        <v>31</v>
      </c>
      <c r="D145" s="19">
        <v>142072910.15000001</v>
      </c>
      <c r="F145" t="s">
        <v>299</v>
      </c>
      <c r="G145" s="1">
        <v>2411000</v>
      </c>
    </row>
    <row r="146" spans="1:7" x14ac:dyDescent="0.25">
      <c r="A146" s="17"/>
      <c r="C146" s="2" t="s">
        <v>32</v>
      </c>
      <c r="D146" s="19">
        <v>172977266.27000001</v>
      </c>
      <c r="F146" t="s">
        <v>90</v>
      </c>
      <c r="G146" s="1">
        <v>390000</v>
      </c>
    </row>
    <row r="147" spans="1:7" x14ac:dyDescent="0.25">
      <c r="A147" s="17"/>
      <c r="C147" s="2" t="s">
        <v>33</v>
      </c>
      <c r="D147" s="19">
        <v>337228952.39999998</v>
      </c>
      <c r="G147" s="30">
        <f>SUM(G145:G146)</f>
        <v>2801000</v>
      </c>
    </row>
    <row r="148" spans="1:7" x14ac:dyDescent="0.25">
      <c r="A148" s="17"/>
      <c r="C148" s="2" t="s">
        <v>34</v>
      </c>
      <c r="D148" s="19">
        <v>1168726</v>
      </c>
      <c r="F148" s="28" t="s">
        <v>29</v>
      </c>
      <c r="G148" s="1"/>
    </row>
    <row r="149" spans="1:7" x14ac:dyDescent="0.25">
      <c r="A149" s="17"/>
      <c r="C149" s="2" t="s">
        <v>35</v>
      </c>
      <c r="D149" s="19">
        <v>2450083.6</v>
      </c>
      <c r="F149" t="s">
        <v>2</v>
      </c>
      <c r="G149" s="1">
        <v>2250000</v>
      </c>
    </row>
    <row r="150" spans="1:7" x14ac:dyDescent="0.25">
      <c r="A150" s="17"/>
      <c r="C150" s="2" t="s">
        <v>36</v>
      </c>
      <c r="D150" s="19">
        <v>873247</v>
      </c>
      <c r="G150" s="30">
        <f>SUM(G149:G149)</f>
        <v>2250000</v>
      </c>
    </row>
    <row r="151" spans="1:7" x14ac:dyDescent="0.25">
      <c r="A151" s="17"/>
      <c r="C151" s="2" t="s">
        <v>37</v>
      </c>
      <c r="D151" s="19">
        <v>512780626</v>
      </c>
    </row>
    <row r="152" spans="1:7" x14ac:dyDescent="0.25">
      <c r="A152" s="17"/>
      <c r="C152" s="2" t="s">
        <v>51</v>
      </c>
      <c r="D152" s="20">
        <v>130317</v>
      </c>
      <c r="F152" s="28" t="s">
        <v>30</v>
      </c>
      <c r="G152" s="29">
        <f>G147-G150</f>
        <v>551000</v>
      </c>
    </row>
    <row r="153" spans="1:7" x14ac:dyDescent="0.25">
      <c r="A153" s="17"/>
      <c r="B153" s="24" t="s">
        <v>19</v>
      </c>
      <c r="D153" s="19">
        <f>SUM(D145:D152)</f>
        <v>1169682128.4200001</v>
      </c>
    </row>
    <row r="154" spans="1:7" x14ac:dyDescent="0.25">
      <c r="A154" s="17"/>
      <c r="D154" s="19"/>
    </row>
    <row r="155" spans="1:7" x14ac:dyDescent="0.25">
      <c r="A155" s="17"/>
      <c r="B155" s="24" t="s">
        <v>20</v>
      </c>
      <c r="D155" s="19"/>
    </row>
    <row r="156" spans="1:7" x14ac:dyDescent="0.25">
      <c r="A156" s="17"/>
      <c r="C156" t="s">
        <v>7</v>
      </c>
      <c r="D156" s="19">
        <v>2459179637</v>
      </c>
    </row>
    <row r="157" spans="1:7" x14ac:dyDescent="0.25">
      <c r="A157" s="17"/>
      <c r="C157" t="s">
        <v>47</v>
      </c>
      <c r="D157" s="19">
        <v>20375000</v>
      </c>
    </row>
    <row r="158" spans="1:7" x14ac:dyDescent="0.25">
      <c r="A158" s="17"/>
      <c r="C158" t="s">
        <v>21</v>
      </c>
      <c r="D158" s="19">
        <v>847329838</v>
      </c>
    </row>
    <row r="159" spans="1:7" x14ac:dyDescent="0.25">
      <c r="A159" s="17"/>
      <c r="C159" t="s">
        <v>773</v>
      </c>
      <c r="D159" s="19">
        <v>616950000</v>
      </c>
    </row>
    <row r="160" spans="1:7" x14ac:dyDescent="0.25">
      <c r="A160" s="17"/>
      <c r="C160" t="s">
        <v>45</v>
      </c>
      <c r="D160" s="19">
        <v>25000000</v>
      </c>
      <c r="G160" s="1"/>
    </row>
    <row r="161" spans="1:7" x14ac:dyDescent="0.25">
      <c r="A161" s="17"/>
      <c r="C161" t="s">
        <v>48</v>
      </c>
      <c r="D161" s="19">
        <v>30000000</v>
      </c>
      <c r="G161" s="1"/>
    </row>
    <row r="162" spans="1:7" x14ac:dyDescent="0.25">
      <c r="A162" s="17"/>
      <c r="C162" t="s">
        <v>518</v>
      </c>
      <c r="D162" s="19">
        <v>50000000</v>
      </c>
      <c r="G162" s="1"/>
    </row>
    <row r="163" spans="1:7" x14ac:dyDescent="0.25">
      <c r="A163" s="17"/>
      <c r="C163" t="s">
        <v>744</v>
      </c>
      <c r="D163" s="19">
        <v>1002500</v>
      </c>
      <c r="G163" s="1"/>
    </row>
    <row r="164" spans="1:7" x14ac:dyDescent="0.25">
      <c r="A164" s="17"/>
      <c r="C164" t="s">
        <v>341</v>
      </c>
      <c r="D164" s="19">
        <v>500000</v>
      </c>
      <c r="G164" s="1"/>
    </row>
    <row r="165" spans="1:7" x14ac:dyDescent="0.25">
      <c r="A165" s="17"/>
      <c r="C165" t="s">
        <v>756</v>
      </c>
      <c r="D165" s="20">
        <v>50005000</v>
      </c>
      <c r="G165" s="1"/>
    </row>
    <row r="166" spans="1:7" x14ac:dyDescent="0.25">
      <c r="A166" s="17"/>
      <c r="D166" s="19">
        <f>SUM(D156:D165)</f>
        <v>4100341975</v>
      </c>
      <c r="G166" s="1"/>
    </row>
    <row r="167" spans="1:7" x14ac:dyDescent="0.25">
      <c r="A167" s="17"/>
      <c r="D167" s="19"/>
      <c r="G167" s="1"/>
    </row>
    <row r="168" spans="1:7" x14ac:dyDescent="0.25">
      <c r="A168" s="17"/>
      <c r="B168" s="24" t="s">
        <v>46</v>
      </c>
      <c r="D168" s="19"/>
      <c r="G168" s="1"/>
    </row>
    <row r="169" spans="1:7" x14ac:dyDescent="0.25">
      <c r="A169" s="17"/>
      <c r="B169" s="24"/>
      <c r="C169" t="s">
        <v>791</v>
      </c>
      <c r="D169" s="19">
        <f>284*602500</f>
        <v>171110000</v>
      </c>
      <c r="G169" s="1"/>
    </row>
    <row r="170" spans="1:7" x14ac:dyDescent="0.25">
      <c r="A170" s="17"/>
      <c r="B170" s="24"/>
      <c r="C170" t="s">
        <v>408</v>
      </c>
      <c r="D170" s="19">
        <f>1*602500</f>
        <v>602500</v>
      </c>
    </row>
    <row r="171" spans="1:7" x14ac:dyDescent="0.25">
      <c r="A171" s="17"/>
      <c r="B171" s="24"/>
      <c r="C171" t="s">
        <v>856</v>
      </c>
      <c r="D171" s="20">
        <v>0</v>
      </c>
    </row>
    <row r="172" spans="1:7" x14ac:dyDescent="0.25">
      <c r="A172" s="17"/>
      <c r="D172" s="19">
        <f>SUM(D169:D171)</f>
        <v>171712500</v>
      </c>
      <c r="G172" s="1"/>
    </row>
    <row r="173" spans="1:7" x14ac:dyDescent="0.25">
      <c r="A173" s="17"/>
      <c r="D173" s="19"/>
      <c r="G173" s="1"/>
    </row>
    <row r="174" spans="1:7" x14ac:dyDescent="0.25">
      <c r="A174" s="23" t="s">
        <v>22</v>
      </c>
      <c r="D174" s="19"/>
      <c r="G174" s="1"/>
    </row>
    <row r="175" spans="1:7" x14ac:dyDescent="0.25">
      <c r="A175" s="17"/>
      <c r="C175" t="s">
        <v>23</v>
      </c>
      <c r="D175" s="19">
        <v>2358675000</v>
      </c>
      <c r="G175" s="1"/>
    </row>
    <row r="176" spans="1:7" x14ac:dyDescent="0.25">
      <c r="A176" s="17"/>
      <c r="C176" t="s">
        <v>24</v>
      </c>
      <c r="D176" s="19">
        <v>1521393000</v>
      </c>
      <c r="G176" s="1"/>
    </row>
    <row r="177" spans="1:7" x14ac:dyDescent="0.25">
      <c r="A177" s="17"/>
      <c r="C177" t="s">
        <v>44</v>
      </c>
      <c r="D177" s="19">
        <v>76500000</v>
      </c>
      <c r="G177" s="1"/>
    </row>
    <row r="178" spans="1:7" x14ac:dyDescent="0.25">
      <c r="A178" s="17"/>
      <c r="C178" t="s">
        <v>111</v>
      </c>
      <c r="D178" s="20">
        <v>227475000</v>
      </c>
      <c r="G178" s="1"/>
    </row>
    <row r="179" spans="1:7" x14ac:dyDescent="0.25">
      <c r="A179" s="17"/>
      <c r="D179" s="19">
        <f>SUM(D175:D178)</f>
        <v>4184043000</v>
      </c>
      <c r="G179" s="1"/>
    </row>
    <row r="180" spans="1:7" x14ac:dyDescent="0.25">
      <c r="A180" s="17"/>
      <c r="D180" s="19"/>
      <c r="G180" s="1"/>
    </row>
    <row r="181" spans="1:7" x14ac:dyDescent="0.25">
      <c r="A181" s="43" t="s">
        <v>25</v>
      </c>
      <c r="B181" s="44"/>
      <c r="C181" s="44"/>
      <c r="D181" s="25">
        <f>D153+D166+D172-D179</f>
        <v>1257693603.4200001</v>
      </c>
      <c r="G181" s="1"/>
    </row>
    <row r="182" spans="1:7" x14ac:dyDescent="0.25">
      <c r="A182" s="21"/>
      <c r="B182" s="22"/>
      <c r="C182" s="22"/>
      <c r="D182" s="20"/>
      <c r="G182" s="1"/>
    </row>
    <row r="184" spans="1:7" x14ac:dyDescent="0.25">
      <c r="A184" s="40" t="s">
        <v>13</v>
      </c>
      <c r="B184" s="40"/>
      <c r="C184" s="40"/>
      <c r="D184" s="40"/>
      <c r="G184" s="1"/>
    </row>
    <row r="185" spans="1:7" x14ac:dyDescent="0.25">
      <c r="A185" s="41" t="s">
        <v>14</v>
      </c>
      <c r="B185" s="41"/>
      <c r="C185" s="41"/>
      <c r="D185" s="41"/>
      <c r="G185" s="1"/>
    </row>
    <row r="186" spans="1:7" x14ac:dyDescent="0.25">
      <c r="A186" s="42">
        <v>45875</v>
      </c>
      <c r="B186" s="42"/>
      <c r="C186" s="42"/>
      <c r="D186" s="42"/>
      <c r="G186" s="1"/>
    </row>
    <row r="187" spans="1:7" x14ac:dyDescent="0.25">
      <c r="A187" s="13"/>
      <c r="B187" s="13"/>
      <c r="C187" s="13"/>
      <c r="D187" s="13"/>
      <c r="G187" s="1"/>
    </row>
    <row r="188" spans="1:7" x14ac:dyDescent="0.25">
      <c r="A188" s="14"/>
      <c r="B188" s="15"/>
      <c r="C188" s="15"/>
      <c r="D188" s="16"/>
      <c r="F188" s="5" t="s">
        <v>26</v>
      </c>
      <c r="G188" s="1">
        <f>D229-D181</f>
        <v>2861610</v>
      </c>
    </row>
    <row r="189" spans="1:7" x14ac:dyDescent="0.25">
      <c r="A189" s="17"/>
      <c r="D189" s="32" t="s">
        <v>16</v>
      </c>
      <c r="G189" s="1"/>
    </row>
    <row r="190" spans="1:7" x14ac:dyDescent="0.25">
      <c r="A190" s="23" t="s">
        <v>15</v>
      </c>
      <c r="D190" s="18" t="s">
        <v>17</v>
      </c>
      <c r="F190" s="26" t="s">
        <v>27</v>
      </c>
      <c r="G190" s="1"/>
    </row>
    <row r="191" spans="1:7" x14ac:dyDescent="0.25">
      <c r="A191" s="17"/>
      <c r="B191" s="24" t="s">
        <v>18</v>
      </c>
      <c r="D191" s="19"/>
      <c r="F191" s="27" t="s">
        <v>28</v>
      </c>
      <c r="G191" s="1"/>
    </row>
    <row r="192" spans="1:7" x14ac:dyDescent="0.25">
      <c r="A192" s="17"/>
      <c r="C192" s="2" t="s">
        <v>31</v>
      </c>
      <c r="D192" s="19">
        <v>217132910.15000001</v>
      </c>
      <c r="F192" t="s">
        <v>124</v>
      </c>
      <c r="G192" s="1">
        <v>3004000</v>
      </c>
    </row>
    <row r="193" spans="1:9" x14ac:dyDescent="0.25">
      <c r="A193" s="17"/>
      <c r="C193" s="2" t="s">
        <v>32</v>
      </c>
      <c r="D193" s="19">
        <v>180647266.27000001</v>
      </c>
      <c r="F193" t="s">
        <v>855</v>
      </c>
      <c r="G193" s="1">
        <v>172000</v>
      </c>
    </row>
    <row r="194" spans="1:9" x14ac:dyDescent="0.25">
      <c r="A194" s="17"/>
      <c r="C194" s="2" t="s">
        <v>33</v>
      </c>
      <c r="D194" s="19">
        <v>206968952.40000001</v>
      </c>
      <c r="F194" t="s">
        <v>97</v>
      </c>
      <c r="G194" s="1">
        <v>110</v>
      </c>
    </row>
    <row r="195" spans="1:9" x14ac:dyDescent="0.25">
      <c r="A195" s="17"/>
      <c r="C195" s="2" t="s">
        <v>34</v>
      </c>
      <c r="D195" s="19">
        <v>2368726</v>
      </c>
      <c r="F195" t="s">
        <v>122</v>
      </c>
      <c r="G195" s="1">
        <v>138000</v>
      </c>
    </row>
    <row r="196" spans="1:9" x14ac:dyDescent="0.25">
      <c r="A196" s="17"/>
      <c r="C196" s="2" t="s">
        <v>35</v>
      </c>
      <c r="D196" s="19">
        <v>2450083.6</v>
      </c>
      <c r="G196" s="30">
        <f>SUM(G192:G195)</f>
        <v>3314110</v>
      </c>
      <c r="I196" s="38"/>
    </row>
    <row r="197" spans="1:9" x14ac:dyDescent="0.25">
      <c r="A197" s="17"/>
      <c r="C197" s="2" t="s">
        <v>36</v>
      </c>
      <c r="D197" s="19">
        <v>873247</v>
      </c>
      <c r="F197" s="28" t="s">
        <v>29</v>
      </c>
      <c r="G197" s="1"/>
    </row>
    <row r="198" spans="1:9" x14ac:dyDescent="0.25">
      <c r="A198" s="17"/>
      <c r="C198" s="2" t="s">
        <v>37</v>
      </c>
      <c r="D198" s="19">
        <v>261278236</v>
      </c>
      <c r="F198" t="s">
        <v>161</v>
      </c>
      <c r="G198" s="1">
        <v>2500</v>
      </c>
    </row>
    <row r="199" spans="1:9" x14ac:dyDescent="0.25">
      <c r="A199" s="17"/>
      <c r="C199" s="2" t="s">
        <v>51</v>
      </c>
      <c r="D199" s="20">
        <v>130317</v>
      </c>
      <c r="F199" t="s">
        <v>857</v>
      </c>
      <c r="G199" s="1">
        <v>450000</v>
      </c>
    </row>
    <row r="200" spans="1:9" x14ac:dyDescent="0.25">
      <c r="A200" s="17"/>
      <c r="B200" s="24" t="s">
        <v>19</v>
      </c>
      <c r="D200" s="19">
        <f>SUM(D192:D199)</f>
        <v>871849738.42000008</v>
      </c>
      <c r="G200" s="30">
        <f>SUM(G198:G199)</f>
        <v>452500</v>
      </c>
    </row>
    <row r="201" spans="1:9" x14ac:dyDescent="0.25">
      <c r="A201" s="17"/>
      <c r="D201" s="19"/>
    </row>
    <row r="202" spans="1:9" x14ac:dyDescent="0.25">
      <c r="A202" s="17"/>
      <c r="B202" s="24" t="s">
        <v>20</v>
      </c>
      <c r="D202" s="19"/>
      <c r="F202" s="28" t="s">
        <v>30</v>
      </c>
      <c r="G202" s="29">
        <f>G196-G200</f>
        <v>2861610</v>
      </c>
    </row>
    <row r="203" spans="1:9" x14ac:dyDescent="0.25">
      <c r="A203" s="17"/>
      <c r="C203" t="s">
        <v>7</v>
      </c>
      <c r="D203" s="19">
        <v>2088449637</v>
      </c>
    </row>
    <row r="204" spans="1:9" x14ac:dyDescent="0.25">
      <c r="A204" s="17"/>
      <c r="C204" t="s">
        <v>47</v>
      </c>
      <c r="D204" s="19">
        <v>12705000</v>
      </c>
    </row>
    <row r="205" spans="1:9" x14ac:dyDescent="0.25">
      <c r="A205" s="17"/>
      <c r="C205" t="s">
        <v>21</v>
      </c>
      <c r="D205" s="19">
        <v>958129838</v>
      </c>
    </row>
    <row r="206" spans="1:9" x14ac:dyDescent="0.25">
      <c r="A206" s="17"/>
      <c r="C206" t="s">
        <v>773</v>
      </c>
      <c r="D206" s="19">
        <v>693450000</v>
      </c>
    </row>
    <row r="207" spans="1:9" x14ac:dyDescent="0.25">
      <c r="A207" s="17"/>
      <c r="C207" t="s">
        <v>45</v>
      </c>
      <c r="D207" s="19">
        <v>25000000</v>
      </c>
    </row>
    <row r="208" spans="1:9" x14ac:dyDescent="0.25">
      <c r="A208" s="17"/>
      <c r="C208" t="s">
        <v>48</v>
      </c>
      <c r="D208" s="19">
        <v>30000000</v>
      </c>
    </row>
    <row r="209" spans="1:7" x14ac:dyDescent="0.25">
      <c r="A209" s="17"/>
      <c r="C209" t="s">
        <v>518</v>
      </c>
      <c r="D209" s="19">
        <v>50000000</v>
      </c>
      <c r="G209" s="1"/>
    </row>
    <row r="210" spans="1:7" x14ac:dyDescent="0.25">
      <c r="A210" s="17"/>
      <c r="C210" t="s">
        <v>744</v>
      </c>
      <c r="D210" s="19">
        <v>1002500</v>
      </c>
      <c r="G210" s="1"/>
    </row>
    <row r="211" spans="1:7" x14ac:dyDescent="0.25">
      <c r="A211" s="17"/>
      <c r="C211" t="s">
        <v>341</v>
      </c>
      <c r="D211" s="19">
        <v>500000</v>
      </c>
      <c r="G211" s="1"/>
    </row>
    <row r="212" spans="1:7" x14ac:dyDescent="0.25">
      <c r="A212" s="17"/>
      <c r="C212" t="s">
        <v>756</v>
      </c>
      <c r="D212" s="20">
        <v>50005000</v>
      </c>
      <c r="G212" s="1"/>
    </row>
    <row r="213" spans="1:7" x14ac:dyDescent="0.25">
      <c r="A213" s="17"/>
      <c r="D213" s="19">
        <f>SUM(D203:D212)</f>
        <v>3909241975</v>
      </c>
      <c r="G213" s="1"/>
    </row>
    <row r="214" spans="1:7" x14ac:dyDescent="0.25">
      <c r="A214" s="17"/>
      <c r="D214" s="19"/>
      <c r="G214" s="1"/>
    </row>
    <row r="215" spans="1:7" x14ac:dyDescent="0.25">
      <c r="A215" s="17"/>
      <c r="B215" s="24" t="s">
        <v>46</v>
      </c>
      <c r="D215" s="19"/>
      <c r="G215" s="1"/>
    </row>
    <row r="216" spans="1:7" x14ac:dyDescent="0.25">
      <c r="A216" s="17"/>
      <c r="B216" s="24"/>
      <c r="C216" t="s">
        <v>791</v>
      </c>
      <c r="D216" s="19">
        <f>284*602500</f>
        <v>171110000</v>
      </c>
      <c r="G216" s="1"/>
    </row>
    <row r="217" spans="1:7" x14ac:dyDescent="0.25">
      <c r="A217" s="17"/>
      <c r="B217" s="24"/>
      <c r="C217" t="s">
        <v>408</v>
      </c>
      <c r="D217" s="19">
        <f>1*602500</f>
        <v>602500</v>
      </c>
    </row>
    <row r="218" spans="1:7" x14ac:dyDescent="0.25">
      <c r="A218" s="17"/>
      <c r="B218" s="24"/>
      <c r="C218" t="s">
        <v>856</v>
      </c>
      <c r="D218" s="20">
        <v>0</v>
      </c>
    </row>
    <row r="219" spans="1:7" x14ac:dyDescent="0.25">
      <c r="A219" s="17"/>
      <c r="D219" s="19">
        <f>SUM(D216:D218)</f>
        <v>171712500</v>
      </c>
      <c r="G219" s="1"/>
    </row>
    <row r="220" spans="1:7" x14ac:dyDescent="0.25">
      <c r="A220" s="17"/>
      <c r="D220" s="19"/>
      <c r="G220" s="1"/>
    </row>
    <row r="221" spans="1:7" x14ac:dyDescent="0.25">
      <c r="A221" s="23" t="s">
        <v>22</v>
      </c>
      <c r="D221" s="19"/>
      <c r="G221" s="1"/>
    </row>
    <row r="222" spans="1:7" x14ac:dyDescent="0.25">
      <c r="A222" s="17"/>
      <c r="C222" t="s">
        <v>23</v>
      </c>
      <c r="D222" s="19">
        <v>2027325000</v>
      </c>
      <c r="G222" s="1"/>
    </row>
    <row r="223" spans="1:7" x14ac:dyDescent="0.25">
      <c r="A223" s="17"/>
      <c r="C223" t="s">
        <v>24</v>
      </c>
      <c r="D223" s="19">
        <v>1334674000</v>
      </c>
      <c r="G223" s="1"/>
    </row>
    <row r="224" spans="1:7" x14ac:dyDescent="0.25">
      <c r="A224" s="17"/>
      <c r="C224" t="s">
        <v>44</v>
      </c>
      <c r="D224" s="19">
        <v>161500000</v>
      </c>
      <c r="G224" s="1"/>
    </row>
    <row r="225" spans="1:7" x14ac:dyDescent="0.25">
      <c r="A225" s="17"/>
      <c r="C225" t="s">
        <v>602</v>
      </c>
      <c r="D225" s="19">
        <v>84500000</v>
      </c>
      <c r="G225" s="1"/>
    </row>
    <row r="226" spans="1:7" x14ac:dyDescent="0.25">
      <c r="A226" s="17"/>
      <c r="C226" t="s">
        <v>111</v>
      </c>
      <c r="D226" s="20">
        <v>84250000</v>
      </c>
      <c r="G226" s="1"/>
    </row>
    <row r="227" spans="1:7" x14ac:dyDescent="0.25">
      <c r="A227" s="17"/>
      <c r="D227" s="19">
        <f>SUM(D222:D226)</f>
        <v>3692249000</v>
      </c>
      <c r="G227" s="1"/>
    </row>
    <row r="228" spans="1:7" x14ac:dyDescent="0.25">
      <c r="A228" s="17"/>
      <c r="D228" s="19"/>
      <c r="G228" s="1"/>
    </row>
    <row r="229" spans="1:7" x14ac:dyDescent="0.25">
      <c r="A229" s="43" t="s">
        <v>25</v>
      </c>
      <c r="B229" s="44"/>
      <c r="C229" s="44"/>
      <c r="D229" s="25">
        <f>D200+D213+D219-D227</f>
        <v>1260555213.4200001</v>
      </c>
      <c r="G229" s="1"/>
    </row>
    <row r="230" spans="1:7" x14ac:dyDescent="0.25">
      <c r="A230" s="21"/>
      <c r="B230" s="22"/>
      <c r="C230" s="22"/>
      <c r="D230" s="20"/>
      <c r="G230" s="1"/>
    </row>
    <row r="232" spans="1:7" x14ac:dyDescent="0.25">
      <c r="A232" s="40" t="s">
        <v>13</v>
      </c>
      <c r="B232" s="40"/>
      <c r="C232" s="40"/>
      <c r="D232" s="40"/>
      <c r="G232" s="1"/>
    </row>
    <row r="233" spans="1:7" x14ac:dyDescent="0.25">
      <c r="A233" s="41" t="s">
        <v>14</v>
      </c>
      <c r="B233" s="41"/>
      <c r="C233" s="41"/>
      <c r="D233" s="41"/>
      <c r="G233" s="1"/>
    </row>
    <row r="234" spans="1:7" x14ac:dyDescent="0.25">
      <c r="A234" s="42">
        <v>45876</v>
      </c>
      <c r="B234" s="42"/>
      <c r="C234" s="42"/>
      <c r="D234" s="42"/>
      <c r="G234" s="1"/>
    </row>
    <row r="235" spans="1:7" x14ac:dyDescent="0.25">
      <c r="A235" s="13"/>
      <c r="B235" s="13"/>
      <c r="C235" s="13"/>
      <c r="D235" s="13"/>
      <c r="G235" s="1"/>
    </row>
    <row r="236" spans="1:7" x14ac:dyDescent="0.25">
      <c r="A236" s="14"/>
      <c r="B236" s="15"/>
      <c r="C236" s="15"/>
      <c r="D236" s="16"/>
      <c r="F236" s="5" t="s">
        <v>26</v>
      </c>
      <c r="G236" s="1">
        <f>D276-D229</f>
        <v>2217000</v>
      </c>
    </row>
    <row r="237" spans="1:7" x14ac:dyDescent="0.25">
      <c r="A237" s="17"/>
      <c r="D237" s="32" t="s">
        <v>16</v>
      </c>
      <c r="G237" s="1"/>
    </row>
    <row r="238" spans="1:7" x14ac:dyDescent="0.25">
      <c r="A238" s="23" t="s">
        <v>15</v>
      </c>
      <c r="D238" s="18" t="s">
        <v>17</v>
      </c>
      <c r="F238" s="26" t="s">
        <v>27</v>
      </c>
      <c r="G238" s="1"/>
    </row>
    <row r="239" spans="1:7" x14ac:dyDescent="0.25">
      <c r="A239" s="17"/>
      <c r="B239" s="24" t="s">
        <v>18</v>
      </c>
      <c r="D239" s="19"/>
      <c r="F239" s="27" t="s">
        <v>28</v>
      </c>
      <c r="G239" s="1"/>
    </row>
    <row r="240" spans="1:7" x14ac:dyDescent="0.25">
      <c r="A240" s="17"/>
      <c r="C240" s="2" t="s">
        <v>31</v>
      </c>
      <c r="D240" s="19">
        <v>14978910.15</v>
      </c>
      <c r="F240" t="s">
        <v>303</v>
      </c>
      <c r="G240" s="1">
        <v>4317750</v>
      </c>
    </row>
    <row r="241" spans="1:7" x14ac:dyDescent="0.25">
      <c r="A241" s="17"/>
      <c r="C241" s="2" t="s">
        <v>32</v>
      </c>
      <c r="D241" s="19">
        <v>180647266.27000001</v>
      </c>
      <c r="F241" t="s">
        <v>90</v>
      </c>
      <c r="G241" s="1">
        <v>225000</v>
      </c>
    </row>
    <row r="242" spans="1:7" x14ac:dyDescent="0.25">
      <c r="A242" s="17"/>
      <c r="C242" s="2" t="s">
        <v>33</v>
      </c>
      <c r="D242" s="19">
        <v>270918952.39999998</v>
      </c>
      <c r="F242" t="s">
        <v>122</v>
      </c>
      <c r="G242" s="1">
        <v>91250</v>
      </c>
    </row>
    <row r="243" spans="1:7" x14ac:dyDescent="0.25">
      <c r="A243" s="17"/>
      <c r="C243" s="2" t="s">
        <v>34</v>
      </c>
      <c r="D243" s="19">
        <v>37468726</v>
      </c>
      <c r="G243" s="30">
        <f>SUM(G240:G242)</f>
        <v>4634000</v>
      </c>
    </row>
    <row r="244" spans="1:7" x14ac:dyDescent="0.25">
      <c r="A244" s="17"/>
      <c r="C244" s="2" t="s">
        <v>35</v>
      </c>
      <c r="D244" s="19">
        <v>2450083.6</v>
      </c>
      <c r="F244" s="28" t="s">
        <v>29</v>
      </c>
      <c r="G244" s="1"/>
    </row>
    <row r="245" spans="1:7" x14ac:dyDescent="0.25">
      <c r="A245" s="17"/>
      <c r="C245" s="2" t="s">
        <v>36</v>
      </c>
      <c r="D245" s="19">
        <v>873247</v>
      </c>
      <c r="F245" t="s">
        <v>104</v>
      </c>
      <c r="G245" s="1">
        <v>2250000</v>
      </c>
    </row>
    <row r="246" spans="1:7" x14ac:dyDescent="0.25">
      <c r="A246" s="17"/>
      <c r="C246" s="2" t="s">
        <v>37</v>
      </c>
      <c r="D246" s="19">
        <v>329028236</v>
      </c>
      <c r="F246" t="s">
        <v>859</v>
      </c>
      <c r="G246" s="1">
        <v>84000</v>
      </c>
    </row>
    <row r="247" spans="1:7" x14ac:dyDescent="0.25">
      <c r="A247" s="17"/>
      <c r="C247" s="2" t="s">
        <v>51</v>
      </c>
      <c r="D247" s="20">
        <v>130317</v>
      </c>
      <c r="F247" t="s">
        <v>860</v>
      </c>
      <c r="G247" s="1">
        <v>83000</v>
      </c>
    </row>
    <row r="248" spans="1:7" x14ac:dyDescent="0.25">
      <c r="A248" s="17"/>
      <c r="B248" s="24" t="s">
        <v>19</v>
      </c>
      <c r="D248" s="19">
        <f>SUM(D240:D247)</f>
        <v>836495738.42000008</v>
      </c>
      <c r="G248" s="30">
        <f>SUM(G245:G247)</f>
        <v>2417000</v>
      </c>
    </row>
    <row r="249" spans="1:7" x14ac:dyDescent="0.25">
      <c r="A249" s="17"/>
      <c r="D249" s="19"/>
    </row>
    <row r="250" spans="1:7" x14ac:dyDescent="0.25">
      <c r="A250" s="17"/>
      <c r="B250" s="24" t="s">
        <v>20</v>
      </c>
      <c r="D250" s="19"/>
      <c r="F250" s="28" t="s">
        <v>30</v>
      </c>
      <c r="G250" s="29">
        <f>G243-G248</f>
        <v>2217000</v>
      </c>
    </row>
    <row r="251" spans="1:7" x14ac:dyDescent="0.25">
      <c r="A251" s="17"/>
      <c r="C251" t="s">
        <v>7</v>
      </c>
      <c r="D251" s="19">
        <v>2794641637</v>
      </c>
    </row>
    <row r="252" spans="1:7" x14ac:dyDescent="0.25">
      <c r="A252" s="17"/>
      <c r="C252" t="s">
        <v>47</v>
      </c>
      <c r="D252" s="19">
        <v>18955000</v>
      </c>
    </row>
    <row r="253" spans="1:7" x14ac:dyDescent="0.25">
      <c r="A253" s="17"/>
      <c r="C253" t="s">
        <v>21</v>
      </c>
      <c r="D253" s="19">
        <v>921429838</v>
      </c>
    </row>
    <row r="254" spans="1:7" x14ac:dyDescent="0.25">
      <c r="A254" s="17"/>
      <c r="C254" t="s">
        <v>773</v>
      </c>
      <c r="D254" s="19">
        <v>536850000</v>
      </c>
    </row>
    <row r="255" spans="1:7" x14ac:dyDescent="0.25">
      <c r="A255" s="17"/>
      <c r="C255" t="s">
        <v>45</v>
      </c>
      <c r="D255" s="19">
        <v>25000000</v>
      </c>
    </row>
    <row r="256" spans="1:7" x14ac:dyDescent="0.25">
      <c r="A256" s="17"/>
      <c r="C256" t="s">
        <v>48</v>
      </c>
      <c r="D256" s="19">
        <v>30000000</v>
      </c>
    </row>
    <row r="257" spans="1:7" x14ac:dyDescent="0.25">
      <c r="A257" s="17"/>
      <c r="C257" t="s">
        <v>518</v>
      </c>
      <c r="D257" s="19">
        <v>50000000</v>
      </c>
      <c r="G257" s="1"/>
    </row>
    <row r="258" spans="1:7" x14ac:dyDescent="0.25">
      <c r="A258" s="17"/>
      <c r="C258" t="s">
        <v>744</v>
      </c>
      <c r="D258" s="19">
        <v>1002500</v>
      </c>
      <c r="G258" s="1"/>
    </row>
    <row r="259" spans="1:7" x14ac:dyDescent="0.25">
      <c r="A259" s="17"/>
      <c r="C259" t="s">
        <v>756</v>
      </c>
      <c r="D259" s="20">
        <v>50005000</v>
      </c>
      <c r="G259" s="1"/>
    </row>
    <row r="260" spans="1:7" x14ac:dyDescent="0.25">
      <c r="A260" s="17"/>
      <c r="D260" s="19">
        <f>SUM(D251:D259)</f>
        <v>4427883975</v>
      </c>
      <c r="G260" s="1"/>
    </row>
    <row r="261" spans="1:7" x14ac:dyDescent="0.25">
      <c r="A261" s="17"/>
      <c r="D261" s="19"/>
      <c r="G261" s="1"/>
    </row>
    <row r="262" spans="1:7" x14ac:dyDescent="0.25">
      <c r="A262" s="17"/>
      <c r="B262" s="24" t="s">
        <v>46</v>
      </c>
      <c r="D262" s="19"/>
      <c r="G262" s="1"/>
    </row>
    <row r="263" spans="1:7" x14ac:dyDescent="0.25">
      <c r="A263" s="17"/>
      <c r="B263" s="24"/>
      <c r="C263" t="s">
        <v>622</v>
      </c>
      <c r="D263" s="19">
        <f>264*602500</f>
        <v>159060000</v>
      </c>
      <c r="G263" s="1"/>
    </row>
    <row r="264" spans="1:7" x14ac:dyDescent="0.25">
      <c r="A264" s="17"/>
      <c r="B264" s="24"/>
      <c r="C264" t="s">
        <v>120</v>
      </c>
      <c r="D264" s="19">
        <f>11*602500</f>
        <v>6627500</v>
      </c>
    </row>
    <row r="265" spans="1:7" x14ac:dyDescent="0.25">
      <c r="A265" s="17"/>
      <c r="B265" s="24"/>
      <c r="C265" t="s">
        <v>856</v>
      </c>
      <c r="D265" s="20">
        <v>0</v>
      </c>
    </row>
    <row r="266" spans="1:7" x14ac:dyDescent="0.25">
      <c r="A266" s="17"/>
      <c r="D266" s="19">
        <f>SUM(D263:D265)</f>
        <v>165687500</v>
      </c>
      <c r="G266" s="1"/>
    </row>
    <row r="267" spans="1:7" x14ac:dyDescent="0.25">
      <c r="A267" s="17"/>
      <c r="D267" s="19"/>
      <c r="G267" s="1"/>
    </row>
    <row r="268" spans="1:7" x14ac:dyDescent="0.25">
      <c r="A268" s="23" t="s">
        <v>22</v>
      </c>
      <c r="D268" s="19"/>
      <c r="G268" s="1"/>
    </row>
    <row r="269" spans="1:7" x14ac:dyDescent="0.25">
      <c r="A269" s="17"/>
      <c r="C269" t="s">
        <v>23</v>
      </c>
      <c r="D269" s="19">
        <v>2263925000</v>
      </c>
      <c r="G269" s="1"/>
    </row>
    <row r="270" spans="1:7" x14ac:dyDescent="0.25">
      <c r="A270" s="17"/>
      <c r="C270" t="s">
        <v>24</v>
      </c>
      <c r="D270" s="19">
        <v>1497295000</v>
      </c>
      <c r="G270" s="1"/>
    </row>
    <row r="271" spans="1:7" x14ac:dyDescent="0.25">
      <c r="A271" s="17"/>
      <c r="C271" t="s">
        <v>44</v>
      </c>
      <c r="D271" s="19">
        <v>161500000</v>
      </c>
      <c r="G271" s="1"/>
    </row>
    <row r="272" spans="1:7" x14ac:dyDescent="0.25">
      <c r="A272" s="17"/>
      <c r="C272" t="s">
        <v>602</v>
      </c>
      <c r="D272" s="19">
        <v>84500000</v>
      </c>
      <c r="G272" s="1"/>
    </row>
    <row r="273" spans="1:7" x14ac:dyDescent="0.25">
      <c r="A273" s="17"/>
      <c r="C273" t="s">
        <v>111</v>
      </c>
      <c r="D273" s="20">
        <v>160075000</v>
      </c>
      <c r="G273" s="1"/>
    </row>
    <row r="274" spans="1:7" x14ac:dyDescent="0.25">
      <c r="A274" s="17"/>
      <c r="D274" s="19">
        <f>SUM(D269:D273)</f>
        <v>4167295000</v>
      </c>
      <c r="G274" s="1"/>
    </row>
    <row r="275" spans="1:7" x14ac:dyDescent="0.25">
      <c r="A275" s="17"/>
      <c r="D275" s="19"/>
      <c r="G275" s="1"/>
    </row>
    <row r="276" spans="1:7" x14ac:dyDescent="0.25">
      <c r="A276" s="43" t="s">
        <v>25</v>
      </c>
      <c r="B276" s="44"/>
      <c r="C276" s="44"/>
      <c r="D276" s="25">
        <f>D248+D260+D266-D274</f>
        <v>1262772213.4200001</v>
      </c>
      <c r="G276" s="1"/>
    </row>
    <row r="277" spans="1:7" x14ac:dyDescent="0.25">
      <c r="A277" s="21"/>
      <c r="B277" s="22"/>
      <c r="C277" s="22"/>
      <c r="D277" s="20"/>
      <c r="G277" s="1"/>
    </row>
    <row r="279" spans="1:7" x14ac:dyDescent="0.25">
      <c r="A279" s="40" t="s">
        <v>13</v>
      </c>
      <c r="B279" s="40"/>
      <c r="C279" s="40"/>
      <c r="D279" s="40"/>
      <c r="G279" s="1"/>
    </row>
    <row r="280" spans="1:7" x14ac:dyDescent="0.25">
      <c r="A280" s="41" t="s">
        <v>14</v>
      </c>
      <c r="B280" s="41"/>
      <c r="C280" s="41"/>
      <c r="D280" s="41"/>
      <c r="G280" s="1"/>
    </row>
    <row r="281" spans="1:7" x14ac:dyDescent="0.25">
      <c r="A281" s="42">
        <v>45877</v>
      </c>
      <c r="B281" s="42"/>
      <c r="C281" s="42"/>
      <c r="D281" s="42"/>
      <c r="G281" s="1"/>
    </row>
    <row r="282" spans="1:7" x14ac:dyDescent="0.25">
      <c r="A282" s="13"/>
      <c r="B282" s="13"/>
      <c r="C282" s="13"/>
      <c r="D282" s="13"/>
      <c r="G282" s="1"/>
    </row>
    <row r="283" spans="1:7" x14ac:dyDescent="0.25">
      <c r="A283" s="14"/>
      <c r="B283" s="15"/>
      <c r="C283" s="15"/>
      <c r="D283" s="16"/>
      <c r="F283" s="5" t="s">
        <v>26</v>
      </c>
      <c r="G283" s="1">
        <f>D322-D276</f>
        <v>7270000</v>
      </c>
    </row>
    <row r="284" spans="1:7" x14ac:dyDescent="0.25">
      <c r="A284" s="17"/>
      <c r="D284" s="32" t="s">
        <v>16</v>
      </c>
      <c r="G284" s="1"/>
    </row>
    <row r="285" spans="1:7" x14ac:dyDescent="0.25">
      <c r="A285" s="23" t="s">
        <v>15</v>
      </c>
      <c r="D285" s="18" t="s">
        <v>17</v>
      </c>
      <c r="F285" s="26" t="s">
        <v>27</v>
      </c>
      <c r="G285" s="1"/>
    </row>
    <row r="286" spans="1:7" x14ac:dyDescent="0.25">
      <c r="A286" s="17"/>
      <c r="B286" s="24" t="s">
        <v>18</v>
      </c>
      <c r="D286" s="19"/>
      <c r="F286" s="27" t="s">
        <v>28</v>
      </c>
      <c r="G286" s="1"/>
    </row>
    <row r="287" spans="1:7" x14ac:dyDescent="0.25">
      <c r="A287" s="17"/>
      <c r="C287" s="2" t="s">
        <v>31</v>
      </c>
      <c r="D287" s="19">
        <v>14978910.15</v>
      </c>
      <c r="F287" t="s">
        <v>141</v>
      </c>
      <c r="G287" s="1">
        <v>7357500</v>
      </c>
    </row>
    <row r="288" spans="1:7" x14ac:dyDescent="0.25">
      <c r="A288" s="17"/>
      <c r="C288" s="2" t="s">
        <v>32</v>
      </c>
      <c r="D288" s="19">
        <v>180647266.27000001</v>
      </c>
      <c r="F288" t="s">
        <v>90</v>
      </c>
      <c r="G288" s="1">
        <v>67500</v>
      </c>
    </row>
    <row r="289" spans="1:9" x14ac:dyDescent="0.25">
      <c r="A289" s="17"/>
      <c r="C289" s="2" t="s">
        <v>33</v>
      </c>
      <c r="D289" s="19">
        <v>150363952.40000001</v>
      </c>
      <c r="G289" s="30">
        <f>SUM(G287:G288)</f>
        <v>7425000</v>
      </c>
    </row>
    <row r="290" spans="1:9" x14ac:dyDescent="0.25">
      <c r="A290" s="17"/>
      <c r="C290" s="2" t="s">
        <v>34</v>
      </c>
      <c r="D290" s="19">
        <v>1743726</v>
      </c>
      <c r="F290" s="28" t="s">
        <v>29</v>
      </c>
      <c r="G290" s="1"/>
      <c r="I290" s="38"/>
    </row>
    <row r="291" spans="1:9" x14ac:dyDescent="0.25">
      <c r="A291" s="17"/>
      <c r="C291" s="2" t="s">
        <v>35</v>
      </c>
      <c r="D291" s="19">
        <v>2450083.6</v>
      </c>
      <c r="F291" t="s">
        <v>414</v>
      </c>
      <c r="G291" s="1">
        <v>150000</v>
      </c>
    </row>
    <row r="292" spans="1:9" x14ac:dyDescent="0.25">
      <c r="A292" s="17"/>
      <c r="C292" s="2" t="s">
        <v>36</v>
      </c>
      <c r="D292" s="19">
        <v>87873247</v>
      </c>
      <c r="F292" t="s">
        <v>161</v>
      </c>
      <c r="G292" s="1">
        <v>5000</v>
      </c>
    </row>
    <row r="293" spans="1:9" x14ac:dyDescent="0.25">
      <c r="A293" s="17"/>
      <c r="C293" s="2" t="s">
        <v>37</v>
      </c>
      <c r="D293" s="19">
        <v>255986236</v>
      </c>
      <c r="G293" s="30">
        <f>SUM(G291:G292)</f>
        <v>155000</v>
      </c>
    </row>
    <row r="294" spans="1:9" x14ac:dyDescent="0.25">
      <c r="A294" s="17"/>
      <c r="C294" s="2" t="s">
        <v>51</v>
      </c>
      <c r="D294" s="20">
        <v>130317</v>
      </c>
    </row>
    <row r="295" spans="1:9" x14ac:dyDescent="0.25">
      <c r="A295" s="17"/>
      <c r="B295" s="24" t="s">
        <v>19</v>
      </c>
      <c r="D295" s="19">
        <f>SUM(D287:D294)</f>
        <v>694173738.42000008</v>
      </c>
      <c r="F295" s="28" t="s">
        <v>30</v>
      </c>
      <c r="G295" s="29">
        <f>G289-G293</f>
        <v>7270000</v>
      </c>
    </row>
    <row r="296" spans="1:9" x14ac:dyDescent="0.25">
      <c r="A296" s="17"/>
      <c r="D296" s="19"/>
    </row>
    <row r="297" spans="1:9" x14ac:dyDescent="0.25">
      <c r="A297" s="17"/>
      <c r="B297" s="24" t="s">
        <v>20</v>
      </c>
      <c r="D297" s="19"/>
    </row>
    <row r="298" spans="1:9" x14ac:dyDescent="0.25">
      <c r="A298" s="17"/>
      <c r="C298" t="s">
        <v>7</v>
      </c>
      <c r="D298" s="19">
        <v>2343241637</v>
      </c>
    </row>
    <row r="299" spans="1:9" x14ac:dyDescent="0.25">
      <c r="A299" s="17"/>
      <c r="C299" t="s">
        <v>47</v>
      </c>
      <c r="D299" s="19">
        <v>20830000</v>
      </c>
    </row>
    <row r="300" spans="1:9" x14ac:dyDescent="0.25">
      <c r="A300" s="17"/>
      <c r="C300" t="s">
        <v>21</v>
      </c>
      <c r="D300" s="19">
        <v>808016838</v>
      </c>
    </row>
    <row r="301" spans="1:9" x14ac:dyDescent="0.25">
      <c r="A301" s="17"/>
      <c r="C301" t="s">
        <v>773</v>
      </c>
      <c r="D301" s="19">
        <v>536850000</v>
      </c>
    </row>
    <row r="302" spans="1:9" x14ac:dyDescent="0.25">
      <c r="A302" s="17"/>
      <c r="C302" t="s">
        <v>45</v>
      </c>
      <c r="D302" s="19">
        <v>25000000</v>
      </c>
    </row>
    <row r="303" spans="1:9" x14ac:dyDescent="0.25">
      <c r="A303" s="17"/>
      <c r="C303" t="s">
        <v>48</v>
      </c>
      <c r="D303" s="19">
        <v>30000000</v>
      </c>
    </row>
    <row r="304" spans="1:9" x14ac:dyDescent="0.25">
      <c r="A304" s="17"/>
      <c r="C304" t="s">
        <v>518</v>
      </c>
      <c r="D304" s="19">
        <v>50000000</v>
      </c>
      <c r="G304" s="1"/>
    </row>
    <row r="305" spans="1:7" x14ac:dyDescent="0.25">
      <c r="A305" s="17"/>
      <c r="C305" t="s">
        <v>744</v>
      </c>
      <c r="D305" s="19">
        <v>1002500</v>
      </c>
      <c r="G305" s="1"/>
    </row>
    <row r="306" spans="1:7" x14ac:dyDescent="0.25">
      <c r="A306" s="17"/>
      <c r="C306" t="s">
        <v>756</v>
      </c>
      <c r="D306" s="20">
        <v>50005000</v>
      </c>
      <c r="G306" s="1"/>
    </row>
    <row r="307" spans="1:7" x14ac:dyDescent="0.25">
      <c r="A307" s="17"/>
      <c r="D307" s="19">
        <f>SUM(D298:D306)</f>
        <v>3864945975</v>
      </c>
      <c r="G307" s="1"/>
    </row>
    <row r="308" spans="1:7" x14ac:dyDescent="0.25">
      <c r="A308" s="17"/>
      <c r="D308" s="19"/>
      <c r="G308" s="1"/>
    </row>
    <row r="309" spans="1:7" x14ac:dyDescent="0.25">
      <c r="A309" s="17"/>
      <c r="B309" s="24" t="s">
        <v>46</v>
      </c>
      <c r="D309" s="19"/>
      <c r="G309" s="1"/>
    </row>
    <row r="310" spans="1:7" x14ac:dyDescent="0.25">
      <c r="A310" s="17"/>
      <c r="B310" s="24"/>
      <c r="C310" t="s">
        <v>622</v>
      </c>
      <c r="D310" s="19">
        <f>264*602500</f>
        <v>159060000</v>
      </c>
      <c r="G310" s="1"/>
    </row>
    <row r="311" spans="1:7" x14ac:dyDescent="0.25">
      <c r="A311" s="17"/>
      <c r="B311" s="24"/>
      <c r="C311" t="s">
        <v>740</v>
      </c>
      <c r="D311" s="19">
        <f>8*602500</f>
        <v>4820000</v>
      </c>
    </row>
    <row r="312" spans="1:7" x14ac:dyDescent="0.25">
      <c r="A312" s="17"/>
      <c r="B312" s="24"/>
      <c r="C312" t="s">
        <v>856</v>
      </c>
      <c r="D312" s="20">
        <v>0</v>
      </c>
    </row>
    <row r="313" spans="1:7" x14ac:dyDescent="0.25">
      <c r="A313" s="17"/>
      <c r="D313" s="19">
        <f>SUM(D310:D312)</f>
        <v>163880000</v>
      </c>
      <c r="G313" s="1"/>
    </row>
    <row r="314" spans="1:7" x14ac:dyDescent="0.25">
      <c r="A314" s="17"/>
      <c r="D314" s="19"/>
      <c r="G314" s="1"/>
    </row>
    <row r="315" spans="1:7" x14ac:dyDescent="0.25">
      <c r="A315" s="23" t="s">
        <v>22</v>
      </c>
      <c r="D315" s="19"/>
      <c r="G315" s="1"/>
    </row>
    <row r="316" spans="1:7" x14ac:dyDescent="0.25">
      <c r="A316" s="17"/>
      <c r="C316" t="s">
        <v>23</v>
      </c>
      <c r="D316" s="19">
        <v>1924700000</v>
      </c>
      <c r="G316" s="1"/>
    </row>
    <row r="317" spans="1:7" x14ac:dyDescent="0.25">
      <c r="A317" s="17"/>
      <c r="C317" t="s">
        <v>24</v>
      </c>
      <c r="D317" s="19">
        <v>1282257500</v>
      </c>
      <c r="G317" s="1"/>
    </row>
    <row r="318" spans="1:7" x14ac:dyDescent="0.25">
      <c r="A318" s="17"/>
      <c r="C318" t="s">
        <v>44</v>
      </c>
      <c r="D318" s="19">
        <v>161500000</v>
      </c>
      <c r="G318" s="1"/>
    </row>
    <row r="319" spans="1:7" x14ac:dyDescent="0.25">
      <c r="A319" s="17"/>
      <c r="C319" t="s">
        <v>602</v>
      </c>
      <c r="D319" s="20">
        <v>84500000</v>
      </c>
      <c r="G319" s="1"/>
    </row>
    <row r="320" spans="1:7" x14ac:dyDescent="0.25">
      <c r="A320" s="17"/>
      <c r="D320" s="19">
        <f>SUM(D316:D319)</f>
        <v>3452957500</v>
      </c>
      <c r="G320" s="1"/>
    </row>
    <row r="321" spans="1:7" x14ac:dyDescent="0.25">
      <c r="A321" s="17"/>
      <c r="D321" s="19"/>
      <c r="G321" s="1"/>
    </row>
    <row r="322" spans="1:7" x14ac:dyDescent="0.25">
      <c r="A322" s="43" t="s">
        <v>25</v>
      </c>
      <c r="B322" s="44"/>
      <c r="C322" s="44"/>
      <c r="D322" s="25">
        <f>D295+D307+D313-D320</f>
        <v>1270042213.4200001</v>
      </c>
      <c r="G322" s="1"/>
    </row>
    <row r="323" spans="1:7" x14ac:dyDescent="0.25">
      <c r="A323" s="21"/>
      <c r="B323" s="22"/>
      <c r="C323" s="22"/>
      <c r="D323" s="20"/>
      <c r="G323" s="1"/>
    </row>
    <row r="325" spans="1:7" x14ac:dyDescent="0.25">
      <c r="A325" s="40" t="s">
        <v>13</v>
      </c>
      <c r="B325" s="40"/>
      <c r="C325" s="40"/>
      <c r="D325" s="40"/>
      <c r="G325" s="1"/>
    </row>
    <row r="326" spans="1:7" x14ac:dyDescent="0.25">
      <c r="A326" s="41" t="s">
        <v>14</v>
      </c>
      <c r="B326" s="41"/>
      <c r="C326" s="41"/>
      <c r="D326" s="41"/>
      <c r="G326" s="1"/>
    </row>
    <row r="327" spans="1:7" x14ac:dyDescent="0.25">
      <c r="A327" s="42">
        <v>45878</v>
      </c>
      <c r="B327" s="42"/>
      <c r="C327" s="42"/>
      <c r="D327" s="42"/>
      <c r="G327" s="1"/>
    </row>
    <row r="328" spans="1:7" x14ac:dyDescent="0.25">
      <c r="A328" s="13"/>
      <c r="B328" s="13"/>
      <c r="C328" s="13"/>
      <c r="D328" s="13"/>
      <c r="G328" s="1"/>
    </row>
    <row r="329" spans="1:7" x14ac:dyDescent="0.25">
      <c r="A329" s="14"/>
      <c r="B329" s="15"/>
      <c r="C329" s="15"/>
      <c r="D329" s="16"/>
      <c r="F329" s="5" t="s">
        <v>26</v>
      </c>
      <c r="G329" s="1">
        <f>D369-D322</f>
        <v>-11131000</v>
      </c>
    </row>
    <row r="330" spans="1:7" x14ac:dyDescent="0.25">
      <c r="A330" s="17"/>
      <c r="D330" s="32" t="s">
        <v>16</v>
      </c>
      <c r="G330" s="1"/>
    </row>
    <row r="331" spans="1:7" x14ac:dyDescent="0.25">
      <c r="A331" s="23" t="s">
        <v>15</v>
      </c>
      <c r="D331" s="18" t="s">
        <v>17</v>
      </c>
      <c r="F331" s="26" t="s">
        <v>27</v>
      </c>
      <c r="G331" s="1"/>
    </row>
    <row r="332" spans="1:7" x14ac:dyDescent="0.25">
      <c r="A332" s="17"/>
      <c r="B332" s="24" t="s">
        <v>18</v>
      </c>
      <c r="D332" s="19"/>
      <c r="F332" s="27" t="s">
        <v>28</v>
      </c>
      <c r="G332" s="1"/>
    </row>
    <row r="333" spans="1:7" x14ac:dyDescent="0.25">
      <c r="A333" s="17"/>
      <c r="C333" s="2" t="s">
        <v>31</v>
      </c>
      <c r="D333" s="19">
        <v>32978910.149999999</v>
      </c>
      <c r="F333" t="s">
        <v>467</v>
      </c>
      <c r="G333" s="1">
        <v>13575000</v>
      </c>
    </row>
    <row r="334" spans="1:7" x14ac:dyDescent="0.25">
      <c r="A334" s="17"/>
      <c r="C334" s="2" t="s">
        <v>32</v>
      </c>
      <c r="D334" s="19">
        <v>195212266.27000001</v>
      </c>
      <c r="F334" t="s">
        <v>90</v>
      </c>
      <c r="G334" s="1">
        <v>220000</v>
      </c>
    </row>
    <row r="335" spans="1:7" x14ac:dyDescent="0.25">
      <c r="A335" s="17"/>
      <c r="C335" s="2" t="s">
        <v>33</v>
      </c>
      <c r="D335" s="19">
        <v>25440452.399999999</v>
      </c>
      <c r="G335" s="30">
        <f>SUM(G333:G334)</f>
        <v>13795000</v>
      </c>
    </row>
    <row r="336" spans="1:7" x14ac:dyDescent="0.25">
      <c r="A336" s="17"/>
      <c r="C336" s="2" t="s">
        <v>34</v>
      </c>
      <c r="D336" s="19">
        <v>4243726</v>
      </c>
      <c r="F336" s="28" t="s">
        <v>29</v>
      </c>
      <c r="G336" s="1"/>
    </row>
    <row r="337" spans="1:7" x14ac:dyDescent="0.25">
      <c r="A337" s="17"/>
      <c r="C337" s="2" t="s">
        <v>35</v>
      </c>
      <c r="D337" s="19">
        <v>2450083.6</v>
      </c>
      <c r="F337" t="s">
        <v>161</v>
      </c>
      <c r="G337" s="1">
        <v>2500</v>
      </c>
    </row>
    <row r="338" spans="1:7" x14ac:dyDescent="0.25">
      <c r="A338" s="17"/>
      <c r="C338" s="2" t="s">
        <v>36</v>
      </c>
      <c r="D338" s="19">
        <v>87873247</v>
      </c>
      <c r="F338" t="s">
        <v>861</v>
      </c>
      <c r="G338" s="1">
        <v>24923500</v>
      </c>
    </row>
    <row r="339" spans="1:7" x14ac:dyDescent="0.25">
      <c r="A339" s="17"/>
      <c r="C339" s="2" t="s">
        <v>37</v>
      </c>
      <c r="D339" s="19">
        <v>81583736</v>
      </c>
      <c r="G339" s="30">
        <f>SUM(G337:G338)</f>
        <v>24926000</v>
      </c>
    </row>
    <row r="340" spans="1:7" x14ac:dyDescent="0.25">
      <c r="A340" s="17"/>
      <c r="C340" s="2" t="s">
        <v>51</v>
      </c>
      <c r="D340" s="20">
        <v>130317</v>
      </c>
    </row>
    <row r="341" spans="1:7" x14ac:dyDescent="0.25">
      <c r="A341" s="17"/>
      <c r="B341" s="24" t="s">
        <v>19</v>
      </c>
      <c r="D341" s="19">
        <f>SUM(D333:D340)</f>
        <v>429912738.42000002</v>
      </c>
      <c r="F341" s="28" t="s">
        <v>30</v>
      </c>
      <c r="G341" s="29">
        <f>G335-G339</f>
        <v>-11131000</v>
      </c>
    </row>
    <row r="342" spans="1:7" x14ac:dyDescent="0.25">
      <c r="A342" s="17"/>
      <c r="D342" s="19"/>
    </row>
    <row r="343" spans="1:7" x14ac:dyDescent="0.25">
      <c r="A343" s="17"/>
      <c r="B343" s="24" t="s">
        <v>20</v>
      </c>
      <c r="D343" s="19"/>
    </row>
    <row r="344" spans="1:7" x14ac:dyDescent="0.25">
      <c r="A344" s="17"/>
      <c r="C344" t="s">
        <v>7</v>
      </c>
      <c r="D344" s="19">
        <v>2745841637</v>
      </c>
    </row>
    <row r="345" spans="1:7" x14ac:dyDescent="0.25">
      <c r="A345" s="17"/>
      <c r="C345" t="s">
        <v>47</v>
      </c>
      <c r="D345" s="19">
        <v>11305000</v>
      </c>
    </row>
    <row r="346" spans="1:7" x14ac:dyDescent="0.25">
      <c r="A346" s="17"/>
      <c r="C346" t="s">
        <v>21</v>
      </c>
      <c r="D346" s="19">
        <v>833216838</v>
      </c>
    </row>
    <row r="347" spans="1:7" x14ac:dyDescent="0.25">
      <c r="A347" s="17"/>
      <c r="C347" t="s">
        <v>773</v>
      </c>
      <c r="D347" s="19">
        <v>536850000</v>
      </c>
    </row>
    <row r="348" spans="1:7" x14ac:dyDescent="0.25">
      <c r="A348" s="17"/>
      <c r="C348" t="s">
        <v>45</v>
      </c>
      <c r="D348" s="19">
        <v>25000000</v>
      </c>
    </row>
    <row r="349" spans="1:7" x14ac:dyDescent="0.25">
      <c r="A349" s="17"/>
      <c r="C349" t="s">
        <v>48</v>
      </c>
      <c r="D349" s="19">
        <v>30000000</v>
      </c>
    </row>
    <row r="350" spans="1:7" x14ac:dyDescent="0.25">
      <c r="A350" s="17"/>
      <c r="C350" t="s">
        <v>518</v>
      </c>
      <c r="D350" s="19">
        <v>50000000</v>
      </c>
      <c r="G350" s="1"/>
    </row>
    <row r="351" spans="1:7" x14ac:dyDescent="0.25">
      <c r="A351" s="17"/>
      <c r="C351" t="s">
        <v>744</v>
      </c>
      <c r="D351" s="19">
        <v>1002500</v>
      </c>
      <c r="G351" s="1"/>
    </row>
    <row r="352" spans="1:7" x14ac:dyDescent="0.25">
      <c r="A352" s="17"/>
      <c r="C352" t="s">
        <v>756</v>
      </c>
      <c r="D352" s="20">
        <v>50005000</v>
      </c>
      <c r="G352" s="1"/>
    </row>
    <row r="353" spans="1:7" x14ac:dyDescent="0.25">
      <c r="A353" s="17"/>
      <c r="D353" s="19">
        <f>SUM(D344:D352)</f>
        <v>4283220975</v>
      </c>
      <c r="G353" s="1"/>
    </row>
    <row r="354" spans="1:7" x14ac:dyDescent="0.25">
      <c r="A354" s="17"/>
      <c r="D354" s="19"/>
      <c r="G354" s="1"/>
    </row>
    <row r="355" spans="1:7" x14ac:dyDescent="0.25">
      <c r="A355" s="17"/>
      <c r="B355" s="24" t="s">
        <v>46</v>
      </c>
      <c r="D355" s="19"/>
      <c r="G355" s="1"/>
    </row>
    <row r="356" spans="1:7" x14ac:dyDescent="0.25">
      <c r="A356" s="17"/>
      <c r="B356" s="24"/>
      <c r="C356" t="s">
        <v>622</v>
      </c>
      <c r="D356" s="19">
        <f>264*602500</f>
        <v>159060000</v>
      </c>
      <c r="G356" s="1"/>
    </row>
    <row r="357" spans="1:7" x14ac:dyDescent="0.25">
      <c r="A357" s="17"/>
      <c r="B357" s="24"/>
      <c r="C357" t="s">
        <v>856</v>
      </c>
      <c r="D357" s="19">
        <v>0</v>
      </c>
    </row>
    <row r="358" spans="1:7" x14ac:dyDescent="0.25">
      <c r="A358" s="17"/>
      <c r="B358" s="24"/>
      <c r="C358" t="s">
        <v>856</v>
      </c>
      <c r="D358" s="20">
        <v>0</v>
      </c>
    </row>
    <row r="359" spans="1:7" x14ac:dyDescent="0.25">
      <c r="A359" s="17"/>
      <c r="D359" s="19">
        <f>SUM(D356:D358)</f>
        <v>159060000</v>
      </c>
      <c r="G359" s="1"/>
    </row>
    <row r="360" spans="1:7" x14ac:dyDescent="0.25">
      <c r="A360" s="17"/>
      <c r="D360" s="19"/>
      <c r="G360" s="1"/>
    </row>
    <row r="361" spans="1:7" x14ac:dyDescent="0.25">
      <c r="A361" s="23" t="s">
        <v>22</v>
      </c>
      <c r="D361" s="19"/>
      <c r="G361" s="1"/>
    </row>
    <row r="362" spans="1:7" x14ac:dyDescent="0.25">
      <c r="A362" s="17"/>
      <c r="C362" t="s">
        <v>23</v>
      </c>
      <c r="D362" s="19">
        <v>2009200000</v>
      </c>
      <c r="G362" s="1"/>
    </row>
    <row r="363" spans="1:7" x14ac:dyDescent="0.25">
      <c r="A363" s="17"/>
      <c r="C363" t="s">
        <v>24</v>
      </c>
      <c r="D363" s="19">
        <v>1282257500</v>
      </c>
      <c r="G363" s="1"/>
    </row>
    <row r="364" spans="1:7" x14ac:dyDescent="0.25">
      <c r="A364" s="17"/>
      <c r="C364" t="s">
        <v>44</v>
      </c>
      <c r="D364" s="19">
        <v>161500000</v>
      </c>
      <c r="G364" s="1"/>
    </row>
    <row r="365" spans="1:7" x14ac:dyDescent="0.25">
      <c r="A365" s="17"/>
      <c r="C365" t="s">
        <v>602</v>
      </c>
      <c r="D365" s="19">
        <v>84500000</v>
      </c>
      <c r="G365" s="1"/>
    </row>
    <row r="366" spans="1:7" x14ac:dyDescent="0.25">
      <c r="A366" s="17"/>
      <c r="C366" t="s">
        <v>111</v>
      </c>
      <c r="D366" s="20">
        <v>75825000</v>
      </c>
      <c r="G366" s="1"/>
    </row>
    <row r="367" spans="1:7" x14ac:dyDescent="0.25">
      <c r="A367" s="17"/>
      <c r="D367" s="19">
        <f>SUM(D362:D366)</f>
        <v>3613282500</v>
      </c>
      <c r="G367" s="1"/>
    </row>
    <row r="368" spans="1:7" x14ac:dyDescent="0.25">
      <c r="A368" s="17"/>
      <c r="D368" s="19"/>
      <c r="G368" s="1"/>
    </row>
    <row r="369" spans="1:7" x14ac:dyDescent="0.25">
      <c r="A369" s="43" t="s">
        <v>25</v>
      </c>
      <c r="B369" s="44"/>
      <c r="C369" s="44"/>
      <c r="D369" s="25">
        <f>D341+D353+D359-D367</f>
        <v>1258911213.4200001</v>
      </c>
      <c r="G369" s="1"/>
    </row>
    <row r="370" spans="1:7" x14ac:dyDescent="0.25">
      <c r="A370" s="21"/>
      <c r="B370" s="22"/>
      <c r="C370" s="22"/>
      <c r="D370" s="20"/>
      <c r="G370" s="1"/>
    </row>
    <row r="372" spans="1:7" x14ac:dyDescent="0.25">
      <c r="A372" s="40" t="s">
        <v>13</v>
      </c>
      <c r="B372" s="40"/>
      <c r="C372" s="40"/>
      <c r="D372" s="40"/>
      <c r="G372" s="1"/>
    </row>
    <row r="373" spans="1:7" x14ac:dyDescent="0.25">
      <c r="A373" s="41" t="s">
        <v>14</v>
      </c>
      <c r="B373" s="41"/>
      <c r="C373" s="41"/>
      <c r="D373" s="41"/>
      <c r="G373" s="1"/>
    </row>
    <row r="374" spans="1:7" x14ac:dyDescent="0.25">
      <c r="A374" s="42">
        <v>45880</v>
      </c>
      <c r="B374" s="42"/>
      <c r="C374" s="42"/>
      <c r="D374" s="42"/>
      <c r="G374" s="1"/>
    </row>
    <row r="375" spans="1:7" x14ac:dyDescent="0.25">
      <c r="A375" s="13"/>
      <c r="B375" s="13"/>
      <c r="C375" s="13"/>
      <c r="D375" s="13"/>
      <c r="G375" s="1"/>
    </row>
    <row r="376" spans="1:7" x14ac:dyDescent="0.25">
      <c r="A376" s="14"/>
      <c r="B376" s="15"/>
      <c r="C376" s="15"/>
      <c r="D376" s="16"/>
      <c r="F376" s="5" t="s">
        <v>26</v>
      </c>
      <c r="G376" s="1">
        <f>D416-D369</f>
        <v>10605950</v>
      </c>
    </row>
    <row r="377" spans="1:7" x14ac:dyDescent="0.25">
      <c r="A377" s="17"/>
      <c r="D377" s="32" t="s">
        <v>16</v>
      </c>
      <c r="G377" s="1"/>
    </row>
    <row r="378" spans="1:7" x14ac:dyDescent="0.25">
      <c r="A378" s="23" t="s">
        <v>15</v>
      </c>
      <c r="D378" s="18" t="s">
        <v>17</v>
      </c>
      <c r="F378" s="26" t="s">
        <v>27</v>
      </c>
      <c r="G378" s="1"/>
    </row>
    <row r="379" spans="1:7" x14ac:dyDescent="0.25">
      <c r="A379" s="17"/>
      <c r="B379" s="24" t="s">
        <v>18</v>
      </c>
      <c r="D379" s="19"/>
      <c r="F379" s="27" t="s">
        <v>28</v>
      </c>
      <c r="G379" s="1"/>
    </row>
    <row r="380" spans="1:7" x14ac:dyDescent="0.25">
      <c r="A380" s="17"/>
      <c r="C380" s="2" t="s">
        <v>31</v>
      </c>
      <c r="D380" s="19">
        <v>179914735.15000001</v>
      </c>
      <c r="F380" t="s">
        <v>151</v>
      </c>
      <c r="G380" s="1">
        <v>11421000</v>
      </c>
    </row>
    <row r="381" spans="1:7" x14ac:dyDescent="0.25">
      <c r="A381" s="17"/>
      <c r="C381" s="2" t="s">
        <v>32</v>
      </c>
      <c r="D381" s="19">
        <v>195212266.27000001</v>
      </c>
      <c r="F381" t="s">
        <v>90</v>
      </c>
      <c r="G381" s="1">
        <v>115000</v>
      </c>
    </row>
    <row r="382" spans="1:7" x14ac:dyDescent="0.25">
      <c r="A382" s="17"/>
      <c r="C382" s="2" t="s">
        <v>33</v>
      </c>
      <c r="D382" s="19">
        <v>358298452.39999998</v>
      </c>
      <c r="F382" t="s">
        <v>864</v>
      </c>
      <c r="G382" s="1">
        <v>178000</v>
      </c>
    </row>
    <row r="383" spans="1:7" x14ac:dyDescent="0.25">
      <c r="A383" s="17"/>
      <c r="C383" s="2" t="s">
        <v>34</v>
      </c>
      <c r="D383" s="19">
        <v>28693726</v>
      </c>
      <c r="G383" s="30">
        <f>SUM(G380:G382)</f>
        <v>11714000</v>
      </c>
    </row>
    <row r="384" spans="1:7" x14ac:dyDescent="0.25">
      <c r="A384" s="17"/>
      <c r="C384" s="2" t="s">
        <v>35</v>
      </c>
      <c r="D384" s="19">
        <v>2450083.6</v>
      </c>
      <c r="F384" s="28" t="s">
        <v>29</v>
      </c>
      <c r="G384" s="1"/>
    </row>
    <row r="385" spans="1:7" x14ac:dyDescent="0.25">
      <c r="A385" s="17"/>
      <c r="C385" s="2" t="s">
        <v>36</v>
      </c>
      <c r="D385" s="19">
        <v>87873247</v>
      </c>
      <c r="F385" t="s">
        <v>161</v>
      </c>
      <c r="G385" s="1">
        <v>2500</v>
      </c>
    </row>
    <row r="386" spans="1:7" x14ac:dyDescent="0.25">
      <c r="A386" s="17"/>
      <c r="C386" s="2" t="s">
        <v>37</v>
      </c>
      <c r="D386" s="19">
        <v>281315236</v>
      </c>
      <c r="F386" t="s">
        <v>298</v>
      </c>
      <c r="G386" s="1">
        <v>800000</v>
      </c>
    </row>
    <row r="387" spans="1:7" x14ac:dyDescent="0.25">
      <c r="A387" s="17"/>
      <c r="C387" s="2" t="s">
        <v>51</v>
      </c>
      <c r="D387" s="20">
        <v>130317</v>
      </c>
      <c r="F387" t="s">
        <v>863</v>
      </c>
      <c r="G387" s="1">
        <v>156450</v>
      </c>
    </row>
    <row r="388" spans="1:7" x14ac:dyDescent="0.25">
      <c r="A388" s="17"/>
      <c r="B388" s="24" t="s">
        <v>19</v>
      </c>
      <c r="D388" s="19">
        <f>SUM(D380:D387)</f>
        <v>1133888063.4200001</v>
      </c>
      <c r="F388" t="s">
        <v>863</v>
      </c>
      <c r="G388" s="1">
        <v>149100</v>
      </c>
    </row>
    <row r="389" spans="1:7" x14ac:dyDescent="0.25">
      <c r="A389" s="17"/>
      <c r="D389" s="19"/>
      <c r="G389" s="30">
        <f>SUM(G385:G388)</f>
        <v>1108050</v>
      </c>
    </row>
    <row r="390" spans="1:7" x14ac:dyDescent="0.25">
      <c r="A390" s="17"/>
      <c r="B390" s="24" t="s">
        <v>20</v>
      </c>
      <c r="D390" s="19"/>
    </row>
    <row r="391" spans="1:7" x14ac:dyDescent="0.25">
      <c r="A391" s="17"/>
      <c r="C391" t="s">
        <v>7</v>
      </c>
      <c r="D391" s="19">
        <v>2555610262</v>
      </c>
      <c r="F391" s="28" t="s">
        <v>30</v>
      </c>
      <c r="G391" s="29">
        <f>G383-G389</f>
        <v>10605950</v>
      </c>
    </row>
    <row r="392" spans="1:7" x14ac:dyDescent="0.25">
      <c r="A392" s="17"/>
      <c r="C392" t="s">
        <v>47</v>
      </c>
      <c r="D392" s="19">
        <v>12625000</v>
      </c>
    </row>
    <row r="393" spans="1:7" x14ac:dyDescent="0.25">
      <c r="A393" s="17"/>
      <c r="C393" t="s">
        <v>21</v>
      </c>
      <c r="D393" s="19">
        <v>890502838</v>
      </c>
    </row>
    <row r="394" spans="1:7" x14ac:dyDescent="0.25">
      <c r="A394" s="17"/>
      <c r="C394" t="s">
        <v>773</v>
      </c>
      <c r="D394" s="19">
        <v>536850000</v>
      </c>
    </row>
    <row r="395" spans="1:7" x14ac:dyDescent="0.25">
      <c r="A395" s="17"/>
      <c r="C395" t="s">
        <v>45</v>
      </c>
      <c r="D395" s="19">
        <v>25000000</v>
      </c>
    </row>
    <row r="396" spans="1:7" x14ac:dyDescent="0.25">
      <c r="A396" s="17"/>
      <c r="C396" t="s">
        <v>48</v>
      </c>
      <c r="D396" s="19">
        <v>30000000</v>
      </c>
    </row>
    <row r="397" spans="1:7" x14ac:dyDescent="0.25">
      <c r="A397" s="17"/>
      <c r="C397" t="s">
        <v>518</v>
      </c>
      <c r="D397" s="19">
        <v>50000000</v>
      </c>
      <c r="G397" s="1"/>
    </row>
    <row r="398" spans="1:7" x14ac:dyDescent="0.25">
      <c r="A398" s="17"/>
      <c r="C398" t="s">
        <v>744</v>
      </c>
      <c r="D398" s="19">
        <v>1002500</v>
      </c>
      <c r="G398" s="1"/>
    </row>
    <row r="399" spans="1:7" x14ac:dyDescent="0.25">
      <c r="A399" s="17"/>
      <c r="C399" t="s">
        <v>756</v>
      </c>
      <c r="D399" s="20">
        <v>50005000</v>
      </c>
      <c r="G399" s="1"/>
    </row>
    <row r="400" spans="1:7" x14ac:dyDescent="0.25">
      <c r="A400" s="17"/>
      <c r="D400" s="19">
        <f>SUM(D391:D399)</f>
        <v>4151595600</v>
      </c>
      <c r="G400" s="1"/>
    </row>
    <row r="401" spans="1:7" x14ac:dyDescent="0.25">
      <c r="A401" s="17"/>
      <c r="D401" s="19"/>
      <c r="G401" s="1"/>
    </row>
    <row r="402" spans="1:7" x14ac:dyDescent="0.25">
      <c r="A402" s="17"/>
      <c r="B402" s="24" t="s">
        <v>46</v>
      </c>
      <c r="D402" s="19"/>
      <c r="G402" s="1"/>
    </row>
    <row r="403" spans="1:7" x14ac:dyDescent="0.25">
      <c r="A403" s="17"/>
      <c r="B403" s="24"/>
      <c r="C403" t="s">
        <v>862</v>
      </c>
      <c r="D403" s="19">
        <f>262*602500</f>
        <v>157855000</v>
      </c>
      <c r="G403" s="1"/>
    </row>
    <row r="404" spans="1:7" x14ac:dyDescent="0.25">
      <c r="A404" s="17"/>
      <c r="B404" s="24"/>
      <c r="C404" t="s">
        <v>856</v>
      </c>
      <c r="D404" s="19">
        <v>0</v>
      </c>
    </row>
    <row r="405" spans="1:7" x14ac:dyDescent="0.25">
      <c r="A405" s="17"/>
      <c r="B405" s="24"/>
      <c r="C405" t="s">
        <v>856</v>
      </c>
      <c r="D405" s="20">
        <v>0</v>
      </c>
    </row>
    <row r="406" spans="1:7" x14ac:dyDescent="0.25">
      <c r="A406" s="17"/>
      <c r="D406" s="19">
        <f>SUM(D403:D405)</f>
        <v>157855000</v>
      </c>
      <c r="G406" s="1"/>
    </row>
    <row r="407" spans="1:7" x14ac:dyDescent="0.25">
      <c r="A407" s="17"/>
      <c r="D407" s="19"/>
      <c r="G407" s="1"/>
    </row>
    <row r="408" spans="1:7" x14ac:dyDescent="0.25">
      <c r="A408" s="23" t="s">
        <v>22</v>
      </c>
      <c r="D408" s="19"/>
      <c r="G408" s="1"/>
    </row>
    <row r="409" spans="1:7" x14ac:dyDescent="0.25">
      <c r="A409" s="17"/>
      <c r="C409" t="s">
        <v>23</v>
      </c>
      <c r="D409" s="19">
        <v>2184925000</v>
      </c>
      <c r="G409" s="1"/>
    </row>
    <row r="410" spans="1:7" x14ac:dyDescent="0.25">
      <c r="A410" s="17"/>
      <c r="C410" t="s">
        <v>24</v>
      </c>
      <c r="D410" s="19">
        <v>1675971500</v>
      </c>
      <c r="G410" s="1"/>
    </row>
    <row r="411" spans="1:7" x14ac:dyDescent="0.25">
      <c r="A411" s="17"/>
      <c r="C411" t="s">
        <v>44</v>
      </c>
      <c r="D411" s="19">
        <v>161500000</v>
      </c>
      <c r="G411" s="1"/>
    </row>
    <row r="412" spans="1:7" x14ac:dyDescent="0.25">
      <c r="A412" s="17"/>
      <c r="C412" t="s">
        <v>602</v>
      </c>
      <c r="D412" s="19">
        <f>9000*8400</f>
        <v>75600000</v>
      </c>
      <c r="G412" s="1"/>
    </row>
    <row r="413" spans="1:7" x14ac:dyDescent="0.25">
      <c r="A413" s="17"/>
      <c r="C413" t="s">
        <v>111</v>
      </c>
      <c r="D413" s="20">
        <v>75825000</v>
      </c>
      <c r="G413" s="1"/>
    </row>
    <row r="414" spans="1:7" x14ac:dyDescent="0.25">
      <c r="A414" s="17"/>
      <c r="D414" s="19">
        <f>SUM(D409:D413)</f>
        <v>4173821500</v>
      </c>
      <c r="G414" s="1"/>
    </row>
    <row r="415" spans="1:7" x14ac:dyDescent="0.25">
      <c r="A415" s="17"/>
      <c r="D415" s="19"/>
      <c r="G415" s="1"/>
    </row>
    <row r="416" spans="1:7" x14ac:dyDescent="0.25">
      <c r="A416" s="43" t="s">
        <v>25</v>
      </c>
      <c r="B416" s="44"/>
      <c r="C416" s="44"/>
      <c r="D416" s="25">
        <f>D388+D400+D406-D414</f>
        <v>1269517163.4200001</v>
      </c>
      <c r="G416" s="1"/>
    </row>
    <row r="417" spans="1:7" x14ac:dyDescent="0.25">
      <c r="A417" s="21"/>
      <c r="B417" s="22"/>
      <c r="C417" s="22"/>
      <c r="D417" s="20"/>
      <c r="G417" s="1"/>
    </row>
    <row r="419" spans="1:7" x14ac:dyDescent="0.25">
      <c r="A419" s="40" t="s">
        <v>13</v>
      </c>
      <c r="B419" s="40"/>
      <c r="C419" s="40"/>
      <c r="D419" s="40"/>
      <c r="G419" s="1"/>
    </row>
    <row r="420" spans="1:7" x14ac:dyDescent="0.25">
      <c r="A420" s="41" t="s">
        <v>14</v>
      </c>
      <c r="B420" s="41"/>
      <c r="C420" s="41"/>
      <c r="D420" s="41"/>
      <c r="G420" s="1"/>
    </row>
    <row r="421" spans="1:7" x14ac:dyDescent="0.25">
      <c r="A421" s="42">
        <v>45881</v>
      </c>
      <c r="B421" s="42"/>
      <c r="C421" s="42"/>
      <c r="D421" s="42"/>
      <c r="G421" s="1"/>
    </row>
    <row r="422" spans="1:7" x14ac:dyDescent="0.25">
      <c r="A422" s="13"/>
      <c r="B422" s="13"/>
      <c r="C422" s="13"/>
      <c r="D422" s="13"/>
      <c r="G422" s="1"/>
    </row>
    <row r="423" spans="1:7" x14ac:dyDescent="0.25">
      <c r="A423" s="14"/>
      <c r="B423" s="15"/>
      <c r="C423" s="15"/>
      <c r="D423" s="16"/>
      <c r="F423" s="5" t="s">
        <v>26</v>
      </c>
      <c r="G423" s="1">
        <f>D463-D416</f>
        <v>4329000</v>
      </c>
    </row>
    <row r="424" spans="1:7" x14ac:dyDescent="0.25">
      <c r="A424" s="17"/>
      <c r="D424" s="32" t="s">
        <v>16</v>
      </c>
      <c r="G424" s="1"/>
    </row>
    <row r="425" spans="1:7" x14ac:dyDescent="0.25">
      <c r="A425" s="23" t="s">
        <v>15</v>
      </c>
      <c r="D425" s="18" t="s">
        <v>17</v>
      </c>
      <c r="F425" s="26" t="s">
        <v>27</v>
      </c>
      <c r="G425" s="1"/>
    </row>
    <row r="426" spans="1:7" x14ac:dyDescent="0.25">
      <c r="A426" s="17"/>
      <c r="B426" s="24" t="s">
        <v>18</v>
      </c>
      <c r="D426" s="19"/>
      <c r="F426" s="27" t="s">
        <v>28</v>
      </c>
      <c r="G426" s="1"/>
    </row>
    <row r="427" spans="1:7" x14ac:dyDescent="0.25">
      <c r="A427" s="17"/>
      <c r="C427" s="2" t="s">
        <v>31</v>
      </c>
      <c r="D427" s="19">
        <v>268914735.14999998</v>
      </c>
      <c r="F427" t="s">
        <v>317</v>
      </c>
      <c r="G427" s="1">
        <v>6405000</v>
      </c>
    </row>
    <row r="428" spans="1:7" x14ac:dyDescent="0.25">
      <c r="A428" s="17"/>
      <c r="C428" s="2" t="s">
        <v>32</v>
      </c>
      <c r="D428" s="19">
        <v>195212266.27000001</v>
      </c>
      <c r="F428" t="s">
        <v>866</v>
      </c>
      <c r="G428" s="1">
        <v>174000</v>
      </c>
    </row>
    <row r="429" spans="1:7" x14ac:dyDescent="0.25">
      <c r="A429" s="17"/>
      <c r="C429" s="2" t="s">
        <v>33</v>
      </c>
      <c r="D429" s="19">
        <v>93522452.400000006</v>
      </c>
      <c r="G429" s="30">
        <f>SUM(G427:G428)</f>
        <v>6579000</v>
      </c>
    </row>
    <row r="430" spans="1:7" x14ac:dyDescent="0.25">
      <c r="A430" s="17"/>
      <c r="C430" s="2" t="s">
        <v>34</v>
      </c>
      <c r="D430" s="19">
        <v>3043726</v>
      </c>
      <c r="F430" s="28" t="s">
        <v>29</v>
      </c>
      <c r="G430" s="1"/>
    </row>
    <row r="431" spans="1:7" x14ac:dyDescent="0.25">
      <c r="A431" s="17"/>
      <c r="C431" s="2" t="s">
        <v>35</v>
      </c>
      <c r="D431" s="19">
        <v>2450083.6</v>
      </c>
      <c r="F431" t="s">
        <v>2</v>
      </c>
      <c r="G431" s="1">
        <v>2250000</v>
      </c>
    </row>
    <row r="432" spans="1:7" x14ac:dyDescent="0.25">
      <c r="A432" s="17"/>
      <c r="C432" s="2" t="s">
        <v>36</v>
      </c>
      <c r="D432" s="19">
        <v>87873247</v>
      </c>
      <c r="G432" s="30">
        <f>SUM(G431:G431)</f>
        <v>2250000</v>
      </c>
    </row>
    <row r="433" spans="1:7" x14ac:dyDescent="0.25">
      <c r="A433" s="17"/>
      <c r="C433" s="2" t="s">
        <v>37</v>
      </c>
      <c r="D433" s="19">
        <v>351084236</v>
      </c>
    </row>
    <row r="434" spans="1:7" x14ac:dyDescent="0.25">
      <c r="A434" s="17"/>
      <c r="C434" s="2" t="s">
        <v>51</v>
      </c>
      <c r="D434" s="20">
        <v>130317</v>
      </c>
      <c r="F434" s="28" t="s">
        <v>30</v>
      </c>
      <c r="G434" s="29">
        <f>G429-G432</f>
        <v>4329000</v>
      </c>
    </row>
    <row r="435" spans="1:7" x14ac:dyDescent="0.25">
      <c r="A435" s="17"/>
      <c r="B435" s="24" t="s">
        <v>19</v>
      </c>
      <c r="D435" s="19">
        <f>SUM(D427:D434)</f>
        <v>1002231063.42</v>
      </c>
    </row>
    <row r="436" spans="1:7" x14ac:dyDescent="0.25">
      <c r="A436" s="17"/>
      <c r="D436" s="19"/>
    </row>
    <row r="437" spans="1:7" x14ac:dyDescent="0.25">
      <c r="A437" s="17"/>
      <c r="B437" s="24" t="s">
        <v>20</v>
      </c>
      <c r="D437" s="19"/>
    </row>
    <row r="438" spans="1:7" x14ac:dyDescent="0.25">
      <c r="A438" s="17"/>
      <c r="C438" t="s">
        <v>7</v>
      </c>
      <c r="D438" s="19">
        <v>2386845262</v>
      </c>
    </row>
    <row r="439" spans="1:7" x14ac:dyDescent="0.25">
      <c r="A439" s="17"/>
      <c r="C439" t="s">
        <v>47</v>
      </c>
      <c r="D439" s="19">
        <v>12625000</v>
      </c>
    </row>
    <row r="440" spans="1:7" x14ac:dyDescent="0.25">
      <c r="A440" s="17"/>
      <c r="C440" t="s">
        <v>21</v>
      </c>
      <c r="D440" s="19">
        <v>846233838</v>
      </c>
    </row>
    <row r="441" spans="1:7" x14ac:dyDescent="0.25">
      <c r="A441" s="17"/>
      <c r="C441" t="s">
        <v>773</v>
      </c>
      <c r="D441" s="19">
        <v>536850000</v>
      </c>
    </row>
    <row r="442" spans="1:7" x14ac:dyDescent="0.25">
      <c r="A442" s="17"/>
      <c r="C442" t="s">
        <v>45</v>
      </c>
      <c r="D442" s="19">
        <v>25000000</v>
      </c>
    </row>
    <row r="443" spans="1:7" x14ac:dyDescent="0.25">
      <c r="A443" s="17"/>
      <c r="C443" t="s">
        <v>48</v>
      </c>
      <c r="D443" s="19">
        <v>30000000</v>
      </c>
    </row>
    <row r="444" spans="1:7" x14ac:dyDescent="0.25">
      <c r="A444" s="17"/>
      <c r="C444" t="s">
        <v>518</v>
      </c>
      <c r="D444" s="19">
        <v>50000000</v>
      </c>
      <c r="G444" s="1"/>
    </row>
    <row r="445" spans="1:7" x14ac:dyDescent="0.25">
      <c r="A445" s="17"/>
      <c r="C445" t="s">
        <v>867</v>
      </c>
      <c r="D445" s="19">
        <v>8300000</v>
      </c>
      <c r="G445" s="1"/>
    </row>
    <row r="446" spans="1:7" x14ac:dyDescent="0.25">
      <c r="A446" s="17"/>
      <c r="C446" t="s">
        <v>744</v>
      </c>
      <c r="D446" s="19">
        <v>1002500</v>
      </c>
      <c r="G446" s="1"/>
    </row>
    <row r="447" spans="1:7" x14ac:dyDescent="0.25">
      <c r="A447" s="17"/>
      <c r="C447" t="s">
        <v>756</v>
      </c>
      <c r="D447" s="20">
        <v>50005000</v>
      </c>
      <c r="G447" s="1"/>
    </row>
    <row r="448" spans="1:7" x14ac:dyDescent="0.25">
      <c r="A448" s="17"/>
      <c r="D448" s="19">
        <f>SUM(D438:D447)</f>
        <v>3946861600</v>
      </c>
      <c r="G448" s="1"/>
    </row>
    <row r="449" spans="1:7" x14ac:dyDescent="0.25">
      <c r="A449" s="17"/>
      <c r="D449" s="19"/>
      <c r="G449" s="1"/>
    </row>
    <row r="450" spans="1:7" x14ac:dyDescent="0.25">
      <c r="A450" s="17"/>
      <c r="B450" s="24" t="s">
        <v>46</v>
      </c>
      <c r="D450" s="19"/>
      <c r="G450" s="1"/>
    </row>
    <row r="451" spans="1:7" x14ac:dyDescent="0.25">
      <c r="A451" s="17"/>
      <c r="B451" s="24"/>
      <c r="C451" t="s">
        <v>640</v>
      </c>
      <c r="D451" s="19">
        <f>260*602500</f>
        <v>156650000</v>
      </c>
      <c r="G451" s="1"/>
    </row>
    <row r="452" spans="1:7" x14ac:dyDescent="0.25">
      <c r="A452" s="17"/>
      <c r="B452" s="24"/>
      <c r="C452" t="s">
        <v>856</v>
      </c>
      <c r="D452" s="19">
        <v>0</v>
      </c>
    </row>
    <row r="453" spans="1:7" x14ac:dyDescent="0.25">
      <c r="A453" s="17"/>
      <c r="B453" s="24"/>
      <c r="C453" t="s">
        <v>426</v>
      </c>
      <c r="D453" s="20">
        <f>2*602500</f>
        <v>1205000</v>
      </c>
    </row>
    <row r="454" spans="1:7" x14ac:dyDescent="0.25">
      <c r="A454" s="17"/>
      <c r="D454" s="19">
        <f>SUM(D451:D453)</f>
        <v>157855000</v>
      </c>
      <c r="G454" s="1"/>
    </row>
    <row r="455" spans="1:7" x14ac:dyDescent="0.25">
      <c r="A455" s="17"/>
      <c r="D455" s="19"/>
      <c r="G455" s="1"/>
    </row>
    <row r="456" spans="1:7" x14ac:dyDescent="0.25">
      <c r="A456" s="23" t="s">
        <v>22</v>
      </c>
      <c r="D456" s="19"/>
      <c r="G456" s="1"/>
    </row>
    <row r="457" spans="1:7" x14ac:dyDescent="0.25">
      <c r="A457" s="17"/>
      <c r="C457" t="s">
        <v>23</v>
      </c>
      <c r="D457" s="19">
        <v>1963450000</v>
      </c>
      <c r="G457" s="1"/>
    </row>
    <row r="458" spans="1:7" x14ac:dyDescent="0.25">
      <c r="A458" s="17"/>
      <c r="C458" t="s">
        <v>24</v>
      </c>
      <c r="D458" s="19">
        <v>1632551500</v>
      </c>
      <c r="G458" s="1"/>
    </row>
    <row r="459" spans="1:7" x14ac:dyDescent="0.25">
      <c r="A459" s="17"/>
      <c r="C459" t="s">
        <v>44</v>
      </c>
      <c r="D459" s="19">
        <v>161500000</v>
      </c>
      <c r="G459" s="1"/>
    </row>
    <row r="460" spans="1:7" x14ac:dyDescent="0.25">
      <c r="A460" s="17"/>
      <c r="C460" t="s">
        <v>602</v>
      </c>
      <c r="D460" s="20">
        <f>9000*8400</f>
        <v>75600000</v>
      </c>
      <c r="G460" s="1"/>
    </row>
    <row r="461" spans="1:7" x14ac:dyDescent="0.25">
      <c r="A461" s="17"/>
      <c r="D461" s="19">
        <f>SUM(D457:D460)</f>
        <v>3833101500</v>
      </c>
      <c r="G461" s="1"/>
    </row>
    <row r="462" spans="1:7" x14ac:dyDescent="0.25">
      <c r="A462" s="17"/>
      <c r="D462" s="19"/>
      <c r="G462" s="1"/>
    </row>
    <row r="463" spans="1:7" x14ac:dyDescent="0.25">
      <c r="A463" s="43" t="s">
        <v>25</v>
      </c>
      <c r="B463" s="44"/>
      <c r="C463" s="44"/>
      <c r="D463" s="25">
        <f>D435+D448+D454-D461</f>
        <v>1273846163.4200001</v>
      </c>
      <c r="G463" s="1"/>
    </row>
    <row r="464" spans="1:7" x14ac:dyDescent="0.25">
      <c r="A464" s="21"/>
      <c r="B464" s="22"/>
      <c r="C464" s="22"/>
      <c r="D464" s="20"/>
      <c r="G464" s="1"/>
    </row>
    <row r="466" spans="1:9" x14ac:dyDescent="0.25">
      <c r="A466" s="40" t="s">
        <v>13</v>
      </c>
      <c r="B466" s="40"/>
      <c r="C466" s="40"/>
      <c r="D466" s="40"/>
      <c r="G466" s="1"/>
    </row>
    <row r="467" spans="1:9" x14ac:dyDescent="0.25">
      <c r="A467" s="41" t="s">
        <v>14</v>
      </c>
      <c r="B467" s="41"/>
      <c r="C467" s="41"/>
      <c r="D467" s="41"/>
      <c r="G467" s="1"/>
    </row>
    <row r="468" spans="1:9" x14ac:dyDescent="0.25">
      <c r="A468" s="42">
        <v>45882</v>
      </c>
      <c r="B468" s="42"/>
      <c r="C468" s="42"/>
      <c r="D468" s="42"/>
      <c r="G468" s="1"/>
    </row>
    <row r="469" spans="1:9" x14ac:dyDescent="0.25">
      <c r="A469" s="13"/>
      <c r="B469" s="13"/>
      <c r="C469" s="13"/>
      <c r="D469" s="13"/>
      <c r="G469" s="1"/>
    </row>
    <row r="470" spans="1:9" x14ac:dyDescent="0.25">
      <c r="A470" s="14"/>
      <c r="B470" s="15"/>
      <c r="C470" s="15"/>
      <c r="D470" s="16"/>
      <c r="F470" s="5" t="s">
        <v>26</v>
      </c>
      <c r="G470" s="1">
        <f>D510-D463</f>
        <v>9170662</v>
      </c>
    </row>
    <row r="471" spans="1:9" x14ac:dyDescent="0.25">
      <c r="A471" s="17"/>
      <c r="D471" s="32" t="s">
        <v>16</v>
      </c>
      <c r="G471" s="1"/>
    </row>
    <row r="472" spans="1:9" x14ac:dyDescent="0.25">
      <c r="A472" s="23" t="s">
        <v>15</v>
      </c>
      <c r="D472" s="18" t="s">
        <v>17</v>
      </c>
      <c r="F472" s="26" t="s">
        <v>27</v>
      </c>
      <c r="G472" s="1"/>
    </row>
    <row r="473" spans="1:9" x14ac:dyDescent="0.25">
      <c r="A473" s="17"/>
      <c r="B473" s="24" t="s">
        <v>18</v>
      </c>
      <c r="D473" s="19"/>
      <c r="F473" s="27" t="s">
        <v>28</v>
      </c>
      <c r="G473" s="1"/>
    </row>
    <row r="474" spans="1:9" x14ac:dyDescent="0.25">
      <c r="A474" s="17"/>
      <c r="C474" s="2" t="s">
        <v>31</v>
      </c>
      <c r="D474" s="19">
        <v>65955206.149999999</v>
      </c>
      <c r="F474" t="s">
        <v>154</v>
      </c>
      <c r="G474" s="1">
        <v>13800000</v>
      </c>
    </row>
    <row r="475" spans="1:9" x14ac:dyDescent="0.25">
      <c r="A475" s="17"/>
      <c r="C475" s="2" t="s">
        <v>32</v>
      </c>
      <c r="D475" s="19">
        <v>202782266.27000001</v>
      </c>
      <c r="G475" s="30">
        <f>SUM(G474:G474)</f>
        <v>13800000</v>
      </c>
    </row>
    <row r="476" spans="1:9" x14ac:dyDescent="0.25">
      <c r="A476" s="17"/>
      <c r="C476" s="2" t="s">
        <v>33</v>
      </c>
      <c r="D476" s="19">
        <v>-21010466.600000001</v>
      </c>
      <c r="F476" s="28" t="s">
        <v>29</v>
      </c>
      <c r="G476" s="1"/>
    </row>
    <row r="477" spans="1:9" x14ac:dyDescent="0.25">
      <c r="A477" s="17"/>
      <c r="C477" s="2" t="s">
        <v>34</v>
      </c>
      <c r="D477" s="19">
        <v>147117336</v>
      </c>
      <c r="F477" t="s">
        <v>161</v>
      </c>
      <c r="G477" s="1">
        <v>2500</v>
      </c>
    </row>
    <row r="478" spans="1:9" x14ac:dyDescent="0.25">
      <c r="A478" s="17"/>
      <c r="C478" s="2" t="s">
        <v>35</v>
      </c>
      <c r="D478" s="19">
        <v>2450083.6</v>
      </c>
      <c r="F478" t="s">
        <v>597</v>
      </c>
      <c r="G478" s="1">
        <v>815919</v>
      </c>
    </row>
    <row r="479" spans="1:9" x14ac:dyDescent="0.25">
      <c r="A479" s="17"/>
      <c r="C479" s="2" t="s">
        <v>36</v>
      </c>
      <c r="D479" s="19">
        <v>87873247</v>
      </c>
      <c r="F479" t="s">
        <v>598</v>
      </c>
      <c r="G479" s="1">
        <v>2051390</v>
      </c>
      <c r="I479" s="38"/>
    </row>
    <row r="480" spans="1:9" x14ac:dyDescent="0.25">
      <c r="A480" s="17"/>
      <c r="C480" s="2" t="s">
        <v>37</v>
      </c>
      <c r="D480" s="19">
        <v>542934736</v>
      </c>
      <c r="F480" t="s">
        <v>443</v>
      </c>
      <c r="G480" s="1">
        <v>72404</v>
      </c>
    </row>
    <row r="481" spans="1:7" x14ac:dyDescent="0.25">
      <c r="A481" s="17"/>
      <c r="C481" s="2" t="s">
        <v>51</v>
      </c>
      <c r="D481" s="20">
        <v>130317</v>
      </c>
      <c r="F481" t="s">
        <v>171</v>
      </c>
      <c r="G481" s="1">
        <v>1537125</v>
      </c>
    </row>
    <row r="482" spans="1:7" x14ac:dyDescent="0.25">
      <c r="A482" s="17"/>
      <c r="B482" s="24" t="s">
        <v>19</v>
      </c>
      <c r="D482" s="19">
        <f>SUM(D474:D481)</f>
        <v>1028232725.4200001</v>
      </c>
      <c r="F482" t="s">
        <v>869</v>
      </c>
      <c r="G482" s="1">
        <v>150000</v>
      </c>
    </row>
    <row r="483" spans="1:7" x14ac:dyDescent="0.25">
      <c r="A483" s="17"/>
      <c r="D483" s="19"/>
      <c r="G483" s="30">
        <f>SUM(G477:G482)</f>
        <v>4629338</v>
      </c>
    </row>
    <row r="484" spans="1:7" x14ac:dyDescent="0.25">
      <c r="A484" s="17"/>
      <c r="B484" s="24" t="s">
        <v>20</v>
      </c>
      <c r="D484" s="19"/>
    </row>
    <row r="485" spans="1:7" x14ac:dyDescent="0.25">
      <c r="A485" s="17"/>
      <c r="C485" t="s">
        <v>7</v>
      </c>
      <c r="D485" s="19">
        <v>2133780262</v>
      </c>
      <c r="F485" s="28" t="s">
        <v>30</v>
      </c>
      <c r="G485" s="29">
        <f>G475-G483</f>
        <v>9170662</v>
      </c>
    </row>
    <row r="486" spans="1:7" x14ac:dyDescent="0.25">
      <c r="A486" s="17"/>
      <c r="C486" t="s">
        <v>47</v>
      </c>
      <c r="D486" s="19">
        <v>5055000</v>
      </c>
    </row>
    <row r="487" spans="1:7" x14ac:dyDescent="0.25">
      <c r="A487" s="17"/>
      <c r="C487" t="s">
        <v>21</v>
      </c>
      <c r="D487" s="19">
        <v>820930838</v>
      </c>
    </row>
    <row r="488" spans="1:7" x14ac:dyDescent="0.25">
      <c r="A488" s="17"/>
      <c r="C488" t="s">
        <v>773</v>
      </c>
      <c r="D488" s="19">
        <v>536850000</v>
      </c>
    </row>
    <row r="489" spans="1:7" x14ac:dyDescent="0.25">
      <c r="A489" s="17"/>
      <c r="C489" t="s">
        <v>45</v>
      </c>
      <c r="D489" s="19">
        <v>25000000</v>
      </c>
    </row>
    <row r="490" spans="1:7" x14ac:dyDescent="0.25">
      <c r="A490" s="17"/>
      <c r="C490" t="s">
        <v>48</v>
      </c>
      <c r="D490" s="19">
        <v>30000000</v>
      </c>
    </row>
    <row r="491" spans="1:7" x14ac:dyDescent="0.25">
      <c r="A491" s="17"/>
      <c r="C491" t="s">
        <v>518</v>
      </c>
      <c r="D491" s="19">
        <v>50000000</v>
      </c>
      <c r="G491" s="1"/>
    </row>
    <row r="492" spans="1:7" x14ac:dyDescent="0.25">
      <c r="A492" s="17"/>
      <c r="C492" t="s">
        <v>604</v>
      </c>
      <c r="D492" s="19">
        <v>110000</v>
      </c>
      <c r="G492" s="1"/>
    </row>
    <row r="493" spans="1:7" x14ac:dyDescent="0.25">
      <c r="A493" s="17"/>
      <c r="C493" t="s">
        <v>744</v>
      </c>
      <c r="D493" s="19">
        <v>1002500</v>
      </c>
      <c r="G493" s="1"/>
    </row>
    <row r="494" spans="1:7" x14ac:dyDescent="0.25">
      <c r="A494" s="17"/>
      <c r="C494" t="s">
        <v>756</v>
      </c>
      <c r="D494" s="20">
        <v>50005000</v>
      </c>
      <c r="G494" s="1"/>
    </row>
    <row r="495" spans="1:7" x14ac:dyDescent="0.25">
      <c r="A495" s="17"/>
      <c r="D495" s="19">
        <f>SUM(D485:D494)</f>
        <v>3652733600</v>
      </c>
      <c r="G495" s="1"/>
    </row>
    <row r="496" spans="1:7" x14ac:dyDescent="0.25">
      <c r="A496" s="17"/>
      <c r="D496" s="19"/>
      <c r="G496" s="1"/>
    </row>
    <row r="497" spans="1:7" x14ac:dyDescent="0.25">
      <c r="A497" s="17"/>
      <c r="B497" s="24" t="s">
        <v>46</v>
      </c>
      <c r="D497" s="19"/>
      <c r="G497" s="1"/>
    </row>
    <row r="498" spans="1:7" x14ac:dyDescent="0.25">
      <c r="A498" s="17"/>
      <c r="B498" s="24"/>
      <c r="C498" t="s">
        <v>640</v>
      </c>
      <c r="D498" s="19">
        <f>260*602500</f>
        <v>156650000</v>
      </c>
      <c r="G498" s="1"/>
    </row>
    <row r="499" spans="1:7" x14ac:dyDescent="0.25">
      <c r="A499" s="17"/>
      <c r="B499" s="24"/>
      <c r="C499" t="s">
        <v>856</v>
      </c>
      <c r="D499" s="19">
        <v>0</v>
      </c>
    </row>
    <row r="500" spans="1:7" x14ac:dyDescent="0.25">
      <c r="A500" s="17"/>
      <c r="B500" s="24"/>
      <c r="C500" t="s">
        <v>426</v>
      </c>
      <c r="D500" s="20">
        <f>2*602500</f>
        <v>1205000</v>
      </c>
    </row>
    <row r="501" spans="1:7" x14ac:dyDescent="0.25">
      <c r="A501" s="17"/>
      <c r="D501" s="19">
        <f>SUM(D498:D500)</f>
        <v>157855000</v>
      </c>
      <c r="G501" s="1"/>
    </row>
    <row r="502" spans="1:7" x14ac:dyDescent="0.25">
      <c r="A502" s="17"/>
      <c r="D502" s="19"/>
      <c r="G502" s="1"/>
    </row>
    <row r="503" spans="1:7" x14ac:dyDescent="0.25">
      <c r="A503" s="23" t="s">
        <v>22</v>
      </c>
      <c r="D503" s="19"/>
      <c r="G503" s="1"/>
    </row>
    <row r="504" spans="1:7" x14ac:dyDescent="0.25">
      <c r="A504" s="17"/>
      <c r="C504" t="s">
        <v>23</v>
      </c>
      <c r="D504" s="19">
        <v>1969425000</v>
      </c>
      <c r="G504" s="1"/>
    </row>
    <row r="505" spans="1:7" x14ac:dyDescent="0.25">
      <c r="A505" s="17"/>
      <c r="C505" t="s">
        <v>24</v>
      </c>
      <c r="D505" s="19">
        <v>1349279500</v>
      </c>
      <c r="G505" s="1"/>
    </row>
    <row r="506" spans="1:7" x14ac:dyDescent="0.25">
      <c r="A506" s="17"/>
      <c r="C506" t="s">
        <v>44</v>
      </c>
      <c r="D506" s="19">
        <v>161500000</v>
      </c>
      <c r="G506" s="1"/>
    </row>
    <row r="507" spans="1:7" x14ac:dyDescent="0.25">
      <c r="A507" s="17"/>
      <c r="C507" t="s">
        <v>602</v>
      </c>
      <c r="D507" s="20">
        <f>9000*8400</f>
        <v>75600000</v>
      </c>
      <c r="G507" s="1"/>
    </row>
    <row r="508" spans="1:7" x14ac:dyDescent="0.25">
      <c r="A508" s="17"/>
      <c r="D508" s="19">
        <f>SUM(D504:D507)</f>
        <v>3555804500</v>
      </c>
      <c r="G508" s="1"/>
    </row>
    <row r="509" spans="1:7" x14ac:dyDescent="0.25">
      <c r="A509" s="17"/>
      <c r="D509" s="19"/>
      <c r="G509" s="1"/>
    </row>
    <row r="510" spans="1:7" x14ac:dyDescent="0.25">
      <c r="A510" s="43" t="s">
        <v>25</v>
      </c>
      <c r="B510" s="44"/>
      <c r="C510" s="44"/>
      <c r="D510" s="25">
        <f>D482+D495+D501-D508</f>
        <v>1283016825.4200001</v>
      </c>
      <c r="G510" s="1"/>
    </row>
    <row r="511" spans="1:7" x14ac:dyDescent="0.25">
      <c r="A511" s="21"/>
      <c r="B511" s="22"/>
      <c r="C511" s="22"/>
      <c r="D511" s="20"/>
      <c r="G511" s="1"/>
    </row>
    <row r="513" spans="1:7" x14ac:dyDescent="0.25">
      <c r="A513" s="40" t="s">
        <v>13</v>
      </c>
      <c r="B513" s="40"/>
      <c r="C513" s="40"/>
      <c r="D513" s="40"/>
      <c r="G513" s="1"/>
    </row>
    <row r="514" spans="1:7" x14ac:dyDescent="0.25">
      <c r="A514" s="41" t="s">
        <v>14</v>
      </c>
      <c r="B514" s="41"/>
      <c r="C514" s="41"/>
      <c r="D514" s="41"/>
      <c r="G514" s="1"/>
    </row>
    <row r="515" spans="1:7" x14ac:dyDescent="0.25">
      <c r="A515" s="42">
        <v>45883</v>
      </c>
      <c r="B515" s="42"/>
      <c r="C515" s="42"/>
      <c r="D515" s="42"/>
      <c r="G515" s="1"/>
    </row>
    <row r="516" spans="1:7" x14ac:dyDescent="0.25">
      <c r="A516" s="13"/>
      <c r="B516" s="13"/>
      <c r="C516" s="13"/>
      <c r="D516" s="13"/>
      <c r="G516" s="1"/>
    </row>
    <row r="517" spans="1:7" x14ac:dyDescent="0.25">
      <c r="A517" s="14"/>
      <c r="B517" s="15"/>
      <c r="C517" s="15"/>
      <c r="D517" s="16"/>
      <c r="F517" s="5" t="s">
        <v>26</v>
      </c>
      <c r="G517" s="1">
        <f>D556-D510</f>
        <v>2364000</v>
      </c>
    </row>
    <row r="518" spans="1:7" x14ac:dyDescent="0.25">
      <c r="A518" s="17"/>
      <c r="D518" s="32" t="s">
        <v>16</v>
      </c>
      <c r="G518" s="1"/>
    </row>
    <row r="519" spans="1:7" x14ac:dyDescent="0.25">
      <c r="A519" s="23" t="s">
        <v>15</v>
      </c>
      <c r="D519" s="18" t="s">
        <v>17</v>
      </c>
      <c r="F519" s="26" t="s">
        <v>27</v>
      </c>
      <c r="G519" s="1"/>
    </row>
    <row r="520" spans="1:7" x14ac:dyDescent="0.25">
      <c r="A520" s="17"/>
      <c r="B520" s="24" t="s">
        <v>18</v>
      </c>
      <c r="D520" s="19"/>
      <c r="F520" s="27" t="s">
        <v>28</v>
      </c>
      <c r="G520" s="1"/>
    </row>
    <row r="521" spans="1:7" x14ac:dyDescent="0.25">
      <c r="A521" s="17"/>
      <c r="C521" s="2" t="s">
        <v>31</v>
      </c>
      <c r="D521" s="19">
        <v>15315206.15</v>
      </c>
      <c r="F521" t="s">
        <v>160</v>
      </c>
      <c r="G521" s="1">
        <v>5719000</v>
      </c>
    </row>
    <row r="522" spans="1:7" x14ac:dyDescent="0.25">
      <c r="A522" s="17"/>
      <c r="C522" s="2" t="s">
        <v>32</v>
      </c>
      <c r="D522" s="19">
        <v>203422266.27000001</v>
      </c>
      <c r="G522" s="30">
        <f>SUM(G521:G521)</f>
        <v>5719000</v>
      </c>
    </row>
    <row r="523" spans="1:7" x14ac:dyDescent="0.25">
      <c r="A523" s="17"/>
      <c r="C523" s="2" t="s">
        <v>33</v>
      </c>
      <c r="D523" s="19">
        <v>185225533.40000001</v>
      </c>
      <c r="F523" s="28" t="s">
        <v>29</v>
      </c>
      <c r="G523" s="1"/>
    </row>
    <row r="524" spans="1:7" x14ac:dyDescent="0.25">
      <c r="A524" s="17"/>
      <c r="C524" s="2" t="s">
        <v>34</v>
      </c>
      <c r="D524" s="19">
        <v>10442336</v>
      </c>
      <c r="F524" t="s">
        <v>161</v>
      </c>
      <c r="G524" s="1">
        <v>5000</v>
      </c>
    </row>
    <row r="525" spans="1:7" x14ac:dyDescent="0.25">
      <c r="A525" s="17"/>
      <c r="C525" s="2" t="s">
        <v>35</v>
      </c>
      <c r="D525" s="19">
        <v>2450083.6</v>
      </c>
      <c r="F525" t="s">
        <v>129</v>
      </c>
      <c r="G525" s="1">
        <v>2250000</v>
      </c>
    </row>
    <row r="526" spans="1:7" x14ac:dyDescent="0.25">
      <c r="A526" s="17"/>
      <c r="C526" s="2" t="s">
        <v>36</v>
      </c>
      <c r="D526" s="19">
        <v>87873247</v>
      </c>
      <c r="F526" t="s">
        <v>870</v>
      </c>
      <c r="G526" s="1">
        <v>1000000</v>
      </c>
    </row>
    <row r="527" spans="1:7" x14ac:dyDescent="0.25">
      <c r="A527" s="17"/>
      <c r="C527" s="2" t="s">
        <v>37</v>
      </c>
      <c r="D527" s="19">
        <v>74925736</v>
      </c>
      <c r="F527" t="s">
        <v>871</v>
      </c>
      <c r="G527" s="1">
        <v>100000</v>
      </c>
    </row>
    <row r="528" spans="1:7" x14ac:dyDescent="0.25">
      <c r="A528" s="17"/>
      <c r="C528" s="2" t="s">
        <v>51</v>
      </c>
      <c r="D528" s="20">
        <v>130317</v>
      </c>
      <c r="G528" s="30">
        <f>SUM(G524:G527)</f>
        <v>3355000</v>
      </c>
    </row>
    <row r="529" spans="1:7" x14ac:dyDescent="0.25">
      <c r="A529" s="17"/>
      <c r="B529" s="24" t="s">
        <v>19</v>
      </c>
      <c r="D529" s="19">
        <f>SUM(D521:D528)</f>
        <v>579784725.42000008</v>
      </c>
    </row>
    <row r="530" spans="1:7" x14ac:dyDescent="0.25">
      <c r="A530" s="17"/>
      <c r="D530" s="19"/>
      <c r="F530" s="28" t="s">
        <v>30</v>
      </c>
      <c r="G530" s="29">
        <f>G522-G528</f>
        <v>2364000</v>
      </c>
    </row>
    <row r="531" spans="1:7" x14ac:dyDescent="0.25">
      <c r="A531" s="17"/>
      <c r="B531" s="24" t="s">
        <v>20</v>
      </c>
      <c r="D531" s="19"/>
    </row>
    <row r="532" spans="1:7" x14ac:dyDescent="0.25">
      <c r="A532" s="17"/>
      <c r="C532" t="s">
        <v>7</v>
      </c>
      <c r="D532" s="19">
        <v>2672955262</v>
      </c>
    </row>
    <row r="533" spans="1:7" x14ac:dyDescent="0.25">
      <c r="A533" s="17"/>
      <c r="C533" t="s">
        <v>47</v>
      </c>
      <c r="D533" s="19">
        <v>4415000</v>
      </c>
    </row>
    <row r="534" spans="1:7" x14ac:dyDescent="0.25">
      <c r="A534" s="17"/>
      <c r="C534" t="s">
        <v>21</v>
      </c>
      <c r="D534" s="19">
        <v>811724838</v>
      </c>
    </row>
    <row r="535" spans="1:7" x14ac:dyDescent="0.25">
      <c r="A535" s="17"/>
      <c r="C535" t="s">
        <v>773</v>
      </c>
      <c r="D535" s="19">
        <v>382500000</v>
      </c>
    </row>
    <row r="536" spans="1:7" x14ac:dyDescent="0.25">
      <c r="A536" s="17"/>
      <c r="C536" t="s">
        <v>45</v>
      </c>
      <c r="D536" s="19">
        <v>25000000</v>
      </c>
    </row>
    <row r="537" spans="1:7" x14ac:dyDescent="0.25">
      <c r="A537" s="17"/>
      <c r="C537" t="s">
        <v>48</v>
      </c>
      <c r="D537" s="19">
        <v>30000000</v>
      </c>
    </row>
    <row r="538" spans="1:7" x14ac:dyDescent="0.25">
      <c r="A538" s="17"/>
      <c r="C538" t="s">
        <v>518</v>
      </c>
      <c r="D538" s="19">
        <v>50000000</v>
      </c>
      <c r="G538" s="1"/>
    </row>
    <row r="539" spans="1:7" x14ac:dyDescent="0.25">
      <c r="A539" s="17"/>
      <c r="C539" t="s">
        <v>744</v>
      </c>
      <c r="D539" s="19">
        <v>1002500</v>
      </c>
      <c r="G539" s="1"/>
    </row>
    <row r="540" spans="1:7" x14ac:dyDescent="0.25">
      <c r="A540" s="17"/>
      <c r="C540" t="s">
        <v>756</v>
      </c>
      <c r="D540" s="20">
        <v>50005000</v>
      </c>
      <c r="G540" s="1"/>
    </row>
    <row r="541" spans="1:7" x14ac:dyDescent="0.25">
      <c r="A541" s="17"/>
      <c r="D541" s="19">
        <f>SUM(D532:D540)</f>
        <v>4027602600</v>
      </c>
      <c r="G541" s="1"/>
    </row>
    <row r="542" spans="1:7" x14ac:dyDescent="0.25">
      <c r="A542" s="17"/>
      <c r="D542" s="19"/>
      <c r="G542" s="1"/>
    </row>
    <row r="543" spans="1:7" x14ac:dyDescent="0.25">
      <c r="A543" s="17"/>
      <c r="B543" s="24" t="s">
        <v>46</v>
      </c>
      <c r="D543" s="19"/>
      <c r="G543" s="1"/>
    </row>
    <row r="544" spans="1:7" x14ac:dyDescent="0.25">
      <c r="A544" s="17"/>
      <c r="B544" s="24"/>
      <c r="C544" t="s">
        <v>872</v>
      </c>
      <c r="D544" s="19">
        <f>255*602500</f>
        <v>153637500</v>
      </c>
      <c r="G544" s="1"/>
    </row>
    <row r="545" spans="1:7" x14ac:dyDescent="0.25">
      <c r="A545" s="17"/>
      <c r="B545" s="24"/>
      <c r="C545" t="s">
        <v>266</v>
      </c>
      <c r="D545" s="19">
        <f>5*602500</f>
        <v>3012500</v>
      </c>
    </row>
    <row r="546" spans="1:7" x14ac:dyDescent="0.25">
      <c r="A546" s="17"/>
      <c r="B546" s="24"/>
      <c r="C546" t="s">
        <v>426</v>
      </c>
      <c r="D546" s="20">
        <f>2*602500</f>
        <v>1205000</v>
      </c>
    </row>
    <row r="547" spans="1:7" x14ac:dyDescent="0.25">
      <c r="A547" s="17"/>
      <c r="D547" s="19">
        <f>SUM(D544:D546)</f>
        <v>157855000</v>
      </c>
      <c r="G547" s="1"/>
    </row>
    <row r="548" spans="1:7" x14ac:dyDescent="0.25">
      <c r="A548" s="17"/>
      <c r="D548" s="19"/>
      <c r="G548" s="1"/>
    </row>
    <row r="549" spans="1:7" x14ac:dyDescent="0.25">
      <c r="A549" s="23" t="s">
        <v>22</v>
      </c>
      <c r="D549" s="19"/>
      <c r="G549" s="1"/>
    </row>
    <row r="550" spans="1:7" x14ac:dyDescent="0.25">
      <c r="A550" s="17"/>
      <c r="C550" t="s">
        <v>23</v>
      </c>
      <c r="D550" s="19">
        <v>2041975000</v>
      </c>
      <c r="G550" s="1"/>
    </row>
    <row r="551" spans="1:7" x14ac:dyDescent="0.25">
      <c r="A551" s="17"/>
      <c r="C551" t="s">
        <v>24</v>
      </c>
      <c r="D551" s="19">
        <v>1117286500</v>
      </c>
      <c r="G551" s="1"/>
    </row>
    <row r="552" spans="1:7" x14ac:dyDescent="0.25">
      <c r="A552" s="17"/>
      <c r="C552" t="s">
        <v>44</v>
      </c>
      <c r="D552" s="19">
        <v>161500000</v>
      </c>
      <c r="G552" s="1"/>
    </row>
    <row r="553" spans="1:7" x14ac:dyDescent="0.25">
      <c r="A553" s="17"/>
      <c r="C553" t="s">
        <v>602</v>
      </c>
      <c r="D553" s="20">
        <v>159100000</v>
      </c>
      <c r="G553" s="1"/>
    </row>
    <row r="554" spans="1:7" x14ac:dyDescent="0.25">
      <c r="A554" s="17"/>
      <c r="D554" s="19">
        <f>SUM(D550:D553)</f>
        <v>3479861500</v>
      </c>
      <c r="G554" s="1"/>
    </row>
    <row r="555" spans="1:7" x14ac:dyDescent="0.25">
      <c r="A555" s="17"/>
      <c r="D555" s="19"/>
      <c r="G555" s="1"/>
    </row>
    <row r="556" spans="1:7" x14ac:dyDescent="0.25">
      <c r="A556" s="43" t="s">
        <v>25</v>
      </c>
      <c r="B556" s="44"/>
      <c r="C556" s="44"/>
      <c r="D556" s="25">
        <f>D529+D541+D547-D554</f>
        <v>1285380825.4200001</v>
      </c>
      <c r="G556" s="1"/>
    </row>
    <row r="557" spans="1:7" x14ac:dyDescent="0.25">
      <c r="A557" s="21"/>
      <c r="B557" s="22"/>
      <c r="C557" s="22"/>
      <c r="D557" s="20"/>
      <c r="G557" s="1"/>
    </row>
    <row r="559" spans="1:7" x14ac:dyDescent="0.25">
      <c r="A559" s="40" t="s">
        <v>13</v>
      </c>
      <c r="B559" s="40"/>
      <c r="C559" s="40"/>
      <c r="D559" s="40"/>
      <c r="G559" s="1"/>
    </row>
    <row r="560" spans="1:7" x14ac:dyDescent="0.25">
      <c r="A560" s="41" t="s">
        <v>14</v>
      </c>
      <c r="B560" s="41"/>
      <c r="C560" s="41"/>
      <c r="D560" s="41"/>
      <c r="G560" s="1"/>
    </row>
    <row r="561" spans="1:9" x14ac:dyDescent="0.25">
      <c r="A561" s="42">
        <v>45884</v>
      </c>
      <c r="B561" s="42"/>
      <c r="C561" s="42"/>
      <c r="D561" s="42"/>
      <c r="G561" s="1"/>
    </row>
    <row r="562" spans="1:9" x14ac:dyDescent="0.25">
      <c r="A562" s="13"/>
      <c r="B562" s="13"/>
      <c r="C562" s="13"/>
      <c r="D562" s="13"/>
      <c r="G562" s="1"/>
    </row>
    <row r="563" spans="1:9" x14ac:dyDescent="0.25">
      <c r="A563" s="14"/>
      <c r="B563" s="15"/>
      <c r="C563" s="15"/>
      <c r="D563" s="16"/>
      <c r="F563" s="5" t="s">
        <v>26</v>
      </c>
      <c r="G563" s="1">
        <f>D601-D556</f>
        <v>9028000.0030002594</v>
      </c>
    </row>
    <row r="564" spans="1:9" x14ac:dyDescent="0.25">
      <c r="A564" s="17"/>
      <c r="D564" s="32" t="s">
        <v>16</v>
      </c>
      <c r="G564" s="1"/>
    </row>
    <row r="565" spans="1:9" x14ac:dyDescent="0.25">
      <c r="A565" s="23" t="s">
        <v>15</v>
      </c>
      <c r="D565" s="18" t="s">
        <v>17</v>
      </c>
      <c r="F565" s="26" t="s">
        <v>27</v>
      </c>
      <c r="G565" s="1"/>
    </row>
    <row r="566" spans="1:9" x14ac:dyDescent="0.25">
      <c r="A566" s="17"/>
      <c r="B566" s="24" t="s">
        <v>18</v>
      </c>
      <c r="D566" s="19"/>
      <c r="F566" s="27" t="s">
        <v>28</v>
      </c>
      <c r="G566" s="1"/>
    </row>
    <row r="567" spans="1:9" x14ac:dyDescent="0.25">
      <c r="A567" s="17"/>
      <c r="C567" s="2" t="s">
        <v>31</v>
      </c>
      <c r="D567" s="19">
        <v>15315206.15</v>
      </c>
      <c r="F567" t="s">
        <v>178</v>
      </c>
      <c r="G567" s="1">
        <v>8473000</v>
      </c>
    </row>
    <row r="568" spans="1:9" x14ac:dyDescent="0.25">
      <c r="A568" s="17"/>
      <c r="C568" s="2" t="s">
        <v>32</v>
      </c>
      <c r="D568" s="19">
        <v>207172266.273</v>
      </c>
      <c r="F568" t="s">
        <v>90</v>
      </c>
      <c r="G568" s="1">
        <v>555000</v>
      </c>
    </row>
    <row r="569" spans="1:9" x14ac:dyDescent="0.25">
      <c r="A569" s="17"/>
      <c r="C569" s="2" t="s">
        <v>33</v>
      </c>
      <c r="D569" s="19">
        <v>425950533.39999998</v>
      </c>
      <c r="G569" s="30">
        <f>SUM(G567:G568)</f>
        <v>9028000</v>
      </c>
      <c r="I569" s="38"/>
    </row>
    <row r="570" spans="1:9" x14ac:dyDescent="0.25">
      <c r="A570" s="17"/>
      <c r="C570" s="2" t="s">
        <v>34</v>
      </c>
      <c r="D570" s="19">
        <v>1717336</v>
      </c>
      <c r="F570" s="28" t="s">
        <v>29</v>
      </c>
      <c r="G570" s="1"/>
    </row>
    <row r="571" spans="1:9" x14ac:dyDescent="0.25">
      <c r="A571" s="17"/>
      <c r="C571" s="2" t="s">
        <v>35</v>
      </c>
      <c r="D571" s="19">
        <v>2450083.6</v>
      </c>
      <c r="G571" s="1">
        <v>0</v>
      </c>
      <c r="I571" s="38"/>
    </row>
    <row r="572" spans="1:9" x14ac:dyDescent="0.25">
      <c r="A572" s="17"/>
      <c r="C572" s="2" t="s">
        <v>36</v>
      </c>
      <c r="D572" s="19">
        <v>87873247</v>
      </c>
      <c r="G572" s="30">
        <f>SUM(G571:G571)</f>
        <v>0</v>
      </c>
    </row>
    <row r="573" spans="1:9" x14ac:dyDescent="0.25">
      <c r="A573" s="17"/>
      <c r="C573" s="2" t="s">
        <v>37</v>
      </c>
      <c r="D573" s="19">
        <v>94052736</v>
      </c>
    </row>
    <row r="574" spans="1:9" x14ac:dyDescent="0.25">
      <c r="A574" s="17"/>
      <c r="C574" s="2" t="s">
        <v>51</v>
      </c>
      <c r="D574" s="20">
        <v>130317</v>
      </c>
      <c r="F574" s="28" t="s">
        <v>30</v>
      </c>
      <c r="G574" s="29">
        <f>G569-G572</f>
        <v>9028000</v>
      </c>
    </row>
    <row r="575" spans="1:9" x14ac:dyDescent="0.25">
      <c r="A575" s="17"/>
      <c r="B575" s="24" t="s">
        <v>19</v>
      </c>
      <c r="D575" s="19">
        <f>SUM(D567:D574)</f>
        <v>834661725.42299998</v>
      </c>
    </row>
    <row r="576" spans="1:9" x14ac:dyDescent="0.25">
      <c r="A576" s="17"/>
      <c r="D576" s="19"/>
    </row>
    <row r="577" spans="1:7" x14ac:dyDescent="0.25">
      <c r="A577" s="17"/>
      <c r="B577" s="24" t="s">
        <v>20</v>
      </c>
      <c r="D577" s="19"/>
    </row>
    <row r="578" spans="1:7" x14ac:dyDescent="0.25">
      <c r="A578" s="17"/>
      <c r="C578" t="s">
        <v>7</v>
      </c>
      <c r="D578" s="19">
        <v>2338405262</v>
      </c>
    </row>
    <row r="579" spans="1:7" x14ac:dyDescent="0.25">
      <c r="A579" s="17"/>
      <c r="C579" t="s">
        <v>47</v>
      </c>
      <c r="D579" s="19">
        <v>12065000</v>
      </c>
    </row>
    <row r="580" spans="1:7" x14ac:dyDescent="0.25">
      <c r="A580" s="17"/>
      <c r="C580" t="s">
        <v>21</v>
      </c>
      <c r="D580" s="19">
        <v>791597838</v>
      </c>
    </row>
    <row r="581" spans="1:7" x14ac:dyDescent="0.25">
      <c r="A581" s="17"/>
      <c r="C581" t="s">
        <v>773</v>
      </c>
      <c r="D581" s="19">
        <v>382500000</v>
      </c>
    </row>
    <row r="582" spans="1:7" x14ac:dyDescent="0.25">
      <c r="A582" s="17"/>
      <c r="C582" t="s">
        <v>45</v>
      </c>
      <c r="D582" s="19">
        <v>25000000</v>
      </c>
    </row>
    <row r="583" spans="1:7" x14ac:dyDescent="0.25">
      <c r="A583" s="17"/>
      <c r="C583" t="s">
        <v>48</v>
      </c>
      <c r="D583" s="19">
        <v>30000000</v>
      </c>
    </row>
    <row r="584" spans="1:7" x14ac:dyDescent="0.25">
      <c r="A584" s="17"/>
      <c r="C584" t="s">
        <v>518</v>
      </c>
      <c r="D584" s="19">
        <v>50000000</v>
      </c>
      <c r="G584" s="1"/>
    </row>
    <row r="585" spans="1:7" x14ac:dyDescent="0.25">
      <c r="A585" s="17"/>
      <c r="C585" t="s">
        <v>744</v>
      </c>
      <c r="D585" s="19">
        <v>1002500</v>
      </c>
      <c r="G585" s="1"/>
    </row>
    <row r="586" spans="1:7" x14ac:dyDescent="0.25">
      <c r="A586" s="17"/>
      <c r="C586" t="s">
        <v>756</v>
      </c>
      <c r="D586" s="20">
        <v>50005000</v>
      </c>
      <c r="G586" s="1"/>
    </row>
    <row r="587" spans="1:7" x14ac:dyDescent="0.25">
      <c r="A587" s="17"/>
      <c r="D587" s="19">
        <f>SUM(D578:D586)</f>
        <v>3680575600</v>
      </c>
      <c r="G587" s="1"/>
    </row>
    <row r="588" spans="1:7" x14ac:dyDescent="0.25">
      <c r="A588" s="17"/>
      <c r="D588" s="19"/>
      <c r="G588" s="1"/>
    </row>
    <row r="589" spans="1:7" x14ac:dyDescent="0.25">
      <c r="A589" s="17"/>
      <c r="B589" s="24" t="s">
        <v>46</v>
      </c>
      <c r="D589" s="19"/>
      <c r="G589" s="1"/>
    </row>
    <row r="590" spans="1:7" x14ac:dyDescent="0.25">
      <c r="A590" s="17"/>
      <c r="B590" s="24"/>
      <c r="C590" t="s">
        <v>874</v>
      </c>
      <c r="D590" s="19">
        <f>237*602500</f>
        <v>142792500</v>
      </c>
      <c r="G590" s="1"/>
    </row>
    <row r="591" spans="1:7" x14ac:dyDescent="0.25">
      <c r="A591" s="17"/>
      <c r="B591" s="24"/>
      <c r="C591" t="s">
        <v>266</v>
      </c>
      <c r="D591" s="19">
        <f>5*602500</f>
        <v>3012500</v>
      </c>
    </row>
    <row r="592" spans="1:7" x14ac:dyDescent="0.25">
      <c r="A592" s="17"/>
      <c r="B592" s="24"/>
      <c r="C592" t="s">
        <v>426</v>
      </c>
      <c r="D592" s="20">
        <f>2*602500</f>
        <v>1205000</v>
      </c>
    </row>
    <row r="593" spans="1:7" x14ac:dyDescent="0.25">
      <c r="A593" s="17"/>
      <c r="D593" s="19">
        <f>SUM(D590:D592)</f>
        <v>147010000</v>
      </c>
      <c r="G593" s="1"/>
    </row>
    <row r="594" spans="1:7" x14ac:dyDescent="0.25">
      <c r="A594" s="17"/>
      <c r="D594" s="19"/>
      <c r="G594" s="1"/>
    </row>
    <row r="595" spans="1:7" x14ac:dyDescent="0.25">
      <c r="A595" s="23" t="s">
        <v>22</v>
      </c>
      <c r="D595" s="19"/>
      <c r="G595" s="1"/>
    </row>
    <row r="596" spans="1:7" x14ac:dyDescent="0.25">
      <c r="A596" s="17"/>
      <c r="C596" t="s">
        <v>23</v>
      </c>
      <c r="D596" s="19">
        <v>1768300000</v>
      </c>
      <c r="G596" s="1"/>
    </row>
    <row r="597" spans="1:7" x14ac:dyDescent="0.25">
      <c r="A597" s="17"/>
      <c r="C597" t="s">
        <v>24</v>
      </c>
      <c r="D597" s="19">
        <v>1356938500</v>
      </c>
      <c r="G597" s="1"/>
    </row>
    <row r="598" spans="1:7" x14ac:dyDescent="0.25">
      <c r="A598" s="17"/>
      <c r="C598" t="s">
        <v>602</v>
      </c>
      <c r="D598" s="20">
        <v>242600000</v>
      </c>
      <c r="G598" s="1"/>
    </row>
    <row r="599" spans="1:7" x14ac:dyDescent="0.25">
      <c r="A599" s="17"/>
      <c r="D599" s="19">
        <f>SUM(D596:D598)</f>
        <v>3367838500</v>
      </c>
      <c r="G599" s="1"/>
    </row>
    <row r="600" spans="1:7" x14ac:dyDescent="0.25">
      <c r="A600" s="17"/>
      <c r="D600" s="19"/>
      <c r="G600" s="1"/>
    </row>
    <row r="601" spans="1:7" x14ac:dyDescent="0.25">
      <c r="A601" s="43" t="s">
        <v>25</v>
      </c>
      <c r="B601" s="44"/>
      <c r="C601" s="44"/>
      <c r="D601" s="25">
        <f>D575+D587+D593-D599</f>
        <v>1294408825.4230003</v>
      </c>
      <c r="G601" s="1"/>
    </row>
    <row r="602" spans="1:7" x14ac:dyDescent="0.25">
      <c r="A602" s="21"/>
      <c r="B602" s="22"/>
      <c r="C602" s="22"/>
      <c r="D602" s="20"/>
      <c r="G602" s="1"/>
    </row>
    <row r="604" spans="1:7" x14ac:dyDescent="0.25">
      <c r="A604" s="40" t="s">
        <v>13</v>
      </c>
      <c r="B604" s="40"/>
      <c r="C604" s="40"/>
      <c r="D604" s="40"/>
      <c r="G604" s="1"/>
    </row>
    <row r="605" spans="1:7" x14ac:dyDescent="0.25">
      <c r="A605" s="41" t="s">
        <v>14</v>
      </c>
      <c r="B605" s="41"/>
      <c r="C605" s="41"/>
      <c r="D605" s="41"/>
      <c r="G605" s="1"/>
    </row>
    <row r="606" spans="1:7" x14ac:dyDescent="0.25">
      <c r="A606" s="42">
        <v>45885</v>
      </c>
      <c r="B606" s="42"/>
      <c r="C606" s="42"/>
      <c r="D606" s="42"/>
      <c r="G606" s="1"/>
    </row>
    <row r="607" spans="1:7" x14ac:dyDescent="0.25">
      <c r="A607" s="13"/>
      <c r="B607" s="13"/>
      <c r="C607" s="13"/>
      <c r="D607" s="13"/>
      <c r="G607" s="1"/>
    </row>
    <row r="608" spans="1:7" x14ac:dyDescent="0.25">
      <c r="A608" s="14"/>
      <c r="B608" s="15"/>
      <c r="C608" s="15"/>
      <c r="D608" s="16"/>
      <c r="F608" s="5" t="s">
        <v>26</v>
      </c>
      <c r="G608" s="1">
        <f>D646-D601</f>
        <v>870500</v>
      </c>
    </row>
    <row r="609" spans="1:9" x14ac:dyDescent="0.25">
      <c r="A609" s="17"/>
      <c r="D609" s="32" t="s">
        <v>16</v>
      </c>
      <c r="G609" s="1"/>
    </row>
    <row r="610" spans="1:9" x14ac:dyDescent="0.25">
      <c r="A610" s="23" t="s">
        <v>15</v>
      </c>
      <c r="D610" s="18" t="s">
        <v>17</v>
      </c>
      <c r="F610" s="26" t="s">
        <v>27</v>
      </c>
      <c r="G610" s="1"/>
    </row>
    <row r="611" spans="1:9" x14ac:dyDescent="0.25">
      <c r="A611" s="17"/>
      <c r="B611" s="24" t="s">
        <v>18</v>
      </c>
      <c r="D611" s="19"/>
      <c r="F611" s="27" t="s">
        <v>28</v>
      </c>
      <c r="G611" s="1"/>
    </row>
    <row r="612" spans="1:9" x14ac:dyDescent="0.25">
      <c r="A612" s="17"/>
      <c r="C612" s="2" t="s">
        <v>31</v>
      </c>
      <c r="D612" s="19">
        <v>65295206.149999999</v>
      </c>
      <c r="F612" t="s">
        <v>179</v>
      </c>
      <c r="G612" s="1">
        <v>5845500</v>
      </c>
    </row>
    <row r="613" spans="1:9" x14ac:dyDescent="0.25">
      <c r="A613" s="17"/>
      <c r="C613" s="2" t="s">
        <v>32</v>
      </c>
      <c r="D613" s="19">
        <v>207152266.273</v>
      </c>
      <c r="F613" t="s">
        <v>90</v>
      </c>
      <c r="G613" s="1">
        <v>65000</v>
      </c>
    </row>
    <row r="614" spans="1:9" x14ac:dyDescent="0.25">
      <c r="A614" s="17"/>
      <c r="C614" s="2" t="s">
        <v>33</v>
      </c>
      <c r="D614" s="19">
        <v>274750533.39999998</v>
      </c>
      <c r="G614" s="30">
        <f>SUM(G612:G613)</f>
        <v>5910500</v>
      </c>
      <c r="I614" s="38"/>
    </row>
    <row r="615" spans="1:9" x14ac:dyDescent="0.25">
      <c r="A615" s="17"/>
      <c r="C615" s="2" t="s">
        <v>34</v>
      </c>
      <c r="D615" s="19">
        <v>71017336</v>
      </c>
      <c r="F615" s="28" t="s">
        <v>29</v>
      </c>
      <c r="G615" s="1"/>
    </row>
    <row r="616" spans="1:9" x14ac:dyDescent="0.25">
      <c r="A616" s="17"/>
      <c r="C616" s="2" t="s">
        <v>35</v>
      </c>
      <c r="D616" s="19">
        <v>2450083.6</v>
      </c>
      <c r="F616" t="s">
        <v>346</v>
      </c>
      <c r="G616" s="1">
        <v>40000</v>
      </c>
    </row>
    <row r="617" spans="1:9" x14ac:dyDescent="0.25">
      <c r="A617" s="17"/>
      <c r="C617" s="2" t="s">
        <v>36</v>
      </c>
      <c r="D617" s="19">
        <v>87873247</v>
      </c>
      <c r="F617" t="s">
        <v>112</v>
      </c>
      <c r="G617" s="1">
        <v>5000000</v>
      </c>
    </row>
    <row r="618" spans="1:9" x14ac:dyDescent="0.25">
      <c r="A618" s="17"/>
      <c r="C618" s="2" t="s">
        <v>37</v>
      </c>
      <c r="D618" s="19">
        <v>243202736</v>
      </c>
      <c r="G618" s="30">
        <f>SUM(G616:G617)</f>
        <v>5040000</v>
      </c>
    </row>
    <row r="619" spans="1:9" x14ac:dyDescent="0.25">
      <c r="A619" s="17"/>
      <c r="C619" s="2" t="s">
        <v>51</v>
      </c>
      <c r="D619" s="20">
        <v>130317</v>
      </c>
    </row>
    <row r="620" spans="1:9" x14ac:dyDescent="0.25">
      <c r="A620" s="17"/>
      <c r="B620" s="24" t="s">
        <v>19</v>
      </c>
      <c r="D620" s="19">
        <f>SUM(D612:D619)</f>
        <v>951871725.42299998</v>
      </c>
      <c r="F620" s="28" t="s">
        <v>30</v>
      </c>
      <c r="G620" s="29">
        <f>G614-G618</f>
        <v>870500</v>
      </c>
    </row>
    <row r="621" spans="1:9" x14ac:dyDescent="0.25">
      <c r="A621" s="17"/>
      <c r="D621" s="19"/>
    </row>
    <row r="622" spans="1:9" x14ac:dyDescent="0.25">
      <c r="A622" s="17"/>
      <c r="B622" s="24" t="s">
        <v>20</v>
      </c>
      <c r="D622" s="19"/>
    </row>
    <row r="623" spans="1:9" x14ac:dyDescent="0.25">
      <c r="A623" s="17"/>
      <c r="C623" t="s">
        <v>7</v>
      </c>
      <c r="D623" s="19">
        <v>2612255262</v>
      </c>
    </row>
    <row r="624" spans="1:9" x14ac:dyDescent="0.25">
      <c r="A624" s="17"/>
      <c r="C624" t="s">
        <v>47</v>
      </c>
      <c r="D624" s="19">
        <v>13335000</v>
      </c>
    </row>
    <row r="625" spans="1:7" x14ac:dyDescent="0.25">
      <c r="A625" s="17"/>
      <c r="C625" t="s">
        <v>21</v>
      </c>
      <c r="D625" s="19">
        <v>786597838</v>
      </c>
    </row>
    <row r="626" spans="1:7" x14ac:dyDescent="0.25">
      <c r="A626" s="17"/>
      <c r="C626" t="s">
        <v>773</v>
      </c>
      <c r="D626" s="19">
        <v>457650000</v>
      </c>
    </row>
    <row r="627" spans="1:7" x14ac:dyDescent="0.25">
      <c r="A627" s="17"/>
      <c r="C627" t="s">
        <v>45</v>
      </c>
      <c r="D627" s="19">
        <v>25000000</v>
      </c>
    </row>
    <row r="628" spans="1:7" x14ac:dyDescent="0.25">
      <c r="A628" s="17"/>
      <c r="C628" t="s">
        <v>48</v>
      </c>
      <c r="D628" s="19">
        <v>30000000</v>
      </c>
    </row>
    <row r="629" spans="1:7" x14ac:dyDescent="0.25">
      <c r="A629" s="17"/>
      <c r="C629" t="s">
        <v>518</v>
      </c>
      <c r="D629" s="19">
        <v>50000000</v>
      </c>
      <c r="G629" s="1"/>
    </row>
    <row r="630" spans="1:7" x14ac:dyDescent="0.25">
      <c r="A630" s="17"/>
      <c r="C630" t="s">
        <v>744</v>
      </c>
      <c r="D630" s="19">
        <v>1002500</v>
      </c>
      <c r="G630" s="1"/>
    </row>
    <row r="631" spans="1:7" x14ac:dyDescent="0.25">
      <c r="A631" s="17"/>
      <c r="C631" t="s">
        <v>756</v>
      </c>
      <c r="D631" s="20">
        <v>50005000</v>
      </c>
      <c r="G631" s="1"/>
    </row>
    <row r="632" spans="1:7" x14ac:dyDescent="0.25">
      <c r="A632" s="17"/>
      <c r="D632" s="19">
        <f>SUM(D623:D631)</f>
        <v>4025845600</v>
      </c>
      <c r="G632" s="1"/>
    </row>
    <row r="633" spans="1:7" x14ac:dyDescent="0.25">
      <c r="A633" s="17"/>
      <c r="D633" s="19"/>
      <c r="G633" s="1"/>
    </row>
    <row r="634" spans="1:7" x14ac:dyDescent="0.25">
      <c r="A634" s="17"/>
      <c r="B634" s="24" t="s">
        <v>46</v>
      </c>
      <c r="D634" s="19"/>
      <c r="G634" s="1"/>
    </row>
    <row r="635" spans="1:7" x14ac:dyDescent="0.25">
      <c r="A635" s="17"/>
      <c r="B635" s="24"/>
      <c r="C635" t="s">
        <v>874</v>
      </c>
      <c r="D635" s="19">
        <f>237*602500</f>
        <v>142792500</v>
      </c>
      <c r="G635" s="1"/>
    </row>
    <row r="636" spans="1:7" x14ac:dyDescent="0.25">
      <c r="A636" s="17"/>
      <c r="B636" s="24"/>
      <c r="C636" t="s">
        <v>266</v>
      </c>
      <c r="D636" s="19">
        <f>5*602500</f>
        <v>3012500</v>
      </c>
    </row>
    <row r="637" spans="1:7" x14ac:dyDescent="0.25">
      <c r="A637" s="17"/>
      <c r="B637" s="24"/>
      <c r="C637" t="s">
        <v>856</v>
      </c>
      <c r="D637" s="20">
        <v>0</v>
      </c>
    </row>
    <row r="638" spans="1:7" x14ac:dyDescent="0.25">
      <c r="A638" s="17"/>
      <c r="D638" s="19">
        <f>SUM(D635:D637)</f>
        <v>145805000</v>
      </c>
      <c r="G638" s="1"/>
    </row>
    <row r="639" spans="1:7" x14ac:dyDescent="0.25">
      <c r="A639" s="17"/>
      <c r="D639" s="19"/>
      <c r="G639" s="1"/>
    </row>
    <row r="640" spans="1:7" x14ac:dyDescent="0.25">
      <c r="A640" s="23" t="s">
        <v>22</v>
      </c>
      <c r="D640" s="19"/>
      <c r="G640" s="1"/>
    </row>
    <row r="641" spans="1:7" x14ac:dyDescent="0.25">
      <c r="A641" s="17"/>
      <c r="C641" t="s">
        <v>23</v>
      </c>
      <c r="D641" s="19">
        <v>1926950000</v>
      </c>
      <c r="G641" s="1"/>
    </row>
    <row r="642" spans="1:7" x14ac:dyDescent="0.25">
      <c r="A642" s="17"/>
      <c r="C642" t="s">
        <v>24</v>
      </c>
      <c r="D642" s="19">
        <v>1575193000</v>
      </c>
      <c r="G642" s="1"/>
    </row>
    <row r="643" spans="1:7" x14ac:dyDescent="0.25">
      <c r="A643" s="17"/>
      <c r="C643" t="s">
        <v>602</v>
      </c>
      <c r="D643" s="20">
        <v>326100000</v>
      </c>
      <c r="G643" s="1"/>
    </row>
    <row r="644" spans="1:7" x14ac:dyDescent="0.25">
      <c r="A644" s="17"/>
      <c r="D644" s="19">
        <f>SUM(D641:D643)</f>
        <v>3828243000</v>
      </c>
      <c r="G644" s="1"/>
    </row>
    <row r="645" spans="1:7" x14ac:dyDescent="0.25">
      <c r="A645" s="17"/>
      <c r="D645" s="19"/>
      <c r="G645" s="1"/>
    </row>
    <row r="646" spans="1:7" x14ac:dyDescent="0.25">
      <c r="A646" s="43" t="s">
        <v>25</v>
      </c>
      <c r="B646" s="44"/>
      <c r="C646" s="44"/>
      <c r="D646" s="25">
        <f>D620+D632+D638-D644</f>
        <v>1295279325.4230003</v>
      </c>
      <c r="G646" s="1"/>
    </row>
    <row r="647" spans="1:7" x14ac:dyDescent="0.25">
      <c r="A647" s="21"/>
      <c r="B647" s="22"/>
      <c r="C647" s="22"/>
      <c r="D647" s="20"/>
      <c r="G647" s="1"/>
    </row>
    <row r="649" spans="1:7" x14ac:dyDescent="0.25">
      <c r="A649" s="40" t="s">
        <v>13</v>
      </c>
      <c r="B649" s="40"/>
      <c r="C649" s="40"/>
      <c r="D649" s="40"/>
      <c r="G649" s="1"/>
    </row>
    <row r="650" spans="1:7" x14ac:dyDescent="0.25">
      <c r="A650" s="41" t="s">
        <v>14</v>
      </c>
      <c r="B650" s="41"/>
      <c r="C650" s="41"/>
      <c r="D650" s="41"/>
      <c r="G650" s="1"/>
    </row>
    <row r="651" spans="1:7" x14ac:dyDescent="0.25">
      <c r="A651" s="42">
        <v>45887</v>
      </c>
      <c r="B651" s="42"/>
      <c r="C651" s="42"/>
      <c r="D651" s="42"/>
      <c r="G651" s="1"/>
    </row>
    <row r="652" spans="1:7" x14ac:dyDescent="0.25">
      <c r="A652" s="13"/>
      <c r="B652" s="13"/>
      <c r="C652" s="13"/>
      <c r="D652" s="13"/>
      <c r="G652" s="1"/>
    </row>
    <row r="653" spans="1:7" x14ac:dyDescent="0.25">
      <c r="A653" s="14"/>
      <c r="B653" s="15"/>
      <c r="C653" s="15"/>
      <c r="D653" s="16"/>
      <c r="F653" s="5" t="s">
        <v>26</v>
      </c>
      <c r="G653" s="1">
        <f>D691-D646</f>
        <v>18889500</v>
      </c>
    </row>
    <row r="654" spans="1:7" x14ac:dyDescent="0.25">
      <c r="A654" s="17"/>
      <c r="D654" s="32" t="s">
        <v>16</v>
      </c>
      <c r="G654" s="1"/>
    </row>
    <row r="655" spans="1:7" x14ac:dyDescent="0.25">
      <c r="A655" s="23" t="s">
        <v>15</v>
      </c>
      <c r="D655" s="18" t="s">
        <v>17</v>
      </c>
      <c r="F655" s="26" t="s">
        <v>27</v>
      </c>
      <c r="G655" s="1"/>
    </row>
    <row r="656" spans="1:7" x14ac:dyDescent="0.25">
      <c r="A656" s="17"/>
      <c r="B656" s="24" t="s">
        <v>18</v>
      </c>
      <c r="D656" s="19"/>
      <c r="F656" s="27" t="s">
        <v>28</v>
      </c>
      <c r="G656" s="1"/>
    </row>
    <row r="657" spans="1:7" x14ac:dyDescent="0.25">
      <c r="A657" s="17"/>
      <c r="C657" s="2" t="s">
        <v>31</v>
      </c>
      <c r="D657" s="19">
        <v>65295206.149999999</v>
      </c>
      <c r="F657" t="s">
        <v>191</v>
      </c>
      <c r="G657" s="1">
        <v>21044000</v>
      </c>
    </row>
    <row r="658" spans="1:7" x14ac:dyDescent="0.25">
      <c r="A658" s="17"/>
      <c r="C658" s="2" t="s">
        <v>32</v>
      </c>
      <c r="D658" s="19">
        <v>207152266.273</v>
      </c>
      <c r="G658" s="30">
        <f>SUM(G657:G657)</f>
        <v>21044000</v>
      </c>
    </row>
    <row r="659" spans="1:7" x14ac:dyDescent="0.25">
      <c r="A659" s="17"/>
      <c r="C659" s="2" t="s">
        <v>33</v>
      </c>
      <c r="D659" s="19">
        <v>120892533.40000001</v>
      </c>
      <c r="F659" s="28" t="s">
        <v>29</v>
      </c>
      <c r="G659" s="1"/>
    </row>
    <row r="660" spans="1:7" x14ac:dyDescent="0.25">
      <c r="A660" s="17"/>
      <c r="C660" s="2" t="s">
        <v>34</v>
      </c>
      <c r="D660" s="19">
        <v>3638336</v>
      </c>
      <c r="F660" t="s">
        <v>161</v>
      </c>
      <c r="G660" s="1">
        <v>2500</v>
      </c>
    </row>
    <row r="661" spans="1:7" x14ac:dyDescent="0.25">
      <c r="A661" s="17"/>
      <c r="C661" s="2" t="s">
        <v>35</v>
      </c>
      <c r="D661" s="19">
        <v>2450083.6</v>
      </c>
      <c r="F661" t="s">
        <v>181</v>
      </c>
      <c r="G661" s="1">
        <v>1652000</v>
      </c>
    </row>
    <row r="662" spans="1:7" x14ac:dyDescent="0.25">
      <c r="A662" s="17"/>
      <c r="C662" s="2" t="s">
        <v>36</v>
      </c>
      <c r="D662" s="19">
        <v>87873247</v>
      </c>
      <c r="F662" t="s">
        <v>182</v>
      </c>
      <c r="G662" s="1">
        <v>500000</v>
      </c>
    </row>
    <row r="663" spans="1:7" x14ac:dyDescent="0.25">
      <c r="A663" s="17"/>
      <c r="C663" s="2" t="s">
        <v>37</v>
      </c>
      <c r="D663" s="19">
        <v>-6899764</v>
      </c>
      <c r="G663" s="30">
        <f>SUM(G660:G662)</f>
        <v>2154500</v>
      </c>
    </row>
    <row r="664" spans="1:7" x14ac:dyDescent="0.25">
      <c r="A664" s="17"/>
      <c r="C664" s="2" t="s">
        <v>51</v>
      </c>
      <c r="D664" s="20">
        <v>130317</v>
      </c>
    </row>
    <row r="665" spans="1:7" x14ac:dyDescent="0.25">
      <c r="A665" s="17"/>
      <c r="B665" s="24" t="s">
        <v>19</v>
      </c>
      <c r="D665" s="19">
        <f>SUM(D657:D664)</f>
        <v>480532225.42299998</v>
      </c>
      <c r="F665" s="28" t="s">
        <v>30</v>
      </c>
      <c r="G665" s="29">
        <f>G658-G663</f>
        <v>18889500</v>
      </c>
    </row>
    <row r="666" spans="1:7" x14ac:dyDescent="0.25">
      <c r="A666" s="17"/>
      <c r="D666" s="19"/>
    </row>
    <row r="667" spans="1:7" x14ac:dyDescent="0.25">
      <c r="A667" s="17"/>
      <c r="B667" s="24" t="s">
        <v>20</v>
      </c>
      <c r="D667" s="19"/>
    </row>
    <row r="668" spans="1:7" x14ac:dyDescent="0.25">
      <c r="A668" s="17"/>
      <c r="C668" t="s">
        <v>7</v>
      </c>
      <c r="D668" s="19">
        <v>2668322262</v>
      </c>
    </row>
    <row r="669" spans="1:7" x14ac:dyDescent="0.25">
      <c r="A669" s="17"/>
      <c r="C669" t="s">
        <v>47</v>
      </c>
      <c r="D669" s="19">
        <v>13335000</v>
      </c>
    </row>
    <row r="670" spans="1:7" x14ac:dyDescent="0.25">
      <c r="A670" s="17"/>
      <c r="C670" t="s">
        <v>21</v>
      </c>
      <c r="D670" s="19">
        <v>947097838</v>
      </c>
    </row>
    <row r="671" spans="1:7" x14ac:dyDescent="0.25">
      <c r="A671" s="17"/>
      <c r="C671" t="s">
        <v>773</v>
      </c>
      <c r="D671" s="19">
        <v>457650000</v>
      </c>
    </row>
    <row r="672" spans="1:7" x14ac:dyDescent="0.25">
      <c r="A672" s="17"/>
      <c r="C672" t="s">
        <v>45</v>
      </c>
      <c r="D672" s="19">
        <v>25000000</v>
      </c>
    </row>
    <row r="673" spans="1:7" x14ac:dyDescent="0.25">
      <c r="A673" s="17"/>
      <c r="C673" t="s">
        <v>48</v>
      </c>
      <c r="D673" s="19">
        <v>30000000</v>
      </c>
    </row>
    <row r="674" spans="1:7" x14ac:dyDescent="0.25">
      <c r="A674" s="17"/>
      <c r="C674" t="s">
        <v>518</v>
      </c>
      <c r="D674" s="19">
        <v>50000000</v>
      </c>
      <c r="G674" s="1"/>
    </row>
    <row r="675" spans="1:7" x14ac:dyDescent="0.25">
      <c r="A675" s="17"/>
      <c r="C675" t="s">
        <v>744</v>
      </c>
      <c r="D675" s="19">
        <v>1002500</v>
      </c>
      <c r="G675" s="1"/>
    </row>
    <row r="676" spans="1:7" x14ac:dyDescent="0.25">
      <c r="A676" s="17"/>
      <c r="C676" t="s">
        <v>756</v>
      </c>
      <c r="D676" s="20">
        <v>50005000</v>
      </c>
      <c r="G676" s="1"/>
    </row>
    <row r="677" spans="1:7" x14ac:dyDescent="0.25">
      <c r="A677" s="17"/>
      <c r="D677" s="19">
        <f>SUM(D668:D676)</f>
        <v>4242412600</v>
      </c>
      <c r="G677" s="1"/>
    </row>
    <row r="678" spans="1:7" x14ac:dyDescent="0.25">
      <c r="A678" s="17"/>
      <c r="D678" s="19"/>
      <c r="G678" s="1"/>
    </row>
    <row r="679" spans="1:7" x14ac:dyDescent="0.25">
      <c r="A679" s="17"/>
      <c r="B679" s="24" t="s">
        <v>46</v>
      </c>
      <c r="D679" s="19"/>
      <c r="G679" s="1"/>
    </row>
    <row r="680" spans="1:7" x14ac:dyDescent="0.25">
      <c r="A680" s="17"/>
      <c r="B680" s="24"/>
      <c r="C680" t="s">
        <v>874</v>
      </c>
      <c r="D680" s="19">
        <f>237*602500</f>
        <v>142792500</v>
      </c>
      <c r="G680" s="1"/>
    </row>
    <row r="681" spans="1:7" x14ac:dyDescent="0.25">
      <c r="A681" s="17"/>
      <c r="B681" s="24"/>
      <c r="C681" t="s">
        <v>266</v>
      </c>
      <c r="D681" s="19">
        <f>5*602500</f>
        <v>3012500</v>
      </c>
    </row>
    <row r="682" spans="1:7" x14ac:dyDescent="0.25">
      <c r="A682" s="17"/>
      <c r="B682" s="24"/>
      <c r="C682" t="s">
        <v>856</v>
      </c>
      <c r="D682" s="20">
        <v>0</v>
      </c>
    </row>
    <row r="683" spans="1:7" x14ac:dyDescent="0.25">
      <c r="A683" s="17"/>
      <c r="D683" s="19">
        <f>SUM(D680:D682)</f>
        <v>145805000</v>
      </c>
      <c r="G683" s="1"/>
    </row>
    <row r="684" spans="1:7" x14ac:dyDescent="0.25">
      <c r="A684" s="17"/>
      <c r="D684" s="19"/>
      <c r="G684" s="1"/>
    </row>
    <row r="685" spans="1:7" x14ac:dyDescent="0.25">
      <c r="A685" s="23" t="s">
        <v>22</v>
      </c>
      <c r="D685" s="19"/>
      <c r="G685" s="1"/>
    </row>
    <row r="686" spans="1:7" x14ac:dyDescent="0.25">
      <c r="A686" s="17"/>
      <c r="C686" t="s">
        <v>23</v>
      </c>
      <c r="D686" s="19">
        <v>1812725000</v>
      </c>
      <c r="G686" s="1"/>
    </row>
    <row r="687" spans="1:7" x14ac:dyDescent="0.25">
      <c r="A687" s="17"/>
      <c r="C687" t="s">
        <v>24</v>
      </c>
      <c r="D687" s="19">
        <v>1574856000</v>
      </c>
      <c r="G687" s="1"/>
    </row>
    <row r="688" spans="1:7" x14ac:dyDescent="0.25">
      <c r="A688" s="17"/>
      <c r="C688" t="s">
        <v>602</v>
      </c>
      <c r="D688" s="20">
        <v>167000000</v>
      </c>
      <c r="G688" s="1"/>
    </row>
    <row r="689" spans="1:7" x14ac:dyDescent="0.25">
      <c r="A689" s="17"/>
      <c r="D689" s="19">
        <f>SUM(D686:D688)</f>
        <v>3554581000</v>
      </c>
      <c r="G689" s="1"/>
    </row>
    <row r="690" spans="1:7" x14ac:dyDescent="0.25">
      <c r="A690" s="17"/>
      <c r="D690" s="19"/>
      <c r="G690" s="1"/>
    </row>
    <row r="691" spans="1:7" x14ac:dyDescent="0.25">
      <c r="A691" s="43" t="s">
        <v>25</v>
      </c>
      <c r="B691" s="44"/>
      <c r="C691" s="44"/>
      <c r="D691" s="25">
        <f>D665+D677+D683-D689</f>
        <v>1314168825.4230003</v>
      </c>
      <c r="G691" s="1"/>
    </row>
    <row r="692" spans="1:7" x14ac:dyDescent="0.25">
      <c r="A692" s="21"/>
      <c r="B692" s="22"/>
      <c r="C692" s="22"/>
      <c r="D692" s="20"/>
      <c r="G692" s="1"/>
    </row>
    <row r="694" spans="1:7" x14ac:dyDescent="0.25">
      <c r="A694" s="40" t="s">
        <v>13</v>
      </c>
      <c r="B694" s="40"/>
      <c r="C694" s="40"/>
      <c r="D694" s="40"/>
      <c r="G694" s="1"/>
    </row>
    <row r="695" spans="1:7" x14ac:dyDescent="0.25">
      <c r="A695" s="41" t="s">
        <v>14</v>
      </c>
      <c r="B695" s="41"/>
      <c r="C695" s="41"/>
      <c r="D695" s="41"/>
      <c r="G695" s="1"/>
    </row>
    <row r="696" spans="1:7" x14ac:dyDescent="0.25">
      <c r="A696" s="42">
        <v>45888</v>
      </c>
      <c r="B696" s="42"/>
      <c r="C696" s="42"/>
      <c r="D696" s="42"/>
      <c r="G696" s="1"/>
    </row>
    <row r="697" spans="1:7" x14ac:dyDescent="0.25">
      <c r="A697" s="13"/>
      <c r="B697" s="13"/>
      <c r="C697" s="13"/>
      <c r="D697" s="13"/>
      <c r="G697" s="1"/>
    </row>
    <row r="698" spans="1:7" x14ac:dyDescent="0.25">
      <c r="A698" s="14"/>
      <c r="B698" s="15"/>
      <c r="C698" s="15"/>
      <c r="D698" s="16"/>
      <c r="F698" s="5" t="s">
        <v>26</v>
      </c>
      <c r="G698" s="1">
        <f>D736-D691</f>
        <v>12512000</v>
      </c>
    </row>
    <row r="699" spans="1:7" x14ac:dyDescent="0.25">
      <c r="A699" s="17"/>
      <c r="D699" s="32" t="s">
        <v>16</v>
      </c>
      <c r="G699" s="1"/>
    </row>
    <row r="700" spans="1:7" x14ac:dyDescent="0.25">
      <c r="A700" s="23" t="s">
        <v>15</v>
      </c>
      <c r="D700" s="18" t="s">
        <v>17</v>
      </c>
      <c r="F700" s="26" t="s">
        <v>27</v>
      </c>
      <c r="G700" s="1"/>
    </row>
    <row r="701" spans="1:7" x14ac:dyDescent="0.25">
      <c r="A701" s="17"/>
      <c r="B701" s="24" t="s">
        <v>18</v>
      </c>
      <c r="D701" s="19"/>
      <c r="F701" s="27" t="s">
        <v>28</v>
      </c>
      <c r="G701" s="1"/>
    </row>
    <row r="702" spans="1:7" x14ac:dyDescent="0.25">
      <c r="A702" s="17"/>
      <c r="C702" s="2" t="s">
        <v>31</v>
      </c>
      <c r="D702" s="19">
        <v>174832206.15000001</v>
      </c>
      <c r="F702" t="s">
        <v>633</v>
      </c>
      <c r="G702" s="1">
        <v>14479000</v>
      </c>
    </row>
    <row r="703" spans="1:7" x14ac:dyDescent="0.25">
      <c r="A703" s="17"/>
      <c r="C703" s="2" t="s">
        <v>32</v>
      </c>
      <c r="D703" s="19">
        <v>207152266.273</v>
      </c>
      <c r="F703" t="s">
        <v>122</v>
      </c>
      <c r="G703" s="1">
        <v>451000</v>
      </c>
    </row>
    <row r="704" spans="1:7" x14ac:dyDescent="0.25">
      <c r="A704" s="17"/>
      <c r="C704" s="2" t="s">
        <v>33</v>
      </c>
      <c r="D704" s="19">
        <v>311222533.39999998</v>
      </c>
      <c r="G704" s="30">
        <f>SUM(G702:G703)</f>
        <v>14930000</v>
      </c>
    </row>
    <row r="705" spans="1:7" x14ac:dyDescent="0.25">
      <c r="A705" s="17"/>
      <c r="C705" s="2" t="s">
        <v>34</v>
      </c>
      <c r="D705" s="19">
        <v>-23711664</v>
      </c>
      <c r="F705" s="28" t="s">
        <v>29</v>
      </c>
      <c r="G705" s="1"/>
    </row>
    <row r="706" spans="1:7" x14ac:dyDescent="0.25">
      <c r="A706" s="17"/>
      <c r="C706" s="2" t="s">
        <v>35</v>
      </c>
      <c r="D706" s="19">
        <v>2450083.6</v>
      </c>
      <c r="F706" t="s">
        <v>877</v>
      </c>
      <c r="G706" s="1">
        <v>2250000</v>
      </c>
    </row>
    <row r="707" spans="1:7" x14ac:dyDescent="0.25">
      <c r="A707" s="17"/>
      <c r="C707" s="2" t="s">
        <v>36</v>
      </c>
      <c r="D707" s="19">
        <v>87873247</v>
      </c>
      <c r="F707" t="s">
        <v>880</v>
      </c>
      <c r="G707" s="1">
        <v>121800</v>
      </c>
    </row>
    <row r="708" spans="1:7" x14ac:dyDescent="0.25">
      <c r="A708" s="17"/>
      <c r="C708" s="2" t="s">
        <v>37</v>
      </c>
      <c r="D708" s="19">
        <v>206494236</v>
      </c>
      <c r="F708" t="s">
        <v>881</v>
      </c>
      <c r="G708" s="1">
        <v>46200</v>
      </c>
    </row>
    <row r="709" spans="1:7" x14ac:dyDescent="0.25">
      <c r="A709" s="17"/>
      <c r="C709" s="2" t="s">
        <v>51</v>
      </c>
      <c r="D709" s="20">
        <v>130317</v>
      </c>
      <c r="G709" s="30">
        <f>SUM(G706:G708)</f>
        <v>2418000</v>
      </c>
    </row>
    <row r="710" spans="1:7" x14ac:dyDescent="0.25">
      <c r="A710" s="17"/>
      <c r="B710" s="24" t="s">
        <v>19</v>
      </c>
      <c r="D710" s="19">
        <f>SUM(D702:D709)</f>
        <v>966443225.42299998</v>
      </c>
    </row>
    <row r="711" spans="1:7" x14ac:dyDescent="0.25">
      <c r="A711" s="17"/>
      <c r="D711" s="19"/>
      <c r="F711" s="28" t="s">
        <v>30</v>
      </c>
      <c r="G711" s="29">
        <f>G704-G709</f>
        <v>12512000</v>
      </c>
    </row>
    <row r="712" spans="1:7" x14ac:dyDescent="0.25">
      <c r="A712" s="17"/>
      <c r="B712" s="24" t="s">
        <v>20</v>
      </c>
      <c r="D712" s="19"/>
    </row>
    <row r="713" spans="1:7" x14ac:dyDescent="0.25">
      <c r="A713" s="17"/>
      <c r="C713" t="s">
        <v>7</v>
      </c>
      <c r="D713" s="19">
        <v>2537687262</v>
      </c>
    </row>
    <row r="714" spans="1:7" x14ac:dyDescent="0.25">
      <c r="A714" s="17"/>
      <c r="C714" t="s">
        <v>47</v>
      </c>
      <c r="D714" s="19">
        <v>13335000</v>
      </c>
    </row>
    <row r="715" spans="1:7" x14ac:dyDescent="0.25">
      <c r="A715" s="17"/>
      <c r="C715" t="s">
        <v>21</v>
      </c>
      <c r="D715" s="19">
        <v>931253838</v>
      </c>
    </row>
    <row r="716" spans="1:7" x14ac:dyDescent="0.25">
      <c r="A716" s="17"/>
      <c r="C716" t="s">
        <v>773</v>
      </c>
      <c r="D716" s="19">
        <v>535050000</v>
      </c>
    </row>
    <row r="717" spans="1:7" x14ac:dyDescent="0.25">
      <c r="A717" s="17"/>
      <c r="C717" t="s">
        <v>45</v>
      </c>
      <c r="D717" s="19">
        <v>25000000</v>
      </c>
    </row>
    <row r="718" spans="1:7" x14ac:dyDescent="0.25">
      <c r="A718" s="17"/>
      <c r="C718" t="s">
        <v>48</v>
      </c>
      <c r="D718" s="19">
        <v>30000000</v>
      </c>
    </row>
    <row r="719" spans="1:7" x14ac:dyDescent="0.25">
      <c r="A719" s="17"/>
      <c r="C719" t="s">
        <v>518</v>
      </c>
      <c r="D719" s="19">
        <v>50000000</v>
      </c>
      <c r="G719" s="1"/>
    </row>
    <row r="720" spans="1:7" x14ac:dyDescent="0.25">
      <c r="A720" s="17"/>
      <c r="C720" t="s">
        <v>744</v>
      </c>
      <c r="D720" s="19">
        <v>1002500</v>
      </c>
      <c r="G720" s="1"/>
    </row>
    <row r="721" spans="1:7" x14ac:dyDescent="0.25">
      <c r="A721" s="17"/>
      <c r="C721" t="s">
        <v>756</v>
      </c>
      <c r="D721" s="20">
        <v>50005000</v>
      </c>
      <c r="G721" s="1"/>
    </row>
    <row r="722" spans="1:7" x14ac:dyDescent="0.25">
      <c r="A722" s="17"/>
      <c r="D722" s="19">
        <f>SUM(D713:D721)</f>
        <v>4173333600</v>
      </c>
      <c r="G722" s="1"/>
    </row>
    <row r="723" spans="1:7" x14ac:dyDescent="0.25">
      <c r="A723" s="17"/>
      <c r="D723" s="19"/>
      <c r="G723" s="1"/>
    </row>
    <row r="724" spans="1:7" x14ac:dyDescent="0.25">
      <c r="A724" s="17"/>
      <c r="B724" s="24" t="s">
        <v>46</v>
      </c>
      <c r="D724" s="19"/>
      <c r="G724" s="1"/>
    </row>
    <row r="725" spans="1:7" x14ac:dyDescent="0.25">
      <c r="A725" s="17"/>
      <c r="B725" s="24"/>
      <c r="C725" t="s">
        <v>874</v>
      </c>
      <c r="D725" s="19">
        <f>237*602500</f>
        <v>142792500</v>
      </c>
      <c r="G725" s="1"/>
    </row>
    <row r="726" spans="1:7" x14ac:dyDescent="0.25">
      <c r="A726" s="17"/>
      <c r="B726" s="24"/>
      <c r="C726" t="s">
        <v>266</v>
      </c>
      <c r="D726" s="19">
        <f>5*602500</f>
        <v>3012500</v>
      </c>
    </row>
    <row r="727" spans="1:7" x14ac:dyDescent="0.25">
      <c r="A727" s="17"/>
      <c r="B727" s="24"/>
      <c r="C727" t="s">
        <v>856</v>
      </c>
      <c r="D727" s="20">
        <v>0</v>
      </c>
    </row>
    <row r="728" spans="1:7" x14ac:dyDescent="0.25">
      <c r="A728" s="17"/>
      <c r="D728" s="19">
        <f>SUM(D725:D727)</f>
        <v>145805000</v>
      </c>
      <c r="G728" s="1"/>
    </row>
    <row r="729" spans="1:7" x14ac:dyDescent="0.25">
      <c r="A729" s="17"/>
      <c r="D729" s="19"/>
      <c r="G729" s="1"/>
    </row>
    <row r="730" spans="1:7" x14ac:dyDescent="0.25">
      <c r="A730" s="23" t="s">
        <v>22</v>
      </c>
      <c r="D730" s="19"/>
      <c r="G730" s="1"/>
    </row>
    <row r="731" spans="1:7" x14ac:dyDescent="0.25">
      <c r="A731" s="17"/>
      <c r="C731" t="s">
        <v>23</v>
      </c>
      <c r="D731" s="19">
        <v>1971375000</v>
      </c>
      <c r="G731" s="1"/>
    </row>
    <row r="732" spans="1:7" x14ac:dyDescent="0.25">
      <c r="A732" s="17"/>
      <c r="C732" t="s">
        <v>24</v>
      </c>
      <c r="D732" s="19">
        <v>1737026000</v>
      </c>
      <c r="G732" s="1"/>
    </row>
    <row r="733" spans="1:7" x14ac:dyDescent="0.25">
      <c r="A733" s="17"/>
      <c r="C733" t="s">
        <v>602</v>
      </c>
      <c r="D733" s="20">
        <v>250500000</v>
      </c>
      <c r="G733" s="1"/>
    </row>
    <row r="734" spans="1:7" x14ac:dyDescent="0.25">
      <c r="A734" s="17"/>
      <c r="D734" s="19">
        <f>SUM(D731:D733)</f>
        <v>3958901000</v>
      </c>
      <c r="G734" s="1"/>
    </row>
    <row r="735" spans="1:7" x14ac:dyDescent="0.25">
      <c r="A735" s="17"/>
      <c r="D735" s="19"/>
      <c r="G735" s="1"/>
    </row>
    <row r="736" spans="1:7" x14ac:dyDescent="0.25">
      <c r="A736" s="43" t="s">
        <v>25</v>
      </c>
      <c r="B736" s="44"/>
      <c r="C736" s="44"/>
      <c r="D736" s="25">
        <f>D710+D722+D728-D734</f>
        <v>1326680825.4230003</v>
      </c>
      <c r="G736" s="1"/>
    </row>
    <row r="737" spans="1:9" x14ac:dyDescent="0.25">
      <c r="A737" s="21"/>
      <c r="B737" s="22"/>
      <c r="C737" s="22"/>
      <c r="D737" s="20"/>
      <c r="G737" s="1"/>
    </row>
    <row r="739" spans="1:9" x14ac:dyDescent="0.25">
      <c r="A739" s="40" t="s">
        <v>13</v>
      </c>
      <c r="B739" s="40"/>
      <c r="C739" s="40"/>
      <c r="D739" s="40"/>
      <c r="G739" s="1"/>
    </row>
    <row r="740" spans="1:9" x14ac:dyDescent="0.25">
      <c r="A740" s="41" t="s">
        <v>14</v>
      </c>
      <c r="B740" s="41"/>
      <c r="C740" s="41"/>
      <c r="D740" s="41"/>
      <c r="G740" s="1"/>
    </row>
    <row r="741" spans="1:9" x14ac:dyDescent="0.25">
      <c r="A741" s="42">
        <v>45889</v>
      </c>
      <c r="B741" s="42"/>
      <c r="C741" s="42"/>
      <c r="D741" s="42"/>
      <c r="G741" s="1"/>
    </row>
    <row r="742" spans="1:9" x14ac:dyDescent="0.25">
      <c r="A742" s="13"/>
      <c r="B742" s="13"/>
      <c r="C742" s="13"/>
      <c r="D742" s="13"/>
      <c r="G742" s="1"/>
    </row>
    <row r="743" spans="1:9" x14ac:dyDescent="0.25">
      <c r="A743" s="14"/>
      <c r="B743" s="15"/>
      <c r="C743" s="15"/>
      <c r="D743" s="16"/>
      <c r="F743" s="5" t="s">
        <v>26</v>
      </c>
      <c r="G743" s="1">
        <f>D783-D736</f>
        <v>6788000</v>
      </c>
    </row>
    <row r="744" spans="1:9" x14ac:dyDescent="0.25">
      <c r="A744" s="17"/>
      <c r="D744" s="32" t="s">
        <v>16</v>
      </c>
      <c r="G744" s="1"/>
    </row>
    <row r="745" spans="1:9" x14ac:dyDescent="0.25">
      <c r="A745" s="23" t="s">
        <v>15</v>
      </c>
      <c r="D745" s="18" t="s">
        <v>17</v>
      </c>
      <c r="F745" s="26" t="s">
        <v>27</v>
      </c>
      <c r="G745" s="1"/>
    </row>
    <row r="746" spans="1:9" x14ac:dyDescent="0.25">
      <c r="A746" s="17"/>
      <c r="B746" s="24" t="s">
        <v>18</v>
      </c>
      <c r="D746" s="19"/>
      <c r="F746" s="27" t="s">
        <v>28</v>
      </c>
      <c r="G746" s="1"/>
    </row>
    <row r="747" spans="1:9" x14ac:dyDescent="0.25">
      <c r="A747" s="17"/>
      <c r="C747" s="2" t="s">
        <v>31</v>
      </c>
      <c r="D747" s="19">
        <v>174832206.15000001</v>
      </c>
      <c r="F747" t="s">
        <v>729</v>
      </c>
      <c r="G747" s="1">
        <v>6755500</v>
      </c>
    </row>
    <row r="748" spans="1:9" x14ac:dyDescent="0.25">
      <c r="A748" s="17"/>
      <c r="C748" s="2" t="s">
        <v>32</v>
      </c>
      <c r="D748" s="19">
        <v>207152266.273</v>
      </c>
      <c r="F748" t="s">
        <v>122</v>
      </c>
      <c r="G748" s="1">
        <v>32500</v>
      </c>
    </row>
    <row r="749" spans="1:9" x14ac:dyDescent="0.25">
      <c r="A749" s="17"/>
      <c r="C749" s="2" t="s">
        <v>33</v>
      </c>
      <c r="D749" s="19">
        <v>55769033.399999999</v>
      </c>
      <c r="G749" s="30">
        <f>SUM(G747:G748)</f>
        <v>6788000</v>
      </c>
    </row>
    <row r="750" spans="1:9" x14ac:dyDescent="0.25">
      <c r="A750" s="17"/>
      <c r="C750" s="2" t="s">
        <v>34</v>
      </c>
      <c r="D750" s="19">
        <v>22538336</v>
      </c>
      <c r="F750" s="28" t="s">
        <v>29</v>
      </c>
      <c r="G750" s="1"/>
      <c r="I750" s="38"/>
    </row>
    <row r="751" spans="1:9" x14ac:dyDescent="0.25">
      <c r="A751" s="17"/>
      <c r="C751" s="2" t="s">
        <v>35</v>
      </c>
      <c r="D751" s="19">
        <v>2450083.6</v>
      </c>
      <c r="G751" s="1">
        <v>0</v>
      </c>
    </row>
    <row r="752" spans="1:9" x14ac:dyDescent="0.25">
      <c r="A752" s="17"/>
      <c r="C752" s="2" t="s">
        <v>36</v>
      </c>
      <c r="D752" s="19">
        <v>87873247</v>
      </c>
      <c r="G752" s="30">
        <f>SUM(G751:G751)</f>
        <v>0</v>
      </c>
    </row>
    <row r="753" spans="1:7" x14ac:dyDescent="0.25">
      <c r="A753" s="17"/>
      <c r="C753" s="2" t="s">
        <v>37</v>
      </c>
      <c r="D753" s="19">
        <v>206494236</v>
      </c>
    </row>
    <row r="754" spans="1:7" x14ac:dyDescent="0.25">
      <c r="A754" s="17"/>
      <c r="C754" s="2" t="s">
        <v>51</v>
      </c>
      <c r="D754" s="20">
        <v>130317</v>
      </c>
      <c r="F754" s="28" t="s">
        <v>30</v>
      </c>
      <c r="G754" s="29">
        <f>G749-G752</f>
        <v>6788000</v>
      </c>
    </row>
    <row r="755" spans="1:7" x14ac:dyDescent="0.25">
      <c r="A755" s="17"/>
      <c r="B755" s="24" t="s">
        <v>19</v>
      </c>
      <c r="D755" s="19">
        <f>SUM(D747:D754)</f>
        <v>757239725.42299998</v>
      </c>
    </row>
    <row r="756" spans="1:7" x14ac:dyDescent="0.25">
      <c r="A756" s="17"/>
      <c r="D756" s="19"/>
    </row>
    <row r="757" spans="1:7" x14ac:dyDescent="0.25">
      <c r="A757" s="17"/>
      <c r="B757" s="24" t="s">
        <v>20</v>
      </c>
      <c r="D757" s="19"/>
    </row>
    <row r="758" spans="1:7" x14ac:dyDescent="0.25">
      <c r="A758" s="17"/>
      <c r="C758" t="s">
        <v>7</v>
      </c>
      <c r="D758" s="19">
        <v>2584287262</v>
      </c>
    </row>
    <row r="759" spans="1:7" x14ac:dyDescent="0.25">
      <c r="A759" s="17"/>
      <c r="C759" t="s">
        <v>47</v>
      </c>
      <c r="D759" s="19">
        <v>13335000</v>
      </c>
    </row>
    <row r="760" spans="1:7" x14ac:dyDescent="0.25">
      <c r="A760" s="17"/>
      <c r="C760" t="s">
        <v>21</v>
      </c>
      <c r="D760" s="19">
        <v>1085303838</v>
      </c>
    </row>
    <row r="761" spans="1:7" x14ac:dyDescent="0.25">
      <c r="A761" s="17"/>
      <c r="C761" t="s">
        <v>773</v>
      </c>
      <c r="D761" s="19">
        <v>535050000</v>
      </c>
    </row>
    <row r="762" spans="1:7" x14ac:dyDescent="0.25">
      <c r="A762" s="17"/>
      <c r="C762" t="s">
        <v>45</v>
      </c>
      <c r="D762" s="19">
        <v>25000000</v>
      </c>
    </row>
    <row r="763" spans="1:7" x14ac:dyDescent="0.25">
      <c r="A763" s="17"/>
      <c r="C763" t="s">
        <v>48</v>
      </c>
      <c r="D763" s="19">
        <v>30000000</v>
      </c>
    </row>
    <row r="764" spans="1:7" x14ac:dyDescent="0.25">
      <c r="A764" s="17"/>
      <c r="C764" t="s">
        <v>518</v>
      </c>
      <c r="D764" s="19">
        <v>50000000</v>
      </c>
      <c r="G764" s="1"/>
    </row>
    <row r="765" spans="1:7" x14ac:dyDescent="0.25">
      <c r="A765" s="17"/>
      <c r="C765" t="s">
        <v>744</v>
      </c>
      <c r="D765" s="19">
        <v>1002500</v>
      </c>
      <c r="G765" s="1"/>
    </row>
    <row r="766" spans="1:7" x14ac:dyDescent="0.25">
      <c r="A766" s="17"/>
      <c r="C766" t="s">
        <v>756</v>
      </c>
      <c r="D766" s="20">
        <v>50005000</v>
      </c>
      <c r="G766" s="1"/>
    </row>
    <row r="767" spans="1:7" x14ac:dyDescent="0.25">
      <c r="A767" s="17"/>
      <c r="D767" s="19">
        <f>SUM(D758:D766)</f>
        <v>4373983600</v>
      </c>
      <c r="G767" s="1"/>
    </row>
    <row r="768" spans="1:7" x14ac:dyDescent="0.25">
      <c r="A768" s="17"/>
      <c r="D768" s="19"/>
      <c r="G768" s="1"/>
    </row>
    <row r="769" spans="1:7" x14ac:dyDescent="0.25">
      <c r="A769" s="17"/>
      <c r="B769" s="24" t="s">
        <v>46</v>
      </c>
      <c r="D769" s="19"/>
      <c r="G769" s="1"/>
    </row>
    <row r="770" spans="1:7" x14ac:dyDescent="0.25">
      <c r="A770" s="17"/>
      <c r="B770" s="24"/>
      <c r="C770" t="s">
        <v>874</v>
      </c>
      <c r="D770" s="19">
        <f>237*602500</f>
        <v>142792500</v>
      </c>
      <c r="G770" s="1"/>
    </row>
    <row r="771" spans="1:7" x14ac:dyDescent="0.25">
      <c r="A771" s="17"/>
      <c r="B771" s="24"/>
      <c r="C771" t="s">
        <v>266</v>
      </c>
      <c r="D771" s="19">
        <f>5*602500</f>
        <v>3012500</v>
      </c>
    </row>
    <row r="772" spans="1:7" x14ac:dyDescent="0.25">
      <c r="A772" s="17"/>
      <c r="B772" s="24"/>
      <c r="C772" t="s">
        <v>856</v>
      </c>
      <c r="D772" s="20">
        <v>0</v>
      </c>
    </row>
    <row r="773" spans="1:7" x14ac:dyDescent="0.25">
      <c r="A773" s="17"/>
      <c r="D773" s="19">
        <f>SUM(D770:D772)</f>
        <v>145805000</v>
      </c>
      <c r="G773" s="1"/>
    </row>
    <row r="774" spans="1:7" x14ac:dyDescent="0.25">
      <c r="A774" s="17"/>
      <c r="D774" s="19"/>
      <c r="G774" s="1"/>
    </row>
    <row r="775" spans="1:7" x14ac:dyDescent="0.25">
      <c r="A775" s="23" t="s">
        <v>22</v>
      </c>
      <c r="D775" s="19"/>
      <c r="G775" s="1"/>
    </row>
    <row r="776" spans="1:7" x14ac:dyDescent="0.25">
      <c r="A776" s="17"/>
      <c r="C776" t="s">
        <v>23</v>
      </c>
      <c r="D776" s="19">
        <v>2022375000</v>
      </c>
      <c r="G776" s="1"/>
    </row>
    <row r="777" spans="1:7" x14ac:dyDescent="0.25">
      <c r="A777" s="17"/>
      <c r="C777" t="s">
        <v>24</v>
      </c>
      <c r="D777" s="19">
        <v>1577784500</v>
      </c>
      <c r="G777" s="1"/>
    </row>
    <row r="778" spans="1:7" x14ac:dyDescent="0.25">
      <c r="A778" s="17"/>
      <c r="C778" t="s">
        <v>602</v>
      </c>
      <c r="D778" s="19">
        <v>242150000</v>
      </c>
      <c r="G778" s="1"/>
    </row>
    <row r="779" spans="1:7" x14ac:dyDescent="0.25">
      <c r="A779" s="17"/>
      <c r="C779" t="s">
        <v>44</v>
      </c>
      <c r="D779" s="19">
        <v>25200000</v>
      </c>
      <c r="G779" s="1"/>
    </row>
    <row r="780" spans="1:7" x14ac:dyDescent="0.25">
      <c r="A780" s="17"/>
      <c r="C780" t="s">
        <v>111</v>
      </c>
      <c r="D780" s="20">
        <f>9000*8450</f>
        <v>76050000</v>
      </c>
      <c r="G780" s="1"/>
    </row>
    <row r="781" spans="1:7" x14ac:dyDescent="0.25">
      <c r="A781" s="17"/>
      <c r="D781" s="19">
        <f>SUM(D776:D780)</f>
        <v>3943559500</v>
      </c>
      <c r="G781" s="1"/>
    </row>
    <row r="782" spans="1:7" x14ac:dyDescent="0.25">
      <c r="A782" s="17"/>
      <c r="D782" s="19"/>
      <c r="G782" s="1"/>
    </row>
    <row r="783" spans="1:7" x14ac:dyDescent="0.25">
      <c r="A783" s="43" t="s">
        <v>25</v>
      </c>
      <c r="B783" s="44"/>
      <c r="C783" s="44"/>
      <c r="D783" s="25">
        <f>D755+D767+D773-D781</f>
        <v>1333468825.4230003</v>
      </c>
      <c r="G783" s="1"/>
    </row>
    <row r="784" spans="1:7" x14ac:dyDescent="0.25">
      <c r="A784" s="21"/>
      <c r="B784" s="22"/>
      <c r="C784" s="22"/>
      <c r="D784" s="20"/>
      <c r="G784" s="1"/>
    </row>
    <row r="786" spans="1:9" x14ac:dyDescent="0.25">
      <c r="A786" s="40" t="s">
        <v>13</v>
      </c>
      <c r="B786" s="40"/>
      <c r="C786" s="40"/>
      <c r="D786" s="40"/>
      <c r="G786" s="1"/>
    </row>
    <row r="787" spans="1:9" x14ac:dyDescent="0.25">
      <c r="A787" s="41" t="s">
        <v>14</v>
      </c>
      <c r="B787" s="41"/>
      <c r="C787" s="41"/>
      <c r="D787" s="41"/>
      <c r="G787" s="1"/>
    </row>
    <row r="788" spans="1:9" x14ac:dyDescent="0.25">
      <c r="A788" s="42">
        <v>45890</v>
      </c>
      <c r="B788" s="42"/>
      <c r="C788" s="42"/>
      <c r="D788" s="42"/>
      <c r="G788" s="1"/>
    </row>
    <row r="789" spans="1:9" x14ac:dyDescent="0.25">
      <c r="A789" s="13"/>
      <c r="B789" s="13"/>
      <c r="C789" s="13"/>
      <c r="D789" s="13"/>
      <c r="G789" s="1"/>
    </row>
    <row r="790" spans="1:9" x14ac:dyDescent="0.25">
      <c r="A790" s="14"/>
      <c r="B790" s="15"/>
      <c r="C790" s="15"/>
      <c r="D790" s="16"/>
      <c r="F790" s="5" t="s">
        <v>26</v>
      </c>
      <c r="G790" s="1">
        <f>D831-D783</f>
        <v>-17605492.003000259</v>
      </c>
    </row>
    <row r="791" spans="1:9" x14ac:dyDescent="0.25">
      <c r="A791" s="17"/>
      <c r="D791" s="32" t="s">
        <v>16</v>
      </c>
      <c r="G791" s="1"/>
    </row>
    <row r="792" spans="1:9" x14ac:dyDescent="0.25">
      <c r="A792" s="23" t="s">
        <v>15</v>
      </c>
      <c r="D792" s="18" t="s">
        <v>17</v>
      </c>
      <c r="F792" s="26" t="s">
        <v>27</v>
      </c>
      <c r="G792" s="1"/>
    </row>
    <row r="793" spans="1:9" x14ac:dyDescent="0.25">
      <c r="A793" s="17"/>
      <c r="B793" s="24" t="s">
        <v>18</v>
      </c>
      <c r="D793" s="19"/>
      <c r="F793" s="27" t="s">
        <v>28</v>
      </c>
      <c r="G793" s="1"/>
    </row>
    <row r="794" spans="1:9" x14ac:dyDescent="0.25">
      <c r="A794" s="17"/>
      <c r="C794" s="2" t="s">
        <v>31</v>
      </c>
      <c r="D794" s="19">
        <v>253992206.15000001</v>
      </c>
      <c r="F794" t="s">
        <v>204</v>
      </c>
      <c r="G794" s="1">
        <v>9275000</v>
      </c>
    </row>
    <row r="795" spans="1:9" x14ac:dyDescent="0.25">
      <c r="A795" s="17"/>
      <c r="C795" s="2" t="s">
        <v>32</v>
      </c>
      <c r="D795" s="19">
        <v>208792266.27000001</v>
      </c>
      <c r="F795" t="s">
        <v>90</v>
      </c>
      <c r="G795" s="1">
        <v>700000</v>
      </c>
    </row>
    <row r="796" spans="1:9" x14ac:dyDescent="0.25">
      <c r="A796" s="17"/>
      <c r="C796" s="2" t="s">
        <v>33</v>
      </c>
      <c r="D796" s="19">
        <v>509969033.39999998</v>
      </c>
      <c r="F796" t="s">
        <v>884</v>
      </c>
      <c r="G796" s="1">
        <v>2228212</v>
      </c>
    </row>
    <row r="797" spans="1:9" x14ac:dyDescent="0.25">
      <c r="A797" s="17"/>
      <c r="C797" s="2" t="s">
        <v>34</v>
      </c>
      <c r="D797" s="19">
        <v>11088336</v>
      </c>
      <c r="F797" t="s">
        <v>885</v>
      </c>
      <c r="G797" s="1">
        <v>39797</v>
      </c>
    </row>
    <row r="798" spans="1:9" x14ac:dyDescent="0.25">
      <c r="A798" s="17"/>
      <c r="C798" s="2" t="s">
        <v>35</v>
      </c>
      <c r="D798" s="19">
        <v>25000</v>
      </c>
      <c r="G798" s="30">
        <f>SUM(G794:G797)</f>
        <v>12243009</v>
      </c>
      <c r="I798" s="38"/>
    </row>
    <row r="799" spans="1:9" x14ac:dyDescent="0.25">
      <c r="A799" s="17"/>
      <c r="C799" s="2" t="s">
        <v>36</v>
      </c>
      <c r="D799" s="19">
        <v>81485523.599999994</v>
      </c>
      <c r="F799" s="28" t="s">
        <v>29</v>
      </c>
      <c r="G799" s="1"/>
    </row>
    <row r="800" spans="1:9" x14ac:dyDescent="0.25">
      <c r="A800" s="17"/>
      <c r="C800" s="2" t="s">
        <v>37</v>
      </c>
      <c r="D800" s="19">
        <v>240246551</v>
      </c>
      <c r="F800" t="s">
        <v>104</v>
      </c>
      <c r="G800" s="1">
        <v>2250000</v>
      </c>
    </row>
    <row r="801" spans="1:7" x14ac:dyDescent="0.25">
      <c r="A801" s="17"/>
      <c r="C801" s="2" t="s">
        <v>51</v>
      </c>
      <c r="D801" s="20">
        <v>130317</v>
      </c>
      <c r="F801" t="s">
        <v>161</v>
      </c>
      <c r="G801" s="1">
        <v>5000</v>
      </c>
    </row>
    <row r="802" spans="1:7" x14ac:dyDescent="0.25">
      <c r="A802" s="17"/>
      <c r="B802" s="24" t="s">
        <v>19</v>
      </c>
      <c r="D802" s="19">
        <f>SUM(D794:D801)</f>
        <v>1305729233.4200001</v>
      </c>
      <c r="F802" t="s">
        <v>737</v>
      </c>
      <c r="G802" s="1">
        <v>445642</v>
      </c>
    </row>
    <row r="803" spans="1:7" x14ac:dyDescent="0.25">
      <c r="A803" s="17"/>
      <c r="D803" s="19"/>
      <c r="F803" t="s">
        <v>648</v>
      </c>
      <c r="G803" s="1">
        <v>7959</v>
      </c>
    </row>
    <row r="804" spans="1:7" x14ac:dyDescent="0.25">
      <c r="A804" s="17"/>
      <c r="B804" s="24" t="s">
        <v>20</v>
      </c>
      <c r="D804" s="19"/>
      <c r="F804" t="s">
        <v>886</v>
      </c>
      <c r="G804" s="1">
        <v>8000</v>
      </c>
    </row>
    <row r="805" spans="1:7" x14ac:dyDescent="0.25">
      <c r="A805" s="17"/>
      <c r="C805" t="s">
        <v>7</v>
      </c>
      <c r="D805" s="19">
        <v>2357052262</v>
      </c>
      <c r="F805" t="s">
        <v>357</v>
      </c>
      <c r="G805" s="1">
        <v>10130400</v>
      </c>
    </row>
    <row r="806" spans="1:7" x14ac:dyDescent="0.25">
      <c r="A806" s="17"/>
      <c r="C806" t="s">
        <v>47</v>
      </c>
      <c r="D806" s="19">
        <v>21035000</v>
      </c>
      <c r="F806" t="s">
        <v>887</v>
      </c>
      <c r="G806" s="1">
        <v>1500</v>
      </c>
    </row>
    <row r="807" spans="1:7" x14ac:dyDescent="0.25">
      <c r="A807" s="17"/>
      <c r="C807" t="s">
        <v>21</v>
      </c>
      <c r="D807" s="19">
        <v>907583838</v>
      </c>
      <c r="F807" t="s">
        <v>888</v>
      </c>
      <c r="G807" s="1">
        <v>17000000</v>
      </c>
    </row>
    <row r="808" spans="1:7" x14ac:dyDescent="0.25">
      <c r="A808" s="17"/>
      <c r="C808" t="s">
        <v>773</v>
      </c>
      <c r="D808" s="19">
        <v>532800000</v>
      </c>
      <c r="G808" s="30">
        <f>SUM(G800:G807)</f>
        <v>29848501</v>
      </c>
    </row>
    <row r="809" spans="1:7" x14ac:dyDescent="0.25">
      <c r="A809" s="17"/>
      <c r="C809" t="s">
        <v>45</v>
      </c>
      <c r="D809" s="19">
        <v>25000000</v>
      </c>
    </row>
    <row r="810" spans="1:7" x14ac:dyDescent="0.25">
      <c r="A810" s="17"/>
      <c r="C810" t="s">
        <v>48</v>
      </c>
      <c r="D810" s="19">
        <v>30000000</v>
      </c>
      <c r="F810" s="28" t="s">
        <v>30</v>
      </c>
      <c r="G810" s="29">
        <f>G798-G808</f>
        <v>-17605492</v>
      </c>
    </row>
    <row r="811" spans="1:7" x14ac:dyDescent="0.25">
      <c r="A811" s="17"/>
      <c r="C811" t="s">
        <v>518</v>
      </c>
      <c r="D811" s="19">
        <v>50000000</v>
      </c>
    </row>
    <row r="812" spans="1:7" x14ac:dyDescent="0.25">
      <c r="A812" s="17"/>
      <c r="C812" t="s">
        <v>882</v>
      </c>
      <c r="D812" s="19">
        <v>33000000</v>
      </c>
    </row>
    <row r="813" spans="1:7" x14ac:dyDescent="0.25">
      <c r="A813" s="17"/>
      <c r="C813" t="s">
        <v>744</v>
      </c>
      <c r="D813" s="19">
        <v>1002500</v>
      </c>
    </row>
    <row r="814" spans="1:7" x14ac:dyDescent="0.25">
      <c r="A814" s="17"/>
      <c r="C814" t="s">
        <v>756</v>
      </c>
      <c r="D814" s="20">
        <v>50005000</v>
      </c>
      <c r="G814" s="1"/>
    </row>
    <row r="815" spans="1:7" x14ac:dyDescent="0.25">
      <c r="A815" s="17"/>
      <c r="D815" s="19">
        <f>SUM(D805:D814)</f>
        <v>4007478600</v>
      </c>
      <c r="G815" s="1"/>
    </row>
    <row r="816" spans="1:7" x14ac:dyDescent="0.25">
      <c r="A816" s="17"/>
      <c r="D816" s="19"/>
      <c r="G816" s="1"/>
    </row>
    <row r="817" spans="1:7" x14ac:dyDescent="0.25">
      <c r="A817" s="17"/>
      <c r="B817" s="24" t="s">
        <v>46</v>
      </c>
      <c r="D817" s="19"/>
      <c r="G817" s="1"/>
    </row>
    <row r="818" spans="1:7" x14ac:dyDescent="0.25">
      <c r="A818" s="17"/>
      <c r="B818" s="24"/>
      <c r="C818" t="s">
        <v>883</v>
      </c>
      <c r="D818" s="19">
        <f>224*602500</f>
        <v>134960000</v>
      </c>
      <c r="G818" s="1"/>
    </row>
    <row r="819" spans="1:7" x14ac:dyDescent="0.25">
      <c r="A819" s="17"/>
      <c r="B819" s="24"/>
      <c r="C819" t="s">
        <v>426</v>
      </c>
      <c r="D819" s="19">
        <f>2*602500</f>
        <v>1205000</v>
      </c>
    </row>
    <row r="820" spans="1:7" x14ac:dyDescent="0.25">
      <c r="A820" s="17"/>
      <c r="B820" s="24"/>
      <c r="C820" t="s">
        <v>856</v>
      </c>
      <c r="D820" s="20">
        <v>0</v>
      </c>
    </row>
    <row r="821" spans="1:7" x14ac:dyDescent="0.25">
      <c r="A821" s="17"/>
      <c r="D821" s="19">
        <f>SUM(D818:D820)</f>
        <v>136165000</v>
      </c>
      <c r="G821" s="1"/>
    </row>
    <row r="822" spans="1:7" x14ac:dyDescent="0.25">
      <c r="A822" s="17"/>
      <c r="D822" s="19"/>
      <c r="G822" s="1"/>
    </row>
    <row r="823" spans="1:7" x14ac:dyDescent="0.25">
      <c r="A823" s="23" t="s">
        <v>22</v>
      </c>
      <c r="D823" s="19"/>
      <c r="G823" s="1"/>
    </row>
    <row r="824" spans="1:7" x14ac:dyDescent="0.25">
      <c r="A824" s="17"/>
      <c r="C824" t="s">
        <v>23</v>
      </c>
      <c r="D824" s="19">
        <v>2044875000</v>
      </c>
      <c r="G824" s="1"/>
    </row>
    <row r="825" spans="1:7" x14ac:dyDescent="0.25">
      <c r="A825" s="17"/>
      <c r="C825" t="s">
        <v>24</v>
      </c>
      <c r="D825" s="19">
        <v>1577784500</v>
      </c>
      <c r="G825" s="1"/>
    </row>
    <row r="826" spans="1:7" x14ac:dyDescent="0.25">
      <c r="A826" s="17"/>
      <c r="C826" t="s">
        <v>602</v>
      </c>
      <c r="D826" s="19">
        <v>334000000</v>
      </c>
      <c r="G826" s="1"/>
    </row>
    <row r="827" spans="1:7" x14ac:dyDescent="0.25">
      <c r="A827" s="17"/>
      <c r="C827" t="s">
        <v>44</v>
      </c>
      <c r="D827" s="19">
        <v>100800000</v>
      </c>
      <c r="G827" s="1"/>
    </row>
    <row r="828" spans="1:7" x14ac:dyDescent="0.25">
      <c r="A828" s="17"/>
      <c r="C828" t="s">
        <v>111</v>
      </c>
      <c r="D828" s="20">
        <f>9000*8450</f>
        <v>76050000</v>
      </c>
      <c r="G828" s="1"/>
    </row>
    <row r="829" spans="1:7" x14ac:dyDescent="0.25">
      <c r="A829" s="17"/>
      <c r="D829" s="19">
        <f>SUM(D824:D828)</f>
        <v>4133509500</v>
      </c>
      <c r="G829" s="1"/>
    </row>
    <row r="830" spans="1:7" x14ac:dyDescent="0.25">
      <c r="A830" s="17"/>
      <c r="D830" s="19"/>
      <c r="G830" s="1"/>
    </row>
    <row r="831" spans="1:7" x14ac:dyDescent="0.25">
      <c r="A831" s="43" t="s">
        <v>25</v>
      </c>
      <c r="B831" s="44"/>
      <c r="C831" s="44"/>
      <c r="D831" s="25">
        <f>D802+D815+D821-D829</f>
        <v>1315863333.4200001</v>
      </c>
      <c r="G831" s="1"/>
    </row>
    <row r="832" spans="1:7" x14ac:dyDescent="0.25">
      <c r="A832" s="21"/>
      <c r="B832" s="22"/>
      <c r="C832" s="22"/>
      <c r="D832" s="20"/>
      <c r="G832" s="1"/>
    </row>
    <row r="834" spans="1:7" x14ac:dyDescent="0.25">
      <c r="A834" s="40" t="s">
        <v>13</v>
      </c>
      <c r="B834" s="40"/>
      <c r="C834" s="40"/>
      <c r="D834" s="40"/>
      <c r="G834" s="1"/>
    </row>
    <row r="835" spans="1:7" x14ac:dyDescent="0.25">
      <c r="A835" s="41" t="s">
        <v>14</v>
      </c>
      <c r="B835" s="41"/>
      <c r="C835" s="41"/>
      <c r="D835" s="41"/>
      <c r="G835" s="1"/>
    </row>
    <row r="836" spans="1:7" x14ac:dyDescent="0.25">
      <c r="A836" s="42">
        <v>45891</v>
      </c>
      <c r="B836" s="42"/>
      <c r="C836" s="42"/>
      <c r="D836" s="42"/>
      <c r="G836" s="1"/>
    </row>
    <row r="837" spans="1:7" x14ac:dyDescent="0.25">
      <c r="A837" s="13"/>
      <c r="B837" s="13"/>
      <c r="C837" s="13"/>
      <c r="D837" s="13"/>
      <c r="G837" s="1"/>
    </row>
    <row r="838" spans="1:7" x14ac:dyDescent="0.25">
      <c r="A838" s="14"/>
      <c r="B838" s="15"/>
      <c r="C838" s="15"/>
      <c r="D838" s="16"/>
      <c r="F838" s="5" t="s">
        <v>26</v>
      </c>
      <c r="G838" s="1">
        <f>D878-D831</f>
        <v>7042500</v>
      </c>
    </row>
    <row r="839" spans="1:7" x14ac:dyDescent="0.25">
      <c r="A839" s="17"/>
      <c r="D839" s="32" t="s">
        <v>16</v>
      </c>
      <c r="G839" s="1"/>
    </row>
    <row r="840" spans="1:7" x14ac:dyDescent="0.25">
      <c r="A840" s="23" t="s">
        <v>15</v>
      </c>
      <c r="D840" s="18" t="s">
        <v>17</v>
      </c>
      <c r="F840" s="26" t="s">
        <v>27</v>
      </c>
      <c r="G840" s="1"/>
    </row>
    <row r="841" spans="1:7" x14ac:dyDescent="0.25">
      <c r="A841" s="17"/>
      <c r="B841" s="24" t="s">
        <v>18</v>
      </c>
      <c r="D841" s="19"/>
      <c r="F841" s="27" t="s">
        <v>28</v>
      </c>
      <c r="G841" s="1"/>
    </row>
    <row r="842" spans="1:7" x14ac:dyDescent="0.25">
      <c r="A842" s="17"/>
      <c r="C842" s="2" t="s">
        <v>31</v>
      </c>
      <c r="D842" s="19">
        <v>23992206.149999999</v>
      </c>
      <c r="F842" t="s">
        <v>216</v>
      </c>
      <c r="G842" s="1">
        <v>11595000</v>
      </c>
    </row>
    <row r="843" spans="1:7" x14ac:dyDescent="0.25">
      <c r="A843" s="17"/>
      <c r="C843" s="2" t="s">
        <v>32</v>
      </c>
      <c r="D843" s="19">
        <v>213342266.27000001</v>
      </c>
      <c r="F843" t="s">
        <v>891</v>
      </c>
      <c r="G843" s="1">
        <v>450000</v>
      </c>
    </row>
    <row r="844" spans="1:7" x14ac:dyDescent="0.25">
      <c r="A844" s="17"/>
      <c r="C844" s="2" t="s">
        <v>33</v>
      </c>
      <c r="D844" s="19">
        <v>384755033.39999998</v>
      </c>
      <c r="G844" s="30">
        <f>SUM(G842:G843)</f>
        <v>12045000</v>
      </c>
    </row>
    <row r="845" spans="1:7" x14ac:dyDescent="0.25">
      <c r="A845" s="17"/>
      <c r="C845" s="2" t="s">
        <v>34</v>
      </c>
      <c r="D845" s="19">
        <v>122138336</v>
      </c>
      <c r="F845" s="28" t="s">
        <v>29</v>
      </c>
      <c r="G845" s="1"/>
    </row>
    <row r="846" spans="1:7" x14ac:dyDescent="0.25">
      <c r="A846" s="17"/>
      <c r="C846" s="2" t="s">
        <v>35</v>
      </c>
      <c r="D846" s="19">
        <v>25000</v>
      </c>
      <c r="F846" t="s">
        <v>161</v>
      </c>
      <c r="G846" s="1">
        <v>2500</v>
      </c>
    </row>
    <row r="847" spans="1:7" x14ac:dyDescent="0.25">
      <c r="A847" s="17"/>
      <c r="C847" s="2" t="s">
        <v>36</v>
      </c>
      <c r="D847" s="19">
        <v>81485523.599999994</v>
      </c>
      <c r="F847" t="s">
        <v>112</v>
      </c>
      <c r="G847" s="1">
        <v>5000000</v>
      </c>
    </row>
    <row r="848" spans="1:7" x14ac:dyDescent="0.25">
      <c r="A848" s="17"/>
      <c r="C848" s="2" t="s">
        <v>37</v>
      </c>
      <c r="D848" s="19">
        <v>226389051</v>
      </c>
      <c r="G848" s="30">
        <f>SUM(G846:G847)</f>
        <v>5002500</v>
      </c>
    </row>
    <row r="849" spans="1:7" x14ac:dyDescent="0.25">
      <c r="A849" s="17"/>
      <c r="C849" s="2" t="s">
        <v>51</v>
      </c>
      <c r="D849" s="20">
        <v>130317</v>
      </c>
    </row>
    <row r="850" spans="1:7" x14ac:dyDescent="0.25">
      <c r="A850" s="17"/>
      <c r="B850" s="24" t="s">
        <v>19</v>
      </c>
      <c r="D850" s="19">
        <f>SUM(D842:D849)</f>
        <v>1052257733.42</v>
      </c>
      <c r="F850" s="28" t="s">
        <v>30</v>
      </c>
      <c r="G850" s="29">
        <f>G844-G848</f>
        <v>7042500</v>
      </c>
    </row>
    <row r="851" spans="1:7" x14ac:dyDescent="0.25">
      <c r="A851" s="17"/>
      <c r="D851" s="19"/>
    </row>
    <row r="852" spans="1:7" x14ac:dyDescent="0.25">
      <c r="A852" s="17"/>
      <c r="B852" s="24" t="s">
        <v>20</v>
      </c>
      <c r="D852" s="19"/>
    </row>
    <row r="853" spans="1:7" x14ac:dyDescent="0.25">
      <c r="A853" s="17"/>
      <c r="C853" t="s">
        <v>7</v>
      </c>
      <c r="D853" s="19">
        <v>2262377262</v>
      </c>
    </row>
    <row r="854" spans="1:7" x14ac:dyDescent="0.25">
      <c r="A854" s="17"/>
      <c r="C854" t="s">
        <v>47</v>
      </c>
      <c r="D854" s="19">
        <v>16485000</v>
      </c>
    </row>
    <row r="855" spans="1:7" x14ac:dyDescent="0.25">
      <c r="A855" s="17"/>
      <c r="C855" t="s">
        <v>21</v>
      </c>
      <c r="D855" s="19">
        <v>951763838</v>
      </c>
    </row>
    <row r="856" spans="1:7" x14ac:dyDescent="0.25">
      <c r="A856" s="17"/>
      <c r="C856" t="s">
        <v>773</v>
      </c>
      <c r="D856" s="19">
        <v>608400000</v>
      </c>
    </row>
    <row r="857" spans="1:7" x14ac:dyDescent="0.25">
      <c r="A857" s="17"/>
      <c r="C857" t="s">
        <v>45</v>
      </c>
      <c r="D857" s="19">
        <v>25000000</v>
      </c>
    </row>
    <row r="858" spans="1:7" x14ac:dyDescent="0.25">
      <c r="A858" s="17"/>
      <c r="C858" t="s">
        <v>48</v>
      </c>
      <c r="D858" s="19">
        <v>30000000</v>
      </c>
    </row>
    <row r="859" spans="1:7" x14ac:dyDescent="0.25">
      <c r="A859" s="17"/>
      <c r="C859" t="s">
        <v>518</v>
      </c>
      <c r="D859" s="19">
        <v>50000000</v>
      </c>
    </row>
    <row r="860" spans="1:7" x14ac:dyDescent="0.25">
      <c r="A860" s="17"/>
      <c r="C860" t="s">
        <v>882</v>
      </c>
      <c r="D860" s="19">
        <v>33000000</v>
      </c>
    </row>
    <row r="861" spans="1:7" x14ac:dyDescent="0.25">
      <c r="A861" s="17"/>
      <c r="C861" t="s">
        <v>744</v>
      </c>
      <c r="D861" s="19">
        <v>1002500</v>
      </c>
    </row>
    <row r="862" spans="1:7" x14ac:dyDescent="0.25">
      <c r="A862" s="17"/>
      <c r="C862" t="s">
        <v>756</v>
      </c>
      <c r="D862" s="20">
        <v>50005000</v>
      </c>
      <c r="G862" s="1"/>
    </row>
    <row r="863" spans="1:7" x14ac:dyDescent="0.25">
      <c r="A863" s="17"/>
      <c r="D863" s="19">
        <f>SUM(D853:D862)</f>
        <v>4028033600</v>
      </c>
      <c r="G863" s="1"/>
    </row>
    <row r="864" spans="1:7" x14ac:dyDescent="0.25">
      <c r="A864" s="17"/>
      <c r="D864" s="19"/>
      <c r="G864" s="1"/>
    </row>
    <row r="865" spans="1:7" x14ac:dyDescent="0.25">
      <c r="A865" s="17"/>
      <c r="B865" s="24" t="s">
        <v>46</v>
      </c>
      <c r="D865" s="19"/>
      <c r="G865" s="1"/>
    </row>
    <row r="866" spans="1:7" x14ac:dyDescent="0.25">
      <c r="A866" s="17"/>
      <c r="B866" s="24"/>
      <c r="C866" t="s">
        <v>883</v>
      </c>
      <c r="D866" s="19">
        <f>224*602500</f>
        <v>134960000</v>
      </c>
      <c r="G866" s="1"/>
    </row>
    <row r="867" spans="1:7" x14ac:dyDescent="0.25">
      <c r="A867" s="17"/>
      <c r="B867" s="24"/>
      <c r="C867" t="s">
        <v>426</v>
      </c>
      <c r="D867" s="19">
        <f>2*602500</f>
        <v>1205000</v>
      </c>
    </row>
    <row r="868" spans="1:7" x14ac:dyDescent="0.25">
      <c r="A868" s="17"/>
      <c r="B868" s="24"/>
      <c r="C868" t="s">
        <v>856</v>
      </c>
      <c r="D868" s="20">
        <v>0</v>
      </c>
    </row>
    <row r="869" spans="1:7" x14ac:dyDescent="0.25">
      <c r="A869" s="17"/>
      <c r="D869" s="19">
        <f>SUM(D866:D868)</f>
        <v>136165000</v>
      </c>
      <c r="G869" s="1"/>
    </row>
    <row r="870" spans="1:7" x14ac:dyDescent="0.25">
      <c r="A870" s="17"/>
      <c r="D870" s="19"/>
      <c r="G870" s="1"/>
    </row>
    <row r="871" spans="1:7" x14ac:dyDescent="0.25">
      <c r="A871" s="23" t="s">
        <v>22</v>
      </c>
      <c r="D871" s="19"/>
      <c r="G871" s="1"/>
    </row>
    <row r="872" spans="1:7" x14ac:dyDescent="0.25">
      <c r="A872" s="17"/>
      <c r="C872" t="s">
        <v>23</v>
      </c>
      <c r="D872" s="19">
        <v>1891775000</v>
      </c>
      <c r="G872" s="1"/>
    </row>
    <row r="873" spans="1:7" x14ac:dyDescent="0.25">
      <c r="A873" s="17"/>
      <c r="C873" t="s">
        <v>24</v>
      </c>
      <c r="D873" s="19">
        <v>1566975500</v>
      </c>
      <c r="G873" s="1"/>
    </row>
    <row r="874" spans="1:7" x14ac:dyDescent="0.25">
      <c r="A874" s="17"/>
      <c r="C874" t="s">
        <v>602</v>
      </c>
      <c r="D874" s="19">
        <v>334000000</v>
      </c>
      <c r="G874" s="1"/>
    </row>
    <row r="875" spans="1:7" x14ac:dyDescent="0.25">
      <c r="A875" s="17"/>
      <c r="C875" t="s">
        <v>44</v>
      </c>
      <c r="D875" s="20">
        <v>100800000</v>
      </c>
      <c r="G875" s="1"/>
    </row>
    <row r="876" spans="1:7" x14ac:dyDescent="0.25">
      <c r="A876" s="17"/>
      <c r="D876" s="19">
        <f>SUM(D872:D875)</f>
        <v>3893550500</v>
      </c>
      <c r="G876" s="1"/>
    </row>
    <row r="877" spans="1:7" x14ac:dyDescent="0.25">
      <c r="A877" s="17"/>
      <c r="D877" s="19"/>
      <c r="G877" s="1"/>
    </row>
    <row r="878" spans="1:7" x14ac:dyDescent="0.25">
      <c r="A878" s="43" t="s">
        <v>25</v>
      </c>
      <c r="B878" s="44"/>
      <c r="C878" s="44"/>
      <c r="D878" s="25">
        <f>D850+D863+D869-D876</f>
        <v>1322905833.4200001</v>
      </c>
      <c r="G878" s="1"/>
    </row>
    <row r="879" spans="1:7" x14ac:dyDescent="0.25">
      <c r="A879" s="21"/>
      <c r="B879" s="22"/>
      <c r="C879" s="22"/>
      <c r="D879" s="20"/>
      <c r="G879" s="1"/>
    </row>
    <row r="881" spans="1:9" x14ac:dyDescent="0.25">
      <c r="A881" s="40" t="s">
        <v>13</v>
      </c>
      <c r="B881" s="40"/>
      <c r="C881" s="40"/>
      <c r="D881" s="40"/>
      <c r="G881" s="1"/>
    </row>
    <row r="882" spans="1:9" x14ac:dyDescent="0.25">
      <c r="A882" s="41" t="s">
        <v>14</v>
      </c>
      <c r="B882" s="41"/>
      <c r="C882" s="41"/>
      <c r="D882" s="41"/>
      <c r="G882" s="1"/>
    </row>
    <row r="883" spans="1:9" x14ac:dyDescent="0.25">
      <c r="A883" s="42">
        <v>45892</v>
      </c>
      <c r="B883" s="42"/>
      <c r="C883" s="42"/>
      <c r="D883" s="42"/>
      <c r="G883" s="1"/>
    </row>
    <row r="884" spans="1:9" x14ac:dyDescent="0.25">
      <c r="A884" s="13"/>
      <c r="B884" s="13"/>
      <c r="C884" s="13"/>
      <c r="D884" s="13"/>
      <c r="G884" s="1"/>
    </row>
    <row r="885" spans="1:9" x14ac:dyDescent="0.25">
      <c r="A885" s="14"/>
      <c r="B885" s="15"/>
      <c r="C885" s="15"/>
      <c r="D885" s="16"/>
      <c r="F885" s="5" t="s">
        <v>26</v>
      </c>
      <c r="G885" s="1">
        <f>D925-D878</f>
        <v>-9171000</v>
      </c>
    </row>
    <row r="886" spans="1:9" x14ac:dyDescent="0.25">
      <c r="A886" s="17"/>
      <c r="D886" s="32" t="s">
        <v>16</v>
      </c>
      <c r="G886" s="1"/>
    </row>
    <row r="887" spans="1:9" x14ac:dyDescent="0.25">
      <c r="A887" s="23" t="s">
        <v>15</v>
      </c>
      <c r="D887" s="18" t="s">
        <v>17</v>
      </c>
      <c r="F887" s="26" t="s">
        <v>27</v>
      </c>
      <c r="G887" s="1"/>
    </row>
    <row r="888" spans="1:9" x14ac:dyDescent="0.25">
      <c r="A888" s="17"/>
      <c r="B888" s="24" t="s">
        <v>18</v>
      </c>
      <c r="D888" s="19"/>
      <c r="F888" s="27" t="s">
        <v>28</v>
      </c>
      <c r="G888" s="1"/>
    </row>
    <row r="889" spans="1:9" x14ac:dyDescent="0.25">
      <c r="A889" s="17"/>
      <c r="C889" s="2" t="s">
        <v>31</v>
      </c>
      <c r="D889" s="19">
        <v>23992206.149999999</v>
      </c>
      <c r="F889" t="s">
        <v>223</v>
      </c>
      <c r="G889" s="1">
        <v>9579000</v>
      </c>
    </row>
    <row r="890" spans="1:9" x14ac:dyDescent="0.25">
      <c r="A890" s="17"/>
      <c r="C890" s="2" t="s">
        <v>32</v>
      </c>
      <c r="D890" s="19">
        <v>213342266.27000001</v>
      </c>
      <c r="G890" s="30">
        <f>SUM(G889:G889)</f>
        <v>9579000</v>
      </c>
    </row>
    <row r="891" spans="1:9" x14ac:dyDescent="0.25">
      <c r="A891" s="17"/>
      <c r="C891" s="2" t="s">
        <v>33</v>
      </c>
      <c r="D891" s="19">
        <v>408384033.39999998</v>
      </c>
      <c r="F891" s="28" t="s">
        <v>29</v>
      </c>
      <c r="G891" s="1"/>
      <c r="I891" s="38"/>
    </row>
    <row r="892" spans="1:9" x14ac:dyDescent="0.25">
      <c r="A892" s="17"/>
      <c r="C892" s="2" t="s">
        <v>34</v>
      </c>
      <c r="D892" s="19">
        <v>3448336</v>
      </c>
      <c r="F892" t="s">
        <v>892</v>
      </c>
      <c r="G892" s="1">
        <v>18000000</v>
      </c>
    </row>
    <row r="893" spans="1:9" x14ac:dyDescent="0.25">
      <c r="A893" s="17"/>
      <c r="C893" s="2" t="s">
        <v>35</v>
      </c>
      <c r="D893" s="19">
        <v>25000</v>
      </c>
      <c r="F893" t="s">
        <v>893</v>
      </c>
      <c r="G893" s="1">
        <v>750000</v>
      </c>
    </row>
    <row r="894" spans="1:9" x14ac:dyDescent="0.25">
      <c r="A894" s="17"/>
      <c r="C894" s="2" t="s">
        <v>36</v>
      </c>
      <c r="D894" s="19">
        <v>81485523.599999994</v>
      </c>
      <c r="G894" s="30">
        <f>SUM(G892:G893)</f>
        <v>18750000</v>
      </c>
    </row>
    <row r="895" spans="1:9" x14ac:dyDescent="0.25">
      <c r="A895" s="17"/>
      <c r="C895" s="2" t="s">
        <v>37</v>
      </c>
      <c r="D895" s="19">
        <v>207639051</v>
      </c>
    </row>
    <row r="896" spans="1:9" x14ac:dyDescent="0.25">
      <c r="A896" s="17"/>
      <c r="C896" s="2" t="s">
        <v>51</v>
      </c>
      <c r="D896" s="20">
        <v>130317</v>
      </c>
      <c r="F896" s="28" t="s">
        <v>30</v>
      </c>
      <c r="G896" s="29">
        <f>G890-G894</f>
        <v>-9171000</v>
      </c>
    </row>
    <row r="897" spans="1:7" x14ac:dyDescent="0.25">
      <c r="A897" s="17"/>
      <c r="B897" s="24" t="s">
        <v>19</v>
      </c>
      <c r="D897" s="19">
        <f>SUM(D889:D896)</f>
        <v>938446733.41999996</v>
      </c>
    </row>
    <row r="898" spans="1:7" x14ac:dyDescent="0.25">
      <c r="A898" s="17"/>
      <c r="D898" s="19"/>
    </row>
    <row r="899" spans="1:7" x14ac:dyDescent="0.25">
      <c r="A899" s="17"/>
      <c r="B899" s="24" t="s">
        <v>20</v>
      </c>
      <c r="D899" s="19"/>
    </row>
    <row r="900" spans="1:7" x14ac:dyDescent="0.25">
      <c r="A900" s="17"/>
      <c r="C900" t="s">
        <v>7</v>
      </c>
      <c r="D900" s="19">
        <v>2130452262</v>
      </c>
    </row>
    <row r="901" spans="1:7" x14ac:dyDescent="0.25">
      <c r="A901" s="17"/>
      <c r="C901" t="s">
        <v>47</v>
      </c>
      <c r="D901" s="19">
        <v>16485000</v>
      </c>
    </row>
    <row r="902" spans="1:7" x14ac:dyDescent="0.25">
      <c r="A902" s="17"/>
      <c r="C902" t="s">
        <v>21</v>
      </c>
      <c r="D902" s="19">
        <v>925063838</v>
      </c>
    </row>
    <row r="903" spans="1:7" x14ac:dyDescent="0.25">
      <c r="A903" s="17"/>
      <c r="C903" t="s">
        <v>773</v>
      </c>
      <c r="D903" s="19">
        <v>608400000</v>
      </c>
    </row>
    <row r="904" spans="1:7" x14ac:dyDescent="0.25">
      <c r="A904" s="17"/>
      <c r="C904" t="s">
        <v>45</v>
      </c>
      <c r="D904" s="19">
        <v>25000000</v>
      </c>
    </row>
    <row r="905" spans="1:7" x14ac:dyDescent="0.25">
      <c r="A905" s="17"/>
      <c r="C905" t="s">
        <v>48</v>
      </c>
      <c r="D905" s="19">
        <v>30000000</v>
      </c>
    </row>
    <row r="906" spans="1:7" x14ac:dyDescent="0.25">
      <c r="A906" s="17"/>
      <c r="C906" t="s">
        <v>518</v>
      </c>
      <c r="D906" s="19">
        <v>50000000</v>
      </c>
    </row>
    <row r="907" spans="1:7" x14ac:dyDescent="0.25">
      <c r="A907" s="17"/>
      <c r="C907" t="s">
        <v>882</v>
      </c>
      <c r="D907" s="19">
        <v>33000000</v>
      </c>
    </row>
    <row r="908" spans="1:7" x14ac:dyDescent="0.25">
      <c r="A908" s="17"/>
      <c r="C908" t="s">
        <v>744</v>
      </c>
      <c r="D908" s="19">
        <v>1002500</v>
      </c>
    </row>
    <row r="909" spans="1:7" x14ac:dyDescent="0.25">
      <c r="A909" s="17"/>
      <c r="C909" t="s">
        <v>756</v>
      </c>
      <c r="D909" s="20">
        <v>50005000</v>
      </c>
      <c r="G909" s="1"/>
    </row>
    <row r="910" spans="1:7" x14ac:dyDescent="0.25">
      <c r="A910" s="17"/>
      <c r="D910" s="19">
        <f>SUM(D900:D909)</f>
        <v>3869408600</v>
      </c>
      <c r="G910" s="1"/>
    </row>
    <row r="911" spans="1:7" x14ac:dyDescent="0.25">
      <c r="A911" s="17"/>
      <c r="D911" s="19"/>
      <c r="G911" s="1"/>
    </row>
    <row r="912" spans="1:7" x14ac:dyDescent="0.25">
      <c r="A912" s="17"/>
      <c r="B912" s="24" t="s">
        <v>46</v>
      </c>
      <c r="D912" s="19"/>
      <c r="G912" s="1"/>
    </row>
    <row r="913" spans="1:7" x14ac:dyDescent="0.25">
      <c r="A913" s="17"/>
      <c r="B913" s="24"/>
      <c r="C913" t="s">
        <v>883</v>
      </c>
      <c r="D913" s="19">
        <f>224*602500</f>
        <v>134960000</v>
      </c>
      <c r="G913" s="1"/>
    </row>
    <row r="914" spans="1:7" x14ac:dyDescent="0.25">
      <c r="A914" s="17"/>
      <c r="B914" s="24"/>
      <c r="C914" t="s">
        <v>426</v>
      </c>
      <c r="D914" s="19">
        <f>2*602500</f>
        <v>1205000</v>
      </c>
    </row>
    <row r="915" spans="1:7" x14ac:dyDescent="0.25">
      <c r="A915" s="17"/>
      <c r="B915" s="24"/>
      <c r="C915" t="s">
        <v>856</v>
      </c>
      <c r="D915" s="20">
        <v>0</v>
      </c>
    </row>
    <row r="916" spans="1:7" x14ac:dyDescent="0.25">
      <c r="A916" s="17"/>
      <c r="D916" s="19">
        <f>SUM(D913:D915)</f>
        <v>136165000</v>
      </c>
      <c r="G916" s="1"/>
    </row>
    <row r="917" spans="1:7" x14ac:dyDescent="0.25">
      <c r="A917" s="17"/>
      <c r="D917" s="19"/>
      <c r="G917" s="1"/>
    </row>
    <row r="918" spans="1:7" x14ac:dyDescent="0.25">
      <c r="A918" s="23" t="s">
        <v>22</v>
      </c>
      <c r="D918" s="19"/>
      <c r="G918" s="1"/>
    </row>
    <row r="919" spans="1:7" x14ac:dyDescent="0.25">
      <c r="A919" s="17"/>
      <c r="C919" t="s">
        <v>23</v>
      </c>
      <c r="D919" s="19">
        <v>1715050000</v>
      </c>
      <c r="G919" s="1"/>
    </row>
    <row r="920" spans="1:7" x14ac:dyDescent="0.25">
      <c r="A920" s="17"/>
      <c r="C920" t="s">
        <v>24</v>
      </c>
      <c r="D920" s="19">
        <v>1480435500</v>
      </c>
      <c r="G920" s="1"/>
    </row>
    <row r="921" spans="1:7" x14ac:dyDescent="0.25">
      <c r="A921" s="17"/>
      <c r="C921" t="s">
        <v>602</v>
      </c>
      <c r="D921" s="19">
        <v>334000000</v>
      </c>
      <c r="G921" s="1"/>
    </row>
    <row r="922" spans="1:7" x14ac:dyDescent="0.25">
      <c r="A922" s="17"/>
      <c r="C922" t="s">
        <v>44</v>
      </c>
      <c r="D922" s="20">
        <v>100800000</v>
      </c>
      <c r="G922" s="1"/>
    </row>
    <row r="923" spans="1:7" x14ac:dyDescent="0.25">
      <c r="A923" s="17"/>
      <c r="D923" s="19">
        <f>SUM(D919:D922)</f>
        <v>3630285500</v>
      </c>
      <c r="G923" s="1"/>
    </row>
    <row r="924" spans="1:7" x14ac:dyDescent="0.25">
      <c r="A924" s="17"/>
      <c r="D924" s="19"/>
      <c r="G924" s="1"/>
    </row>
    <row r="925" spans="1:7" x14ac:dyDescent="0.25">
      <c r="A925" s="43" t="s">
        <v>25</v>
      </c>
      <c r="B925" s="44"/>
      <c r="C925" s="44"/>
      <c r="D925" s="25">
        <f>D897+D910+D916-D923</f>
        <v>1313734833.4200001</v>
      </c>
      <c r="G925" s="1"/>
    </row>
    <row r="926" spans="1:7" x14ac:dyDescent="0.25">
      <c r="A926" s="21"/>
      <c r="B926" s="22"/>
      <c r="C926" s="22"/>
      <c r="D926" s="20"/>
      <c r="G926" s="1"/>
    </row>
    <row r="928" spans="1:7" x14ac:dyDescent="0.25">
      <c r="A928" s="40" t="s">
        <v>13</v>
      </c>
      <c r="B928" s="40"/>
      <c r="C928" s="40"/>
      <c r="D928" s="40"/>
      <c r="G928" s="1"/>
    </row>
    <row r="929" spans="1:9" x14ac:dyDescent="0.25">
      <c r="A929" s="41" t="s">
        <v>14</v>
      </c>
      <c r="B929" s="41"/>
      <c r="C929" s="41"/>
      <c r="D929" s="41"/>
      <c r="G929" s="1"/>
    </row>
    <row r="930" spans="1:9" x14ac:dyDescent="0.25">
      <c r="A930" s="42">
        <v>45894</v>
      </c>
      <c r="B930" s="42"/>
      <c r="C930" s="42"/>
      <c r="D930" s="42"/>
      <c r="G930" s="1"/>
    </row>
    <row r="931" spans="1:9" x14ac:dyDescent="0.25">
      <c r="A931" s="13"/>
      <c r="B931" s="13"/>
      <c r="C931" s="13"/>
      <c r="D931" s="13"/>
      <c r="G931" s="1"/>
    </row>
    <row r="932" spans="1:9" x14ac:dyDescent="0.25">
      <c r="A932" s="14"/>
      <c r="B932" s="15"/>
      <c r="C932" s="15"/>
      <c r="D932" s="16"/>
      <c r="F932" s="5" t="s">
        <v>26</v>
      </c>
      <c r="G932" s="1">
        <f>D973-D925</f>
        <v>9580250</v>
      </c>
    </row>
    <row r="933" spans="1:9" x14ac:dyDescent="0.25">
      <c r="A933" s="17"/>
      <c r="D933" s="32" t="s">
        <v>16</v>
      </c>
      <c r="G933" s="1"/>
    </row>
    <row r="934" spans="1:9" x14ac:dyDescent="0.25">
      <c r="A934" s="23" t="s">
        <v>15</v>
      </c>
      <c r="D934" s="18" t="s">
        <v>17</v>
      </c>
      <c r="F934" s="26" t="s">
        <v>27</v>
      </c>
      <c r="G934" s="1"/>
    </row>
    <row r="935" spans="1:9" x14ac:dyDescent="0.25">
      <c r="A935" s="17"/>
      <c r="B935" s="24" t="s">
        <v>18</v>
      </c>
      <c r="D935" s="19"/>
      <c r="F935" s="27" t="s">
        <v>28</v>
      </c>
      <c r="G935" s="1"/>
    </row>
    <row r="936" spans="1:9" x14ac:dyDescent="0.25">
      <c r="A936" s="17"/>
      <c r="C936" s="2" t="s">
        <v>31</v>
      </c>
      <c r="D936" s="19">
        <v>23992206.149999999</v>
      </c>
      <c r="F936" t="s">
        <v>354</v>
      </c>
      <c r="G936" s="1">
        <v>11634000</v>
      </c>
    </row>
    <row r="937" spans="1:9" x14ac:dyDescent="0.25">
      <c r="A937" s="17"/>
      <c r="C937" s="2" t="s">
        <v>32</v>
      </c>
      <c r="D937" s="19">
        <v>213342266.27000001</v>
      </c>
      <c r="F937" t="s">
        <v>90</v>
      </c>
      <c r="G937" s="1">
        <v>115000</v>
      </c>
    </row>
    <row r="938" spans="1:9" x14ac:dyDescent="0.25">
      <c r="A938" s="17"/>
      <c r="C938" s="2" t="s">
        <v>33</v>
      </c>
      <c r="D938" s="19">
        <v>217434033.40000001</v>
      </c>
      <c r="G938" s="30">
        <f>SUM(G935:G937)</f>
        <v>11749000</v>
      </c>
      <c r="I938" s="38"/>
    </row>
    <row r="939" spans="1:9" x14ac:dyDescent="0.25">
      <c r="A939" s="17"/>
      <c r="C939" s="2" t="s">
        <v>34</v>
      </c>
      <c r="D939" s="19">
        <v>65123336</v>
      </c>
      <c r="F939" s="28" t="s">
        <v>29</v>
      </c>
      <c r="G939" s="1"/>
    </row>
    <row r="940" spans="1:9" x14ac:dyDescent="0.25">
      <c r="A940" s="17"/>
      <c r="C940" s="2" t="s">
        <v>35</v>
      </c>
      <c r="D940" s="19">
        <v>25000</v>
      </c>
      <c r="F940" t="s">
        <v>539</v>
      </c>
      <c r="G940" s="1">
        <v>718750</v>
      </c>
    </row>
    <row r="941" spans="1:9" x14ac:dyDescent="0.25">
      <c r="A941" s="17"/>
      <c r="C941" s="2" t="s">
        <v>36</v>
      </c>
      <c r="D941" s="19">
        <v>81485523.599999994</v>
      </c>
      <c r="F941" t="s">
        <v>896</v>
      </c>
      <c r="G941" s="1">
        <v>1450000</v>
      </c>
    </row>
    <row r="942" spans="1:9" x14ac:dyDescent="0.25">
      <c r="A942" s="17"/>
      <c r="C942" s="2" t="s">
        <v>37</v>
      </c>
      <c r="D942" s="19">
        <v>206920301</v>
      </c>
      <c r="G942" s="30">
        <f>SUM(G940:G941)</f>
        <v>2168750</v>
      </c>
    </row>
    <row r="943" spans="1:9" x14ac:dyDescent="0.25">
      <c r="A943" s="17"/>
      <c r="C943" s="2" t="s">
        <v>51</v>
      </c>
      <c r="D943" s="20">
        <v>130317</v>
      </c>
    </row>
    <row r="944" spans="1:9" x14ac:dyDescent="0.25">
      <c r="A944" s="17"/>
      <c r="B944" s="24" t="s">
        <v>19</v>
      </c>
      <c r="D944" s="19">
        <f>SUM(D936:D943)</f>
        <v>808452983.42000008</v>
      </c>
      <c r="F944" s="28" t="s">
        <v>30</v>
      </c>
      <c r="G944" s="29">
        <f>G938-G942</f>
        <v>9580250</v>
      </c>
    </row>
    <row r="945" spans="1:7" x14ac:dyDescent="0.25">
      <c r="A945" s="17"/>
      <c r="D945" s="19"/>
    </row>
    <row r="946" spans="1:7" x14ac:dyDescent="0.25">
      <c r="A946" s="17"/>
      <c r="B946" s="24" t="s">
        <v>20</v>
      </c>
      <c r="D946" s="19"/>
    </row>
    <row r="947" spans="1:7" x14ac:dyDescent="0.25">
      <c r="A947" s="17"/>
      <c r="C947" t="s">
        <v>7</v>
      </c>
      <c r="D947" s="19">
        <v>2378457262</v>
      </c>
    </row>
    <row r="948" spans="1:7" x14ac:dyDescent="0.25">
      <c r="A948" s="17"/>
      <c r="C948" t="s">
        <v>47</v>
      </c>
      <c r="D948" s="19">
        <v>17805000</v>
      </c>
    </row>
    <row r="949" spans="1:7" x14ac:dyDescent="0.25">
      <c r="A949" s="17"/>
      <c r="C949" t="s">
        <v>21</v>
      </c>
      <c r="D949" s="19">
        <v>925063838</v>
      </c>
    </row>
    <row r="950" spans="1:7" x14ac:dyDescent="0.25">
      <c r="A950" s="17"/>
      <c r="C950" t="s">
        <v>773</v>
      </c>
      <c r="D950" s="19">
        <v>608400000</v>
      </c>
    </row>
    <row r="951" spans="1:7" x14ac:dyDescent="0.25">
      <c r="A951" s="17"/>
      <c r="C951" t="s">
        <v>45</v>
      </c>
      <c r="D951" s="19">
        <v>25000000</v>
      </c>
    </row>
    <row r="952" spans="1:7" x14ac:dyDescent="0.25">
      <c r="A952" s="17"/>
      <c r="C952" t="s">
        <v>48</v>
      </c>
      <c r="D952" s="19">
        <v>30000000</v>
      </c>
    </row>
    <row r="953" spans="1:7" x14ac:dyDescent="0.25">
      <c r="A953" s="17"/>
      <c r="C953" t="s">
        <v>518</v>
      </c>
      <c r="D953" s="19">
        <v>50000000</v>
      </c>
    </row>
    <row r="954" spans="1:7" x14ac:dyDescent="0.25">
      <c r="A954" s="17"/>
      <c r="C954" t="s">
        <v>882</v>
      </c>
      <c r="D954" s="19">
        <v>33000000</v>
      </c>
    </row>
    <row r="955" spans="1:7" x14ac:dyDescent="0.25">
      <c r="A955" s="17"/>
      <c r="C955" t="s">
        <v>744</v>
      </c>
      <c r="D955" s="19">
        <v>1002500</v>
      </c>
    </row>
    <row r="956" spans="1:7" x14ac:dyDescent="0.25">
      <c r="A956" s="17"/>
      <c r="C956" t="s">
        <v>895</v>
      </c>
      <c r="D956" s="19">
        <v>38000000</v>
      </c>
    </row>
    <row r="957" spans="1:7" x14ac:dyDescent="0.25">
      <c r="A957" s="17"/>
      <c r="C957" t="s">
        <v>756</v>
      </c>
      <c r="D957" s="20">
        <v>50005000</v>
      </c>
      <c r="G957" s="1"/>
    </row>
    <row r="958" spans="1:7" x14ac:dyDescent="0.25">
      <c r="A958" s="17"/>
      <c r="D958" s="19">
        <f>SUM(D947:D957)</f>
        <v>4156733600</v>
      </c>
      <c r="G958" s="1"/>
    </row>
    <row r="959" spans="1:7" x14ac:dyDescent="0.25">
      <c r="A959" s="17"/>
      <c r="D959" s="19"/>
      <c r="G959" s="1"/>
    </row>
    <row r="960" spans="1:7" x14ac:dyDescent="0.25">
      <c r="A960" s="17"/>
      <c r="B960" s="24" t="s">
        <v>46</v>
      </c>
      <c r="D960" s="19"/>
      <c r="G960" s="1"/>
    </row>
    <row r="961" spans="1:7" x14ac:dyDescent="0.25">
      <c r="A961" s="17"/>
      <c r="B961" s="24"/>
      <c r="C961" t="s">
        <v>894</v>
      </c>
      <c r="D961" s="19">
        <f>222*602500</f>
        <v>133755000</v>
      </c>
      <c r="G961" s="1"/>
    </row>
    <row r="962" spans="1:7" x14ac:dyDescent="0.25">
      <c r="A962" s="17"/>
      <c r="B962" s="24"/>
      <c r="C962" t="s">
        <v>426</v>
      </c>
      <c r="D962" s="19">
        <f>2*602500</f>
        <v>1205000</v>
      </c>
    </row>
    <row r="963" spans="1:7" x14ac:dyDescent="0.25">
      <c r="A963" s="17"/>
      <c r="B963" s="24"/>
      <c r="C963" t="s">
        <v>856</v>
      </c>
      <c r="D963" s="20">
        <v>0</v>
      </c>
    </row>
    <row r="964" spans="1:7" x14ac:dyDescent="0.25">
      <c r="A964" s="17"/>
      <c r="D964" s="19">
        <f>SUM(D961:D963)</f>
        <v>134960000</v>
      </c>
      <c r="G964" s="1"/>
    </row>
    <row r="965" spans="1:7" x14ac:dyDescent="0.25">
      <c r="A965" s="17"/>
      <c r="D965" s="19"/>
      <c r="G965" s="1"/>
    </row>
    <row r="966" spans="1:7" x14ac:dyDescent="0.25">
      <c r="A966" s="23" t="s">
        <v>22</v>
      </c>
      <c r="D966" s="19"/>
      <c r="G966" s="1"/>
    </row>
    <row r="967" spans="1:7" x14ac:dyDescent="0.25">
      <c r="A967" s="17"/>
      <c r="C967" t="s">
        <v>23</v>
      </c>
      <c r="D967" s="19">
        <v>1699925000</v>
      </c>
      <c r="G967" s="1"/>
    </row>
    <row r="968" spans="1:7" x14ac:dyDescent="0.25">
      <c r="A968" s="17"/>
      <c r="C968" t="s">
        <v>24</v>
      </c>
      <c r="D968" s="19">
        <v>1642106500</v>
      </c>
      <c r="G968" s="1"/>
    </row>
    <row r="969" spans="1:7" x14ac:dyDescent="0.25">
      <c r="A969" s="17"/>
      <c r="C969" t="s">
        <v>602</v>
      </c>
      <c r="D969" s="19">
        <v>334000000</v>
      </c>
      <c r="G969" s="1"/>
    </row>
    <row r="970" spans="1:7" x14ac:dyDescent="0.25">
      <c r="A970" s="17"/>
      <c r="C970" t="s">
        <v>44</v>
      </c>
      <c r="D970" s="20">
        <v>100800000</v>
      </c>
      <c r="G970" s="1"/>
    </row>
    <row r="971" spans="1:7" x14ac:dyDescent="0.25">
      <c r="A971" s="17"/>
      <c r="D971" s="19">
        <f>SUM(D967:D970)</f>
        <v>3776831500</v>
      </c>
      <c r="G971" s="1"/>
    </row>
    <row r="972" spans="1:7" x14ac:dyDescent="0.25">
      <c r="A972" s="17"/>
      <c r="D972" s="19"/>
      <c r="G972" s="1"/>
    </row>
    <row r="973" spans="1:7" x14ac:dyDescent="0.25">
      <c r="A973" s="43" t="s">
        <v>25</v>
      </c>
      <c r="B973" s="44"/>
      <c r="C973" s="44"/>
      <c r="D973" s="25">
        <f>D944+D958+D964-D971</f>
        <v>1323315083.4200001</v>
      </c>
      <c r="G973" s="1"/>
    </row>
    <row r="974" spans="1:7" x14ac:dyDescent="0.25">
      <c r="A974" s="21"/>
      <c r="B974" s="22"/>
      <c r="C974" s="22"/>
      <c r="D974" s="20"/>
      <c r="G974" s="1"/>
    </row>
    <row r="976" spans="1:7" x14ac:dyDescent="0.25">
      <c r="A976" s="40" t="s">
        <v>13</v>
      </c>
      <c r="B976" s="40"/>
      <c r="C976" s="40"/>
      <c r="D976" s="40"/>
      <c r="G976" s="1"/>
    </row>
    <row r="977" spans="1:9" x14ac:dyDescent="0.25">
      <c r="A977" s="41" t="s">
        <v>14</v>
      </c>
      <c r="B977" s="41"/>
      <c r="C977" s="41"/>
      <c r="D977" s="41"/>
      <c r="G977" s="1"/>
    </row>
    <row r="978" spans="1:9" x14ac:dyDescent="0.25">
      <c r="A978" s="42">
        <v>45895</v>
      </c>
      <c r="B978" s="42"/>
      <c r="C978" s="42"/>
      <c r="D978" s="42"/>
      <c r="G978" s="1"/>
    </row>
    <row r="979" spans="1:9" x14ac:dyDescent="0.25">
      <c r="A979" s="13"/>
      <c r="B979" s="13"/>
      <c r="C979" s="13"/>
      <c r="D979" s="13"/>
      <c r="G979" s="1"/>
    </row>
    <row r="980" spans="1:9" x14ac:dyDescent="0.25">
      <c r="A980" s="14"/>
      <c r="B980" s="15"/>
      <c r="C980" s="15"/>
      <c r="D980" s="16"/>
      <c r="F980" s="5" t="s">
        <v>26</v>
      </c>
      <c r="G980" s="1">
        <f>D1020-D973</f>
        <v>3992500</v>
      </c>
    </row>
    <row r="981" spans="1:9" x14ac:dyDescent="0.25">
      <c r="A981" s="17"/>
      <c r="D981" s="32" t="s">
        <v>16</v>
      </c>
      <c r="G981" s="1"/>
    </row>
    <row r="982" spans="1:9" x14ac:dyDescent="0.25">
      <c r="A982" s="23" t="s">
        <v>15</v>
      </c>
      <c r="D982" s="18" t="s">
        <v>17</v>
      </c>
      <c r="F982" s="26" t="s">
        <v>27</v>
      </c>
      <c r="G982" s="1"/>
    </row>
    <row r="983" spans="1:9" x14ac:dyDescent="0.25">
      <c r="A983" s="17"/>
      <c r="B983" s="24" t="s">
        <v>18</v>
      </c>
      <c r="D983" s="19"/>
      <c r="F983" s="27" t="s">
        <v>28</v>
      </c>
      <c r="G983" s="1"/>
    </row>
    <row r="984" spans="1:9" x14ac:dyDescent="0.25">
      <c r="A984" s="17"/>
      <c r="C984" s="2" t="s">
        <v>31</v>
      </c>
      <c r="D984" s="19">
        <v>182452206.15000001</v>
      </c>
      <c r="F984" t="s">
        <v>359</v>
      </c>
      <c r="G984" s="1">
        <v>6025000</v>
      </c>
    </row>
    <row r="985" spans="1:9" x14ac:dyDescent="0.25">
      <c r="A985" s="17"/>
      <c r="C985" s="2" t="s">
        <v>32</v>
      </c>
      <c r="D985" s="19">
        <v>214662266.27000001</v>
      </c>
      <c r="F985" t="s">
        <v>90</v>
      </c>
      <c r="G985" s="1">
        <v>135000</v>
      </c>
    </row>
    <row r="986" spans="1:9" x14ac:dyDescent="0.25">
      <c r="A986" s="17"/>
      <c r="C986" s="2" t="s">
        <v>33</v>
      </c>
      <c r="D986" s="19">
        <v>585871533.39999998</v>
      </c>
      <c r="F986" t="s">
        <v>897</v>
      </c>
      <c r="G986" s="1">
        <v>87500</v>
      </c>
    </row>
    <row r="987" spans="1:9" x14ac:dyDescent="0.25">
      <c r="A987" s="17"/>
      <c r="C987" s="2" t="s">
        <v>34</v>
      </c>
      <c r="D987" s="19">
        <v>107623336</v>
      </c>
      <c r="G987" s="30">
        <f>SUM(G984:G986)</f>
        <v>6247500</v>
      </c>
    </row>
    <row r="988" spans="1:9" x14ac:dyDescent="0.25">
      <c r="A988" s="17"/>
      <c r="C988" s="2" t="s">
        <v>35</v>
      </c>
      <c r="D988" s="19">
        <v>25000</v>
      </c>
      <c r="F988" s="28" t="s">
        <v>29</v>
      </c>
      <c r="G988" s="1"/>
    </row>
    <row r="989" spans="1:9" x14ac:dyDescent="0.25">
      <c r="A989" s="17"/>
      <c r="C989" s="2" t="s">
        <v>36</v>
      </c>
      <c r="D989" s="19">
        <v>81485523.599999994</v>
      </c>
      <c r="F989" t="s">
        <v>161</v>
      </c>
      <c r="G989" s="1">
        <v>5000</v>
      </c>
    </row>
    <row r="990" spans="1:9" x14ac:dyDescent="0.25">
      <c r="A990" s="17"/>
      <c r="C990" s="2" t="s">
        <v>37</v>
      </c>
      <c r="D990" s="19">
        <v>167494301</v>
      </c>
      <c r="F990" t="s">
        <v>2</v>
      </c>
      <c r="G990" s="1">
        <v>2250000</v>
      </c>
      <c r="I990" s="38"/>
    </row>
    <row r="991" spans="1:9" x14ac:dyDescent="0.25">
      <c r="A991" s="17"/>
      <c r="C991" s="2" t="s">
        <v>51</v>
      </c>
      <c r="D991" s="20">
        <v>130317</v>
      </c>
      <c r="G991" s="30">
        <f>SUM(G989:G990)</f>
        <v>2255000</v>
      </c>
    </row>
    <row r="992" spans="1:9" x14ac:dyDescent="0.25">
      <c r="A992" s="17"/>
      <c r="B992" s="24" t="s">
        <v>19</v>
      </c>
      <c r="D992" s="19">
        <f>SUM(D984:D991)</f>
        <v>1339744483.4199998</v>
      </c>
    </row>
    <row r="993" spans="1:7" x14ac:dyDescent="0.25">
      <c r="A993" s="17"/>
      <c r="D993" s="19"/>
      <c r="F993" s="28" t="s">
        <v>30</v>
      </c>
      <c r="G993" s="29">
        <f>G987-G991</f>
        <v>3992500</v>
      </c>
    </row>
    <row r="994" spans="1:7" x14ac:dyDescent="0.25">
      <c r="A994" s="17"/>
      <c r="B994" s="24" t="s">
        <v>20</v>
      </c>
      <c r="D994" s="19"/>
    </row>
    <row r="995" spans="1:7" x14ac:dyDescent="0.25">
      <c r="A995" s="17"/>
      <c r="C995" t="s">
        <v>7</v>
      </c>
      <c r="D995" s="19">
        <v>2104832262</v>
      </c>
    </row>
    <row r="996" spans="1:7" x14ac:dyDescent="0.25">
      <c r="A996" s="17"/>
      <c r="C996" t="s">
        <v>47</v>
      </c>
      <c r="D996" s="19">
        <v>20235000</v>
      </c>
    </row>
    <row r="997" spans="1:7" x14ac:dyDescent="0.25">
      <c r="A997" s="17"/>
      <c r="C997" t="s">
        <v>21</v>
      </c>
      <c r="D997" s="19">
        <v>878574838</v>
      </c>
    </row>
    <row r="998" spans="1:7" x14ac:dyDescent="0.25">
      <c r="A998" s="17"/>
      <c r="C998" t="s">
        <v>773</v>
      </c>
      <c r="D998" s="19">
        <v>608400000</v>
      </c>
    </row>
    <row r="999" spans="1:7" x14ac:dyDescent="0.25">
      <c r="A999" s="17"/>
      <c r="C999" t="s">
        <v>45</v>
      </c>
      <c r="D999" s="19">
        <v>25000000</v>
      </c>
    </row>
    <row r="1000" spans="1:7" x14ac:dyDescent="0.25">
      <c r="A1000" s="17"/>
      <c r="C1000" t="s">
        <v>48</v>
      </c>
      <c r="D1000" s="19">
        <v>30000000</v>
      </c>
    </row>
    <row r="1001" spans="1:7" x14ac:dyDescent="0.25">
      <c r="A1001" s="17"/>
      <c r="C1001" t="s">
        <v>518</v>
      </c>
      <c r="D1001" s="19">
        <v>50000000</v>
      </c>
    </row>
    <row r="1002" spans="1:7" x14ac:dyDescent="0.25">
      <c r="A1002" s="17"/>
      <c r="C1002" t="s">
        <v>882</v>
      </c>
      <c r="D1002" s="19">
        <v>33000000</v>
      </c>
    </row>
    <row r="1003" spans="1:7" x14ac:dyDescent="0.25">
      <c r="A1003" s="17"/>
      <c r="C1003" t="s">
        <v>744</v>
      </c>
      <c r="D1003" s="19">
        <v>1002500</v>
      </c>
    </row>
    <row r="1004" spans="1:7" x14ac:dyDescent="0.25">
      <c r="A1004" s="17"/>
      <c r="C1004" t="s">
        <v>756</v>
      </c>
      <c r="D1004" s="20">
        <v>50005000</v>
      </c>
      <c r="G1004" s="1"/>
    </row>
    <row r="1005" spans="1:7" x14ac:dyDescent="0.25">
      <c r="A1005" s="17"/>
      <c r="D1005" s="19">
        <f>SUM(D995:D1004)</f>
        <v>3801049600</v>
      </c>
      <c r="G1005" s="1"/>
    </row>
    <row r="1006" spans="1:7" x14ac:dyDescent="0.25">
      <c r="A1006" s="17"/>
      <c r="D1006" s="19"/>
      <c r="G1006" s="1"/>
    </row>
    <row r="1007" spans="1:7" x14ac:dyDescent="0.25">
      <c r="A1007" s="17"/>
      <c r="B1007" s="24" t="s">
        <v>46</v>
      </c>
      <c r="D1007" s="19"/>
      <c r="G1007" s="1"/>
    </row>
    <row r="1008" spans="1:7" x14ac:dyDescent="0.25">
      <c r="A1008" s="17"/>
      <c r="B1008" s="24"/>
      <c r="C1008" t="s">
        <v>898</v>
      </c>
      <c r="D1008" s="19">
        <f>216*602500</f>
        <v>130140000</v>
      </c>
      <c r="G1008" s="1"/>
    </row>
    <row r="1009" spans="1:7" x14ac:dyDescent="0.25">
      <c r="A1009" s="17"/>
      <c r="B1009" s="24"/>
      <c r="C1009" t="s">
        <v>426</v>
      </c>
      <c r="D1009" s="19">
        <f>2*602500</f>
        <v>1205000</v>
      </c>
    </row>
    <row r="1010" spans="1:7" x14ac:dyDescent="0.25">
      <c r="A1010" s="17"/>
      <c r="B1010" s="24"/>
      <c r="C1010" t="s">
        <v>856</v>
      </c>
      <c r="D1010" s="20">
        <v>0</v>
      </c>
    </row>
    <row r="1011" spans="1:7" x14ac:dyDescent="0.25">
      <c r="A1011" s="17"/>
      <c r="D1011" s="19">
        <f>SUM(D1008:D1010)</f>
        <v>131345000</v>
      </c>
      <c r="G1011" s="1"/>
    </row>
    <row r="1012" spans="1:7" x14ac:dyDescent="0.25">
      <c r="A1012" s="17"/>
      <c r="D1012" s="19"/>
      <c r="G1012" s="1"/>
    </row>
    <row r="1013" spans="1:7" x14ac:dyDescent="0.25">
      <c r="A1013" s="23" t="s">
        <v>22</v>
      </c>
      <c r="D1013" s="19"/>
      <c r="G1013" s="1"/>
    </row>
    <row r="1014" spans="1:7" x14ac:dyDescent="0.25">
      <c r="A1014" s="17"/>
      <c r="C1014" t="s">
        <v>23</v>
      </c>
      <c r="D1014" s="19">
        <v>1783925000</v>
      </c>
      <c r="G1014" s="1"/>
    </row>
    <row r="1015" spans="1:7" x14ac:dyDescent="0.25">
      <c r="A1015" s="17"/>
      <c r="C1015" t="s">
        <v>24</v>
      </c>
      <c r="D1015" s="19">
        <v>1642106500</v>
      </c>
      <c r="G1015" s="1"/>
    </row>
    <row r="1016" spans="1:7" x14ac:dyDescent="0.25">
      <c r="A1016" s="17"/>
      <c r="C1016" t="s">
        <v>602</v>
      </c>
      <c r="D1016" s="19">
        <v>418000000</v>
      </c>
      <c r="G1016" s="1"/>
    </row>
    <row r="1017" spans="1:7" x14ac:dyDescent="0.25">
      <c r="A1017" s="17"/>
      <c r="C1017" t="s">
        <v>44</v>
      </c>
      <c r="D1017" s="20">
        <v>100800000</v>
      </c>
      <c r="G1017" s="1"/>
    </row>
    <row r="1018" spans="1:7" x14ac:dyDescent="0.25">
      <c r="A1018" s="17"/>
      <c r="D1018" s="19">
        <f>SUM(D1014:D1017)</f>
        <v>3944831500</v>
      </c>
      <c r="G1018" s="1"/>
    </row>
    <row r="1019" spans="1:7" x14ac:dyDescent="0.25">
      <c r="A1019" s="17"/>
      <c r="D1019" s="19"/>
      <c r="G1019" s="1"/>
    </row>
    <row r="1020" spans="1:7" x14ac:dyDescent="0.25">
      <c r="A1020" s="43" t="s">
        <v>25</v>
      </c>
      <c r="B1020" s="44"/>
      <c r="C1020" s="44"/>
      <c r="D1020" s="25">
        <f>D992+D1005+D1011-D1018</f>
        <v>1327307583.4200001</v>
      </c>
      <c r="G1020" s="1"/>
    </row>
    <row r="1021" spans="1:7" x14ac:dyDescent="0.25">
      <c r="A1021" s="21"/>
      <c r="B1021" s="22"/>
      <c r="C1021" s="22"/>
      <c r="D1021" s="20"/>
      <c r="G1021" s="1"/>
    </row>
    <row r="1023" spans="1:7" x14ac:dyDescent="0.25">
      <c r="A1023" s="40" t="s">
        <v>13</v>
      </c>
      <c r="B1023" s="40"/>
      <c r="C1023" s="40"/>
      <c r="D1023" s="40"/>
      <c r="G1023" s="1"/>
    </row>
    <row r="1024" spans="1:7" x14ac:dyDescent="0.25">
      <c r="A1024" s="41" t="s">
        <v>14</v>
      </c>
      <c r="B1024" s="41"/>
      <c r="C1024" s="41"/>
      <c r="D1024" s="41"/>
      <c r="G1024" s="1"/>
    </row>
    <row r="1025" spans="1:9" x14ac:dyDescent="0.25">
      <c r="A1025" s="42">
        <v>45896</v>
      </c>
      <c r="B1025" s="42"/>
      <c r="C1025" s="42"/>
      <c r="D1025" s="42"/>
      <c r="G1025" s="1"/>
    </row>
    <row r="1026" spans="1:9" x14ac:dyDescent="0.25">
      <c r="A1026" s="13"/>
      <c r="B1026" s="13"/>
      <c r="C1026" s="13"/>
      <c r="D1026" s="13"/>
      <c r="G1026" s="1"/>
    </row>
    <row r="1027" spans="1:9" x14ac:dyDescent="0.25">
      <c r="A1027" s="14"/>
      <c r="B1027" s="15"/>
      <c r="C1027" s="15"/>
      <c r="D1027" s="16"/>
      <c r="F1027" s="5" t="s">
        <v>26</v>
      </c>
      <c r="G1027" s="1">
        <f>D1067-D1020</f>
        <v>-22900600</v>
      </c>
    </row>
    <row r="1028" spans="1:9" x14ac:dyDescent="0.25">
      <c r="A1028" s="17"/>
      <c r="D1028" s="32" t="s">
        <v>16</v>
      </c>
      <c r="G1028" s="1"/>
    </row>
    <row r="1029" spans="1:9" x14ac:dyDescent="0.25">
      <c r="A1029" s="23" t="s">
        <v>15</v>
      </c>
      <c r="D1029" s="18" t="s">
        <v>17</v>
      </c>
      <c r="F1029" s="26" t="s">
        <v>27</v>
      </c>
      <c r="G1029" s="1"/>
    </row>
    <row r="1030" spans="1:9" x14ac:dyDescent="0.25">
      <c r="A1030" s="17"/>
      <c r="B1030" s="24" t="s">
        <v>18</v>
      </c>
      <c r="D1030" s="19"/>
      <c r="F1030" s="27" t="s">
        <v>28</v>
      </c>
      <c r="G1030" s="1"/>
    </row>
    <row r="1031" spans="1:9" x14ac:dyDescent="0.25">
      <c r="A1031" s="17"/>
      <c r="C1031" s="2" t="s">
        <v>31</v>
      </c>
      <c r="D1031" s="19">
        <v>118452206.15000001</v>
      </c>
      <c r="F1031" t="s">
        <v>359</v>
      </c>
      <c r="G1031" s="1">
        <v>7179000</v>
      </c>
    </row>
    <row r="1032" spans="1:9" x14ac:dyDescent="0.25">
      <c r="A1032" s="17"/>
      <c r="C1032" s="2" t="s">
        <v>32</v>
      </c>
      <c r="D1032" s="19">
        <v>214662266.27000001</v>
      </c>
      <c r="G1032" s="30">
        <f>SUM(G1031:G1031)</f>
        <v>7179000</v>
      </c>
    </row>
    <row r="1033" spans="1:9" x14ac:dyDescent="0.25">
      <c r="A1033" s="17"/>
      <c r="C1033" s="2" t="s">
        <v>33</v>
      </c>
      <c r="D1033" s="19">
        <v>684419533.39999998</v>
      </c>
      <c r="F1033" s="28" t="s">
        <v>29</v>
      </c>
      <c r="G1033" s="1"/>
    </row>
    <row r="1034" spans="1:9" x14ac:dyDescent="0.25">
      <c r="A1034" s="17"/>
      <c r="C1034" s="2" t="s">
        <v>34</v>
      </c>
      <c r="D1034" s="19">
        <v>16073336</v>
      </c>
      <c r="F1034" t="s">
        <v>899</v>
      </c>
      <c r="G1034" s="1">
        <v>28850000</v>
      </c>
    </row>
    <row r="1035" spans="1:9" x14ac:dyDescent="0.25">
      <c r="A1035" s="17"/>
      <c r="C1035" s="2" t="s">
        <v>35</v>
      </c>
      <c r="D1035" s="19">
        <v>25000</v>
      </c>
      <c r="F1035" t="s">
        <v>540</v>
      </c>
      <c r="G1035" s="1">
        <v>1229600</v>
      </c>
      <c r="I1035" s="38"/>
    </row>
    <row r="1036" spans="1:9" x14ac:dyDescent="0.25">
      <c r="A1036" s="17"/>
      <c r="C1036" s="2" t="s">
        <v>36</v>
      </c>
      <c r="D1036" s="19">
        <v>81485523.599999994</v>
      </c>
      <c r="G1036" s="30">
        <f>SUM(G1034:G1035)</f>
        <v>30079600</v>
      </c>
    </row>
    <row r="1037" spans="1:9" x14ac:dyDescent="0.25">
      <c r="A1037" s="17"/>
      <c r="C1037" s="2" t="s">
        <v>37</v>
      </c>
      <c r="D1037" s="19">
        <v>137314701</v>
      </c>
    </row>
    <row r="1038" spans="1:9" x14ac:dyDescent="0.25">
      <c r="A1038" s="17"/>
      <c r="C1038" s="2" t="s">
        <v>51</v>
      </c>
      <c r="D1038" s="20">
        <v>130317</v>
      </c>
      <c r="F1038" s="28" t="s">
        <v>30</v>
      </c>
      <c r="G1038" s="29">
        <f>G1032-G1036</f>
        <v>-22900600</v>
      </c>
    </row>
    <row r="1039" spans="1:9" x14ac:dyDescent="0.25">
      <c r="A1039" s="17"/>
      <c r="B1039" s="24" t="s">
        <v>19</v>
      </c>
      <c r="D1039" s="19">
        <f>SUM(D1031:D1038)</f>
        <v>1252562883.4199998</v>
      </c>
    </row>
    <row r="1040" spans="1:9" x14ac:dyDescent="0.25">
      <c r="A1040" s="17"/>
      <c r="D1040" s="19"/>
    </row>
    <row r="1041" spans="1:7" x14ac:dyDescent="0.25">
      <c r="A1041" s="17"/>
      <c r="B1041" s="24" t="s">
        <v>20</v>
      </c>
      <c r="D1041" s="19"/>
    </row>
    <row r="1042" spans="1:7" x14ac:dyDescent="0.25">
      <c r="A1042" s="17"/>
      <c r="C1042" t="s">
        <v>7</v>
      </c>
      <c r="D1042" s="19">
        <v>1911182262</v>
      </c>
    </row>
    <row r="1043" spans="1:7" x14ac:dyDescent="0.25">
      <c r="A1043" s="17"/>
      <c r="C1043" t="s">
        <v>47</v>
      </c>
      <c r="D1043" s="19">
        <v>20235000</v>
      </c>
    </row>
    <row r="1044" spans="1:7" x14ac:dyDescent="0.25">
      <c r="A1044" s="17"/>
      <c r="C1044" t="s">
        <v>21</v>
      </c>
      <c r="D1044" s="19">
        <v>929874838</v>
      </c>
    </row>
    <row r="1045" spans="1:7" x14ac:dyDescent="0.25">
      <c r="A1045" s="17"/>
      <c r="C1045" t="s">
        <v>773</v>
      </c>
      <c r="D1045" s="19">
        <v>454500000</v>
      </c>
    </row>
    <row r="1046" spans="1:7" x14ac:dyDescent="0.25">
      <c r="A1046" s="17"/>
      <c r="C1046" t="s">
        <v>45</v>
      </c>
      <c r="D1046" s="19">
        <v>25000000</v>
      </c>
    </row>
    <row r="1047" spans="1:7" x14ac:dyDescent="0.25">
      <c r="A1047" s="17"/>
      <c r="C1047" t="s">
        <v>48</v>
      </c>
      <c r="D1047" s="19">
        <v>30000000</v>
      </c>
    </row>
    <row r="1048" spans="1:7" x14ac:dyDescent="0.25">
      <c r="A1048" s="17"/>
      <c r="C1048" t="s">
        <v>518</v>
      </c>
      <c r="D1048" s="19">
        <v>50000000</v>
      </c>
    </row>
    <row r="1049" spans="1:7" x14ac:dyDescent="0.25">
      <c r="A1049" s="17"/>
      <c r="C1049" t="s">
        <v>882</v>
      </c>
      <c r="D1049" s="19">
        <v>33000000</v>
      </c>
    </row>
    <row r="1050" spans="1:7" x14ac:dyDescent="0.25">
      <c r="A1050" s="17"/>
      <c r="C1050" t="s">
        <v>744</v>
      </c>
      <c r="D1050" s="19">
        <v>1002500</v>
      </c>
    </row>
    <row r="1051" spans="1:7" x14ac:dyDescent="0.25">
      <c r="A1051" s="17"/>
      <c r="C1051" t="s">
        <v>756</v>
      </c>
      <c r="D1051" s="20">
        <v>50005000</v>
      </c>
      <c r="G1051" s="1"/>
    </row>
    <row r="1052" spans="1:7" x14ac:dyDescent="0.25">
      <c r="A1052" s="17"/>
      <c r="D1052" s="19">
        <f>SUM(D1042:D1051)</f>
        <v>3504799600</v>
      </c>
      <c r="G1052" s="1"/>
    </row>
    <row r="1053" spans="1:7" x14ac:dyDescent="0.25">
      <c r="A1053" s="17"/>
      <c r="D1053" s="19"/>
      <c r="G1053" s="1"/>
    </row>
    <row r="1054" spans="1:7" x14ac:dyDescent="0.25">
      <c r="A1054" s="17"/>
      <c r="B1054" s="24" t="s">
        <v>46</v>
      </c>
      <c r="D1054" s="19"/>
      <c r="G1054" s="1"/>
    </row>
    <row r="1055" spans="1:7" x14ac:dyDescent="0.25">
      <c r="A1055" s="17"/>
      <c r="B1055" s="24"/>
      <c r="C1055" t="s">
        <v>898</v>
      </c>
      <c r="D1055" s="19">
        <f>216*602500</f>
        <v>130140000</v>
      </c>
      <c r="G1055" s="1"/>
    </row>
    <row r="1056" spans="1:7" x14ac:dyDescent="0.25">
      <c r="A1056" s="17"/>
      <c r="B1056" s="24"/>
      <c r="C1056" t="s">
        <v>426</v>
      </c>
      <c r="D1056" s="19">
        <f>2*602500</f>
        <v>1205000</v>
      </c>
    </row>
    <row r="1057" spans="1:7" x14ac:dyDescent="0.25">
      <c r="A1057" s="17"/>
      <c r="B1057" s="24"/>
      <c r="C1057" t="s">
        <v>856</v>
      </c>
      <c r="D1057" s="20">
        <v>0</v>
      </c>
    </row>
    <row r="1058" spans="1:7" x14ac:dyDescent="0.25">
      <c r="A1058" s="17"/>
      <c r="D1058" s="19">
        <f>SUM(D1055:D1057)</f>
        <v>131345000</v>
      </c>
      <c r="G1058" s="1"/>
    </row>
    <row r="1059" spans="1:7" x14ac:dyDescent="0.25">
      <c r="A1059" s="17"/>
      <c r="D1059" s="19"/>
      <c r="G1059" s="1"/>
    </row>
    <row r="1060" spans="1:7" x14ac:dyDescent="0.25">
      <c r="A1060" s="23" t="s">
        <v>22</v>
      </c>
      <c r="D1060" s="19"/>
      <c r="G1060" s="1"/>
    </row>
    <row r="1061" spans="1:7" x14ac:dyDescent="0.25">
      <c r="A1061" s="17"/>
      <c r="C1061" t="s">
        <v>23</v>
      </c>
      <c r="D1061" s="19">
        <v>1743525000</v>
      </c>
      <c r="G1061" s="1"/>
    </row>
    <row r="1062" spans="1:7" x14ac:dyDescent="0.25">
      <c r="A1062" s="17"/>
      <c r="C1062" t="s">
        <v>24</v>
      </c>
      <c r="D1062" s="19">
        <v>1564125500</v>
      </c>
      <c r="G1062" s="1"/>
    </row>
    <row r="1063" spans="1:7" x14ac:dyDescent="0.25">
      <c r="A1063" s="17"/>
      <c r="C1063" t="s">
        <v>602</v>
      </c>
      <c r="D1063" s="19">
        <v>175850000</v>
      </c>
      <c r="G1063" s="1"/>
    </row>
    <row r="1064" spans="1:7" x14ac:dyDescent="0.25">
      <c r="A1064" s="17"/>
      <c r="C1064" t="s">
        <v>44</v>
      </c>
      <c r="D1064" s="20">
        <v>100800000</v>
      </c>
      <c r="G1064" s="1"/>
    </row>
    <row r="1065" spans="1:7" x14ac:dyDescent="0.25">
      <c r="A1065" s="17"/>
      <c r="D1065" s="19">
        <f>SUM(D1061:D1064)</f>
        <v>3584300500</v>
      </c>
      <c r="G1065" s="1"/>
    </row>
    <row r="1066" spans="1:7" x14ac:dyDescent="0.25">
      <c r="A1066" s="17"/>
      <c r="D1066" s="19"/>
      <c r="G1066" s="1"/>
    </row>
    <row r="1067" spans="1:7" x14ac:dyDescent="0.25">
      <c r="A1067" s="43" t="s">
        <v>25</v>
      </c>
      <c r="B1067" s="44"/>
      <c r="C1067" s="44"/>
      <c r="D1067" s="25">
        <f>D1039+D1052+D1058-D1065</f>
        <v>1304406983.4200001</v>
      </c>
      <c r="G1067" s="1"/>
    </row>
    <row r="1068" spans="1:7" x14ac:dyDescent="0.25">
      <c r="A1068" s="21"/>
      <c r="B1068" s="22"/>
      <c r="C1068" s="22"/>
      <c r="D1068" s="20"/>
      <c r="G1068" s="1"/>
    </row>
    <row r="1070" spans="1:7" x14ac:dyDescent="0.25">
      <c r="A1070" s="40" t="s">
        <v>13</v>
      </c>
      <c r="B1070" s="40"/>
      <c r="C1070" s="40"/>
      <c r="D1070" s="40"/>
      <c r="G1070" s="1"/>
    </row>
    <row r="1071" spans="1:7" x14ac:dyDescent="0.25">
      <c r="A1071" s="41" t="s">
        <v>14</v>
      </c>
      <c r="B1071" s="41"/>
      <c r="C1071" s="41"/>
      <c r="D1071" s="41"/>
      <c r="G1071" s="1"/>
    </row>
    <row r="1072" spans="1:7" x14ac:dyDescent="0.25">
      <c r="A1072" s="42">
        <v>45897</v>
      </c>
      <c r="B1072" s="42"/>
      <c r="C1072" s="42"/>
      <c r="D1072" s="42"/>
      <c r="G1072" s="1"/>
    </row>
    <row r="1073" spans="1:7" x14ac:dyDescent="0.25">
      <c r="A1073" s="13"/>
      <c r="B1073" s="13"/>
      <c r="C1073" s="13"/>
      <c r="D1073" s="13"/>
      <c r="G1073" s="1"/>
    </row>
    <row r="1074" spans="1:7" x14ac:dyDescent="0.25">
      <c r="A1074" s="14"/>
      <c r="B1074" s="15"/>
      <c r="C1074" s="15"/>
      <c r="D1074" s="16"/>
      <c r="F1074" s="5" t="s">
        <v>26</v>
      </c>
      <c r="G1074" s="1">
        <f>D1114-D1067</f>
        <v>1444000</v>
      </c>
    </row>
    <row r="1075" spans="1:7" x14ac:dyDescent="0.25">
      <c r="A1075" s="17"/>
      <c r="D1075" s="32" t="s">
        <v>16</v>
      </c>
      <c r="G1075" s="1"/>
    </row>
    <row r="1076" spans="1:7" x14ac:dyDescent="0.25">
      <c r="A1076" s="23" t="s">
        <v>15</v>
      </c>
      <c r="D1076" s="18" t="s">
        <v>17</v>
      </c>
      <c r="F1076" s="26" t="s">
        <v>27</v>
      </c>
      <c r="G1076" s="1"/>
    </row>
    <row r="1077" spans="1:7" x14ac:dyDescent="0.25">
      <c r="A1077" s="17"/>
      <c r="B1077" s="24" t="s">
        <v>18</v>
      </c>
      <c r="D1077" s="19"/>
      <c r="F1077" s="27" t="s">
        <v>28</v>
      </c>
      <c r="G1077" s="1"/>
    </row>
    <row r="1078" spans="1:7" x14ac:dyDescent="0.25">
      <c r="A1078" s="17"/>
      <c r="C1078" s="2" t="s">
        <v>31</v>
      </c>
      <c r="D1078" s="19">
        <v>118452206.15000001</v>
      </c>
      <c r="F1078" t="s">
        <v>254</v>
      </c>
      <c r="G1078" s="1">
        <v>3629000</v>
      </c>
    </row>
    <row r="1079" spans="1:7" x14ac:dyDescent="0.25">
      <c r="A1079" s="17"/>
      <c r="C1079" s="2" t="s">
        <v>32</v>
      </c>
      <c r="D1079" s="19">
        <v>216537266.27000001</v>
      </c>
      <c r="F1079" t="s">
        <v>90</v>
      </c>
      <c r="G1079" s="1">
        <v>67500</v>
      </c>
    </row>
    <row r="1080" spans="1:7" x14ac:dyDescent="0.25">
      <c r="A1080" s="17"/>
      <c r="C1080" s="2" t="s">
        <v>33</v>
      </c>
      <c r="D1080" s="19">
        <v>335365033.39999998</v>
      </c>
      <c r="G1080" s="30">
        <f>SUM(G1078:G1079)</f>
        <v>3696500</v>
      </c>
    </row>
    <row r="1081" spans="1:7" x14ac:dyDescent="0.25">
      <c r="A1081" s="17"/>
      <c r="C1081" s="2" t="s">
        <v>34</v>
      </c>
      <c r="D1081" s="19">
        <v>82173336</v>
      </c>
      <c r="F1081" s="28" t="s">
        <v>29</v>
      </c>
      <c r="G1081" s="1"/>
    </row>
    <row r="1082" spans="1:7" x14ac:dyDescent="0.25">
      <c r="A1082" s="17"/>
      <c r="C1082" s="2" t="s">
        <v>35</v>
      </c>
      <c r="D1082" s="19">
        <v>25000</v>
      </c>
      <c r="F1082" t="s">
        <v>104</v>
      </c>
      <c r="G1082" s="1">
        <v>2250000</v>
      </c>
    </row>
    <row r="1083" spans="1:7" x14ac:dyDescent="0.25">
      <c r="A1083" s="17"/>
      <c r="C1083" s="2" t="s">
        <v>36</v>
      </c>
      <c r="D1083" s="19">
        <v>167235523.59999999</v>
      </c>
      <c r="F1083" t="s">
        <v>161</v>
      </c>
      <c r="G1083" s="1">
        <v>2500</v>
      </c>
    </row>
    <row r="1084" spans="1:7" x14ac:dyDescent="0.25">
      <c r="A1084" s="17"/>
      <c r="C1084" s="2" t="s">
        <v>37</v>
      </c>
      <c r="D1084" s="19">
        <v>14477201</v>
      </c>
      <c r="G1084" s="30">
        <f>SUM(G1082:G1083)</f>
        <v>2252500</v>
      </c>
    </row>
    <row r="1085" spans="1:7" x14ac:dyDescent="0.25">
      <c r="A1085" s="17"/>
      <c r="C1085" s="2" t="s">
        <v>51</v>
      </c>
      <c r="D1085" s="20">
        <v>130317</v>
      </c>
    </row>
    <row r="1086" spans="1:7" x14ac:dyDescent="0.25">
      <c r="A1086" s="17"/>
      <c r="B1086" s="24" t="s">
        <v>19</v>
      </c>
      <c r="D1086" s="19">
        <f>SUM(D1078:D1085)</f>
        <v>934395883.41999996</v>
      </c>
      <c r="F1086" s="28" t="s">
        <v>30</v>
      </c>
      <c r="G1086" s="29">
        <f>G1080-G1084</f>
        <v>1444000</v>
      </c>
    </row>
    <row r="1087" spans="1:7" x14ac:dyDescent="0.25">
      <c r="A1087" s="17"/>
      <c r="D1087" s="19"/>
    </row>
    <row r="1088" spans="1:7" x14ac:dyDescent="0.25">
      <c r="A1088" s="17"/>
      <c r="B1088" s="24" t="s">
        <v>20</v>
      </c>
      <c r="D1088" s="19"/>
    </row>
    <row r="1089" spans="1:7" x14ac:dyDescent="0.25">
      <c r="A1089" s="17"/>
      <c r="C1089" t="s">
        <v>7</v>
      </c>
      <c r="D1089" s="19">
        <v>2064857262</v>
      </c>
    </row>
    <row r="1090" spans="1:7" x14ac:dyDescent="0.25">
      <c r="A1090" s="17"/>
      <c r="C1090" t="s">
        <v>47</v>
      </c>
      <c r="D1090" s="19">
        <v>20235000</v>
      </c>
    </row>
    <row r="1091" spans="1:7" x14ac:dyDescent="0.25">
      <c r="A1091" s="17"/>
      <c r="C1091" t="s">
        <v>21</v>
      </c>
      <c r="D1091" s="19">
        <v>865809838</v>
      </c>
    </row>
    <row r="1092" spans="1:7" x14ac:dyDescent="0.25">
      <c r="A1092" s="17"/>
      <c r="C1092" t="s">
        <v>773</v>
      </c>
      <c r="D1092" s="19">
        <v>454500000</v>
      </c>
    </row>
    <row r="1093" spans="1:7" x14ac:dyDescent="0.25">
      <c r="A1093" s="17"/>
      <c r="C1093" t="s">
        <v>45</v>
      </c>
      <c r="D1093" s="19">
        <v>25000000</v>
      </c>
    </row>
    <row r="1094" spans="1:7" x14ac:dyDescent="0.25">
      <c r="A1094" s="17"/>
      <c r="C1094" t="s">
        <v>48</v>
      </c>
      <c r="D1094" s="19">
        <v>30000000</v>
      </c>
    </row>
    <row r="1095" spans="1:7" x14ac:dyDescent="0.25">
      <c r="A1095" s="17"/>
      <c r="C1095" t="s">
        <v>518</v>
      </c>
      <c r="D1095" s="19">
        <v>50000000</v>
      </c>
    </row>
    <row r="1096" spans="1:7" x14ac:dyDescent="0.25">
      <c r="A1096" s="17"/>
      <c r="C1096" t="s">
        <v>882</v>
      </c>
      <c r="D1096" s="19">
        <v>33000000</v>
      </c>
    </row>
    <row r="1097" spans="1:7" x14ac:dyDescent="0.25">
      <c r="A1097" s="17"/>
      <c r="C1097" t="s">
        <v>744</v>
      </c>
      <c r="D1097" s="19">
        <v>1002500</v>
      </c>
    </row>
    <row r="1098" spans="1:7" x14ac:dyDescent="0.25">
      <c r="A1098" s="17"/>
      <c r="C1098" t="s">
        <v>756</v>
      </c>
      <c r="D1098" s="20">
        <v>50005000</v>
      </c>
      <c r="G1098" s="1"/>
    </row>
    <row r="1099" spans="1:7" x14ac:dyDescent="0.25">
      <c r="A1099" s="17"/>
      <c r="D1099" s="19">
        <f>SUM(D1089:D1098)</f>
        <v>3594409600</v>
      </c>
      <c r="G1099" s="1"/>
    </row>
    <row r="1100" spans="1:7" x14ac:dyDescent="0.25">
      <c r="A1100" s="17"/>
      <c r="D1100" s="19"/>
      <c r="G1100" s="1"/>
    </row>
    <row r="1101" spans="1:7" x14ac:dyDescent="0.25">
      <c r="A1101" s="17"/>
      <c r="B1101" s="24" t="s">
        <v>46</v>
      </c>
      <c r="D1101" s="19"/>
      <c r="G1101" s="1"/>
    </row>
    <row r="1102" spans="1:7" x14ac:dyDescent="0.25">
      <c r="A1102" s="17"/>
      <c r="B1102" s="24"/>
      <c r="C1102" t="s">
        <v>690</v>
      </c>
      <c r="D1102" s="19">
        <f>213*602500</f>
        <v>128332500</v>
      </c>
      <c r="G1102" s="1"/>
    </row>
    <row r="1103" spans="1:7" x14ac:dyDescent="0.25">
      <c r="A1103" s="17"/>
      <c r="B1103" s="24"/>
      <c r="C1103" t="s">
        <v>426</v>
      </c>
      <c r="D1103" s="19">
        <f>2*602500</f>
        <v>1205000</v>
      </c>
    </row>
    <row r="1104" spans="1:7" x14ac:dyDescent="0.25">
      <c r="A1104" s="17"/>
      <c r="B1104" s="24"/>
      <c r="C1104" t="s">
        <v>856</v>
      </c>
      <c r="D1104" s="20">
        <v>0</v>
      </c>
    </row>
    <row r="1105" spans="1:7" x14ac:dyDescent="0.25">
      <c r="A1105" s="17"/>
      <c r="D1105" s="19">
        <f>SUM(D1102:D1104)</f>
        <v>129537500</v>
      </c>
      <c r="G1105" s="1"/>
    </row>
    <row r="1106" spans="1:7" x14ac:dyDescent="0.25">
      <c r="A1106" s="17"/>
      <c r="D1106" s="19"/>
      <c r="G1106" s="1"/>
    </row>
    <row r="1107" spans="1:7" x14ac:dyDescent="0.25">
      <c r="A1107" s="23" t="s">
        <v>22</v>
      </c>
      <c r="D1107" s="19"/>
      <c r="G1107" s="1"/>
    </row>
    <row r="1108" spans="1:7" x14ac:dyDescent="0.25">
      <c r="A1108" s="17"/>
      <c r="C1108" t="s">
        <v>23</v>
      </c>
      <c r="D1108" s="19">
        <v>1643900000</v>
      </c>
      <c r="G1108" s="1"/>
    </row>
    <row r="1109" spans="1:7" x14ac:dyDescent="0.25">
      <c r="A1109" s="17"/>
      <c r="C1109" t="s">
        <v>24</v>
      </c>
      <c r="D1109" s="19">
        <v>1507542000</v>
      </c>
      <c r="G1109" s="1"/>
    </row>
    <row r="1110" spans="1:7" x14ac:dyDescent="0.25">
      <c r="A1110" s="17"/>
      <c r="C1110" t="s">
        <v>602</v>
      </c>
      <c r="D1110" s="19">
        <v>175850000</v>
      </c>
      <c r="G1110" s="1"/>
    </row>
    <row r="1111" spans="1:7" x14ac:dyDescent="0.25">
      <c r="A1111" s="17"/>
      <c r="C1111" t="s">
        <v>44</v>
      </c>
      <c r="D1111" s="20">
        <v>25200000</v>
      </c>
      <c r="G1111" s="1"/>
    </row>
    <row r="1112" spans="1:7" x14ac:dyDescent="0.25">
      <c r="A1112" s="17"/>
      <c r="D1112" s="19">
        <f>SUM(D1108:D1111)</f>
        <v>3352492000</v>
      </c>
      <c r="G1112" s="1"/>
    </row>
    <row r="1113" spans="1:7" x14ac:dyDescent="0.25">
      <c r="A1113" s="17"/>
      <c r="D1113" s="19"/>
      <c r="G1113" s="1"/>
    </row>
    <row r="1114" spans="1:7" x14ac:dyDescent="0.25">
      <c r="A1114" s="43" t="s">
        <v>25</v>
      </c>
      <c r="B1114" s="44"/>
      <c r="C1114" s="44"/>
      <c r="D1114" s="25">
        <f>D1086+D1099+D1105-D1112</f>
        <v>1305850983.4200001</v>
      </c>
      <c r="G1114" s="1"/>
    </row>
    <row r="1115" spans="1:7" x14ac:dyDescent="0.25">
      <c r="A1115" s="21"/>
      <c r="B1115" s="22"/>
      <c r="C1115" s="22"/>
      <c r="D1115" s="20"/>
      <c r="G1115" s="1"/>
    </row>
    <row r="1117" spans="1:7" x14ac:dyDescent="0.25">
      <c r="A1117" s="40" t="s">
        <v>13</v>
      </c>
      <c r="B1117" s="40"/>
      <c r="C1117" s="40"/>
      <c r="D1117" s="40"/>
      <c r="G1117" s="1"/>
    </row>
    <row r="1118" spans="1:7" x14ac:dyDescent="0.25">
      <c r="A1118" s="41" t="s">
        <v>14</v>
      </c>
      <c r="B1118" s="41"/>
      <c r="C1118" s="41"/>
      <c r="D1118" s="41"/>
      <c r="G1118" s="1"/>
    </row>
    <row r="1119" spans="1:7" x14ac:dyDescent="0.25">
      <c r="A1119" s="42">
        <v>45898</v>
      </c>
      <c r="B1119" s="42"/>
      <c r="C1119" s="42"/>
      <c r="D1119" s="42"/>
      <c r="G1119" s="1"/>
    </row>
    <row r="1120" spans="1:7" x14ac:dyDescent="0.25">
      <c r="A1120" s="13"/>
      <c r="B1120" s="13"/>
      <c r="C1120" s="13"/>
      <c r="D1120" s="13"/>
      <c r="G1120" s="1"/>
    </row>
    <row r="1121" spans="1:9" x14ac:dyDescent="0.25">
      <c r="A1121" s="14"/>
      <c r="B1121" s="15"/>
      <c r="C1121" s="15"/>
      <c r="D1121" s="16"/>
      <c r="F1121" s="5" t="s">
        <v>26</v>
      </c>
      <c r="G1121" s="1">
        <f>D1161-D1114</f>
        <v>11055500</v>
      </c>
    </row>
    <row r="1122" spans="1:9" x14ac:dyDescent="0.25">
      <c r="A1122" s="17"/>
      <c r="D1122" s="32" t="s">
        <v>16</v>
      </c>
      <c r="G1122" s="1"/>
    </row>
    <row r="1123" spans="1:9" x14ac:dyDescent="0.25">
      <c r="A1123" s="23" t="s">
        <v>15</v>
      </c>
      <c r="D1123" s="18" t="s">
        <v>17</v>
      </c>
      <c r="F1123" s="26" t="s">
        <v>27</v>
      </c>
      <c r="G1123" s="1"/>
    </row>
    <row r="1124" spans="1:9" x14ac:dyDescent="0.25">
      <c r="A1124" s="17"/>
      <c r="B1124" s="24" t="s">
        <v>18</v>
      </c>
      <c r="D1124" s="19"/>
      <c r="F1124" s="27" t="s">
        <v>28</v>
      </c>
      <c r="G1124" s="1"/>
    </row>
    <row r="1125" spans="1:9" x14ac:dyDescent="0.25">
      <c r="A1125" s="17"/>
      <c r="C1125" s="2" t="s">
        <v>31</v>
      </c>
      <c r="D1125" s="19">
        <v>107452206.15000001</v>
      </c>
      <c r="F1125" t="s">
        <v>546</v>
      </c>
      <c r="G1125" s="1">
        <v>11280500</v>
      </c>
    </row>
    <row r="1126" spans="1:9" x14ac:dyDescent="0.25">
      <c r="A1126" s="17"/>
      <c r="C1126" s="2" t="s">
        <v>32</v>
      </c>
      <c r="D1126" s="19">
        <v>216537266.27000001</v>
      </c>
      <c r="G1126" s="30">
        <f>SUM(G1125:G1125)</f>
        <v>11280500</v>
      </c>
      <c r="I1126" s="38"/>
    </row>
    <row r="1127" spans="1:9" x14ac:dyDescent="0.25">
      <c r="A1127" s="17"/>
      <c r="C1127" s="2" t="s">
        <v>33</v>
      </c>
      <c r="D1127" s="19">
        <v>211867033.40000001</v>
      </c>
      <c r="F1127" s="28" t="s">
        <v>29</v>
      </c>
      <c r="G1127" s="1"/>
    </row>
    <row r="1128" spans="1:9" x14ac:dyDescent="0.25">
      <c r="A1128" s="17"/>
      <c r="C1128" s="2" t="s">
        <v>34</v>
      </c>
      <c r="D1128" s="19">
        <v>46423336</v>
      </c>
      <c r="F1128" t="s">
        <v>900</v>
      </c>
      <c r="G1128" s="1">
        <v>225000</v>
      </c>
    </row>
    <row r="1129" spans="1:9" x14ac:dyDescent="0.25">
      <c r="A1129" s="17"/>
      <c r="C1129" s="2" t="s">
        <v>35</v>
      </c>
      <c r="D1129" s="19">
        <v>25000</v>
      </c>
      <c r="G1129" s="30">
        <f>SUM(G1128:G1128)</f>
        <v>225000</v>
      </c>
    </row>
    <row r="1130" spans="1:9" x14ac:dyDescent="0.25">
      <c r="A1130" s="17"/>
      <c r="C1130" s="2" t="s">
        <v>36</v>
      </c>
      <c r="D1130" s="19">
        <v>167235523.59999999</v>
      </c>
    </row>
    <row r="1131" spans="1:9" x14ac:dyDescent="0.25">
      <c r="A1131" s="17"/>
      <c r="C1131" s="2" t="s">
        <v>37</v>
      </c>
      <c r="D1131" s="19">
        <v>89777201</v>
      </c>
      <c r="F1131" s="28" t="s">
        <v>30</v>
      </c>
      <c r="G1131" s="29">
        <f>G1126-G1129</f>
        <v>11055500</v>
      </c>
    </row>
    <row r="1132" spans="1:9" x14ac:dyDescent="0.25">
      <c r="A1132" s="17"/>
      <c r="C1132" s="2" t="s">
        <v>51</v>
      </c>
      <c r="D1132" s="20">
        <v>130317</v>
      </c>
    </row>
    <row r="1133" spans="1:9" x14ac:dyDescent="0.25">
      <c r="A1133" s="17"/>
      <c r="B1133" s="24" t="s">
        <v>19</v>
      </c>
      <c r="D1133" s="19">
        <f>SUM(D1125:D1132)</f>
        <v>839447883.42000008</v>
      </c>
    </row>
    <row r="1134" spans="1:9" x14ac:dyDescent="0.25">
      <c r="A1134" s="17"/>
      <c r="D1134" s="19"/>
    </row>
    <row r="1135" spans="1:9" x14ac:dyDescent="0.25">
      <c r="A1135" s="17"/>
      <c r="B1135" s="24" t="s">
        <v>20</v>
      </c>
      <c r="D1135" s="19"/>
    </row>
    <row r="1136" spans="1:9" x14ac:dyDescent="0.25">
      <c r="A1136" s="17"/>
      <c r="C1136" t="s">
        <v>7</v>
      </c>
      <c r="D1136" s="19">
        <v>2003377262</v>
      </c>
    </row>
    <row r="1137" spans="1:7" x14ac:dyDescent="0.25">
      <c r="A1137" s="17"/>
      <c r="C1137" t="s">
        <v>47</v>
      </c>
      <c r="D1137" s="19">
        <v>20235000</v>
      </c>
    </row>
    <row r="1138" spans="1:7" x14ac:dyDescent="0.25">
      <c r="A1138" s="17"/>
      <c r="C1138" t="s">
        <v>21</v>
      </c>
      <c r="D1138" s="19">
        <v>941409838</v>
      </c>
    </row>
    <row r="1139" spans="1:7" x14ac:dyDescent="0.25">
      <c r="A1139" s="17"/>
      <c r="C1139" t="s">
        <v>773</v>
      </c>
      <c r="D1139" s="19">
        <v>530100000</v>
      </c>
    </row>
    <row r="1140" spans="1:7" x14ac:dyDescent="0.25">
      <c r="A1140" s="17"/>
      <c r="C1140" t="s">
        <v>45</v>
      </c>
      <c r="D1140" s="19">
        <v>25000000</v>
      </c>
    </row>
    <row r="1141" spans="1:7" x14ac:dyDescent="0.25">
      <c r="A1141" s="17"/>
      <c r="C1141" t="s">
        <v>48</v>
      </c>
      <c r="D1141" s="19">
        <v>30000000</v>
      </c>
    </row>
    <row r="1142" spans="1:7" x14ac:dyDescent="0.25">
      <c r="A1142" s="17"/>
      <c r="C1142" t="s">
        <v>518</v>
      </c>
      <c r="D1142" s="19">
        <v>50000000</v>
      </c>
    </row>
    <row r="1143" spans="1:7" x14ac:dyDescent="0.25">
      <c r="A1143" s="17"/>
      <c r="C1143" t="s">
        <v>882</v>
      </c>
      <c r="D1143" s="19">
        <v>33000000</v>
      </c>
    </row>
    <row r="1144" spans="1:7" x14ac:dyDescent="0.25">
      <c r="A1144" s="17"/>
      <c r="C1144" t="s">
        <v>744</v>
      </c>
      <c r="D1144" s="19">
        <v>1002500</v>
      </c>
    </row>
    <row r="1145" spans="1:7" x14ac:dyDescent="0.25">
      <c r="A1145" s="17"/>
      <c r="C1145" t="s">
        <v>756</v>
      </c>
      <c r="D1145" s="20">
        <v>50005000</v>
      </c>
      <c r="G1145" s="1"/>
    </row>
    <row r="1146" spans="1:7" x14ac:dyDescent="0.25">
      <c r="A1146" s="17"/>
      <c r="D1146" s="19">
        <f>SUM(D1136:D1145)</f>
        <v>3684129600</v>
      </c>
      <c r="G1146" s="1"/>
    </row>
    <row r="1147" spans="1:7" x14ac:dyDescent="0.25">
      <c r="A1147" s="17"/>
      <c r="D1147" s="19"/>
      <c r="G1147" s="1"/>
    </row>
    <row r="1148" spans="1:7" x14ac:dyDescent="0.25">
      <c r="A1148" s="17"/>
      <c r="B1148" s="24" t="s">
        <v>46</v>
      </c>
      <c r="D1148" s="19"/>
      <c r="G1148" s="1"/>
    </row>
    <row r="1149" spans="1:7" x14ac:dyDescent="0.25">
      <c r="A1149" s="17"/>
      <c r="B1149" s="24"/>
      <c r="C1149" t="s">
        <v>690</v>
      </c>
      <c r="D1149" s="19">
        <f>213*602500</f>
        <v>128332500</v>
      </c>
      <c r="G1149" s="1"/>
    </row>
    <row r="1150" spans="1:7" x14ac:dyDescent="0.25">
      <c r="A1150" s="17"/>
      <c r="B1150" s="24"/>
      <c r="C1150" t="s">
        <v>426</v>
      </c>
      <c r="D1150" s="19">
        <f>2*602500</f>
        <v>1205000</v>
      </c>
    </row>
    <row r="1151" spans="1:7" x14ac:dyDescent="0.25">
      <c r="A1151" s="17"/>
      <c r="B1151" s="24"/>
      <c r="C1151" t="s">
        <v>856</v>
      </c>
      <c r="D1151" s="20">
        <v>0</v>
      </c>
    </row>
    <row r="1152" spans="1:7" x14ac:dyDescent="0.25">
      <c r="A1152" s="17"/>
      <c r="D1152" s="19">
        <f>SUM(D1149:D1151)</f>
        <v>129537500</v>
      </c>
      <c r="G1152" s="1"/>
    </row>
    <row r="1153" spans="1:7" x14ac:dyDescent="0.25">
      <c r="A1153" s="17"/>
      <c r="D1153" s="19"/>
      <c r="G1153" s="1"/>
    </row>
    <row r="1154" spans="1:7" x14ac:dyDescent="0.25">
      <c r="A1154" s="23" t="s">
        <v>22</v>
      </c>
      <c r="D1154" s="19"/>
      <c r="G1154" s="1"/>
    </row>
    <row r="1155" spans="1:7" x14ac:dyDescent="0.25">
      <c r="A1155" s="17"/>
      <c r="C1155" t="s">
        <v>23</v>
      </c>
      <c r="D1155" s="19">
        <v>1803500000</v>
      </c>
      <c r="G1155" s="1"/>
    </row>
    <row r="1156" spans="1:7" x14ac:dyDescent="0.25">
      <c r="A1156" s="17"/>
      <c r="C1156" t="s">
        <v>24</v>
      </c>
      <c r="D1156" s="19">
        <v>1331658500</v>
      </c>
      <c r="G1156" s="1"/>
    </row>
    <row r="1157" spans="1:7" x14ac:dyDescent="0.25">
      <c r="A1157" s="17"/>
      <c r="C1157" t="s">
        <v>602</v>
      </c>
      <c r="D1157" s="19">
        <v>175850000</v>
      </c>
      <c r="G1157" s="1"/>
    </row>
    <row r="1158" spans="1:7" x14ac:dyDescent="0.25">
      <c r="A1158" s="17"/>
      <c r="C1158" t="s">
        <v>44</v>
      </c>
      <c r="D1158" s="20">
        <v>25200000</v>
      </c>
      <c r="G1158" s="1"/>
    </row>
    <row r="1159" spans="1:7" x14ac:dyDescent="0.25">
      <c r="A1159" s="17"/>
      <c r="D1159" s="19">
        <f>SUM(D1155:D1158)</f>
        <v>3336208500</v>
      </c>
      <c r="G1159" s="1"/>
    </row>
    <row r="1160" spans="1:7" x14ac:dyDescent="0.25">
      <c r="A1160" s="17"/>
      <c r="D1160" s="19"/>
      <c r="G1160" s="1"/>
    </row>
    <row r="1161" spans="1:7" x14ac:dyDescent="0.25">
      <c r="A1161" s="43" t="s">
        <v>25</v>
      </c>
      <c r="B1161" s="44"/>
      <c r="C1161" s="44"/>
      <c r="D1161" s="25">
        <f>D1133+D1146+D1152-D1159</f>
        <v>1316906483.4200001</v>
      </c>
      <c r="G1161" s="1"/>
    </row>
    <row r="1162" spans="1:7" x14ac:dyDescent="0.25">
      <c r="A1162" s="21"/>
      <c r="B1162" s="22"/>
      <c r="C1162" s="22"/>
      <c r="D1162" s="20"/>
      <c r="G1162" s="1"/>
    </row>
    <row r="1164" spans="1:7" x14ac:dyDescent="0.25">
      <c r="A1164" s="40" t="s">
        <v>13</v>
      </c>
      <c r="B1164" s="40"/>
      <c r="C1164" s="40"/>
      <c r="D1164" s="40"/>
      <c r="G1164" s="1"/>
    </row>
    <row r="1165" spans="1:7" x14ac:dyDescent="0.25">
      <c r="A1165" s="41" t="s">
        <v>14</v>
      </c>
      <c r="B1165" s="41"/>
      <c r="C1165" s="41"/>
      <c r="D1165" s="41"/>
      <c r="G1165" s="1"/>
    </row>
    <row r="1166" spans="1:7" x14ac:dyDescent="0.25">
      <c r="A1166" s="42">
        <v>45899</v>
      </c>
      <c r="B1166" s="42"/>
      <c r="C1166" s="42"/>
      <c r="D1166" s="42"/>
      <c r="G1166" s="1"/>
    </row>
    <row r="1167" spans="1:7" x14ac:dyDescent="0.25">
      <c r="A1167" s="13"/>
      <c r="B1167" s="13"/>
      <c r="C1167" s="13"/>
      <c r="D1167" s="13"/>
      <c r="G1167" s="1"/>
    </row>
    <row r="1168" spans="1:7" x14ac:dyDescent="0.25">
      <c r="A1168" s="14"/>
      <c r="B1168" s="15"/>
      <c r="C1168" s="15"/>
      <c r="D1168" s="16"/>
      <c r="F1168" s="5" t="s">
        <v>26</v>
      </c>
      <c r="G1168" s="1">
        <f>D1209-D1161</f>
        <v>8931500</v>
      </c>
    </row>
    <row r="1169" spans="1:7" x14ac:dyDescent="0.25">
      <c r="A1169" s="17"/>
      <c r="D1169" s="32" t="s">
        <v>16</v>
      </c>
      <c r="G1169" s="1"/>
    </row>
    <row r="1170" spans="1:7" x14ac:dyDescent="0.25">
      <c r="A1170" s="23" t="s">
        <v>15</v>
      </c>
      <c r="D1170" s="18" t="s">
        <v>17</v>
      </c>
      <c r="F1170" s="26" t="s">
        <v>27</v>
      </c>
      <c r="G1170" s="1"/>
    </row>
    <row r="1171" spans="1:7" x14ac:dyDescent="0.25">
      <c r="A1171" s="17"/>
      <c r="B1171" s="24" t="s">
        <v>18</v>
      </c>
      <c r="D1171" s="19"/>
      <c r="F1171" s="27" t="s">
        <v>28</v>
      </c>
      <c r="G1171" s="1"/>
    </row>
    <row r="1172" spans="1:7" x14ac:dyDescent="0.25">
      <c r="A1172" s="17"/>
      <c r="C1172" s="2" t="s">
        <v>31</v>
      </c>
      <c r="D1172" s="19">
        <v>67452206.150000006</v>
      </c>
      <c r="F1172" t="s">
        <v>261</v>
      </c>
      <c r="G1172" s="1">
        <v>9144000</v>
      </c>
    </row>
    <row r="1173" spans="1:7" x14ac:dyDescent="0.25">
      <c r="A1173" s="17"/>
      <c r="C1173" s="2" t="s">
        <v>32</v>
      </c>
      <c r="D1173" s="19">
        <v>116537266.27</v>
      </c>
      <c r="F1173" t="s">
        <v>90</v>
      </c>
      <c r="G1173" s="1">
        <v>37500</v>
      </c>
    </row>
    <row r="1174" spans="1:7" x14ac:dyDescent="0.25">
      <c r="A1174" s="17"/>
      <c r="C1174" s="2" t="s">
        <v>33</v>
      </c>
      <c r="D1174" s="19">
        <v>136717033.40000001</v>
      </c>
      <c r="G1174" s="30">
        <f>SUM(G1172:G1173)</f>
        <v>9181500</v>
      </c>
    </row>
    <row r="1175" spans="1:7" x14ac:dyDescent="0.25">
      <c r="A1175" s="17"/>
      <c r="C1175" s="2" t="s">
        <v>34</v>
      </c>
      <c r="D1175" s="19">
        <v>2923336</v>
      </c>
      <c r="F1175" s="28" t="s">
        <v>29</v>
      </c>
      <c r="G1175" s="1"/>
    </row>
    <row r="1176" spans="1:7" x14ac:dyDescent="0.25">
      <c r="A1176" s="17"/>
      <c r="C1176" s="2" t="s">
        <v>35</v>
      </c>
      <c r="D1176" s="19">
        <v>25000</v>
      </c>
      <c r="F1176" t="s">
        <v>902</v>
      </c>
      <c r="G1176" s="1">
        <v>250000</v>
      </c>
    </row>
    <row r="1177" spans="1:7" x14ac:dyDescent="0.25">
      <c r="A1177" s="17"/>
      <c r="C1177" s="2" t="s">
        <v>36</v>
      </c>
      <c r="D1177" s="19">
        <v>167235523.59999999</v>
      </c>
      <c r="G1177" s="30">
        <f>SUM(G1176:G1176)</f>
        <v>250000</v>
      </c>
    </row>
    <row r="1178" spans="1:7" x14ac:dyDescent="0.25">
      <c r="A1178" s="17"/>
      <c r="C1178" s="2" t="s">
        <v>37</v>
      </c>
      <c r="D1178" s="19">
        <v>212452201</v>
      </c>
    </row>
    <row r="1179" spans="1:7" x14ac:dyDescent="0.25">
      <c r="A1179" s="17"/>
      <c r="C1179" s="2" t="s">
        <v>51</v>
      </c>
      <c r="D1179" s="20">
        <v>130317</v>
      </c>
      <c r="F1179" s="28" t="s">
        <v>30</v>
      </c>
      <c r="G1179" s="29">
        <f>G1174-G1177</f>
        <v>8931500</v>
      </c>
    </row>
    <row r="1180" spans="1:7" x14ac:dyDescent="0.25">
      <c r="A1180" s="17"/>
      <c r="B1180" s="24" t="s">
        <v>19</v>
      </c>
      <c r="D1180" s="19">
        <f>SUM(D1172:D1179)</f>
        <v>703472883.42000008</v>
      </c>
    </row>
    <row r="1181" spans="1:7" x14ac:dyDescent="0.25">
      <c r="A1181" s="17"/>
      <c r="D1181" s="19"/>
    </row>
    <row r="1182" spans="1:7" x14ac:dyDescent="0.25">
      <c r="A1182" s="17"/>
      <c r="B1182" s="24" t="s">
        <v>20</v>
      </c>
      <c r="D1182" s="19"/>
    </row>
    <row r="1183" spans="1:7" x14ac:dyDescent="0.25">
      <c r="A1183" s="17"/>
      <c r="C1183" t="s">
        <v>7</v>
      </c>
      <c r="D1183" s="19">
        <v>2208827262</v>
      </c>
    </row>
    <row r="1184" spans="1:7" x14ac:dyDescent="0.25">
      <c r="A1184" s="17"/>
      <c r="C1184" t="s">
        <v>47</v>
      </c>
      <c r="D1184" s="19">
        <v>20875000</v>
      </c>
    </row>
    <row r="1185" spans="1:7" x14ac:dyDescent="0.25">
      <c r="A1185" s="17"/>
      <c r="C1185" t="s">
        <v>21</v>
      </c>
      <c r="D1185" s="19">
        <v>941409838</v>
      </c>
    </row>
    <row r="1186" spans="1:7" x14ac:dyDescent="0.25">
      <c r="A1186" s="17"/>
      <c r="C1186" t="s">
        <v>773</v>
      </c>
      <c r="D1186" s="19">
        <v>530100000</v>
      </c>
    </row>
    <row r="1187" spans="1:7" x14ac:dyDescent="0.25">
      <c r="A1187" s="17"/>
      <c r="C1187" t="s">
        <v>45</v>
      </c>
      <c r="D1187" s="19">
        <v>25000000</v>
      </c>
    </row>
    <row r="1188" spans="1:7" x14ac:dyDescent="0.25">
      <c r="A1188" s="17"/>
      <c r="C1188" t="s">
        <v>48</v>
      </c>
      <c r="D1188" s="19">
        <v>30000000</v>
      </c>
    </row>
    <row r="1189" spans="1:7" x14ac:dyDescent="0.25">
      <c r="A1189" s="17"/>
      <c r="C1189" t="s">
        <v>518</v>
      </c>
      <c r="D1189" s="19">
        <v>50000000</v>
      </c>
    </row>
    <row r="1190" spans="1:7" x14ac:dyDescent="0.25">
      <c r="A1190" s="17"/>
      <c r="C1190" t="s">
        <v>882</v>
      </c>
      <c r="D1190" s="19">
        <v>33000000</v>
      </c>
    </row>
    <row r="1191" spans="1:7" x14ac:dyDescent="0.25">
      <c r="A1191" s="17"/>
      <c r="C1191" t="s">
        <v>901</v>
      </c>
      <c r="D1191" s="19">
        <v>100000000</v>
      </c>
    </row>
    <row r="1192" spans="1:7" x14ac:dyDescent="0.25">
      <c r="A1192" s="17"/>
      <c r="C1192" t="s">
        <v>744</v>
      </c>
      <c r="D1192" s="19">
        <v>1002500</v>
      </c>
    </row>
    <row r="1193" spans="1:7" x14ac:dyDescent="0.25">
      <c r="A1193" s="17"/>
      <c r="C1193" t="s">
        <v>756</v>
      </c>
      <c r="D1193" s="20">
        <v>50005000</v>
      </c>
      <c r="G1193" s="1"/>
    </row>
    <row r="1194" spans="1:7" x14ac:dyDescent="0.25">
      <c r="A1194" s="17"/>
      <c r="D1194" s="19">
        <f>SUM(D1183:D1193)</f>
        <v>3990219600</v>
      </c>
      <c r="G1194" s="1"/>
    </row>
    <row r="1195" spans="1:7" x14ac:dyDescent="0.25">
      <c r="A1195" s="17"/>
      <c r="D1195" s="19"/>
      <c r="G1195" s="1"/>
    </row>
    <row r="1196" spans="1:7" x14ac:dyDescent="0.25">
      <c r="A1196" s="17"/>
      <c r="B1196" s="24" t="s">
        <v>46</v>
      </c>
      <c r="D1196" s="19"/>
      <c r="G1196" s="1"/>
    </row>
    <row r="1197" spans="1:7" x14ac:dyDescent="0.25">
      <c r="A1197" s="17"/>
      <c r="B1197" s="24"/>
      <c r="C1197" t="s">
        <v>690</v>
      </c>
      <c r="D1197" s="19">
        <f>213*602500</f>
        <v>128332500</v>
      </c>
      <c r="G1197" s="1"/>
    </row>
    <row r="1198" spans="1:7" x14ac:dyDescent="0.25">
      <c r="A1198" s="17"/>
      <c r="B1198" s="24"/>
      <c r="C1198" t="s">
        <v>408</v>
      </c>
      <c r="D1198" s="19">
        <f>1*602500</f>
        <v>602500</v>
      </c>
    </row>
    <row r="1199" spans="1:7" x14ac:dyDescent="0.25">
      <c r="A1199" s="17"/>
      <c r="B1199" s="24"/>
      <c r="C1199" t="s">
        <v>856</v>
      </c>
      <c r="D1199" s="20">
        <v>0</v>
      </c>
    </row>
    <row r="1200" spans="1:7" x14ac:dyDescent="0.25">
      <c r="A1200" s="17"/>
      <c r="D1200" s="19">
        <f>SUM(D1197:D1199)</f>
        <v>128935000</v>
      </c>
      <c r="G1200" s="1"/>
    </row>
    <row r="1201" spans="1:7" x14ac:dyDescent="0.25">
      <c r="A1201" s="17"/>
      <c r="D1201" s="19"/>
      <c r="G1201" s="1"/>
    </row>
    <row r="1202" spans="1:7" x14ac:dyDescent="0.25">
      <c r="A1202" s="23" t="s">
        <v>22</v>
      </c>
      <c r="D1202" s="19"/>
      <c r="G1202" s="1"/>
    </row>
    <row r="1203" spans="1:7" x14ac:dyDescent="0.25">
      <c r="A1203" s="17"/>
      <c r="C1203" t="s">
        <v>23</v>
      </c>
      <c r="D1203" s="19">
        <v>1803500000</v>
      </c>
      <c r="G1203" s="1"/>
    </row>
    <row r="1204" spans="1:7" x14ac:dyDescent="0.25">
      <c r="A1204" s="17"/>
      <c r="C1204" t="s">
        <v>24</v>
      </c>
      <c r="D1204" s="19">
        <v>1408239500</v>
      </c>
      <c r="G1204" s="1"/>
    </row>
    <row r="1205" spans="1:7" x14ac:dyDescent="0.25">
      <c r="A1205" s="17"/>
      <c r="C1205" t="s">
        <v>602</v>
      </c>
      <c r="D1205" s="19">
        <v>259850000</v>
      </c>
      <c r="G1205" s="1"/>
    </row>
    <row r="1206" spans="1:7" x14ac:dyDescent="0.25">
      <c r="A1206" s="17"/>
      <c r="C1206" t="s">
        <v>44</v>
      </c>
      <c r="D1206" s="20">
        <v>25200000</v>
      </c>
      <c r="G1206" s="1"/>
    </row>
    <row r="1207" spans="1:7" x14ac:dyDescent="0.25">
      <c r="A1207" s="17"/>
      <c r="D1207" s="19">
        <f>SUM(D1203:D1206)</f>
        <v>3496789500</v>
      </c>
      <c r="G1207" s="1"/>
    </row>
    <row r="1208" spans="1:7" x14ac:dyDescent="0.25">
      <c r="A1208" s="17"/>
      <c r="D1208" s="19"/>
      <c r="G1208" s="1"/>
    </row>
    <row r="1209" spans="1:7" x14ac:dyDescent="0.25">
      <c r="A1209" s="43" t="s">
        <v>25</v>
      </c>
      <c r="B1209" s="44"/>
      <c r="C1209" s="44"/>
      <c r="D1209" s="25">
        <f>D1180+D1194+D1200-D1207</f>
        <v>1325837983.4200001</v>
      </c>
      <c r="G1209" s="1"/>
    </row>
    <row r="1210" spans="1:7" x14ac:dyDescent="0.25">
      <c r="A1210" s="21"/>
      <c r="B1210" s="22"/>
      <c r="C1210" s="22"/>
      <c r="D1210" s="20"/>
      <c r="G1210" s="1"/>
    </row>
  </sheetData>
  <mergeCells count="104">
    <mergeCell ref="A1164:D1164"/>
    <mergeCell ref="A1165:D1165"/>
    <mergeCell ref="A1166:D1166"/>
    <mergeCell ref="A1209:C1209"/>
    <mergeCell ref="A1117:D1117"/>
    <mergeCell ref="A1118:D1118"/>
    <mergeCell ref="A1119:D1119"/>
    <mergeCell ref="A1161:C1161"/>
    <mergeCell ref="A1070:D1070"/>
    <mergeCell ref="A1071:D1071"/>
    <mergeCell ref="A1072:D1072"/>
    <mergeCell ref="A1114:C1114"/>
    <mergeCell ref="A1023:D1023"/>
    <mergeCell ref="A1024:D1024"/>
    <mergeCell ref="A1025:D1025"/>
    <mergeCell ref="A1067:C1067"/>
    <mergeCell ref="A881:D881"/>
    <mergeCell ref="A882:D882"/>
    <mergeCell ref="A883:D883"/>
    <mergeCell ref="A925:C925"/>
    <mergeCell ref="A976:D976"/>
    <mergeCell ref="A977:D977"/>
    <mergeCell ref="A978:D978"/>
    <mergeCell ref="A1020:C1020"/>
    <mergeCell ref="A928:D928"/>
    <mergeCell ref="A929:D929"/>
    <mergeCell ref="A930:D930"/>
    <mergeCell ref="A973:C973"/>
    <mergeCell ref="A739:D739"/>
    <mergeCell ref="A740:D740"/>
    <mergeCell ref="A741:D741"/>
    <mergeCell ref="A783:C783"/>
    <mergeCell ref="A834:D834"/>
    <mergeCell ref="A835:D835"/>
    <mergeCell ref="A836:D836"/>
    <mergeCell ref="A878:C878"/>
    <mergeCell ref="A786:D786"/>
    <mergeCell ref="A787:D787"/>
    <mergeCell ref="A788:D788"/>
    <mergeCell ref="A831:C831"/>
    <mergeCell ref="A374:D374"/>
    <mergeCell ref="A694:D694"/>
    <mergeCell ref="A695:D695"/>
    <mergeCell ref="A696:D696"/>
    <mergeCell ref="A93:D93"/>
    <mergeCell ref="A134:C134"/>
    <mergeCell ref="A184:D184"/>
    <mergeCell ref="A185:D185"/>
    <mergeCell ref="A137:D137"/>
    <mergeCell ref="A138:D138"/>
    <mergeCell ref="A139:D139"/>
    <mergeCell ref="A181:C181"/>
    <mergeCell ref="A466:D466"/>
    <mergeCell ref="A419:D419"/>
    <mergeCell ref="A514:D514"/>
    <mergeCell ref="A515:D515"/>
    <mergeCell ref="A369:C369"/>
    <mergeCell ref="A468:D468"/>
    <mergeCell ref="A510:C510"/>
    <mergeCell ref="A416:C416"/>
    <mergeCell ref="A420:D420"/>
    <mergeCell ref="A556:C556"/>
    <mergeCell ref="A605:D605"/>
    <mergeCell ref="A606:D606"/>
    <mergeCell ref="A1:D1"/>
    <mergeCell ref="A2:D2"/>
    <mergeCell ref="A3:D3"/>
    <mergeCell ref="A43:C43"/>
    <mergeCell ref="A46:D46"/>
    <mergeCell ref="A47:D47"/>
    <mergeCell ref="A48:D48"/>
    <mergeCell ref="A88:C88"/>
    <mergeCell ref="A91:D91"/>
    <mergeCell ref="A92:D92"/>
    <mergeCell ref="A276:C276"/>
    <mergeCell ref="A372:D372"/>
    <mergeCell ref="A373:D373"/>
    <mergeCell ref="A279:D279"/>
    <mergeCell ref="A232:D232"/>
    <mergeCell ref="A233:D233"/>
    <mergeCell ref="A186:D186"/>
    <mergeCell ref="A229:C229"/>
    <mergeCell ref="A234:D234"/>
    <mergeCell ref="A280:D280"/>
    <mergeCell ref="A281:D281"/>
    <mergeCell ref="A322:C322"/>
    <mergeCell ref="A325:D325"/>
    <mergeCell ref="A326:D326"/>
    <mergeCell ref="A327:D327"/>
    <mergeCell ref="A736:C736"/>
    <mergeCell ref="A649:D649"/>
    <mergeCell ref="A650:D650"/>
    <mergeCell ref="A651:D651"/>
    <mergeCell ref="A691:C691"/>
    <mergeCell ref="A513:D513"/>
    <mergeCell ref="A421:D421"/>
    <mergeCell ref="A463:C463"/>
    <mergeCell ref="A467:D467"/>
    <mergeCell ref="A646:C646"/>
    <mergeCell ref="A604:D604"/>
    <mergeCell ref="A560:D560"/>
    <mergeCell ref="A561:D561"/>
    <mergeCell ref="A601:C601"/>
    <mergeCell ref="A559:D559"/>
  </mergeCells>
  <pageMargins left="0.7" right="0.7" top="0.75" bottom="0.75" header="0.3" footer="0.3"/>
  <pageSetup paperSize="0" orientation="portrait" horizontalDpi="0" verticalDpi="0" copie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C7074-D77C-42E9-8158-08283C2B56D7}">
  <dimension ref="A1:I523"/>
  <sheetViews>
    <sheetView tabSelected="1" topLeftCell="A478" zoomScale="80" zoomScaleNormal="80" workbookViewId="0">
      <selection activeCell="G493" sqref="G493"/>
    </sheetView>
  </sheetViews>
  <sheetFormatPr defaultRowHeight="15" x14ac:dyDescent="0.25"/>
  <cols>
    <col min="1" max="1" width="7.28515625" customWidth="1"/>
    <col min="2" max="2" width="11.28515625" bestFit="1" customWidth="1"/>
    <col min="3" max="3" width="37.7109375" bestFit="1" customWidth="1"/>
    <col min="4" max="4" width="24.7109375" customWidth="1"/>
    <col min="5" max="5" width="5" customWidth="1"/>
    <col min="6" max="6" width="51.5703125" bestFit="1" customWidth="1"/>
    <col min="7" max="7" width="20.85546875" customWidth="1"/>
    <col min="9" max="9" width="17.7109375" bestFit="1" customWidth="1"/>
  </cols>
  <sheetData>
    <row r="1" spans="1:7" x14ac:dyDescent="0.25">
      <c r="A1" s="40" t="s">
        <v>13</v>
      </c>
      <c r="B1" s="40"/>
      <c r="C1" s="40"/>
      <c r="D1" s="40"/>
      <c r="G1" s="1"/>
    </row>
    <row r="2" spans="1:7" x14ac:dyDescent="0.25">
      <c r="A2" s="41" t="s">
        <v>14</v>
      </c>
      <c r="B2" s="41"/>
      <c r="C2" s="41"/>
      <c r="D2" s="41"/>
      <c r="G2" s="1"/>
    </row>
    <row r="3" spans="1:7" x14ac:dyDescent="0.25">
      <c r="A3" s="42">
        <v>45901</v>
      </c>
      <c r="B3" s="42"/>
      <c r="C3" s="42"/>
      <c r="D3" s="42"/>
      <c r="G3" s="1"/>
    </row>
    <row r="4" spans="1:7" x14ac:dyDescent="0.25">
      <c r="A4" s="13"/>
      <c r="B4" s="13"/>
      <c r="C4" s="13"/>
      <c r="D4" s="13"/>
      <c r="G4" s="1"/>
    </row>
    <row r="5" spans="1:7" x14ac:dyDescent="0.25">
      <c r="A5" s="14"/>
      <c r="B5" s="15"/>
      <c r="C5" s="15"/>
      <c r="D5" s="16"/>
      <c r="F5" s="5" t="s">
        <v>26</v>
      </c>
      <c r="G5" s="1">
        <f>D46-Agust!D1209</f>
        <v>-19908121.569999695</v>
      </c>
    </row>
    <row r="6" spans="1:7" x14ac:dyDescent="0.25">
      <c r="A6" s="17"/>
      <c r="D6" s="32" t="s">
        <v>16</v>
      </c>
      <c r="G6" s="1"/>
    </row>
    <row r="7" spans="1:7" x14ac:dyDescent="0.25">
      <c r="A7" s="23" t="s">
        <v>15</v>
      </c>
      <c r="D7" s="18" t="s">
        <v>17</v>
      </c>
      <c r="F7" s="26" t="s">
        <v>27</v>
      </c>
      <c r="G7" s="1"/>
    </row>
    <row r="8" spans="1:7" x14ac:dyDescent="0.25">
      <c r="A8" s="17"/>
      <c r="B8" s="24" t="s">
        <v>18</v>
      </c>
      <c r="D8" s="19"/>
      <c r="F8" s="27" t="s">
        <v>28</v>
      </c>
      <c r="G8" s="1"/>
    </row>
    <row r="9" spans="1:7" x14ac:dyDescent="0.25">
      <c r="A9" s="17"/>
      <c r="C9" s="2" t="s">
        <v>31</v>
      </c>
      <c r="D9" s="19">
        <v>106352993.01000001</v>
      </c>
      <c r="F9" t="s">
        <v>279</v>
      </c>
      <c r="G9" s="1">
        <v>18188000</v>
      </c>
    </row>
    <row r="10" spans="1:7" x14ac:dyDescent="0.25">
      <c r="A10" s="17"/>
      <c r="C10" s="2" t="s">
        <v>32</v>
      </c>
      <c r="D10" s="19">
        <v>37173579.840000004</v>
      </c>
      <c r="F10" t="s">
        <v>90</v>
      </c>
      <c r="G10" s="1">
        <v>252500</v>
      </c>
    </row>
    <row r="11" spans="1:7" x14ac:dyDescent="0.25">
      <c r="A11" s="17"/>
      <c r="C11" s="2" t="s">
        <v>33</v>
      </c>
      <c r="D11" s="19">
        <v>159584533.40000001</v>
      </c>
      <c r="F11" t="s">
        <v>676</v>
      </c>
      <c r="G11" s="1">
        <v>983.57</v>
      </c>
    </row>
    <row r="12" spans="1:7" x14ac:dyDescent="0.25">
      <c r="A12" s="17"/>
      <c r="C12" s="2" t="s">
        <v>34</v>
      </c>
      <c r="D12" s="19">
        <v>224967511</v>
      </c>
      <c r="F12" t="s">
        <v>675</v>
      </c>
      <c r="G12" s="1">
        <v>1641.96</v>
      </c>
    </row>
    <row r="13" spans="1:7" x14ac:dyDescent="0.25">
      <c r="A13" s="17"/>
      <c r="C13" s="2" t="s">
        <v>35</v>
      </c>
      <c r="D13" s="19">
        <v>25000</v>
      </c>
      <c r="G13" s="30">
        <f>SUM(G9:G12)</f>
        <v>18443125.530000001</v>
      </c>
    </row>
    <row r="14" spans="1:7" x14ac:dyDescent="0.25">
      <c r="A14" s="17"/>
      <c r="C14" s="2" t="s">
        <v>36</v>
      </c>
      <c r="D14" s="19">
        <v>17233023.600000001</v>
      </c>
      <c r="F14" s="28" t="s">
        <v>29</v>
      </c>
      <c r="G14" s="1"/>
    </row>
    <row r="15" spans="1:7" x14ac:dyDescent="0.25">
      <c r="A15" s="17"/>
      <c r="C15" s="2" t="s">
        <v>37</v>
      </c>
      <c r="D15" s="19">
        <v>315736929</v>
      </c>
      <c r="F15" t="s">
        <v>230</v>
      </c>
      <c r="G15" s="1">
        <v>2500</v>
      </c>
    </row>
    <row r="16" spans="1:7" x14ac:dyDescent="0.25">
      <c r="A16" s="17"/>
      <c r="C16" s="2" t="s">
        <v>51</v>
      </c>
      <c r="D16" s="20">
        <v>130317</v>
      </c>
      <c r="F16" t="s">
        <v>905</v>
      </c>
      <c r="G16" s="1">
        <v>36850000</v>
      </c>
    </row>
    <row r="17" spans="1:9" x14ac:dyDescent="0.25">
      <c r="A17" s="17"/>
      <c r="B17" s="24" t="s">
        <v>19</v>
      </c>
      <c r="D17" s="19">
        <f>SUM(D9:D16)</f>
        <v>861203886.85000002</v>
      </c>
      <c r="F17" t="s">
        <v>678</v>
      </c>
      <c r="G17" s="1">
        <v>196.71</v>
      </c>
    </row>
    <row r="18" spans="1:9" x14ac:dyDescent="0.25">
      <c r="A18" s="17"/>
      <c r="D18" s="19"/>
      <c r="F18" t="s">
        <v>677</v>
      </c>
      <c r="G18" s="1">
        <v>328.39</v>
      </c>
      <c r="I18" s="38"/>
    </row>
    <row r="19" spans="1:9" x14ac:dyDescent="0.25">
      <c r="A19" s="17"/>
      <c r="B19" s="24" t="s">
        <v>20</v>
      </c>
      <c r="D19" s="19"/>
      <c r="F19" t="s">
        <v>906</v>
      </c>
      <c r="G19" s="1">
        <v>60000</v>
      </c>
    </row>
    <row r="20" spans="1:9" x14ac:dyDescent="0.25">
      <c r="A20" s="17"/>
      <c r="C20" t="s">
        <v>7</v>
      </c>
      <c r="D20" s="19">
        <v>2371714637</v>
      </c>
      <c r="F20" t="s">
        <v>907</v>
      </c>
      <c r="G20" s="1">
        <v>5000</v>
      </c>
    </row>
    <row r="21" spans="1:9" x14ac:dyDescent="0.25">
      <c r="A21" s="17"/>
      <c r="C21" t="s">
        <v>47</v>
      </c>
      <c r="D21" s="19">
        <v>24705000</v>
      </c>
      <c r="F21" t="s">
        <v>908</v>
      </c>
      <c r="G21" s="1">
        <v>1229772</v>
      </c>
    </row>
    <row r="22" spans="1:9" x14ac:dyDescent="0.25">
      <c r="A22" s="17"/>
      <c r="C22" t="s">
        <v>21</v>
      </c>
      <c r="D22" s="19">
        <v>910182838</v>
      </c>
      <c r="F22" t="s">
        <v>881</v>
      </c>
      <c r="G22" s="1">
        <v>114450</v>
      </c>
    </row>
    <row r="23" spans="1:9" x14ac:dyDescent="0.25">
      <c r="A23" s="17"/>
      <c r="C23" t="s">
        <v>773</v>
      </c>
      <c r="D23" s="19">
        <v>530100000</v>
      </c>
      <c r="F23" t="s">
        <v>909</v>
      </c>
      <c r="G23" s="1">
        <v>84000</v>
      </c>
    </row>
    <row r="24" spans="1:9" x14ac:dyDescent="0.25">
      <c r="A24" s="17"/>
      <c r="C24" t="s">
        <v>45</v>
      </c>
      <c r="D24" s="19">
        <v>25000000</v>
      </c>
      <c r="F24" t="s">
        <v>49</v>
      </c>
      <c r="G24" s="1">
        <v>2500</v>
      </c>
    </row>
    <row r="25" spans="1:9" x14ac:dyDescent="0.25">
      <c r="A25" s="17"/>
      <c r="C25" t="s">
        <v>48</v>
      </c>
      <c r="D25" s="19">
        <v>30000000</v>
      </c>
      <c r="F25" t="s">
        <v>161</v>
      </c>
      <c r="G25" s="1">
        <v>2500</v>
      </c>
    </row>
    <row r="26" spans="1:9" x14ac:dyDescent="0.25">
      <c r="A26" s="17"/>
      <c r="C26" t="s">
        <v>518</v>
      </c>
      <c r="D26" s="19">
        <v>50000000</v>
      </c>
      <c r="G26" s="30">
        <f>SUM(G15:G25)</f>
        <v>38351247.100000001</v>
      </c>
    </row>
    <row r="27" spans="1:9" x14ac:dyDescent="0.25">
      <c r="A27" s="17"/>
      <c r="C27" t="s">
        <v>882</v>
      </c>
      <c r="D27" s="19">
        <v>33000000</v>
      </c>
    </row>
    <row r="28" spans="1:9" x14ac:dyDescent="0.25">
      <c r="A28" s="17"/>
      <c r="C28" t="s">
        <v>933</v>
      </c>
      <c r="D28" s="19">
        <v>180000000</v>
      </c>
      <c r="F28" s="28" t="s">
        <v>30</v>
      </c>
      <c r="G28" s="29">
        <f>G13-G26</f>
        <v>-19908121.57</v>
      </c>
    </row>
    <row r="29" spans="1:9" x14ac:dyDescent="0.25">
      <c r="A29" s="17"/>
      <c r="C29" t="s">
        <v>744</v>
      </c>
      <c r="D29" s="19">
        <v>1002500</v>
      </c>
    </row>
    <row r="30" spans="1:9" x14ac:dyDescent="0.25">
      <c r="A30" s="17"/>
      <c r="C30" t="s">
        <v>756</v>
      </c>
      <c r="D30" s="20">
        <v>50005000</v>
      </c>
    </row>
    <row r="31" spans="1:9" x14ac:dyDescent="0.25">
      <c r="A31" s="17"/>
      <c r="D31" s="19">
        <f>SUM(D20:D30)</f>
        <v>4205709975</v>
      </c>
    </row>
    <row r="32" spans="1:9" x14ac:dyDescent="0.25">
      <c r="A32" s="17"/>
      <c r="D32" s="19"/>
      <c r="G32" s="1"/>
    </row>
    <row r="33" spans="1:7" x14ac:dyDescent="0.25">
      <c r="A33" s="17"/>
      <c r="B33" s="24" t="s">
        <v>46</v>
      </c>
      <c r="D33" s="19"/>
      <c r="G33" s="1"/>
    </row>
    <row r="34" spans="1:7" x14ac:dyDescent="0.25">
      <c r="A34" s="17"/>
      <c r="B34" s="24"/>
      <c r="C34" t="s">
        <v>904</v>
      </c>
      <c r="D34" s="19">
        <f>198*602500</f>
        <v>119295000</v>
      </c>
      <c r="G34" s="1"/>
    </row>
    <row r="35" spans="1:7" x14ac:dyDescent="0.25">
      <c r="A35" s="17"/>
      <c r="B35" s="24"/>
      <c r="C35" t="s">
        <v>903</v>
      </c>
      <c r="D35" s="19">
        <f>9*602500</f>
        <v>5422500</v>
      </c>
    </row>
    <row r="36" spans="1:7" x14ac:dyDescent="0.25">
      <c r="A36" s="17"/>
      <c r="B36" s="24"/>
      <c r="C36" t="s">
        <v>856</v>
      </c>
      <c r="D36" s="20">
        <v>0</v>
      </c>
    </row>
    <row r="37" spans="1:7" x14ac:dyDescent="0.25">
      <c r="A37" s="17"/>
      <c r="D37" s="19">
        <f>SUM(D34:D36)</f>
        <v>124717500</v>
      </c>
      <c r="G37" s="1"/>
    </row>
    <row r="38" spans="1:7" x14ac:dyDescent="0.25">
      <c r="A38" s="17"/>
      <c r="D38" s="19"/>
      <c r="G38" s="1"/>
    </row>
    <row r="39" spans="1:7" x14ac:dyDescent="0.25">
      <c r="A39" s="23" t="s">
        <v>22</v>
      </c>
      <c r="D39" s="19"/>
      <c r="G39" s="1"/>
    </row>
    <row r="40" spans="1:7" x14ac:dyDescent="0.25">
      <c r="A40" s="17"/>
      <c r="C40" t="s">
        <v>23</v>
      </c>
      <c r="D40" s="19">
        <v>1963100000</v>
      </c>
      <c r="G40" s="1"/>
    </row>
    <row r="41" spans="1:7" x14ac:dyDescent="0.25">
      <c r="A41" s="17"/>
      <c r="C41" t="s">
        <v>24</v>
      </c>
      <c r="D41" s="19">
        <v>1561401500</v>
      </c>
      <c r="G41" s="1"/>
    </row>
    <row r="42" spans="1:7" x14ac:dyDescent="0.25">
      <c r="A42" s="17"/>
      <c r="C42" t="s">
        <v>602</v>
      </c>
      <c r="D42" s="19">
        <v>336000000</v>
      </c>
      <c r="G42" s="1"/>
    </row>
    <row r="43" spans="1:7" x14ac:dyDescent="0.25">
      <c r="A43" s="17"/>
      <c r="C43" t="s">
        <v>44</v>
      </c>
      <c r="D43" s="20">
        <v>25200000</v>
      </c>
      <c r="G43" s="1"/>
    </row>
    <row r="44" spans="1:7" x14ac:dyDescent="0.25">
      <c r="A44" s="17"/>
      <c r="D44" s="19">
        <f>SUM(D40:D43)</f>
        <v>3885701500</v>
      </c>
      <c r="G44" s="1"/>
    </row>
    <row r="45" spans="1:7" x14ac:dyDescent="0.25">
      <c r="A45" s="17"/>
      <c r="D45" s="19"/>
      <c r="G45" s="1"/>
    </row>
    <row r="46" spans="1:7" x14ac:dyDescent="0.25">
      <c r="A46" s="43" t="s">
        <v>25</v>
      </c>
      <c r="B46" s="44"/>
      <c r="C46" s="44"/>
      <c r="D46" s="25">
        <f>D17+D31+D37-D44</f>
        <v>1305929861.8500004</v>
      </c>
      <c r="G46" s="1"/>
    </row>
    <row r="47" spans="1:7" x14ac:dyDescent="0.25">
      <c r="A47" s="21"/>
      <c r="B47" s="22"/>
      <c r="C47" s="22"/>
      <c r="D47" s="20"/>
      <c r="G47" s="1"/>
    </row>
    <row r="49" spans="1:7" x14ac:dyDescent="0.25">
      <c r="A49" s="40" t="s">
        <v>13</v>
      </c>
      <c r="B49" s="40"/>
      <c r="C49" s="40"/>
      <c r="D49" s="40"/>
      <c r="G49" s="1"/>
    </row>
    <row r="50" spans="1:7" x14ac:dyDescent="0.25">
      <c r="A50" s="41" t="s">
        <v>14</v>
      </c>
      <c r="B50" s="41"/>
      <c r="C50" s="41"/>
      <c r="D50" s="41"/>
      <c r="G50" s="1"/>
    </row>
    <row r="51" spans="1:7" x14ac:dyDescent="0.25">
      <c r="A51" s="42">
        <v>45902</v>
      </c>
      <c r="B51" s="42"/>
      <c r="C51" s="42"/>
      <c r="D51" s="42"/>
      <c r="G51" s="1"/>
    </row>
    <row r="52" spans="1:7" x14ac:dyDescent="0.25">
      <c r="A52" s="13"/>
      <c r="B52" s="13"/>
      <c r="C52" s="13"/>
      <c r="D52" s="13"/>
      <c r="G52" s="1"/>
    </row>
    <row r="53" spans="1:7" x14ac:dyDescent="0.25">
      <c r="A53" s="14"/>
      <c r="B53" s="15"/>
      <c r="C53" s="15"/>
      <c r="D53" s="16"/>
      <c r="F53" s="5" t="s">
        <v>26</v>
      </c>
      <c r="G53" s="1">
        <f>D94-D46</f>
        <v>-89972000</v>
      </c>
    </row>
    <row r="54" spans="1:7" x14ac:dyDescent="0.25">
      <c r="A54" s="17"/>
      <c r="D54" s="32" t="s">
        <v>16</v>
      </c>
      <c r="G54" s="1"/>
    </row>
    <row r="55" spans="1:7" x14ac:dyDescent="0.25">
      <c r="A55" s="23" t="s">
        <v>15</v>
      </c>
      <c r="D55" s="18" t="s">
        <v>17</v>
      </c>
      <c r="F55" s="26" t="s">
        <v>27</v>
      </c>
      <c r="G55" s="1"/>
    </row>
    <row r="56" spans="1:7" x14ac:dyDescent="0.25">
      <c r="A56" s="17"/>
      <c r="B56" s="24" t="s">
        <v>18</v>
      </c>
      <c r="D56" s="19"/>
      <c r="F56" s="27" t="s">
        <v>28</v>
      </c>
      <c r="G56" s="1"/>
    </row>
    <row r="57" spans="1:7" x14ac:dyDescent="0.25">
      <c r="A57" s="17"/>
      <c r="C57" s="2" t="s">
        <v>31</v>
      </c>
      <c r="D57" s="19">
        <v>190252993.00999999</v>
      </c>
      <c r="F57" t="s">
        <v>86</v>
      </c>
      <c r="G57" s="1">
        <v>5210000</v>
      </c>
    </row>
    <row r="58" spans="1:7" x14ac:dyDescent="0.25">
      <c r="A58" s="17"/>
      <c r="C58" s="2" t="s">
        <v>32</v>
      </c>
      <c r="D58" s="19">
        <v>43473579.840000004</v>
      </c>
      <c r="F58" t="s">
        <v>90</v>
      </c>
      <c r="G58" s="1">
        <v>225000</v>
      </c>
    </row>
    <row r="59" spans="1:7" x14ac:dyDescent="0.25">
      <c r="A59" s="17"/>
      <c r="C59" s="2" t="s">
        <v>33</v>
      </c>
      <c r="D59" s="19">
        <v>326930033.39999998</v>
      </c>
      <c r="G59" s="30">
        <f>SUM(G57:G58)</f>
        <v>5435000</v>
      </c>
    </row>
    <row r="60" spans="1:7" x14ac:dyDescent="0.25">
      <c r="A60" s="17"/>
      <c r="C60" s="2" t="s">
        <v>34</v>
      </c>
      <c r="D60" s="19">
        <v>-22482489</v>
      </c>
      <c r="F60" s="28" t="s">
        <v>29</v>
      </c>
      <c r="G60" s="1"/>
    </row>
    <row r="61" spans="1:7" x14ac:dyDescent="0.25">
      <c r="A61" s="17"/>
      <c r="C61" s="2" t="s">
        <v>35</v>
      </c>
      <c r="D61" s="19">
        <v>25000</v>
      </c>
      <c r="F61" t="s">
        <v>910</v>
      </c>
      <c r="G61" s="1">
        <v>7578500</v>
      </c>
    </row>
    <row r="62" spans="1:7" x14ac:dyDescent="0.25">
      <c r="A62" s="17"/>
      <c r="C62" s="2" t="s">
        <v>36</v>
      </c>
      <c r="D62" s="19">
        <v>17233023.600000001</v>
      </c>
      <c r="F62" t="s">
        <v>912</v>
      </c>
      <c r="G62" s="1">
        <v>11503000</v>
      </c>
    </row>
    <row r="63" spans="1:7" x14ac:dyDescent="0.25">
      <c r="A63" s="17"/>
      <c r="C63" s="2" t="s">
        <v>37</v>
      </c>
      <c r="D63" s="19">
        <v>51184429</v>
      </c>
      <c r="F63" t="s">
        <v>913</v>
      </c>
      <c r="G63" s="1">
        <v>24923500</v>
      </c>
    </row>
    <row r="64" spans="1:7" x14ac:dyDescent="0.25">
      <c r="A64" s="17"/>
      <c r="C64" s="2" t="s">
        <v>51</v>
      </c>
      <c r="D64" s="20">
        <v>130317</v>
      </c>
      <c r="F64" t="s">
        <v>911</v>
      </c>
      <c r="G64" s="1">
        <v>10418000</v>
      </c>
    </row>
    <row r="65" spans="1:7" x14ac:dyDescent="0.25">
      <c r="A65" s="17"/>
      <c r="B65" s="24" t="s">
        <v>19</v>
      </c>
      <c r="D65" s="19">
        <f>SUM(D57:D64)</f>
        <v>606746886.85000002</v>
      </c>
      <c r="F65" t="s">
        <v>916</v>
      </c>
      <c r="G65" s="1">
        <v>14550000</v>
      </c>
    </row>
    <row r="66" spans="1:7" x14ac:dyDescent="0.25">
      <c r="A66" s="17"/>
      <c r="D66" s="19"/>
      <c r="F66" t="s">
        <v>914</v>
      </c>
      <c r="G66" s="1">
        <v>23975000</v>
      </c>
    </row>
    <row r="67" spans="1:7" x14ac:dyDescent="0.25">
      <c r="A67" s="17"/>
      <c r="B67" s="24" t="s">
        <v>20</v>
      </c>
      <c r="D67" s="19"/>
      <c r="F67" t="s">
        <v>853</v>
      </c>
      <c r="G67" s="1">
        <v>6500</v>
      </c>
    </row>
    <row r="68" spans="1:7" x14ac:dyDescent="0.25">
      <c r="A68" s="17"/>
      <c r="C68" t="s">
        <v>7</v>
      </c>
      <c r="D68" s="19">
        <v>2171314637</v>
      </c>
      <c r="F68" t="s">
        <v>915</v>
      </c>
      <c r="G68" s="1">
        <v>200000</v>
      </c>
    </row>
    <row r="69" spans="1:7" x14ac:dyDescent="0.25">
      <c r="A69" s="17"/>
      <c r="C69" t="s">
        <v>47</v>
      </c>
      <c r="D69" s="19">
        <v>24655000</v>
      </c>
      <c r="F69" t="s">
        <v>2</v>
      </c>
      <c r="G69" s="1">
        <v>2250000</v>
      </c>
    </row>
    <row r="70" spans="1:7" x14ac:dyDescent="0.25">
      <c r="A70" s="17"/>
      <c r="C70" t="s">
        <v>21</v>
      </c>
      <c r="D70" s="19">
        <v>910182838</v>
      </c>
      <c r="F70" t="s">
        <v>161</v>
      </c>
      <c r="G70" s="1">
        <v>2500</v>
      </c>
    </row>
    <row r="71" spans="1:7" x14ac:dyDescent="0.25">
      <c r="A71" s="17"/>
      <c r="C71" t="s">
        <v>773</v>
      </c>
      <c r="D71" s="19">
        <v>452700000</v>
      </c>
      <c r="G71" s="30">
        <f>SUM(G61:G70)</f>
        <v>95407000</v>
      </c>
    </row>
    <row r="72" spans="1:7" x14ac:dyDescent="0.25">
      <c r="A72" s="17"/>
      <c r="C72" t="s">
        <v>45</v>
      </c>
      <c r="D72" s="19">
        <v>25000000</v>
      </c>
    </row>
    <row r="73" spans="1:7" x14ac:dyDescent="0.25">
      <c r="A73" s="17"/>
      <c r="C73" t="s">
        <v>48</v>
      </c>
      <c r="D73" s="19">
        <v>30000000</v>
      </c>
      <c r="F73" s="28" t="s">
        <v>30</v>
      </c>
      <c r="G73" s="29">
        <f>G59-G71</f>
        <v>-89972000</v>
      </c>
    </row>
    <row r="74" spans="1:7" x14ac:dyDescent="0.25">
      <c r="A74" s="17"/>
      <c r="C74" t="s">
        <v>518</v>
      </c>
      <c r="D74" s="19">
        <v>50000000</v>
      </c>
    </row>
    <row r="75" spans="1:7" x14ac:dyDescent="0.25">
      <c r="A75" s="17"/>
      <c r="C75" t="s">
        <v>882</v>
      </c>
      <c r="D75" s="19">
        <v>33000000</v>
      </c>
    </row>
    <row r="76" spans="1:7" x14ac:dyDescent="0.25">
      <c r="A76" s="17"/>
      <c r="C76" t="s">
        <v>933</v>
      </c>
      <c r="D76" s="19">
        <v>180000000</v>
      </c>
    </row>
    <row r="77" spans="1:7" x14ac:dyDescent="0.25">
      <c r="A77" s="17"/>
      <c r="C77" t="s">
        <v>744</v>
      </c>
      <c r="D77" s="19">
        <v>1002500</v>
      </c>
    </row>
    <row r="78" spans="1:7" x14ac:dyDescent="0.25">
      <c r="A78" s="17"/>
      <c r="C78" t="s">
        <v>756</v>
      </c>
      <c r="D78" s="20">
        <v>50005000</v>
      </c>
    </row>
    <row r="79" spans="1:7" x14ac:dyDescent="0.25">
      <c r="A79" s="17"/>
      <c r="D79" s="19">
        <f>SUM(D68:D78)</f>
        <v>3927859975</v>
      </c>
    </row>
    <row r="80" spans="1:7" x14ac:dyDescent="0.25">
      <c r="A80" s="17"/>
      <c r="D80" s="19"/>
      <c r="G80" s="1"/>
    </row>
    <row r="81" spans="1:7" x14ac:dyDescent="0.25">
      <c r="A81" s="17"/>
      <c r="B81" s="24" t="s">
        <v>46</v>
      </c>
      <c r="D81" s="19"/>
      <c r="G81" s="1"/>
    </row>
    <row r="82" spans="1:7" x14ac:dyDescent="0.25">
      <c r="A82" s="17"/>
      <c r="B82" s="24"/>
      <c r="C82" t="s">
        <v>919</v>
      </c>
      <c r="D82" s="19">
        <f>188*602500</f>
        <v>113270000</v>
      </c>
      <c r="G82" s="1"/>
    </row>
    <row r="83" spans="1:7" x14ac:dyDescent="0.25">
      <c r="A83" s="17"/>
      <c r="B83" s="24"/>
      <c r="C83" t="s">
        <v>903</v>
      </c>
      <c r="D83" s="19">
        <f>9*602500</f>
        <v>5422500</v>
      </c>
    </row>
    <row r="84" spans="1:7" x14ac:dyDescent="0.25">
      <c r="A84" s="17"/>
      <c r="B84" s="24"/>
      <c r="C84" t="s">
        <v>856</v>
      </c>
      <c r="D84" s="20">
        <v>0</v>
      </c>
    </row>
    <row r="85" spans="1:7" x14ac:dyDescent="0.25">
      <c r="A85" s="17"/>
      <c r="D85" s="19">
        <f>SUM(D82:D84)</f>
        <v>118692500</v>
      </c>
      <c r="G85" s="1"/>
    </row>
    <row r="86" spans="1:7" x14ac:dyDescent="0.25">
      <c r="A86" s="17"/>
      <c r="D86" s="19"/>
      <c r="G86" s="1"/>
    </row>
    <row r="87" spans="1:7" x14ac:dyDescent="0.25">
      <c r="A87" s="23" t="s">
        <v>22</v>
      </c>
      <c r="D87" s="19"/>
      <c r="G87" s="1"/>
    </row>
    <row r="88" spans="1:7" x14ac:dyDescent="0.25">
      <c r="A88" s="17"/>
      <c r="C88" t="s">
        <v>23</v>
      </c>
      <c r="D88" s="19">
        <v>1345650000</v>
      </c>
      <c r="G88" s="1"/>
    </row>
    <row r="89" spans="1:7" x14ac:dyDescent="0.25">
      <c r="A89" s="17"/>
      <c r="C89" t="s">
        <v>24</v>
      </c>
      <c r="D89" s="19">
        <v>1646491500</v>
      </c>
      <c r="G89" s="1"/>
    </row>
    <row r="90" spans="1:7" x14ac:dyDescent="0.25">
      <c r="A90" s="17"/>
      <c r="C90" t="s">
        <v>602</v>
      </c>
      <c r="D90" s="19">
        <v>336000000</v>
      </c>
      <c r="G90" s="1"/>
    </row>
    <row r="91" spans="1:7" x14ac:dyDescent="0.25">
      <c r="A91" s="17"/>
      <c r="C91" t="s">
        <v>44</v>
      </c>
      <c r="D91" s="20">
        <v>109200000</v>
      </c>
      <c r="G91" s="1"/>
    </row>
    <row r="92" spans="1:7" x14ac:dyDescent="0.25">
      <c r="A92" s="17"/>
      <c r="D92" s="19">
        <f>SUM(D88:D91)</f>
        <v>3437341500</v>
      </c>
      <c r="G92" s="1"/>
    </row>
    <row r="93" spans="1:7" x14ac:dyDescent="0.25">
      <c r="A93" s="17"/>
      <c r="D93" s="19"/>
      <c r="G93" s="1"/>
    </row>
    <row r="94" spans="1:7" x14ac:dyDescent="0.25">
      <c r="A94" s="43" t="s">
        <v>25</v>
      </c>
      <c r="B94" s="44"/>
      <c r="C94" s="44"/>
      <c r="D94" s="25">
        <f>D65+D79+D85-D92</f>
        <v>1215957861.8500004</v>
      </c>
      <c r="G94" s="1"/>
    </row>
    <row r="95" spans="1:7" x14ac:dyDescent="0.25">
      <c r="A95" s="21"/>
      <c r="B95" s="22"/>
      <c r="C95" s="22"/>
      <c r="D95" s="20"/>
      <c r="G95" s="1"/>
    </row>
    <row r="97" spans="1:7" x14ac:dyDescent="0.25">
      <c r="A97" s="40" t="s">
        <v>13</v>
      </c>
      <c r="B97" s="40"/>
      <c r="C97" s="40"/>
      <c r="D97" s="40"/>
      <c r="G97" s="1"/>
    </row>
    <row r="98" spans="1:7" x14ac:dyDescent="0.25">
      <c r="A98" s="41" t="s">
        <v>14</v>
      </c>
      <c r="B98" s="41"/>
      <c r="C98" s="41"/>
      <c r="D98" s="41"/>
      <c r="G98" s="1"/>
    </row>
    <row r="99" spans="1:7" x14ac:dyDescent="0.25">
      <c r="A99" s="42">
        <v>45903</v>
      </c>
      <c r="B99" s="42"/>
      <c r="C99" s="42"/>
      <c r="D99" s="42"/>
      <c r="G99" s="1"/>
    </row>
    <row r="100" spans="1:7" x14ac:dyDescent="0.25">
      <c r="A100" s="13"/>
      <c r="B100" s="13"/>
      <c r="C100" s="13"/>
      <c r="D100" s="13"/>
      <c r="G100" s="1"/>
    </row>
    <row r="101" spans="1:7" x14ac:dyDescent="0.25">
      <c r="A101" s="14"/>
      <c r="B101" s="15"/>
      <c r="C101" s="15"/>
      <c r="D101" s="16"/>
      <c r="F101" s="5" t="s">
        <v>26</v>
      </c>
      <c r="G101" s="1">
        <f>D142-D94</f>
        <v>14256500</v>
      </c>
    </row>
    <row r="102" spans="1:7" x14ac:dyDescent="0.25">
      <c r="A102" s="17"/>
      <c r="D102" s="32" t="s">
        <v>16</v>
      </c>
      <c r="G102" s="1"/>
    </row>
    <row r="103" spans="1:7" x14ac:dyDescent="0.25">
      <c r="A103" s="23" t="s">
        <v>15</v>
      </c>
      <c r="D103" s="18" t="s">
        <v>17</v>
      </c>
      <c r="F103" s="26" t="s">
        <v>27</v>
      </c>
      <c r="G103" s="1"/>
    </row>
    <row r="104" spans="1:7" x14ac:dyDescent="0.25">
      <c r="A104" s="17"/>
      <c r="B104" s="24" t="s">
        <v>18</v>
      </c>
      <c r="D104" s="19"/>
      <c r="F104" s="27" t="s">
        <v>28</v>
      </c>
      <c r="G104" s="1"/>
    </row>
    <row r="105" spans="1:7" x14ac:dyDescent="0.25">
      <c r="A105" s="17"/>
      <c r="C105" s="2" t="s">
        <v>31</v>
      </c>
      <c r="D105" s="19">
        <v>40252993.009999998</v>
      </c>
      <c r="F105" t="s">
        <v>292</v>
      </c>
      <c r="G105" s="1">
        <v>13929000</v>
      </c>
    </row>
    <row r="106" spans="1:7" x14ac:dyDescent="0.25">
      <c r="A106" s="17"/>
      <c r="C106" s="2" t="s">
        <v>32</v>
      </c>
      <c r="D106" s="19">
        <v>44793579.840000004</v>
      </c>
      <c r="F106" t="s">
        <v>90</v>
      </c>
      <c r="G106" s="1">
        <v>327500</v>
      </c>
    </row>
    <row r="107" spans="1:7" x14ac:dyDescent="0.25">
      <c r="A107" s="17"/>
      <c r="C107" s="2" t="s">
        <v>33</v>
      </c>
      <c r="D107" s="19">
        <v>127000033.40000001</v>
      </c>
      <c r="G107" s="30">
        <f>SUM(G105:G106)</f>
        <v>14256500</v>
      </c>
    </row>
    <row r="108" spans="1:7" x14ac:dyDescent="0.25">
      <c r="A108" s="17"/>
      <c r="C108" s="2" t="s">
        <v>34</v>
      </c>
      <c r="D108" s="19">
        <v>79767511</v>
      </c>
      <c r="F108" s="28" t="s">
        <v>29</v>
      </c>
      <c r="G108" s="1"/>
    </row>
    <row r="109" spans="1:7" x14ac:dyDescent="0.25">
      <c r="A109" s="17"/>
      <c r="C109" s="2" t="s">
        <v>35</v>
      </c>
      <c r="D109" s="19">
        <v>25000</v>
      </c>
      <c r="G109" s="1">
        <v>0</v>
      </c>
    </row>
    <row r="110" spans="1:7" x14ac:dyDescent="0.25">
      <c r="A110" s="17"/>
      <c r="C110" s="2" t="s">
        <v>36</v>
      </c>
      <c r="D110" s="19">
        <v>17233023.600000001</v>
      </c>
      <c r="G110" s="30">
        <f>SUM(G109:G109)</f>
        <v>0</v>
      </c>
    </row>
    <row r="111" spans="1:7" x14ac:dyDescent="0.25">
      <c r="A111" s="17"/>
      <c r="C111" s="2" t="s">
        <v>37</v>
      </c>
      <c r="D111" s="19">
        <v>126234429</v>
      </c>
    </row>
    <row r="112" spans="1:7" x14ac:dyDescent="0.25">
      <c r="A112" s="17"/>
      <c r="C112" s="2" t="s">
        <v>51</v>
      </c>
      <c r="D112" s="20">
        <v>130317</v>
      </c>
      <c r="F112" s="28" t="s">
        <v>30</v>
      </c>
      <c r="G112" s="29">
        <f>G107-G110</f>
        <v>14256500</v>
      </c>
    </row>
    <row r="113" spans="1:7" x14ac:dyDescent="0.25">
      <c r="A113" s="17"/>
      <c r="B113" s="24" t="s">
        <v>19</v>
      </c>
      <c r="D113" s="19">
        <f>SUM(D105:D112)</f>
        <v>435436886.85000002</v>
      </c>
    </row>
    <row r="114" spans="1:7" x14ac:dyDescent="0.25">
      <c r="A114" s="17"/>
      <c r="D114" s="19"/>
    </row>
    <row r="115" spans="1:7" x14ac:dyDescent="0.25">
      <c r="A115" s="17"/>
      <c r="B115" s="24" t="s">
        <v>20</v>
      </c>
      <c r="D115" s="19"/>
    </row>
    <row r="116" spans="1:7" x14ac:dyDescent="0.25">
      <c r="A116" s="17"/>
      <c r="C116" t="s">
        <v>7</v>
      </c>
      <c r="D116" s="19">
        <v>2058939637</v>
      </c>
    </row>
    <row r="117" spans="1:7" x14ac:dyDescent="0.25">
      <c r="A117" s="17"/>
      <c r="C117" t="s">
        <v>47</v>
      </c>
      <c r="D117" s="19">
        <v>29085000</v>
      </c>
    </row>
    <row r="118" spans="1:7" x14ac:dyDescent="0.25">
      <c r="A118" s="17"/>
      <c r="C118" t="s">
        <v>21</v>
      </c>
      <c r="D118" s="19">
        <v>961482838</v>
      </c>
    </row>
    <row r="119" spans="1:7" x14ac:dyDescent="0.25">
      <c r="A119" s="17"/>
      <c r="C119" t="s">
        <v>773</v>
      </c>
      <c r="D119" s="19">
        <v>530100000</v>
      </c>
    </row>
    <row r="120" spans="1:7" x14ac:dyDescent="0.25">
      <c r="A120" s="17"/>
      <c r="C120" t="s">
        <v>45</v>
      </c>
      <c r="D120" s="19">
        <v>25000000</v>
      </c>
    </row>
    <row r="121" spans="1:7" x14ac:dyDescent="0.25">
      <c r="A121" s="17"/>
      <c r="C121" t="s">
        <v>48</v>
      </c>
      <c r="D121" s="19">
        <v>30000000</v>
      </c>
    </row>
    <row r="122" spans="1:7" x14ac:dyDescent="0.25">
      <c r="A122" s="17"/>
      <c r="C122" t="s">
        <v>518</v>
      </c>
      <c r="D122" s="19">
        <v>50000000</v>
      </c>
    </row>
    <row r="123" spans="1:7" x14ac:dyDescent="0.25">
      <c r="A123" s="17"/>
      <c r="C123" t="s">
        <v>882</v>
      </c>
      <c r="D123" s="19">
        <v>33000000</v>
      </c>
    </row>
    <row r="124" spans="1:7" x14ac:dyDescent="0.25">
      <c r="A124" s="17"/>
      <c r="C124" t="s">
        <v>933</v>
      </c>
      <c r="D124" s="19">
        <v>180000000</v>
      </c>
    </row>
    <row r="125" spans="1:7" x14ac:dyDescent="0.25">
      <c r="A125" s="17"/>
      <c r="C125" t="s">
        <v>744</v>
      </c>
      <c r="D125" s="19">
        <v>1002500</v>
      </c>
    </row>
    <row r="126" spans="1:7" x14ac:dyDescent="0.25">
      <c r="A126" s="17"/>
      <c r="C126" t="s">
        <v>756</v>
      </c>
      <c r="D126" s="20">
        <v>50005000</v>
      </c>
    </row>
    <row r="127" spans="1:7" x14ac:dyDescent="0.25">
      <c r="A127" s="17"/>
      <c r="D127" s="19">
        <f>SUM(D116:D126)</f>
        <v>3948614975</v>
      </c>
    </row>
    <row r="128" spans="1:7" x14ac:dyDescent="0.25">
      <c r="A128" s="17"/>
      <c r="D128" s="19"/>
      <c r="G128" s="1"/>
    </row>
    <row r="129" spans="1:7" x14ac:dyDescent="0.25">
      <c r="A129" s="17"/>
      <c r="B129" s="24" t="s">
        <v>46</v>
      </c>
      <c r="D129" s="19"/>
      <c r="G129" s="1"/>
    </row>
    <row r="130" spans="1:7" x14ac:dyDescent="0.25">
      <c r="A130" s="17"/>
      <c r="B130" s="24"/>
      <c r="C130" t="s">
        <v>920</v>
      </c>
      <c r="D130" s="19">
        <f>184*602500</f>
        <v>110860000</v>
      </c>
      <c r="G130" s="1"/>
    </row>
    <row r="131" spans="1:7" x14ac:dyDescent="0.25">
      <c r="A131" s="17"/>
      <c r="B131" s="24"/>
      <c r="C131" t="s">
        <v>323</v>
      </c>
      <c r="D131" s="19">
        <f>4*602500</f>
        <v>2410000</v>
      </c>
    </row>
    <row r="132" spans="1:7" x14ac:dyDescent="0.25">
      <c r="A132" s="17"/>
      <c r="B132" s="24"/>
      <c r="C132" t="s">
        <v>856</v>
      </c>
      <c r="D132" s="20">
        <v>0</v>
      </c>
    </row>
    <row r="133" spans="1:7" x14ac:dyDescent="0.25">
      <c r="A133" s="17"/>
      <c r="D133" s="19">
        <f>SUM(D130:D132)</f>
        <v>113270000</v>
      </c>
      <c r="G133" s="1"/>
    </row>
    <row r="134" spans="1:7" x14ac:dyDescent="0.25">
      <c r="A134" s="17"/>
      <c r="D134" s="19"/>
      <c r="G134" s="1"/>
    </row>
    <row r="135" spans="1:7" x14ac:dyDescent="0.25">
      <c r="A135" s="23" t="s">
        <v>22</v>
      </c>
      <c r="D135" s="19"/>
      <c r="G135" s="1"/>
    </row>
    <row r="136" spans="1:7" x14ac:dyDescent="0.25">
      <c r="A136" s="17"/>
      <c r="C136" t="s">
        <v>23</v>
      </c>
      <c r="D136" s="19">
        <v>1396650000</v>
      </c>
      <c r="G136" s="1"/>
    </row>
    <row r="137" spans="1:7" x14ac:dyDescent="0.25">
      <c r="A137" s="17"/>
      <c r="C137" t="s">
        <v>24</v>
      </c>
      <c r="D137" s="19">
        <v>1425257500</v>
      </c>
      <c r="G137" s="1"/>
    </row>
    <row r="138" spans="1:7" x14ac:dyDescent="0.25">
      <c r="A138" s="17"/>
      <c r="C138" t="s">
        <v>602</v>
      </c>
      <c r="D138" s="19">
        <v>336000000</v>
      </c>
      <c r="G138" s="1"/>
    </row>
    <row r="139" spans="1:7" x14ac:dyDescent="0.25">
      <c r="A139" s="17"/>
      <c r="C139" t="s">
        <v>44</v>
      </c>
      <c r="D139" s="20">
        <v>109200000</v>
      </c>
      <c r="G139" s="1"/>
    </row>
    <row r="140" spans="1:7" x14ac:dyDescent="0.25">
      <c r="A140" s="17"/>
      <c r="D140" s="19">
        <f>SUM(D136:D139)</f>
        <v>3267107500</v>
      </c>
      <c r="G140" s="1"/>
    </row>
    <row r="141" spans="1:7" x14ac:dyDescent="0.25">
      <c r="A141" s="17"/>
      <c r="D141" s="19"/>
      <c r="G141" s="1"/>
    </row>
    <row r="142" spans="1:7" x14ac:dyDescent="0.25">
      <c r="A142" s="43" t="s">
        <v>25</v>
      </c>
      <c r="B142" s="44"/>
      <c r="C142" s="44"/>
      <c r="D142" s="25">
        <f>D113+D127+D133-D140</f>
        <v>1230214361.8500004</v>
      </c>
      <c r="G142" s="1"/>
    </row>
    <row r="143" spans="1:7" x14ac:dyDescent="0.25">
      <c r="A143" s="21"/>
      <c r="B143" s="22"/>
      <c r="C143" s="22"/>
      <c r="D143" s="20"/>
      <c r="G143" s="1"/>
    </row>
    <row r="145" spans="1:9" x14ac:dyDescent="0.25">
      <c r="A145" s="40" t="s">
        <v>13</v>
      </c>
      <c r="B145" s="40"/>
      <c r="C145" s="40"/>
      <c r="D145" s="40"/>
      <c r="G145" s="1"/>
    </row>
    <row r="146" spans="1:9" x14ac:dyDescent="0.25">
      <c r="A146" s="41" t="s">
        <v>14</v>
      </c>
      <c r="B146" s="41"/>
      <c r="C146" s="41"/>
      <c r="D146" s="41"/>
      <c r="G146" s="1"/>
    </row>
    <row r="147" spans="1:9" x14ac:dyDescent="0.25">
      <c r="A147" s="42">
        <v>45904</v>
      </c>
      <c r="B147" s="42"/>
      <c r="C147" s="42"/>
      <c r="D147" s="42"/>
      <c r="G147" s="1"/>
    </row>
    <row r="148" spans="1:9" x14ac:dyDescent="0.25">
      <c r="A148" s="13"/>
      <c r="B148" s="13"/>
      <c r="C148" s="13"/>
      <c r="D148" s="13"/>
      <c r="G148" s="1"/>
    </row>
    <row r="149" spans="1:9" x14ac:dyDescent="0.25">
      <c r="A149" s="14"/>
      <c r="B149" s="15"/>
      <c r="C149" s="15"/>
      <c r="D149" s="16"/>
      <c r="F149" s="5" t="s">
        <v>26</v>
      </c>
      <c r="G149" s="1">
        <f>D190-D142</f>
        <v>1473000</v>
      </c>
    </row>
    <row r="150" spans="1:9" x14ac:dyDescent="0.25">
      <c r="A150" s="17"/>
      <c r="D150" s="32" t="s">
        <v>16</v>
      </c>
      <c r="G150" s="1"/>
    </row>
    <row r="151" spans="1:9" x14ac:dyDescent="0.25">
      <c r="A151" s="23" t="s">
        <v>15</v>
      </c>
      <c r="D151" s="18" t="s">
        <v>17</v>
      </c>
      <c r="F151" s="26" t="s">
        <v>27</v>
      </c>
      <c r="G151" s="1"/>
    </row>
    <row r="152" spans="1:9" x14ac:dyDescent="0.25">
      <c r="A152" s="17"/>
      <c r="B152" s="24" t="s">
        <v>18</v>
      </c>
      <c r="D152" s="19"/>
      <c r="F152" s="27" t="s">
        <v>28</v>
      </c>
      <c r="G152" s="1"/>
    </row>
    <row r="153" spans="1:9" x14ac:dyDescent="0.25">
      <c r="A153" s="17"/>
      <c r="C153" s="2" t="s">
        <v>31</v>
      </c>
      <c r="D153" s="19">
        <v>117592993.01000001</v>
      </c>
      <c r="F153" t="s">
        <v>118</v>
      </c>
      <c r="G153" s="1">
        <v>3573000</v>
      </c>
    </row>
    <row r="154" spans="1:9" x14ac:dyDescent="0.25">
      <c r="A154" s="17"/>
      <c r="C154" s="2" t="s">
        <v>32</v>
      </c>
      <c r="D154" s="19">
        <v>58103579.840000004</v>
      </c>
      <c r="F154" t="s">
        <v>923</v>
      </c>
      <c r="G154" s="1">
        <v>150000</v>
      </c>
    </row>
    <row r="155" spans="1:9" x14ac:dyDescent="0.25">
      <c r="A155" s="17"/>
      <c r="C155" s="2" t="s">
        <v>33</v>
      </c>
      <c r="D155" s="19">
        <v>208585033.40000001</v>
      </c>
      <c r="G155" s="30">
        <f>SUM(G153:G154)</f>
        <v>3723000</v>
      </c>
    </row>
    <row r="156" spans="1:9" x14ac:dyDescent="0.25">
      <c r="A156" s="17"/>
      <c r="C156" s="2" t="s">
        <v>34</v>
      </c>
      <c r="D156" s="19">
        <v>151417511</v>
      </c>
      <c r="F156" s="28" t="s">
        <v>29</v>
      </c>
      <c r="G156" s="1"/>
      <c r="I156" s="38"/>
    </row>
    <row r="157" spans="1:9" x14ac:dyDescent="0.25">
      <c r="A157" s="17"/>
      <c r="C157" s="2" t="s">
        <v>35</v>
      </c>
      <c r="D157" s="19">
        <v>25000</v>
      </c>
      <c r="F157" t="s">
        <v>104</v>
      </c>
      <c r="G157" s="1">
        <v>2250000</v>
      </c>
    </row>
    <row r="158" spans="1:9" x14ac:dyDescent="0.25">
      <c r="A158" s="17"/>
      <c r="C158" s="2" t="s">
        <v>36</v>
      </c>
      <c r="D158" s="19">
        <v>20483023.600000001</v>
      </c>
      <c r="G158" s="30">
        <f>SUM(G157:G157)</f>
        <v>2250000</v>
      </c>
    </row>
    <row r="159" spans="1:9" x14ac:dyDescent="0.25">
      <c r="A159" s="17"/>
      <c r="C159" s="2" t="s">
        <v>37</v>
      </c>
      <c r="D159" s="19">
        <v>228816429</v>
      </c>
    </row>
    <row r="160" spans="1:9" x14ac:dyDescent="0.25">
      <c r="A160" s="17"/>
      <c r="C160" s="2" t="s">
        <v>51</v>
      </c>
      <c r="D160" s="20">
        <v>130317</v>
      </c>
      <c r="F160" s="28" t="s">
        <v>30</v>
      </c>
      <c r="G160" s="29">
        <f>G155-G158</f>
        <v>1473000</v>
      </c>
    </row>
    <row r="161" spans="1:7" x14ac:dyDescent="0.25">
      <c r="A161" s="17"/>
      <c r="B161" s="24" t="s">
        <v>19</v>
      </c>
      <c r="D161" s="19">
        <f>SUM(D153:D160)</f>
        <v>785153886.85000002</v>
      </c>
    </row>
    <row r="162" spans="1:7" x14ac:dyDescent="0.25">
      <c r="A162" s="17"/>
      <c r="D162" s="19"/>
    </row>
    <row r="163" spans="1:7" x14ac:dyDescent="0.25">
      <c r="A163" s="17"/>
      <c r="B163" s="24" t="s">
        <v>20</v>
      </c>
      <c r="D163" s="19"/>
    </row>
    <row r="164" spans="1:7" x14ac:dyDescent="0.25">
      <c r="A164" s="17"/>
      <c r="C164" t="s">
        <v>7</v>
      </c>
      <c r="D164" s="19">
        <v>2017739637</v>
      </c>
    </row>
    <row r="165" spans="1:7" x14ac:dyDescent="0.25">
      <c r="A165" s="17"/>
      <c r="C165" t="s">
        <v>47</v>
      </c>
      <c r="D165" s="19">
        <v>15775000</v>
      </c>
    </row>
    <row r="166" spans="1:7" x14ac:dyDescent="0.25">
      <c r="A166" s="17"/>
      <c r="C166" t="s">
        <v>21</v>
      </c>
      <c r="D166" s="19">
        <v>937910838</v>
      </c>
    </row>
    <row r="167" spans="1:7" x14ac:dyDescent="0.25">
      <c r="A167" s="17"/>
      <c r="C167" t="s">
        <v>773</v>
      </c>
      <c r="D167" s="19">
        <v>530100000</v>
      </c>
    </row>
    <row r="168" spans="1:7" x14ac:dyDescent="0.25">
      <c r="A168" s="17"/>
      <c r="C168" t="s">
        <v>45</v>
      </c>
      <c r="D168" s="19">
        <v>25000000</v>
      </c>
    </row>
    <row r="169" spans="1:7" x14ac:dyDescent="0.25">
      <c r="A169" s="17"/>
      <c r="C169" t="s">
        <v>48</v>
      </c>
      <c r="D169" s="19">
        <v>30000000</v>
      </c>
    </row>
    <row r="170" spans="1:7" x14ac:dyDescent="0.25">
      <c r="A170" s="17"/>
      <c r="C170" t="s">
        <v>518</v>
      </c>
      <c r="D170" s="19">
        <v>50000000</v>
      </c>
    </row>
    <row r="171" spans="1:7" x14ac:dyDescent="0.25">
      <c r="A171" s="17"/>
      <c r="C171" t="s">
        <v>882</v>
      </c>
      <c r="D171" s="19">
        <v>33000000</v>
      </c>
    </row>
    <row r="172" spans="1:7" x14ac:dyDescent="0.25">
      <c r="A172" s="17"/>
      <c r="C172" t="s">
        <v>933</v>
      </c>
      <c r="D172" s="19">
        <v>180000000</v>
      </c>
    </row>
    <row r="173" spans="1:7" x14ac:dyDescent="0.25">
      <c r="A173" s="17"/>
      <c r="C173" t="s">
        <v>744</v>
      </c>
      <c r="D173" s="19">
        <v>1002500</v>
      </c>
    </row>
    <row r="174" spans="1:7" x14ac:dyDescent="0.25">
      <c r="A174" s="17"/>
      <c r="C174" t="s">
        <v>756</v>
      </c>
      <c r="D174" s="20">
        <v>50005000</v>
      </c>
    </row>
    <row r="175" spans="1:7" x14ac:dyDescent="0.25">
      <c r="A175" s="17"/>
      <c r="D175" s="19">
        <f>SUM(D164:D174)</f>
        <v>3870532975</v>
      </c>
    </row>
    <row r="176" spans="1:7" x14ac:dyDescent="0.25">
      <c r="A176" s="17"/>
      <c r="D176" s="19"/>
      <c r="G176" s="1"/>
    </row>
    <row r="177" spans="1:7" x14ac:dyDescent="0.25">
      <c r="A177" s="17"/>
      <c r="B177" s="24" t="s">
        <v>46</v>
      </c>
      <c r="D177" s="19"/>
      <c r="G177" s="1"/>
    </row>
    <row r="178" spans="1:7" x14ac:dyDescent="0.25">
      <c r="A178" s="17"/>
      <c r="B178" s="24"/>
      <c r="C178" t="s">
        <v>920</v>
      </c>
      <c r="D178" s="19">
        <f>184*602500</f>
        <v>110860000</v>
      </c>
      <c r="G178" s="1"/>
    </row>
    <row r="179" spans="1:7" x14ac:dyDescent="0.25">
      <c r="A179" s="17"/>
      <c r="B179" s="24"/>
      <c r="C179" t="s">
        <v>323</v>
      </c>
      <c r="D179" s="19">
        <f>4*602500</f>
        <v>2410000</v>
      </c>
    </row>
    <row r="180" spans="1:7" x14ac:dyDescent="0.25">
      <c r="A180" s="17"/>
      <c r="B180" s="24"/>
      <c r="C180" t="s">
        <v>856</v>
      </c>
      <c r="D180" s="20">
        <v>0</v>
      </c>
    </row>
    <row r="181" spans="1:7" x14ac:dyDescent="0.25">
      <c r="A181" s="17"/>
      <c r="D181" s="19">
        <f>SUM(D178:D180)</f>
        <v>113270000</v>
      </c>
      <c r="G181" s="1"/>
    </row>
    <row r="182" spans="1:7" x14ac:dyDescent="0.25">
      <c r="A182" s="17"/>
      <c r="D182" s="19"/>
      <c r="G182" s="1"/>
    </row>
    <row r="183" spans="1:7" x14ac:dyDescent="0.25">
      <c r="A183" s="23" t="s">
        <v>22</v>
      </c>
      <c r="D183" s="19"/>
      <c r="G183" s="1"/>
    </row>
    <row r="184" spans="1:7" x14ac:dyDescent="0.25">
      <c r="A184" s="17"/>
      <c r="C184" t="s">
        <v>23</v>
      </c>
      <c r="D184" s="19">
        <v>1429650000</v>
      </c>
      <c r="G184" s="1"/>
    </row>
    <row r="185" spans="1:7" x14ac:dyDescent="0.25">
      <c r="A185" s="17"/>
      <c r="C185" t="s">
        <v>24</v>
      </c>
      <c r="D185" s="19">
        <v>1578419500</v>
      </c>
      <c r="G185" s="1"/>
    </row>
    <row r="186" spans="1:7" x14ac:dyDescent="0.25">
      <c r="A186" s="17"/>
      <c r="C186" t="s">
        <v>602</v>
      </c>
      <c r="D186" s="19">
        <v>420000000</v>
      </c>
      <c r="G186" s="1"/>
    </row>
    <row r="187" spans="1:7" x14ac:dyDescent="0.25">
      <c r="A187" s="17"/>
      <c r="C187" t="s">
        <v>44</v>
      </c>
      <c r="D187" s="20">
        <v>109200000</v>
      </c>
      <c r="G187" s="1"/>
    </row>
    <row r="188" spans="1:7" x14ac:dyDescent="0.25">
      <c r="A188" s="17"/>
      <c r="D188" s="19">
        <f>SUM(D184:D187)</f>
        <v>3537269500</v>
      </c>
      <c r="G188" s="1"/>
    </row>
    <row r="189" spans="1:7" x14ac:dyDescent="0.25">
      <c r="A189" s="17"/>
      <c r="D189" s="19"/>
      <c r="G189" s="1"/>
    </row>
    <row r="190" spans="1:7" x14ac:dyDescent="0.25">
      <c r="A190" s="43" t="s">
        <v>25</v>
      </c>
      <c r="B190" s="44"/>
      <c r="C190" s="44"/>
      <c r="D190" s="25">
        <f>D161+D175+D181-D188</f>
        <v>1231687361.8500004</v>
      </c>
      <c r="G190" s="1"/>
    </row>
    <row r="191" spans="1:7" x14ac:dyDescent="0.25">
      <c r="A191" s="21"/>
      <c r="B191" s="22"/>
      <c r="C191" s="22"/>
      <c r="D191" s="20"/>
      <c r="G191" s="1"/>
    </row>
    <row r="193" spans="1:9" x14ac:dyDescent="0.25">
      <c r="A193" s="40" t="s">
        <v>13</v>
      </c>
      <c r="B193" s="40"/>
      <c r="C193" s="40"/>
      <c r="D193" s="40"/>
      <c r="G193" s="1"/>
    </row>
    <row r="194" spans="1:9" x14ac:dyDescent="0.25">
      <c r="A194" s="41" t="s">
        <v>14</v>
      </c>
      <c r="B194" s="41"/>
      <c r="C194" s="41"/>
      <c r="D194" s="41"/>
      <c r="G194" s="1"/>
    </row>
    <row r="195" spans="1:9" x14ac:dyDescent="0.25">
      <c r="A195" s="42">
        <v>45906</v>
      </c>
      <c r="B195" s="42"/>
      <c r="C195" s="42"/>
      <c r="D195" s="42"/>
      <c r="G195" s="1"/>
    </row>
    <row r="196" spans="1:9" x14ac:dyDescent="0.25">
      <c r="A196" s="13"/>
      <c r="B196" s="13"/>
      <c r="C196" s="13"/>
      <c r="D196" s="13"/>
      <c r="G196" s="1"/>
    </row>
    <row r="197" spans="1:9" x14ac:dyDescent="0.25">
      <c r="A197" s="14"/>
      <c r="B197" s="15"/>
      <c r="C197" s="15"/>
      <c r="D197" s="16"/>
      <c r="F197" s="5" t="s">
        <v>26</v>
      </c>
      <c r="G197" s="1">
        <f>D239-D190</f>
        <v>6287500</v>
      </c>
    </row>
    <row r="198" spans="1:9" x14ac:dyDescent="0.25">
      <c r="A198" s="17"/>
      <c r="D198" s="32" t="s">
        <v>16</v>
      </c>
      <c r="G198" s="1"/>
    </row>
    <row r="199" spans="1:9" x14ac:dyDescent="0.25">
      <c r="A199" s="23" t="s">
        <v>15</v>
      </c>
      <c r="D199" s="18" t="s">
        <v>17</v>
      </c>
      <c r="F199" s="26" t="s">
        <v>27</v>
      </c>
      <c r="G199" s="1"/>
    </row>
    <row r="200" spans="1:9" x14ac:dyDescent="0.25">
      <c r="A200" s="17"/>
      <c r="B200" s="24" t="s">
        <v>18</v>
      </c>
      <c r="D200" s="19"/>
      <c r="F200" s="27" t="s">
        <v>28</v>
      </c>
      <c r="G200" s="1"/>
    </row>
    <row r="201" spans="1:9" x14ac:dyDescent="0.25">
      <c r="A201" s="17"/>
      <c r="C201" s="2" t="s">
        <v>31</v>
      </c>
      <c r="D201" s="19">
        <v>89139993.010000005</v>
      </c>
      <c r="F201" t="s">
        <v>124</v>
      </c>
      <c r="G201" s="1">
        <v>7658000</v>
      </c>
    </row>
    <row r="202" spans="1:9" x14ac:dyDescent="0.25">
      <c r="A202" s="17"/>
      <c r="C202" s="2" t="s">
        <v>32</v>
      </c>
      <c r="D202" s="19">
        <v>73123579.840000004</v>
      </c>
      <c r="F202" t="s">
        <v>90</v>
      </c>
      <c r="G202" s="1">
        <v>335000</v>
      </c>
    </row>
    <row r="203" spans="1:9" x14ac:dyDescent="0.25">
      <c r="A203" s="17"/>
      <c r="C203" s="2" t="s">
        <v>33</v>
      </c>
      <c r="D203" s="19">
        <v>41020033.399999999</v>
      </c>
      <c r="G203" s="30">
        <f>SUM(G201:G202)</f>
        <v>7993000</v>
      </c>
    </row>
    <row r="204" spans="1:9" x14ac:dyDescent="0.25">
      <c r="A204" s="17"/>
      <c r="C204" s="2" t="s">
        <v>34</v>
      </c>
      <c r="D204" s="19">
        <v>1367511</v>
      </c>
      <c r="F204" s="28" t="s">
        <v>29</v>
      </c>
      <c r="G204" s="1"/>
    </row>
    <row r="205" spans="1:9" x14ac:dyDescent="0.25">
      <c r="A205" s="17"/>
      <c r="C205" s="2" t="s">
        <v>35</v>
      </c>
      <c r="D205" s="19">
        <v>25000</v>
      </c>
      <c r="F205" t="s">
        <v>161</v>
      </c>
      <c r="G205" s="1">
        <v>2500</v>
      </c>
      <c r="I205" s="38"/>
    </row>
    <row r="206" spans="1:9" x14ac:dyDescent="0.25">
      <c r="A206" s="17"/>
      <c r="C206" s="2" t="s">
        <v>36</v>
      </c>
      <c r="D206" s="19">
        <v>20483023.600000001</v>
      </c>
      <c r="F206" t="s">
        <v>929</v>
      </c>
      <c r="G206" s="1">
        <v>1003000</v>
      </c>
    </row>
    <row r="207" spans="1:9" x14ac:dyDescent="0.25">
      <c r="A207" s="17"/>
      <c r="C207" s="2" t="s">
        <v>37</v>
      </c>
      <c r="D207" s="19">
        <v>15863929</v>
      </c>
      <c r="F207" t="s">
        <v>925</v>
      </c>
      <c r="G207" s="1">
        <v>700000</v>
      </c>
    </row>
    <row r="208" spans="1:9" x14ac:dyDescent="0.25">
      <c r="A208" s="17"/>
      <c r="C208" s="2" t="s">
        <v>51</v>
      </c>
      <c r="D208" s="20">
        <v>130317</v>
      </c>
      <c r="G208" s="30">
        <f>SUM(G205:G207)</f>
        <v>1705500</v>
      </c>
    </row>
    <row r="209" spans="1:7" x14ac:dyDescent="0.25">
      <c r="A209" s="17"/>
      <c r="B209" s="24" t="s">
        <v>19</v>
      </c>
      <c r="D209" s="19">
        <f>SUM(D201:D208)</f>
        <v>241153386.85000002</v>
      </c>
    </row>
    <row r="210" spans="1:7" x14ac:dyDescent="0.25">
      <c r="A210" s="17"/>
      <c r="D210" s="19"/>
      <c r="F210" s="28" t="s">
        <v>30</v>
      </c>
      <c r="G210" s="29">
        <f>G203-G208</f>
        <v>6287500</v>
      </c>
    </row>
    <row r="211" spans="1:7" x14ac:dyDescent="0.25">
      <c r="A211" s="17"/>
      <c r="B211" s="24" t="s">
        <v>20</v>
      </c>
      <c r="D211" s="19"/>
    </row>
    <row r="212" spans="1:7" x14ac:dyDescent="0.25">
      <c r="A212" s="17"/>
      <c r="C212" t="s">
        <v>7</v>
      </c>
      <c r="D212" s="19">
        <v>2143214637</v>
      </c>
    </row>
    <row r="213" spans="1:7" x14ac:dyDescent="0.25">
      <c r="A213" s="17"/>
      <c r="C213" t="s">
        <v>47</v>
      </c>
      <c r="D213" s="19">
        <v>9525000</v>
      </c>
    </row>
    <row r="214" spans="1:7" x14ac:dyDescent="0.25">
      <c r="A214" s="17"/>
      <c r="C214" t="s">
        <v>21</v>
      </c>
      <c r="D214" s="19">
        <v>1015760838</v>
      </c>
    </row>
    <row r="215" spans="1:7" x14ac:dyDescent="0.25">
      <c r="A215" s="17"/>
      <c r="C215" t="s">
        <v>773</v>
      </c>
      <c r="D215" s="19">
        <v>530100000</v>
      </c>
    </row>
    <row r="216" spans="1:7" x14ac:dyDescent="0.25">
      <c r="A216" s="17"/>
      <c r="C216" t="s">
        <v>45</v>
      </c>
      <c r="D216" s="19">
        <v>25000000</v>
      </c>
    </row>
    <row r="217" spans="1:7" x14ac:dyDescent="0.25">
      <c r="A217" s="17"/>
      <c r="C217" t="s">
        <v>48</v>
      </c>
      <c r="D217" s="19">
        <v>30000000</v>
      </c>
    </row>
    <row r="218" spans="1:7" x14ac:dyDescent="0.25">
      <c r="A218" s="17"/>
      <c r="C218" t="s">
        <v>518</v>
      </c>
      <c r="D218" s="19">
        <v>50000000</v>
      </c>
    </row>
    <row r="219" spans="1:7" x14ac:dyDescent="0.25">
      <c r="A219" s="17"/>
      <c r="C219" t="s">
        <v>882</v>
      </c>
      <c r="D219" s="19">
        <v>33000000</v>
      </c>
    </row>
    <row r="220" spans="1:7" x14ac:dyDescent="0.25">
      <c r="A220" s="17"/>
      <c r="C220" t="s">
        <v>933</v>
      </c>
      <c r="D220" s="19">
        <v>180000000</v>
      </c>
    </row>
    <row r="221" spans="1:7" x14ac:dyDescent="0.25">
      <c r="A221" s="17"/>
      <c r="C221" t="s">
        <v>895</v>
      </c>
      <c r="D221" s="19">
        <v>38000000</v>
      </c>
    </row>
    <row r="222" spans="1:7" x14ac:dyDescent="0.25">
      <c r="A222" s="17"/>
      <c r="C222" t="s">
        <v>744</v>
      </c>
      <c r="D222" s="19">
        <v>1002500</v>
      </c>
    </row>
    <row r="223" spans="1:7" x14ac:dyDescent="0.25">
      <c r="A223" s="17"/>
      <c r="C223" t="s">
        <v>756</v>
      </c>
      <c r="D223" s="20">
        <v>50005000</v>
      </c>
    </row>
    <row r="224" spans="1:7" x14ac:dyDescent="0.25">
      <c r="A224" s="17"/>
      <c r="D224" s="19">
        <f>SUM(D212:D223)</f>
        <v>4105607975</v>
      </c>
    </row>
    <row r="225" spans="1:7" x14ac:dyDescent="0.25">
      <c r="A225" s="17"/>
      <c r="D225" s="19"/>
      <c r="G225" s="1"/>
    </row>
    <row r="226" spans="1:7" x14ac:dyDescent="0.25">
      <c r="A226" s="17"/>
      <c r="B226" s="24" t="s">
        <v>46</v>
      </c>
      <c r="D226" s="19"/>
      <c r="G226" s="1"/>
    </row>
    <row r="227" spans="1:7" x14ac:dyDescent="0.25">
      <c r="A227" s="17"/>
      <c r="B227" s="24"/>
      <c r="C227" t="s">
        <v>924</v>
      </c>
      <c r="D227" s="19">
        <f>174*602500</f>
        <v>104835000</v>
      </c>
      <c r="G227" s="1"/>
    </row>
    <row r="228" spans="1:7" x14ac:dyDescent="0.25">
      <c r="A228" s="17"/>
      <c r="B228" s="24"/>
      <c r="C228" t="s">
        <v>856</v>
      </c>
      <c r="D228" s="19">
        <v>0</v>
      </c>
    </row>
    <row r="229" spans="1:7" x14ac:dyDescent="0.25">
      <c r="A229" s="17"/>
      <c r="B229" s="24"/>
      <c r="C229" t="s">
        <v>856</v>
      </c>
      <c r="D229" s="20">
        <v>0</v>
      </c>
    </row>
    <row r="230" spans="1:7" x14ac:dyDescent="0.25">
      <c r="A230" s="17"/>
      <c r="D230" s="19">
        <f>SUM(D227:D229)</f>
        <v>104835000</v>
      </c>
      <c r="G230" s="1"/>
    </row>
    <row r="231" spans="1:7" x14ac:dyDescent="0.25">
      <c r="A231" s="17"/>
      <c r="D231" s="19"/>
      <c r="G231" s="1"/>
    </row>
    <row r="232" spans="1:7" x14ac:dyDescent="0.25">
      <c r="A232" s="23" t="s">
        <v>22</v>
      </c>
      <c r="D232" s="19"/>
      <c r="G232" s="1"/>
    </row>
    <row r="233" spans="1:7" x14ac:dyDescent="0.25">
      <c r="A233" s="17"/>
      <c r="C233" t="s">
        <v>23</v>
      </c>
      <c r="D233" s="19">
        <v>1152900000</v>
      </c>
      <c r="G233" s="1"/>
    </row>
    <row r="234" spans="1:7" x14ac:dyDescent="0.25">
      <c r="A234" s="17"/>
      <c r="C234" t="s">
        <v>24</v>
      </c>
      <c r="D234" s="19">
        <v>1816671500</v>
      </c>
      <c r="G234" s="1"/>
    </row>
    <row r="235" spans="1:7" x14ac:dyDescent="0.25">
      <c r="A235" s="17"/>
      <c r="C235" t="s">
        <v>602</v>
      </c>
      <c r="D235" s="19">
        <v>168000000</v>
      </c>
      <c r="G235" s="1"/>
    </row>
    <row r="236" spans="1:7" x14ac:dyDescent="0.25">
      <c r="A236" s="17"/>
      <c r="C236" t="s">
        <v>111</v>
      </c>
      <c r="D236" s="20">
        <v>76050000</v>
      </c>
      <c r="G236" s="1"/>
    </row>
    <row r="237" spans="1:7" x14ac:dyDescent="0.25">
      <c r="A237" s="17"/>
      <c r="D237" s="19">
        <f>SUM(D233:D236)</f>
        <v>3213621500</v>
      </c>
      <c r="G237" s="1"/>
    </row>
    <row r="238" spans="1:7" x14ac:dyDescent="0.25">
      <c r="A238" s="17"/>
      <c r="D238" s="19"/>
      <c r="G238" s="1"/>
    </row>
    <row r="239" spans="1:7" x14ac:dyDescent="0.25">
      <c r="A239" s="43" t="s">
        <v>25</v>
      </c>
      <c r="B239" s="44"/>
      <c r="C239" s="44"/>
      <c r="D239" s="25">
        <f>D209+D224+D230-D237</f>
        <v>1237974861.8500004</v>
      </c>
      <c r="G239" s="1"/>
    </row>
    <row r="240" spans="1:7" x14ac:dyDescent="0.25">
      <c r="A240" s="21"/>
      <c r="B240" s="22"/>
      <c r="C240" s="22"/>
      <c r="D240" s="20"/>
      <c r="G240" s="1"/>
    </row>
    <row r="242" spans="1:9" x14ac:dyDescent="0.25">
      <c r="A242" s="40" t="s">
        <v>13</v>
      </c>
      <c r="B242" s="40"/>
      <c r="C242" s="40"/>
      <c r="D242" s="40"/>
      <c r="G242" s="1"/>
    </row>
    <row r="243" spans="1:9" x14ac:dyDescent="0.25">
      <c r="A243" s="41" t="s">
        <v>14</v>
      </c>
      <c r="B243" s="41"/>
      <c r="C243" s="41"/>
      <c r="D243" s="41"/>
      <c r="G243" s="1"/>
    </row>
    <row r="244" spans="1:9" x14ac:dyDescent="0.25">
      <c r="A244" s="42">
        <v>45908</v>
      </c>
      <c r="B244" s="42"/>
      <c r="C244" s="42"/>
      <c r="D244" s="42"/>
      <c r="G244" s="1"/>
    </row>
    <row r="245" spans="1:9" x14ac:dyDescent="0.25">
      <c r="A245" s="13"/>
      <c r="B245" s="13"/>
      <c r="C245" s="13"/>
      <c r="D245" s="13"/>
      <c r="G245" s="1"/>
    </row>
    <row r="246" spans="1:9" x14ac:dyDescent="0.25">
      <c r="A246" s="14"/>
      <c r="B246" s="15"/>
      <c r="C246" s="15"/>
      <c r="D246" s="16"/>
      <c r="F246" s="5" t="s">
        <v>26</v>
      </c>
      <c r="G246" s="1">
        <f>D287-D239</f>
        <v>11718000</v>
      </c>
    </row>
    <row r="247" spans="1:9" x14ac:dyDescent="0.25">
      <c r="A247" s="17"/>
      <c r="D247" s="32" t="s">
        <v>16</v>
      </c>
      <c r="G247" s="1"/>
    </row>
    <row r="248" spans="1:9" x14ac:dyDescent="0.25">
      <c r="A248" s="23" t="s">
        <v>15</v>
      </c>
      <c r="D248" s="18" t="s">
        <v>17</v>
      </c>
      <c r="F248" s="26" t="s">
        <v>27</v>
      </c>
      <c r="G248" s="1"/>
    </row>
    <row r="249" spans="1:9" x14ac:dyDescent="0.25">
      <c r="A249" s="17"/>
      <c r="B249" s="24" t="s">
        <v>18</v>
      </c>
      <c r="D249" s="19"/>
      <c r="F249" s="27" t="s">
        <v>28</v>
      </c>
      <c r="G249" s="1"/>
    </row>
    <row r="250" spans="1:9" x14ac:dyDescent="0.25">
      <c r="A250" s="17"/>
      <c r="C250" s="2" t="s">
        <v>31</v>
      </c>
      <c r="D250" s="19">
        <v>69139993.010000005</v>
      </c>
      <c r="F250" t="s">
        <v>141</v>
      </c>
      <c r="G250" s="1">
        <v>11082000</v>
      </c>
    </row>
    <row r="251" spans="1:9" x14ac:dyDescent="0.25">
      <c r="A251" s="17"/>
      <c r="C251" s="2" t="s">
        <v>32</v>
      </c>
      <c r="D251" s="19">
        <v>73123579.840000004</v>
      </c>
      <c r="F251" t="s">
        <v>90</v>
      </c>
      <c r="G251" s="1">
        <v>287500</v>
      </c>
    </row>
    <row r="252" spans="1:9" x14ac:dyDescent="0.25">
      <c r="A252" s="17"/>
      <c r="C252" s="2" t="s">
        <v>33</v>
      </c>
      <c r="D252" s="19">
        <v>362886533.39999998</v>
      </c>
      <c r="F252" t="s">
        <v>926</v>
      </c>
      <c r="G252" s="1">
        <v>175000</v>
      </c>
    </row>
    <row r="253" spans="1:9" x14ac:dyDescent="0.25">
      <c r="A253" s="17"/>
      <c r="C253" s="2" t="s">
        <v>34</v>
      </c>
      <c r="D253" s="19">
        <v>1617511</v>
      </c>
      <c r="F253" t="s">
        <v>927</v>
      </c>
      <c r="G253" s="1">
        <v>173500</v>
      </c>
    </row>
    <row r="254" spans="1:9" x14ac:dyDescent="0.25">
      <c r="A254" s="17"/>
      <c r="C254" s="2" t="s">
        <v>35</v>
      </c>
      <c r="D254" s="19">
        <v>25000</v>
      </c>
      <c r="G254" s="30">
        <f>SUM(G250:G253)</f>
        <v>11718000</v>
      </c>
    </row>
    <row r="255" spans="1:9" x14ac:dyDescent="0.25">
      <c r="A255" s="17"/>
      <c r="C255" s="2" t="s">
        <v>36</v>
      </c>
      <c r="D255" s="19">
        <v>20483023.600000001</v>
      </c>
      <c r="F255" s="28" t="s">
        <v>29</v>
      </c>
      <c r="G255" s="1"/>
      <c r="I255" s="38"/>
    </row>
    <row r="256" spans="1:9" x14ac:dyDescent="0.25">
      <c r="A256" s="17"/>
      <c r="C256" s="2" t="s">
        <v>37</v>
      </c>
      <c r="D256" s="19">
        <v>14863929</v>
      </c>
      <c r="G256" s="1">
        <v>0</v>
      </c>
    </row>
    <row r="257" spans="1:7" x14ac:dyDescent="0.25">
      <c r="A257" s="17"/>
      <c r="C257" s="2" t="s">
        <v>51</v>
      </c>
      <c r="D257" s="20">
        <v>130317</v>
      </c>
      <c r="G257" s="30">
        <f>SUM(G256:G256)</f>
        <v>0</v>
      </c>
    </row>
    <row r="258" spans="1:7" x14ac:dyDescent="0.25">
      <c r="A258" s="17"/>
      <c r="B258" s="24" t="s">
        <v>19</v>
      </c>
      <c r="D258" s="19">
        <f>SUM(D250:D257)</f>
        <v>542269886.85000002</v>
      </c>
    </row>
    <row r="259" spans="1:7" x14ac:dyDescent="0.25">
      <c r="A259" s="17"/>
      <c r="D259" s="19"/>
      <c r="F259" s="28" t="s">
        <v>30</v>
      </c>
      <c r="G259" s="29">
        <f>G254-G257</f>
        <v>11718000</v>
      </c>
    </row>
    <row r="260" spans="1:7" x14ac:dyDescent="0.25">
      <c r="A260" s="17"/>
      <c r="B260" s="24" t="s">
        <v>20</v>
      </c>
      <c r="D260" s="19"/>
    </row>
    <row r="261" spans="1:7" x14ac:dyDescent="0.25">
      <c r="A261" s="17"/>
      <c r="C261" t="s">
        <v>7</v>
      </c>
      <c r="D261" s="19">
        <v>2380069637</v>
      </c>
    </row>
    <row r="262" spans="1:7" x14ac:dyDescent="0.25">
      <c r="A262" s="17"/>
      <c r="C262" t="s">
        <v>47</v>
      </c>
      <c r="D262" s="19">
        <v>12825000</v>
      </c>
    </row>
    <row r="263" spans="1:7" x14ac:dyDescent="0.25">
      <c r="A263" s="17"/>
      <c r="C263" t="s">
        <v>21</v>
      </c>
      <c r="D263" s="19">
        <v>981610838</v>
      </c>
    </row>
    <row r="264" spans="1:7" x14ac:dyDescent="0.25">
      <c r="A264" s="17"/>
      <c r="C264" t="s">
        <v>773</v>
      </c>
      <c r="D264" s="19">
        <v>454950000</v>
      </c>
    </row>
    <row r="265" spans="1:7" x14ac:dyDescent="0.25">
      <c r="A265" s="17"/>
      <c r="C265" t="s">
        <v>45</v>
      </c>
      <c r="D265" s="19">
        <v>25000000</v>
      </c>
    </row>
    <row r="266" spans="1:7" x14ac:dyDescent="0.25">
      <c r="A266" s="17"/>
      <c r="C266" t="s">
        <v>48</v>
      </c>
      <c r="D266" s="19">
        <v>30000000</v>
      </c>
    </row>
    <row r="267" spans="1:7" x14ac:dyDescent="0.25">
      <c r="A267" s="17"/>
      <c r="C267" t="s">
        <v>518</v>
      </c>
      <c r="D267" s="19">
        <v>50000000</v>
      </c>
    </row>
    <row r="268" spans="1:7" x14ac:dyDescent="0.25">
      <c r="A268" s="17"/>
      <c r="C268" t="s">
        <v>882</v>
      </c>
      <c r="D268" s="19">
        <v>33000000</v>
      </c>
    </row>
    <row r="269" spans="1:7" x14ac:dyDescent="0.25">
      <c r="A269" s="17"/>
      <c r="C269" t="s">
        <v>933</v>
      </c>
      <c r="D269" s="19">
        <v>180000000</v>
      </c>
    </row>
    <row r="270" spans="1:7" x14ac:dyDescent="0.25">
      <c r="A270" s="17"/>
      <c r="C270" t="s">
        <v>744</v>
      </c>
      <c r="D270" s="19">
        <v>1002500</v>
      </c>
    </row>
    <row r="271" spans="1:7" x14ac:dyDescent="0.25">
      <c r="A271" s="17"/>
      <c r="C271" t="s">
        <v>756</v>
      </c>
      <c r="D271" s="20">
        <v>50005000</v>
      </c>
    </row>
    <row r="272" spans="1:7" x14ac:dyDescent="0.25">
      <c r="A272" s="17"/>
      <c r="D272" s="19">
        <f>SUM(D261:D271)</f>
        <v>4198462975</v>
      </c>
    </row>
    <row r="273" spans="1:7" x14ac:dyDescent="0.25">
      <c r="A273" s="17"/>
      <c r="D273" s="19"/>
      <c r="G273" s="1"/>
    </row>
    <row r="274" spans="1:7" x14ac:dyDescent="0.25">
      <c r="A274" s="17"/>
      <c r="B274" s="24" t="s">
        <v>46</v>
      </c>
      <c r="D274" s="19"/>
      <c r="G274" s="1"/>
    </row>
    <row r="275" spans="1:7" x14ac:dyDescent="0.25">
      <c r="A275" s="17"/>
      <c r="B275" s="24"/>
      <c r="C275" t="s">
        <v>711</v>
      </c>
      <c r="D275" s="19">
        <f>169*602500</f>
        <v>101822500</v>
      </c>
      <c r="G275" s="1"/>
    </row>
    <row r="276" spans="1:7" x14ac:dyDescent="0.25">
      <c r="A276" s="17"/>
      <c r="B276" s="24"/>
      <c r="C276" t="s">
        <v>856</v>
      </c>
      <c r="D276" s="19">
        <v>0</v>
      </c>
    </row>
    <row r="277" spans="1:7" x14ac:dyDescent="0.25">
      <c r="A277" s="17"/>
      <c r="B277" s="24"/>
      <c r="C277" t="s">
        <v>856</v>
      </c>
      <c r="D277" s="20">
        <v>0</v>
      </c>
    </row>
    <row r="278" spans="1:7" x14ac:dyDescent="0.25">
      <c r="A278" s="17"/>
      <c r="D278" s="19">
        <f>SUM(D275:D277)</f>
        <v>101822500</v>
      </c>
      <c r="G278" s="1"/>
    </row>
    <row r="279" spans="1:7" x14ac:dyDescent="0.25">
      <c r="A279" s="17"/>
      <c r="D279" s="19"/>
      <c r="G279" s="1"/>
    </row>
    <row r="280" spans="1:7" x14ac:dyDescent="0.25">
      <c r="A280" s="23" t="s">
        <v>22</v>
      </c>
      <c r="D280" s="19"/>
      <c r="G280" s="1"/>
    </row>
    <row r="281" spans="1:7" x14ac:dyDescent="0.25">
      <c r="A281" s="17"/>
      <c r="C281" t="s">
        <v>23</v>
      </c>
      <c r="D281" s="19">
        <v>1464600000</v>
      </c>
      <c r="G281" s="1"/>
    </row>
    <row r="282" spans="1:7" x14ac:dyDescent="0.25">
      <c r="A282" s="17"/>
      <c r="C282" t="s">
        <v>24</v>
      </c>
      <c r="D282" s="19">
        <v>1808162500</v>
      </c>
      <c r="G282" s="1"/>
    </row>
    <row r="283" spans="1:7" x14ac:dyDescent="0.25">
      <c r="A283" s="17"/>
      <c r="C283" t="s">
        <v>602</v>
      </c>
      <c r="D283" s="19">
        <v>168000000</v>
      </c>
      <c r="G283" s="1"/>
    </row>
    <row r="284" spans="1:7" x14ac:dyDescent="0.25">
      <c r="A284" s="17"/>
      <c r="C284" t="s">
        <v>111</v>
      </c>
      <c r="D284" s="20">
        <v>152100000</v>
      </c>
      <c r="G284" s="1"/>
    </row>
    <row r="285" spans="1:7" x14ac:dyDescent="0.25">
      <c r="A285" s="17"/>
      <c r="D285" s="19">
        <f>SUM(D281:D284)</f>
        <v>3592862500</v>
      </c>
      <c r="G285" s="1"/>
    </row>
    <row r="286" spans="1:7" x14ac:dyDescent="0.25">
      <c r="A286" s="17"/>
      <c r="D286" s="19"/>
      <c r="G286" s="1"/>
    </row>
    <row r="287" spans="1:7" x14ac:dyDescent="0.25">
      <c r="A287" s="43" t="s">
        <v>25</v>
      </c>
      <c r="B287" s="44"/>
      <c r="C287" s="44"/>
      <c r="D287" s="25">
        <f>D258+D272+D278-D285</f>
        <v>1249692861.8500004</v>
      </c>
      <c r="G287" s="1"/>
    </row>
    <row r="288" spans="1:7" x14ac:dyDescent="0.25">
      <c r="A288" s="21"/>
      <c r="B288" s="22"/>
      <c r="C288" s="22"/>
      <c r="D288" s="20"/>
      <c r="G288" s="1"/>
    </row>
    <row r="290" spans="1:7" x14ac:dyDescent="0.25">
      <c r="A290" s="40" t="s">
        <v>13</v>
      </c>
      <c r="B290" s="40"/>
      <c r="C290" s="40"/>
      <c r="D290" s="40"/>
      <c r="G290" s="1"/>
    </row>
    <row r="291" spans="1:7" x14ac:dyDescent="0.25">
      <c r="A291" s="41" t="s">
        <v>14</v>
      </c>
      <c r="B291" s="41"/>
      <c r="C291" s="41"/>
      <c r="D291" s="41"/>
      <c r="G291" s="1"/>
    </row>
    <row r="292" spans="1:7" x14ac:dyDescent="0.25">
      <c r="A292" s="42">
        <v>45909</v>
      </c>
      <c r="B292" s="42"/>
      <c r="C292" s="42"/>
      <c r="D292" s="42"/>
      <c r="G292" s="1"/>
    </row>
    <row r="293" spans="1:7" x14ac:dyDescent="0.25">
      <c r="A293" s="13"/>
      <c r="B293" s="13"/>
      <c r="C293" s="13"/>
      <c r="D293" s="13"/>
      <c r="G293" s="1"/>
    </row>
    <row r="294" spans="1:7" x14ac:dyDescent="0.25">
      <c r="A294" s="14"/>
      <c r="B294" s="15"/>
      <c r="C294" s="15"/>
      <c r="D294" s="16"/>
      <c r="F294" s="5" t="s">
        <v>26</v>
      </c>
      <c r="G294" s="1">
        <f>D334-D287</f>
        <v>1145110</v>
      </c>
    </row>
    <row r="295" spans="1:7" x14ac:dyDescent="0.25">
      <c r="A295" s="17"/>
      <c r="D295" s="32" t="s">
        <v>16</v>
      </c>
      <c r="G295" s="1"/>
    </row>
    <row r="296" spans="1:7" x14ac:dyDescent="0.25">
      <c r="A296" s="23" t="s">
        <v>15</v>
      </c>
      <c r="D296" s="18" t="s">
        <v>17</v>
      </c>
      <c r="F296" s="26" t="s">
        <v>27</v>
      </c>
      <c r="G296" s="1"/>
    </row>
    <row r="297" spans="1:7" x14ac:dyDescent="0.25">
      <c r="A297" s="17"/>
      <c r="B297" s="24" t="s">
        <v>18</v>
      </c>
      <c r="D297" s="19"/>
      <c r="F297" s="27" t="s">
        <v>28</v>
      </c>
      <c r="G297" s="1"/>
    </row>
    <row r="298" spans="1:7" x14ac:dyDescent="0.25">
      <c r="A298" s="17"/>
      <c r="C298" s="2" t="s">
        <v>31</v>
      </c>
      <c r="D298" s="19">
        <v>150936993.00999999</v>
      </c>
      <c r="F298" t="s">
        <v>467</v>
      </c>
      <c r="G298" s="1">
        <v>5298000</v>
      </c>
    </row>
    <row r="299" spans="1:7" x14ac:dyDescent="0.25">
      <c r="A299" s="17"/>
      <c r="C299" s="2" t="s">
        <v>32</v>
      </c>
      <c r="D299" s="19">
        <v>74443579.840000004</v>
      </c>
      <c r="F299" t="s">
        <v>97</v>
      </c>
      <c r="G299" s="1">
        <v>110</v>
      </c>
    </row>
    <row r="300" spans="1:7" x14ac:dyDescent="0.25">
      <c r="A300" s="17"/>
      <c r="C300" s="2" t="s">
        <v>33</v>
      </c>
      <c r="D300" s="19">
        <v>196919533.40000001</v>
      </c>
      <c r="G300" s="30">
        <f>SUM(G298:G299)</f>
        <v>5298110</v>
      </c>
    </row>
    <row r="301" spans="1:7" x14ac:dyDescent="0.25">
      <c r="A301" s="17"/>
      <c r="C301" s="2" t="s">
        <v>34</v>
      </c>
      <c r="D301" s="19">
        <v>166217511</v>
      </c>
      <c r="F301" s="28" t="s">
        <v>29</v>
      </c>
      <c r="G301" s="1"/>
    </row>
    <row r="302" spans="1:7" x14ac:dyDescent="0.25">
      <c r="A302" s="17"/>
      <c r="C302" s="2" t="s">
        <v>35</v>
      </c>
      <c r="D302" s="19">
        <v>25000</v>
      </c>
      <c r="F302" t="s">
        <v>2</v>
      </c>
      <c r="G302" s="1">
        <v>2250000</v>
      </c>
    </row>
    <row r="303" spans="1:7" x14ac:dyDescent="0.25">
      <c r="A303" s="17"/>
      <c r="C303" s="2" t="s">
        <v>36</v>
      </c>
      <c r="D303" s="19">
        <v>20483023.600000001</v>
      </c>
      <c r="F303" t="s">
        <v>835</v>
      </c>
      <c r="G303" s="1">
        <v>1003000</v>
      </c>
    </row>
    <row r="304" spans="1:7" x14ac:dyDescent="0.25">
      <c r="A304" s="17"/>
      <c r="C304" s="2" t="s">
        <v>37</v>
      </c>
      <c r="D304" s="19">
        <v>333342039</v>
      </c>
      <c r="F304" t="s">
        <v>931</v>
      </c>
      <c r="G304" s="1">
        <v>900000</v>
      </c>
    </row>
    <row r="305" spans="1:7" x14ac:dyDescent="0.25">
      <c r="A305" s="17"/>
      <c r="C305" s="2" t="s">
        <v>51</v>
      </c>
      <c r="D305" s="20">
        <v>130317</v>
      </c>
      <c r="G305" s="30">
        <f>SUM(G302:G304)</f>
        <v>4153000</v>
      </c>
    </row>
    <row r="306" spans="1:7" x14ac:dyDescent="0.25">
      <c r="A306" s="17"/>
      <c r="B306" s="24" t="s">
        <v>19</v>
      </c>
      <c r="D306" s="19">
        <f>SUM(D298:D305)</f>
        <v>942497996.85000002</v>
      </c>
    </row>
    <row r="307" spans="1:7" x14ac:dyDescent="0.25">
      <c r="A307" s="17"/>
      <c r="D307" s="19"/>
      <c r="F307" s="28" t="s">
        <v>30</v>
      </c>
      <c r="G307" s="29">
        <f>G300-G305</f>
        <v>1145110</v>
      </c>
    </row>
    <row r="308" spans="1:7" x14ac:dyDescent="0.25">
      <c r="A308" s="17"/>
      <c r="B308" s="24" t="s">
        <v>20</v>
      </c>
      <c r="D308" s="19"/>
    </row>
    <row r="309" spans="1:7" x14ac:dyDescent="0.25">
      <c r="A309" s="17"/>
      <c r="C309" t="s">
        <v>7</v>
      </c>
      <c r="D309" s="19">
        <v>2154444637</v>
      </c>
    </row>
    <row r="310" spans="1:7" x14ac:dyDescent="0.25">
      <c r="A310" s="17"/>
      <c r="C310" t="s">
        <v>47</v>
      </c>
      <c r="D310" s="19">
        <v>11505000</v>
      </c>
    </row>
    <row r="311" spans="1:7" x14ac:dyDescent="0.25">
      <c r="A311" s="17"/>
      <c r="C311" t="s">
        <v>21</v>
      </c>
      <c r="D311" s="19">
        <v>936082838</v>
      </c>
    </row>
    <row r="312" spans="1:7" x14ac:dyDescent="0.25">
      <c r="A312" s="17"/>
      <c r="C312" t="s">
        <v>773</v>
      </c>
      <c r="D312" s="19">
        <v>454950000</v>
      </c>
    </row>
    <row r="313" spans="1:7" x14ac:dyDescent="0.25">
      <c r="A313" s="17"/>
      <c r="C313" t="s">
        <v>45</v>
      </c>
      <c r="D313" s="19">
        <v>25000000</v>
      </c>
    </row>
    <row r="314" spans="1:7" x14ac:dyDescent="0.25">
      <c r="A314" s="17"/>
      <c r="C314" t="s">
        <v>48</v>
      </c>
      <c r="D314" s="19">
        <v>30000000</v>
      </c>
    </row>
    <row r="315" spans="1:7" x14ac:dyDescent="0.25">
      <c r="A315" s="17"/>
      <c r="C315" t="s">
        <v>518</v>
      </c>
      <c r="D315" s="19">
        <v>15000000</v>
      </c>
    </row>
    <row r="316" spans="1:7" x14ac:dyDescent="0.25">
      <c r="A316" s="17"/>
      <c r="C316" t="s">
        <v>882</v>
      </c>
      <c r="D316" s="19">
        <v>33000000</v>
      </c>
    </row>
    <row r="317" spans="1:7" x14ac:dyDescent="0.25">
      <c r="A317" s="17"/>
      <c r="C317" t="s">
        <v>933</v>
      </c>
      <c r="D317" s="19">
        <v>180000000</v>
      </c>
    </row>
    <row r="318" spans="1:7" x14ac:dyDescent="0.25">
      <c r="A318" s="17"/>
      <c r="C318" t="s">
        <v>744</v>
      </c>
      <c r="D318" s="19">
        <v>1002500</v>
      </c>
    </row>
    <row r="319" spans="1:7" x14ac:dyDescent="0.25">
      <c r="A319" s="17"/>
      <c r="C319" t="s">
        <v>756</v>
      </c>
      <c r="D319" s="20">
        <v>50005000</v>
      </c>
    </row>
    <row r="320" spans="1:7" x14ac:dyDescent="0.25">
      <c r="A320" s="17"/>
      <c r="D320" s="19">
        <f>SUM(D309:D319)</f>
        <v>3890989975</v>
      </c>
    </row>
    <row r="321" spans="1:7" x14ac:dyDescent="0.25">
      <c r="A321" s="17"/>
      <c r="D321" s="19"/>
      <c r="G321" s="1"/>
    </row>
    <row r="322" spans="1:7" x14ac:dyDescent="0.25">
      <c r="A322" s="17"/>
      <c r="B322" s="24" t="s">
        <v>46</v>
      </c>
      <c r="D322" s="19"/>
      <c r="G322" s="1"/>
    </row>
    <row r="323" spans="1:7" x14ac:dyDescent="0.25">
      <c r="A323" s="17"/>
      <c r="B323" s="24"/>
      <c r="C323" t="s">
        <v>928</v>
      </c>
      <c r="D323" s="19">
        <f>162*602500</f>
        <v>97605000</v>
      </c>
      <c r="G323" s="1"/>
    </row>
    <row r="324" spans="1:7" x14ac:dyDescent="0.25">
      <c r="A324" s="17"/>
      <c r="B324" s="24"/>
      <c r="C324" t="s">
        <v>593</v>
      </c>
      <c r="D324" s="20">
        <f>7*602500</f>
        <v>4217500</v>
      </c>
    </row>
    <row r="325" spans="1:7" x14ac:dyDescent="0.25">
      <c r="A325" s="17"/>
      <c r="D325" s="19">
        <f>SUM(D323:D324)</f>
        <v>101822500</v>
      </c>
      <c r="G325" s="1"/>
    </row>
    <row r="326" spans="1:7" x14ac:dyDescent="0.25">
      <c r="A326" s="17"/>
      <c r="D326" s="19"/>
      <c r="G326" s="1"/>
    </row>
    <row r="327" spans="1:7" x14ac:dyDescent="0.25">
      <c r="A327" s="23" t="s">
        <v>22</v>
      </c>
      <c r="D327" s="19"/>
      <c r="G327" s="1"/>
    </row>
    <row r="328" spans="1:7" x14ac:dyDescent="0.25">
      <c r="A328" s="17"/>
      <c r="C328" t="s">
        <v>23</v>
      </c>
      <c r="D328" s="19">
        <v>1389300000</v>
      </c>
      <c r="G328" s="1"/>
    </row>
    <row r="329" spans="1:7" x14ac:dyDescent="0.25">
      <c r="A329" s="17"/>
      <c r="C329" t="s">
        <v>24</v>
      </c>
      <c r="D329" s="19">
        <v>1723072500</v>
      </c>
      <c r="G329" s="1"/>
    </row>
    <row r="330" spans="1:7" x14ac:dyDescent="0.25">
      <c r="A330" s="17"/>
      <c r="C330" t="s">
        <v>602</v>
      </c>
      <c r="D330" s="19">
        <v>420000000</v>
      </c>
      <c r="G330" s="1"/>
    </row>
    <row r="331" spans="1:7" x14ac:dyDescent="0.25">
      <c r="A331" s="17"/>
      <c r="C331" t="s">
        <v>111</v>
      </c>
      <c r="D331" s="20">
        <v>152100000</v>
      </c>
      <c r="G331" s="1"/>
    </row>
    <row r="332" spans="1:7" x14ac:dyDescent="0.25">
      <c r="A332" s="17"/>
      <c r="D332" s="19">
        <f>SUM(D328:D331)</f>
        <v>3684472500</v>
      </c>
      <c r="G332" s="1"/>
    </row>
    <row r="333" spans="1:7" x14ac:dyDescent="0.25">
      <c r="A333" s="17"/>
      <c r="D333" s="19"/>
      <c r="G333" s="1"/>
    </row>
    <row r="334" spans="1:7" x14ac:dyDescent="0.25">
      <c r="A334" s="43" t="s">
        <v>25</v>
      </c>
      <c r="B334" s="44"/>
      <c r="C334" s="44"/>
      <c r="D334" s="25">
        <f>D306+D320+D325-D332</f>
        <v>1250837971.8500004</v>
      </c>
      <c r="G334" s="1"/>
    </row>
    <row r="335" spans="1:7" x14ac:dyDescent="0.25">
      <c r="A335" s="21"/>
      <c r="B335" s="22"/>
      <c r="C335" s="22"/>
      <c r="D335" s="20"/>
      <c r="G335" s="1"/>
    </row>
    <row r="337" spans="1:7" x14ac:dyDescent="0.25">
      <c r="A337" s="40" t="s">
        <v>13</v>
      </c>
      <c r="B337" s="40"/>
      <c r="C337" s="40"/>
      <c r="D337" s="40"/>
      <c r="G337" s="1"/>
    </row>
    <row r="338" spans="1:7" x14ac:dyDescent="0.25">
      <c r="A338" s="41" t="s">
        <v>14</v>
      </c>
      <c r="B338" s="41"/>
      <c r="C338" s="41"/>
      <c r="D338" s="41"/>
      <c r="G338" s="1"/>
    </row>
    <row r="339" spans="1:7" x14ac:dyDescent="0.25">
      <c r="A339" s="42">
        <v>45910</v>
      </c>
      <c r="B339" s="42"/>
      <c r="C339" s="42"/>
      <c r="D339" s="42"/>
      <c r="G339" s="1"/>
    </row>
    <row r="340" spans="1:7" x14ac:dyDescent="0.25">
      <c r="A340" s="13"/>
      <c r="B340" s="13"/>
      <c r="C340" s="13"/>
      <c r="D340" s="13"/>
      <c r="G340" s="1"/>
    </row>
    <row r="341" spans="1:7" x14ac:dyDescent="0.25">
      <c r="A341" s="14"/>
      <c r="B341" s="15"/>
      <c r="C341" s="15"/>
      <c r="D341" s="16"/>
      <c r="F341" s="5" t="s">
        <v>26</v>
      </c>
      <c r="G341" s="1">
        <f>D381-D334</f>
        <v>2850500</v>
      </c>
    </row>
    <row r="342" spans="1:7" x14ac:dyDescent="0.25">
      <c r="A342" s="17"/>
      <c r="D342" s="32" t="s">
        <v>16</v>
      </c>
      <c r="G342" s="1"/>
    </row>
    <row r="343" spans="1:7" x14ac:dyDescent="0.25">
      <c r="A343" s="23" t="s">
        <v>15</v>
      </c>
      <c r="D343" s="18" t="s">
        <v>17</v>
      </c>
      <c r="F343" s="26" t="s">
        <v>27</v>
      </c>
      <c r="G343" s="1"/>
    </row>
    <row r="344" spans="1:7" x14ac:dyDescent="0.25">
      <c r="A344" s="17"/>
      <c r="B344" s="24" t="s">
        <v>18</v>
      </c>
      <c r="D344" s="19"/>
      <c r="F344" s="27" t="s">
        <v>28</v>
      </c>
      <c r="G344" s="1"/>
    </row>
    <row r="345" spans="1:7" x14ac:dyDescent="0.25">
      <c r="A345" s="17"/>
      <c r="C345" s="2" t="s">
        <v>31</v>
      </c>
      <c r="D345" s="19">
        <v>188940993.00999999</v>
      </c>
      <c r="F345" t="s">
        <v>148</v>
      </c>
      <c r="G345" s="1">
        <v>875000</v>
      </c>
    </row>
    <row r="346" spans="1:7" x14ac:dyDescent="0.25">
      <c r="A346" s="17"/>
      <c r="C346" s="2" t="s">
        <v>32</v>
      </c>
      <c r="D346" s="19">
        <v>83968579.840000004</v>
      </c>
      <c r="F346" t="s">
        <v>90</v>
      </c>
      <c r="G346" s="1">
        <v>2062500</v>
      </c>
    </row>
    <row r="347" spans="1:7" x14ac:dyDescent="0.25">
      <c r="A347" s="17"/>
      <c r="C347" s="2" t="s">
        <v>33</v>
      </c>
      <c r="D347" s="19">
        <v>417369533.39999998</v>
      </c>
      <c r="G347" s="30">
        <f>SUM(G345:G346)</f>
        <v>2937500</v>
      </c>
    </row>
    <row r="348" spans="1:7" x14ac:dyDescent="0.25">
      <c r="A348" s="17"/>
      <c r="C348" s="2" t="s">
        <v>34</v>
      </c>
      <c r="D348" s="19">
        <v>-54897489</v>
      </c>
      <c r="F348" s="28" t="s">
        <v>29</v>
      </c>
      <c r="G348" s="1"/>
    </row>
    <row r="349" spans="1:7" x14ac:dyDescent="0.25">
      <c r="A349" s="17"/>
      <c r="C349" s="2" t="s">
        <v>35</v>
      </c>
      <c r="D349" s="19">
        <v>25000</v>
      </c>
      <c r="F349" t="s">
        <v>161</v>
      </c>
      <c r="G349" s="1">
        <v>5000</v>
      </c>
    </row>
    <row r="350" spans="1:7" x14ac:dyDescent="0.25">
      <c r="A350" s="17"/>
      <c r="C350" s="2" t="s">
        <v>36</v>
      </c>
      <c r="D350" s="19">
        <v>106733023.59999999</v>
      </c>
      <c r="F350" t="s">
        <v>909</v>
      </c>
      <c r="G350" s="1">
        <v>82000</v>
      </c>
    </row>
    <row r="351" spans="1:7" x14ac:dyDescent="0.25">
      <c r="A351" s="17"/>
      <c r="C351" s="2" t="s">
        <v>37</v>
      </c>
      <c r="D351" s="19">
        <v>7852039</v>
      </c>
      <c r="G351" s="30">
        <f>SUM(G349:G350)</f>
        <v>87000</v>
      </c>
    </row>
    <row r="352" spans="1:7" x14ac:dyDescent="0.25">
      <c r="A352" s="17"/>
      <c r="C352" s="2" t="s">
        <v>51</v>
      </c>
      <c r="D352" s="20">
        <v>130317</v>
      </c>
    </row>
    <row r="353" spans="1:7" x14ac:dyDescent="0.25">
      <c r="A353" s="17"/>
      <c r="B353" s="24" t="s">
        <v>19</v>
      </c>
      <c r="D353" s="19">
        <f>SUM(D345:D352)</f>
        <v>750121996.85000002</v>
      </c>
      <c r="F353" s="28" t="s">
        <v>30</v>
      </c>
      <c r="G353" s="29">
        <f>G347-G351</f>
        <v>2850500</v>
      </c>
    </row>
    <row r="354" spans="1:7" x14ac:dyDescent="0.25">
      <c r="A354" s="17"/>
      <c r="D354" s="19"/>
    </row>
    <row r="355" spans="1:7" x14ac:dyDescent="0.25">
      <c r="A355" s="17"/>
      <c r="B355" s="24" t="s">
        <v>20</v>
      </c>
      <c r="D355" s="19"/>
    </row>
    <row r="356" spans="1:7" x14ac:dyDescent="0.25">
      <c r="A356" s="17"/>
      <c r="C356" t="s">
        <v>7</v>
      </c>
      <c r="D356" s="19">
        <v>2035283637</v>
      </c>
    </row>
    <row r="357" spans="1:7" x14ac:dyDescent="0.25">
      <c r="A357" s="17"/>
      <c r="C357" t="s">
        <v>47</v>
      </c>
      <c r="D357" s="19">
        <v>49230000</v>
      </c>
    </row>
    <row r="358" spans="1:7" x14ac:dyDescent="0.25">
      <c r="A358" s="17"/>
      <c r="C358" t="s">
        <v>21</v>
      </c>
      <c r="D358" s="19">
        <v>936082838</v>
      </c>
    </row>
    <row r="359" spans="1:7" x14ac:dyDescent="0.25">
      <c r="A359" s="17"/>
      <c r="C359" t="s">
        <v>773</v>
      </c>
      <c r="D359" s="19">
        <v>614550000</v>
      </c>
    </row>
    <row r="360" spans="1:7" x14ac:dyDescent="0.25">
      <c r="A360" s="17"/>
      <c r="C360" t="s">
        <v>45</v>
      </c>
      <c r="D360" s="19">
        <v>25000000</v>
      </c>
    </row>
    <row r="361" spans="1:7" x14ac:dyDescent="0.25">
      <c r="A361" s="17"/>
      <c r="C361" t="s">
        <v>48</v>
      </c>
      <c r="D361" s="19">
        <v>30000000</v>
      </c>
    </row>
    <row r="362" spans="1:7" x14ac:dyDescent="0.25">
      <c r="A362" s="17"/>
      <c r="C362" t="s">
        <v>518</v>
      </c>
      <c r="D362" s="19">
        <v>5000000</v>
      </c>
    </row>
    <row r="363" spans="1:7" x14ac:dyDescent="0.25">
      <c r="A363" s="17"/>
      <c r="C363" t="s">
        <v>882</v>
      </c>
      <c r="D363" s="19">
        <v>33000000</v>
      </c>
    </row>
    <row r="364" spans="1:7" x14ac:dyDescent="0.25">
      <c r="A364" s="17"/>
      <c r="C364" t="s">
        <v>933</v>
      </c>
      <c r="D364" s="19">
        <v>180000000</v>
      </c>
    </row>
    <row r="365" spans="1:7" x14ac:dyDescent="0.25">
      <c r="A365" s="17"/>
      <c r="C365" t="s">
        <v>744</v>
      </c>
      <c r="D365" s="19">
        <v>1002500</v>
      </c>
    </row>
    <row r="366" spans="1:7" x14ac:dyDescent="0.25">
      <c r="A366" s="17"/>
      <c r="C366" t="s">
        <v>756</v>
      </c>
      <c r="D366" s="20">
        <v>50005000</v>
      </c>
    </row>
    <row r="367" spans="1:7" x14ac:dyDescent="0.25">
      <c r="A367" s="17"/>
      <c r="D367" s="19">
        <f>SUM(D356:D366)</f>
        <v>3959153975</v>
      </c>
    </row>
    <row r="368" spans="1:7" x14ac:dyDescent="0.25">
      <c r="A368" s="17"/>
      <c r="D368" s="19"/>
      <c r="G368" s="1"/>
    </row>
    <row r="369" spans="1:7" x14ac:dyDescent="0.25">
      <c r="A369" s="17"/>
      <c r="B369" s="24" t="s">
        <v>46</v>
      </c>
      <c r="D369" s="19"/>
      <c r="G369" s="1"/>
    </row>
    <row r="370" spans="1:7" x14ac:dyDescent="0.25">
      <c r="A370" s="17"/>
      <c r="B370" s="24"/>
      <c r="C370" t="s">
        <v>932</v>
      </c>
      <c r="D370" s="19">
        <f>87*602500</f>
        <v>52417500</v>
      </c>
      <c r="G370" s="1"/>
    </row>
    <row r="371" spans="1:7" x14ac:dyDescent="0.25">
      <c r="A371" s="17"/>
      <c r="B371" s="24"/>
      <c r="C371" t="s">
        <v>593</v>
      </c>
      <c r="D371" s="20">
        <f>7*602500</f>
        <v>4217500</v>
      </c>
    </row>
    <row r="372" spans="1:7" x14ac:dyDescent="0.25">
      <c r="A372" s="17"/>
      <c r="D372" s="19">
        <f>SUM(D370:D371)</f>
        <v>56635000</v>
      </c>
      <c r="G372" s="1"/>
    </row>
    <row r="373" spans="1:7" x14ac:dyDescent="0.25">
      <c r="A373" s="17"/>
      <c r="D373" s="19"/>
      <c r="G373" s="1"/>
    </row>
    <row r="374" spans="1:7" x14ac:dyDescent="0.25">
      <c r="A374" s="23" t="s">
        <v>22</v>
      </c>
      <c r="D374" s="19"/>
      <c r="G374" s="1"/>
    </row>
    <row r="375" spans="1:7" x14ac:dyDescent="0.25">
      <c r="A375" s="17"/>
      <c r="C375" t="s">
        <v>23</v>
      </c>
      <c r="D375" s="19">
        <v>1385050000</v>
      </c>
      <c r="G375" s="1"/>
    </row>
    <row r="376" spans="1:7" x14ac:dyDescent="0.25">
      <c r="A376" s="17"/>
      <c r="C376" t="s">
        <v>24</v>
      </c>
      <c r="D376" s="19">
        <v>1723072500</v>
      </c>
      <c r="G376" s="1"/>
    </row>
    <row r="377" spans="1:7" x14ac:dyDescent="0.25">
      <c r="A377" s="17"/>
      <c r="C377" t="s">
        <v>602</v>
      </c>
      <c r="D377" s="19">
        <v>252000000</v>
      </c>
      <c r="G377" s="1"/>
    </row>
    <row r="378" spans="1:7" x14ac:dyDescent="0.25">
      <c r="A378" s="17"/>
      <c r="C378" t="s">
        <v>111</v>
      </c>
      <c r="D378" s="20">
        <v>152100000</v>
      </c>
      <c r="G378" s="1"/>
    </row>
    <row r="379" spans="1:7" x14ac:dyDescent="0.25">
      <c r="A379" s="17"/>
      <c r="D379" s="19">
        <f>SUM(D375:D378)</f>
        <v>3512222500</v>
      </c>
      <c r="G379" s="1"/>
    </row>
    <row r="380" spans="1:7" x14ac:dyDescent="0.25">
      <c r="A380" s="17"/>
      <c r="D380" s="19"/>
      <c r="G380" s="1"/>
    </row>
    <row r="381" spans="1:7" x14ac:dyDescent="0.25">
      <c r="A381" s="43" t="s">
        <v>25</v>
      </c>
      <c r="B381" s="44"/>
      <c r="C381" s="44"/>
      <c r="D381" s="25">
        <f>D353+D367+D372-D379</f>
        <v>1253688471.8500004</v>
      </c>
      <c r="G381" s="1"/>
    </row>
    <row r="382" spans="1:7" x14ac:dyDescent="0.25">
      <c r="A382" s="21"/>
      <c r="B382" s="22"/>
      <c r="C382" s="22"/>
      <c r="D382" s="20"/>
      <c r="G382" s="1"/>
    </row>
    <row r="384" spans="1:7" x14ac:dyDescent="0.25">
      <c r="A384" s="40" t="s">
        <v>13</v>
      </c>
      <c r="B384" s="40"/>
      <c r="C384" s="40"/>
      <c r="D384" s="40"/>
      <c r="G384" s="1"/>
    </row>
    <row r="385" spans="1:7" x14ac:dyDescent="0.25">
      <c r="A385" s="41" t="s">
        <v>14</v>
      </c>
      <c r="B385" s="41"/>
      <c r="C385" s="41"/>
      <c r="D385" s="41"/>
      <c r="G385" s="1"/>
    </row>
    <row r="386" spans="1:7" x14ac:dyDescent="0.25">
      <c r="A386" s="42">
        <v>45911</v>
      </c>
      <c r="B386" s="42"/>
      <c r="C386" s="42"/>
      <c r="D386" s="42"/>
      <c r="G386" s="1"/>
    </row>
    <row r="387" spans="1:7" x14ac:dyDescent="0.25">
      <c r="A387" s="13"/>
      <c r="B387" s="13"/>
      <c r="C387" s="13"/>
      <c r="D387" s="13"/>
      <c r="G387" s="1"/>
    </row>
    <row r="388" spans="1:7" x14ac:dyDescent="0.25">
      <c r="A388" s="14"/>
      <c r="B388" s="15"/>
      <c r="C388" s="15"/>
      <c r="D388" s="16"/>
      <c r="F388" s="5" t="s">
        <v>26</v>
      </c>
      <c r="G388" s="1">
        <f>D428-D381</f>
        <v>3708000</v>
      </c>
    </row>
    <row r="389" spans="1:7" x14ac:dyDescent="0.25">
      <c r="A389" s="17"/>
      <c r="D389" s="32" t="s">
        <v>16</v>
      </c>
      <c r="G389" s="1"/>
    </row>
    <row r="390" spans="1:7" x14ac:dyDescent="0.25">
      <c r="A390" s="23" t="s">
        <v>15</v>
      </c>
      <c r="D390" s="18" t="s">
        <v>17</v>
      </c>
      <c r="F390" s="26" t="s">
        <v>27</v>
      </c>
      <c r="G390" s="1"/>
    </row>
    <row r="391" spans="1:7" x14ac:dyDescent="0.25">
      <c r="A391" s="17"/>
      <c r="B391" s="24" t="s">
        <v>18</v>
      </c>
      <c r="D391" s="19"/>
      <c r="F391" s="27" t="s">
        <v>28</v>
      </c>
      <c r="G391" s="1"/>
    </row>
    <row r="392" spans="1:7" x14ac:dyDescent="0.25">
      <c r="A392" s="17"/>
      <c r="C392" s="2" t="s">
        <v>31</v>
      </c>
      <c r="D392" s="19">
        <v>188940993.00999999</v>
      </c>
      <c r="F392" t="s">
        <v>151</v>
      </c>
      <c r="G392" s="1">
        <v>5958000</v>
      </c>
    </row>
    <row r="393" spans="1:7" x14ac:dyDescent="0.25">
      <c r="A393" s="17"/>
      <c r="C393" s="2" t="s">
        <v>32</v>
      </c>
      <c r="D393" s="19">
        <v>133198579.84</v>
      </c>
      <c r="G393" s="30">
        <f>SUM(G392:G392)</f>
        <v>5958000</v>
      </c>
    </row>
    <row r="394" spans="1:7" x14ac:dyDescent="0.25">
      <c r="A394" s="17"/>
      <c r="C394" s="2" t="s">
        <v>33</v>
      </c>
      <c r="D394" s="19">
        <v>319248033.39999998</v>
      </c>
      <c r="F394" s="28" t="s">
        <v>29</v>
      </c>
      <c r="G394" s="1"/>
    </row>
    <row r="395" spans="1:7" x14ac:dyDescent="0.25">
      <c r="A395" s="17"/>
      <c r="C395" s="2" t="s">
        <v>34</v>
      </c>
      <c r="D395" s="19">
        <v>30077511</v>
      </c>
      <c r="F395" t="s">
        <v>104</v>
      </c>
      <c r="G395" s="1">
        <v>2250000</v>
      </c>
    </row>
    <row r="396" spans="1:7" x14ac:dyDescent="0.25">
      <c r="A396" s="17"/>
      <c r="C396" s="2" t="s">
        <v>35</v>
      </c>
      <c r="D396" s="19">
        <v>25000</v>
      </c>
      <c r="G396" s="30">
        <f>SUM(G395:G395)</f>
        <v>2250000</v>
      </c>
    </row>
    <row r="397" spans="1:7" x14ac:dyDescent="0.25">
      <c r="A397" s="17"/>
      <c r="C397" s="2" t="s">
        <v>36</v>
      </c>
      <c r="D397" s="19">
        <v>106733023.59999999</v>
      </c>
    </row>
    <row r="398" spans="1:7" x14ac:dyDescent="0.25">
      <c r="A398" s="17"/>
      <c r="C398" s="2" t="s">
        <v>37</v>
      </c>
      <c r="D398" s="19">
        <v>51852039</v>
      </c>
      <c r="F398" s="28" t="s">
        <v>30</v>
      </c>
      <c r="G398" s="29">
        <f>G393-G396</f>
        <v>3708000</v>
      </c>
    </row>
    <row r="399" spans="1:7" x14ac:dyDescent="0.25">
      <c r="A399" s="17"/>
      <c r="C399" s="2" t="s">
        <v>51</v>
      </c>
      <c r="D399" s="20">
        <v>130317</v>
      </c>
    </row>
    <row r="400" spans="1:7" x14ac:dyDescent="0.25">
      <c r="A400" s="17"/>
      <c r="B400" s="24" t="s">
        <v>19</v>
      </c>
      <c r="D400" s="19">
        <f>SUM(D392:D399)</f>
        <v>830205496.85000002</v>
      </c>
    </row>
    <row r="401" spans="1:7" x14ac:dyDescent="0.25">
      <c r="A401" s="17"/>
      <c r="D401" s="19"/>
    </row>
    <row r="402" spans="1:7" x14ac:dyDescent="0.25">
      <c r="A402" s="17"/>
      <c r="B402" s="24" t="s">
        <v>20</v>
      </c>
      <c r="D402" s="19"/>
    </row>
    <row r="403" spans="1:7" x14ac:dyDescent="0.25">
      <c r="A403" s="17"/>
      <c r="C403" t="s">
        <v>7</v>
      </c>
      <c r="D403" s="19">
        <v>2066858637</v>
      </c>
    </row>
    <row r="404" spans="1:7" x14ac:dyDescent="0.25">
      <c r="A404" s="17"/>
      <c r="C404" t="s">
        <v>47</v>
      </c>
      <c r="D404" s="19">
        <v>0</v>
      </c>
    </row>
    <row r="405" spans="1:7" x14ac:dyDescent="0.25">
      <c r="A405" s="17"/>
      <c r="C405" t="s">
        <v>21</v>
      </c>
      <c r="D405" s="19">
        <v>928528838</v>
      </c>
    </row>
    <row r="406" spans="1:7" x14ac:dyDescent="0.25">
      <c r="A406" s="17"/>
      <c r="C406" t="s">
        <v>773</v>
      </c>
      <c r="D406" s="19">
        <v>614550000</v>
      </c>
    </row>
    <row r="407" spans="1:7" x14ac:dyDescent="0.25">
      <c r="A407" s="17"/>
      <c r="C407" t="s">
        <v>45</v>
      </c>
      <c r="D407" s="19">
        <v>25000000</v>
      </c>
    </row>
    <row r="408" spans="1:7" x14ac:dyDescent="0.25">
      <c r="A408" s="17"/>
      <c r="C408" t="s">
        <v>48</v>
      </c>
      <c r="D408" s="19">
        <v>30000000</v>
      </c>
    </row>
    <row r="409" spans="1:7" x14ac:dyDescent="0.25">
      <c r="A409" s="17"/>
      <c r="C409" t="s">
        <v>518</v>
      </c>
      <c r="D409" s="19">
        <v>5000000</v>
      </c>
    </row>
    <row r="410" spans="1:7" x14ac:dyDescent="0.25">
      <c r="A410" s="17"/>
      <c r="C410" t="s">
        <v>882</v>
      </c>
      <c r="D410" s="19">
        <v>33000000</v>
      </c>
    </row>
    <row r="411" spans="1:7" x14ac:dyDescent="0.25">
      <c r="A411" s="17"/>
      <c r="C411" t="s">
        <v>933</v>
      </c>
      <c r="D411" s="19">
        <v>180000000</v>
      </c>
    </row>
    <row r="412" spans="1:7" x14ac:dyDescent="0.25">
      <c r="A412" s="17"/>
      <c r="C412" t="s">
        <v>744</v>
      </c>
      <c r="D412" s="19">
        <v>1002500</v>
      </c>
    </row>
    <row r="413" spans="1:7" x14ac:dyDescent="0.25">
      <c r="A413" s="17"/>
      <c r="C413" t="s">
        <v>756</v>
      </c>
      <c r="D413" s="20">
        <v>50005000</v>
      </c>
    </row>
    <row r="414" spans="1:7" x14ac:dyDescent="0.25">
      <c r="A414" s="17"/>
      <c r="D414" s="19">
        <f>SUM(D403:D413)</f>
        <v>3933944975</v>
      </c>
    </row>
    <row r="415" spans="1:7" x14ac:dyDescent="0.25">
      <c r="A415" s="17"/>
      <c r="D415" s="19"/>
      <c r="G415" s="1"/>
    </row>
    <row r="416" spans="1:7" x14ac:dyDescent="0.25">
      <c r="A416" s="17"/>
      <c r="B416" s="24" t="s">
        <v>46</v>
      </c>
      <c r="D416" s="19"/>
      <c r="G416" s="1"/>
    </row>
    <row r="417" spans="1:7" x14ac:dyDescent="0.25">
      <c r="A417" s="17"/>
      <c r="B417" s="24"/>
      <c r="C417" t="s">
        <v>932</v>
      </c>
      <c r="D417" s="19">
        <f>87*602500</f>
        <v>52417500</v>
      </c>
      <c r="G417" s="1"/>
    </row>
    <row r="418" spans="1:7" x14ac:dyDescent="0.25">
      <c r="A418" s="17"/>
      <c r="B418" s="24"/>
      <c r="C418" t="s">
        <v>593</v>
      </c>
      <c r="D418" s="20">
        <f>7*602500</f>
        <v>4217500</v>
      </c>
    </row>
    <row r="419" spans="1:7" x14ac:dyDescent="0.25">
      <c r="A419" s="17"/>
      <c r="D419" s="19">
        <f>SUM(D417:D418)</f>
        <v>56635000</v>
      </c>
      <c r="G419" s="1"/>
    </row>
    <row r="420" spans="1:7" x14ac:dyDescent="0.25">
      <c r="A420" s="17"/>
      <c r="D420" s="19"/>
      <c r="G420" s="1"/>
    </row>
    <row r="421" spans="1:7" x14ac:dyDescent="0.25">
      <c r="A421" s="23" t="s">
        <v>22</v>
      </c>
      <c r="D421" s="19"/>
      <c r="G421" s="1"/>
    </row>
    <row r="422" spans="1:7" x14ac:dyDescent="0.25">
      <c r="A422" s="17"/>
      <c r="C422" t="s">
        <v>23</v>
      </c>
      <c r="D422" s="19">
        <v>1704250000</v>
      </c>
      <c r="G422" s="1"/>
    </row>
    <row r="423" spans="1:7" x14ac:dyDescent="0.25">
      <c r="A423" s="17"/>
      <c r="C423" t="s">
        <v>24</v>
      </c>
      <c r="D423" s="19">
        <v>1455039000</v>
      </c>
      <c r="G423" s="1"/>
    </row>
    <row r="424" spans="1:7" x14ac:dyDescent="0.25">
      <c r="A424" s="17"/>
      <c r="C424" t="s">
        <v>602</v>
      </c>
      <c r="D424" s="19">
        <v>252000000</v>
      </c>
      <c r="G424" s="1"/>
    </row>
    <row r="425" spans="1:7" x14ac:dyDescent="0.25">
      <c r="A425" s="17"/>
      <c r="C425" t="s">
        <v>111</v>
      </c>
      <c r="D425" s="20">
        <v>152100000</v>
      </c>
      <c r="G425" s="1"/>
    </row>
    <row r="426" spans="1:7" x14ac:dyDescent="0.25">
      <c r="A426" s="17"/>
      <c r="D426" s="19">
        <f>SUM(D422:D425)</f>
        <v>3563389000</v>
      </c>
      <c r="G426" s="1"/>
    </row>
    <row r="427" spans="1:7" x14ac:dyDescent="0.25">
      <c r="A427" s="17"/>
      <c r="D427" s="19"/>
      <c r="G427" s="1"/>
    </row>
    <row r="428" spans="1:7" x14ac:dyDescent="0.25">
      <c r="A428" s="43" t="s">
        <v>25</v>
      </c>
      <c r="B428" s="44"/>
      <c r="C428" s="44"/>
      <c r="D428" s="25">
        <f>D400+D414+D419-D426</f>
        <v>1257396471.8500004</v>
      </c>
      <c r="G428" s="1"/>
    </row>
    <row r="429" spans="1:7" x14ac:dyDescent="0.25">
      <c r="A429" s="21"/>
      <c r="B429" s="22"/>
      <c r="C429" s="22"/>
      <c r="D429" s="20"/>
      <c r="G429" s="1"/>
    </row>
    <row r="431" spans="1:7" x14ac:dyDescent="0.25">
      <c r="A431" s="40" t="s">
        <v>13</v>
      </c>
      <c r="B431" s="40"/>
      <c r="C431" s="40"/>
      <c r="D431" s="40"/>
      <c r="G431" s="1"/>
    </row>
    <row r="432" spans="1:7" x14ac:dyDescent="0.25">
      <c r="A432" s="41" t="s">
        <v>14</v>
      </c>
      <c r="B432" s="41"/>
      <c r="C432" s="41"/>
      <c r="D432" s="41"/>
      <c r="G432" s="1"/>
    </row>
    <row r="433" spans="1:7" x14ac:dyDescent="0.25">
      <c r="A433" s="42">
        <v>45912</v>
      </c>
      <c r="B433" s="42"/>
      <c r="C433" s="42"/>
      <c r="D433" s="42"/>
      <c r="G433" s="1"/>
    </row>
    <row r="434" spans="1:7" x14ac:dyDescent="0.25">
      <c r="A434" s="13"/>
      <c r="B434" s="13"/>
      <c r="C434" s="13"/>
      <c r="D434" s="13"/>
      <c r="G434" s="1"/>
    </row>
    <row r="435" spans="1:7" x14ac:dyDescent="0.25">
      <c r="A435" s="14"/>
      <c r="B435" s="15"/>
      <c r="C435" s="15"/>
      <c r="D435" s="16"/>
      <c r="F435" s="5" t="s">
        <v>26</v>
      </c>
      <c r="G435" s="1">
        <f>D475-D428</f>
        <v>4382500</v>
      </c>
    </row>
    <row r="436" spans="1:7" x14ac:dyDescent="0.25">
      <c r="A436" s="17"/>
      <c r="D436" s="32" t="s">
        <v>16</v>
      </c>
      <c r="G436" s="1"/>
    </row>
    <row r="437" spans="1:7" x14ac:dyDescent="0.25">
      <c r="A437" s="23" t="s">
        <v>15</v>
      </c>
      <c r="D437" s="18" t="s">
        <v>17</v>
      </c>
      <c r="F437" s="26" t="s">
        <v>27</v>
      </c>
      <c r="G437" s="1"/>
    </row>
    <row r="438" spans="1:7" x14ac:dyDescent="0.25">
      <c r="A438" s="17"/>
      <c r="B438" s="24" t="s">
        <v>18</v>
      </c>
      <c r="D438" s="19"/>
      <c r="F438" s="27" t="s">
        <v>28</v>
      </c>
      <c r="G438" s="1"/>
    </row>
    <row r="439" spans="1:7" x14ac:dyDescent="0.25">
      <c r="A439" s="17"/>
      <c r="C439" s="2" t="s">
        <v>31</v>
      </c>
      <c r="D439" s="19">
        <v>275190993.00999999</v>
      </c>
      <c r="F439" t="s">
        <v>317</v>
      </c>
      <c r="G439" s="1">
        <v>4270000</v>
      </c>
    </row>
    <row r="440" spans="1:7" x14ac:dyDescent="0.25">
      <c r="A440" s="17"/>
      <c r="C440" s="2" t="s">
        <v>32</v>
      </c>
      <c r="D440" s="19">
        <v>133198579.84</v>
      </c>
      <c r="F440" t="s">
        <v>90</v>
      </c>
      <c r="G440" s="1">
        <v>112500</v>
      </c>
    </row>
    <row r="441" spans="1:7" x14ac:dyDescent="0.25">
      <c r="A441" s="17"/>
      <c r="C441" s="2" t="s">
        <v>33</v>
      </c>
      <c r="D441" s="19">
        <v>562648033.39999998</v>
      </c>
      <c r="G441" s="30">
        <f>SUM(G439:G440)</f>
        <v>4382500</v>
      </c>
    </row>
    <row r="442" spans="1:7" x14ac:dyDescent="0.25">
      <c r="A442" s="17"/>
      <c r="C442" s="2" t="s">
        <v>34</v>
      </c>
      <c r="D442" s="19">
        <v>31577511</v>
      </c>
      <c r="F442" s="28" t="s">
        <v>29</v>
      </c>
      <c r="G442" s="1"/>
    </row>
    <row r="443" spans="1:7" x14ac:dyDescent="0.25">
      <c r="A443" s="17"/>
      <c r="C443" s="2" t="s">
        <v>35</v>
      </c>
      <c r="D443" s="19">
        <v>25000</v>
      </c>
      <c r="G443" s="1">
        <v>0</v>
      </c>
    </row>
    <row r="444" spans="1:7" x14ac:dyDescent="0.25">
      <c r="A444" s="17"/>
      <c r="C444" s="2" t="s">
        <v>36</v>
      </c>
      <c r="D444" s="19">
        <v>106733023.59999999</v>
      </c>
      <c r="G444" s="30">
        <f>SUM(G443:G443)</f>
        <v>0</v>
      </c>
    </row>
    <row r="445" spans="1:7" x14ac:dyDescent="0.25">
      <c r="A445" s="17"/>
      <c r="C445" s="2" t="s">
        <v>37</v>
      </c>
      <c r="D445" s="19">
        <v>51852039</v>
      </c>
    </row>
    <row r="446" spans="1:7" x14ac:dyDescent="0.25">
      <c r="A446" s="17"/>
      <c r="C446" s="2" t="s">
        <v>51</v>
      </c>
      <c r="D446" s="20">
        <v>130317</v>
      </c>
      <c r="F446" s="28" t="s">
        <v>30</v>
      </c>
      <c r="G446" s="29">
        <f>G441-G444</f>
        <v>4382500</v>
      </c>
    </row>
    <row r="447" spans="1:7" x14ac:dyDescent="0.25">
      <c r="A447" s="17"/>
      <c r="B447" s="24" t="s">
        <v>19</v>
      </c>
      <c r="D447" s="19">
        <f>SUM(D439:D446)</f>
        <v>1161355496.8499999</v>
      </c>
    </row>
    <row r="448" spans="1:7" x14ac:dyDescent="0.25">
      <c r="A448" s="17"/>
      <c r="D448" s="19"/>
    </row>
    <row r="449" spans="1:7" x14ac:dyDescent="0.25">
      <c r="A449" s="17"/>
      <c r="B449" s="24" t="s">
        <v>20</v>
      </c>
      <c r="D449" s="19"/>
    </row>
    <row r="450" spans="1:7" x14ac:dyDescent="0.25">
      <c r="A450" s="17"/>
      <c r="C450" t="s">
        <v>7</v>
      </c>
      <c r="D450" s="19">
        <v>1909068637</v>
      </c>
    </row>
    <row r="451" spans="1:7" x14ac:dyDescent="0.25">
      <c r="A451" s="17"/>
      <c r="C451" t="s">
        <v>47</v>
      </c>
      <c r="D451" s="19">
        <v>3125000</v>
      </c>
    </row>
    <row r="452" spans="1:7" x14ac:dyDescent="0.25">
      <c r="A452" s="17"/>
      <c r="C452" t="s">
        <v>21</v>
      </c>
      <c r="D452" s="19">
        <v>928528838</v>
      </c>
    </row>
    <row r="453" spans="1:7" x14ac:dyDescent="0.25">
      <c r="A453" s="17"/>
      <c r="C453" t="s">
        <v>773</v>
      </c>
      <c r="D453" s="19">
        <v>614550000</v>
      </c>
    </row>
    <row r="454" spans="1:7" x14ac:dyDescent="0.25">
      <c r="A454" s="17"/>
      <c r="C454" t="s">
        <v>45</v>
      </c>
      <c r="D454" s="19">
        <v>25000000</v>
      </c>
    </row>
    <row r="455" spans="1:7" x14ac:dyDescent="0.25">
      <c r="A455" s="17"/>
      <c r="C455" t="s">
        <v>48</v>
      </c>
      <c r="D455" s="19">
        <v>30000000</v>
      </c>
    </row>
    <row r="456" spans="1:7" x14ac:dyDescent="0.25">
      <c r="A456" s="17"/>
      <c r="C456" t="s">
        <v>518</v>
      </c>
      <c r="D456" s="19">
        <v>5000000</v>
      </c>
    </row>
    <row r="457" spans="1:7" x14ac:dyDescent="0.25">
      <c r="A457" s="17"/>
      <c r="C457" t="s">
        <v>882</v>
      </c>
      <c r="D457" s="19">
        <v>33000000</v>
      </c>
    </row>
    <row r="458" spans="1:7" x14ac:dyDescent="0.25">
      <c r="A458" s="17"/>
      <c r="C458" t="s">
        <v>933</v>
      </c>
      <c r="D458" s="19">
        <v>180000000</v>
      </c>
    </row>
    <row r="459" spans="1:7" x14ac:dyDescent="0.25">
      <c r="A459" s="17"/>
      <c r="C459" t="s">
        <v>744</v>
      </c>
      <c r="D459" s="19">
        <v>1002500</v>
      </c>
    </row>
    <row r="460" spans="1:7" x14ac:dyDescent="0.25">
      <c r="A460" s="17"/>
      <c r="C460" t="s">
        <v>756</v>
      </c>
      <c r="D460" s="20">
        <v>50005000</v>
      </c>
    </row>
    <row r="461" spans="1:7" x14ac:dyDescent="0.25">
      <c r="A461" s="17"/>
      <c r="D461" s="19">
        <f>SUM(D450:D460)</f>
        <v>3779279975</v>
      </c>
    </row>
    <row r="462" spans="1:7" x14ac:dyDescent="0.25">
      <c r="A462" s="17"/>
      <c r="D462" s="19"/>
      <c r="G462" s="1"/>
    </row>
    <row r="463" spans="1:7" x14ac:dyDescent="0.25">
      <c r="A463" s="17"/>
      <c r="B463" s="24" t="s">
        <v>46</v>
      </c>
      <c r="D463" s="19"/>
      <c r="G463" s="1"/>
    </row>
    <row r="464" spans="1:7" x14ac:dyDescent="0.25">
      <c r="A464" s="17"/>
      <c r="B464" s="24"/>
      <c r="C464" t="s">
        <v>934</v>
      </c>
      <c r="D464" s="19">
        <f>82*602500</f>
        <v>49405000</v>
      </c>
      <c r="G464" s="1"/>
    </row>
    <row r="465" spans="1:7" x14ac:dyDescent="0.25">
      <c r="A465" s="17"/>
      <c r="B465" s="24"/>
      <c r="C465" t="s">
        <v>593</v>
      </c>
      <c r="D465" s="20">
        <f>7*602500</f>
        <v>4217500</v>
      </c>
    </row>
    <row r="466" spans="1:7" x14ac:dyDescent="0.25">
      <c r="A466" s="17"/>
      <c r="D466" s="19">
        <f>SUM(D464:D465)</f>
        <v>53622500</v>
      </c>
      <c r="G466" s="1"/>
    </row>
    <row r="467" spans="1:7" x14ac:dyDescent="0.25">
      <c r="A467" s="17"/>
      <c r="D467" s="19"/>
      <c r="G467" s="1"/>
    </row>
    <row r="468" spans="1:7" x14ac:dyDescent="0.25">
      <c r="A468" s="23" t="s">
        <v>22</v>
      </c>
      <c r="D468" s="19"/>
      <c r="G468" s="1"/>
    </row>
    <row r="469" spans="1:7" x14ac:dyDescent="0.25">
      <c r="A469" s="17"/>
      <c r="C469" t="s">
        <v>23</v>
      </c>
      <c r="D469" s="19">
        <v>1788250000</v>
      </c>
      <c r="G469" s="1"/>
    </row>
    <row r="470" spans="1:7" x14ac:dyDescent="0.25">
      <c r="A470" s="17"/>
      <c r="C470" t="s">
        <v>24</v>
      </c>
      <c r="D470" s="19">
        <v>1540129000</v>
      </c>
      <c r="G470" s="1"/>
    </row>
    <row r="471" spans="1:7" x14ac:dyDescent="0.25">
      <c r="A471" s="17"/>
      <c r="C471" t="s">
        <v>602</v>
      </c>
      <c r="D471" s="19">
        <v>252000000</v>
      </c>
      <c r="G471" s="1"/>
    </row>
    <row r="472" spans="1:7" x14ac:dyDescent="0.25">
      <c r="A472" s="17"/>
      <c r="C472" t="s">
        <v>111</v>
      </c>
      <c r="D472" s="20">
        <v>152100000</v>
      </c>
      <c r="G472" s="1"/>
    </row>
    <row r="473" spans="1:7" x14ac:dyDescent="0.25">
      <c r="A473" s="17"/>
      <c r="D473" s="19">
        <f>SUM(D469:D472)</f>
        <v>3732479000</v>
      </c>
      <c r="G473" s="1"/>
    </row>
    <row r="474" spans="1:7" x14ac:dyDescent="0.25">
      <c r="A474" s="17"/>
      <c r="D474" s="19"/>
      <c r="G474" s="1"/>
    </row>
    <row r="475" spans="1:7" x14ac:dyDescent="0.25">
      <c r="A475" s="43" t="s">
        <v>25</v>
      </c>
      <c r="B475" s="44"/>
      <c r="C475" s="44"/>
      <c r="D475" s="25">
        <f>D447+D461+D466-D473</f>
        <v>1261778971.8500004</v>
      </c>
      <c r="G475" s="1"/>
    </row>
    <row r="476" spans="1:7" x14ac:dyDescent="0.25">
      <c r="A476" s="21"/>
      <c r="B476" s="22"/>
      <c r="C476" s="22"/>
      <c r="D476" s="20"/>
      <c r="G476" s="1"/>
    </row>
    <row r="478" spans="1:7" x14ac:dyDescent="0.25">
      <c r="A478" s="40" t="s">
        <v>13</v>
      </c>
      <c r="B478" s="40"/>
      <c r="C478" s="40"/>
      <c r="D478" s="40"/>
      <c r="G478" s="1"/>
    </row>
    <row r="479" spans="1:7" x14ac:dyDescent="0.25">
      <c r="A479" s="41" t="s">
        <v>14</v>
      </c>
      <c r="B479" s="41"/>
      <c r="C479" s="41"/>
      <c r="D479" s="41"/>
      <c r="G479" s="1"/>
    </row>
    <row r="480" spans="1:7" x14ac:dyDescent="0.25">
      <c r="A480" s="42">
        <v>45913</v>
      </c>
      <c r="B480" s="42"/>
      <c r="C480" s="42"/>
      <c r="D480" s="42"/>
      <c r="G480" s="1"/>
    </row>
    <row r="481" spans="1:9" x14ac:dyDescent="0.25">
      <c r="A481" s="13"/>
      <c r="B481" s="13"/>
      <c r="C481" s="13"/>
      <c r="D481" s="13"/>
      <c r="G481" s="1"/>
    </row>
    <row r="482" spans="1:9" x14ac:dyDescent="0.25">
      <c r="A482" s="14"/>
      <c r="B482" s="15"/>
      <c r="C482" s="15"/>
      <c r="D482" s="16"/>
      <c r="F482" s="5" t="s">
        <v>26</v>
      </c>
      <c r="G482" s="1">
        <f>D522-D475</f>
        <v>-712500</v>
      </c>
    </row>
    <row r="483" spans="1:9" x14ac:dyDescent="0.25">
      <c r="A483" s="17"/>
      <c r="D483" s="32" t="s">
        <v>16</v>
      </c>
      <c r="G483" s="1"/>
    </row>
    <row r="484" spans="1:9" x14ac:dyDescent="0.25">
      <c r="A484" s="23" t="s">
        <v>15</v>
      </c>
      <c r="D484" s="18" t="s">
        <v>17</v>
      </c>
      <c r="F484" s="26" t="s">
        <v>27</v>
      </c>
      <c r="G484" s="1"/>
    </row>
    <row r="485" spans="1:9" x14ac:dyDescent="0.25">
      <c r="A485" s="17"/>
      <c r="B485" s="24" t="s">
        <v>18</v>
      </c>
      <c r="D485" s="19"/>
      <c r="F485" s="27" t="s">
        <v>28</v>
      </c>
      <c r="G485" s="1"/>
    </row>
    <row r="486" spans="1:9" x14ac:dyDescent="0.25">
      <c r="A486" s="17"/>
      <c r="C486" s="2" t="s">
        <v>31</v>
      </c>
      <c r="D486" s="19">
        <v>5190993.01</v>
      </c>
      <c r="F486" t="s">
        <v>154</v>
      </c>
      <c r="G486" s="1">
        <v>4095000</v>
      </c>
    </row>
    <row r="487" spans="1:9" x14ac:dyDescent="0.25">
      <c r="A487" s="17"/>
      <c r="C487" s="2" t="s">
        <v>32</v>
      </c>
      <c r="D487" s="19">
        <v>140733579.84</v>
      </c>
      <c r="F487" t="s">
        <v>90</v>
      </c>
      <c r="G487" s="1">
        <v>192500</v>
      </c>
      <c r="I487" s="38"/>
    </row>
    <row r="488" spans="1:9" x14ac:dyDescent="0.25">
      <c r="A488" s="17"/>
      <c r="C488" s="2" t="s">
        <v>33</v>
      </c>
      <c r="D488" s="19">
        <v>281948033.39999998</v>
      </c>
      <c r="G488" s="30">
        <f>SUM(G486:G487)</f>
        <v>4287500</v>
      </c>
    </row>
    <row r="489" spans="1:9" x14ac:dyDescent="0.25">
      <c r="A489" s="17"/>
      <c r="C489" s="2" t="s">
        <v>34</v>
      </c>
      <c r="D489" s="19">
        <v>78112511</v>
      </c>
      <c r="F489" s="28" t="s">
        <v>29</v>
      </c>
      <c r="G489" s="1"/>
    </row>
    <row r="490" spans="1:9" x14ac:dyDescent="0.25">
      <c r="A490" s="17"/>
      <c r="C490" s="2" t="s">
        <v>35</v>
      </c>
      <c r="D490" s="19">
        <v>25000</v>
      </c>
      <c r="F490" t="s">
        <v>925</v>
      </c>
      <c r="G490" s="1">
        <v>5000000</v>
      </c>
    </row>
    <row r="491" spans="1:9" x14ac:dyDescent="0.25">
      <c r="A491" s="17"/>
      <c r="C491" s="2" t="s">
        <v>36</v>
      </c>
      <c r="D491" s="19">
        <v>106733023.59999999</v>
      </c>
      <c r="G491" s="30">
        <f>SUM(G490:G490)</f>
        <v>5000000</v>
      </c>
    </row>
    <row r="492" spans="1:9" x14ac:dyDescent="0.25">
      <c r="A492" s="17"/>
      <c r="C492" s="2" t="s">
        <v>37</v>
      </c>
      <c r="D492" s="19">
        <v>127452039</v>
      </c>
    </row>
    <row r="493" spans="1:9" x14ac:dyDescent="0.25">
      <c r="A493" s="17"/>
      <c r="C493" s="2" t="s">
        <v>51</v>
      </c>
      <c r="D493" s="20">
        <v>130317</v>
      </c>
      <c r="F493" s="28" t="s">
        <v>30</v>
      </c>
      <c r="G493" s="29">
        <f>G488-G491</f>
        <v>-712500</v>
      </c>
    </row>
    <row r="494" spans="1:9" x14ac:dyDescent="0.25">
      <c r="A494" s="17"/>
      <c r="B494" s="24" t="s">
        <v>19</v>
      </c>
      <c r="D494" s="19">
        <f>SUM(D486:D493)</f>
        <v>740325496.85000002</v>
      </c>
    </row>
    <row r="495" spans="1:9" x14ac:dyDescent="0.25">
      <c r="A495" s="17"/>
      <c r="D495" s="19"/>
    </row>
    <row r="496" spans="1:9" x14ac:dyDescent="0.25">
      <c r="A496" s="17"/>
      <c r="B496" s="24" t="s">
        <v>20</v>
      </c>
      <c r="D496" s="19"/>
    </row>
    <row r="497" spans="1:7" x14ac:dyDescent="0.25">
      <c r="A497" s="17"/>
      <c r="C497" t="s">
        <v>7</v>
      </c>
      <c r="D497" s="19">
        <v>2312768637</v>
      </c>
    </row>
    <row r="498" spans="1:7" x14ac:dyDescent="0.25">
      <c r="A498" s="17"/>
      <c r="C498" t="s">
        <v>21</v>
      </c>
      <c r="D498" s="19">
        <v>949178838</v>
      </c>
    </row>
    <row r="499" spans="1:7" x14ac:dyDescent="0.25">
      <c r="A499" s="17"/>
      <c r="C499" t="s">
        <v>773</v>
      </c>
      <c r="D499" s="19">
        <v>538950000</v>
      </c>
    </row>
    <row r="500" spans="1:7" x14ac:dyDescent="0.25">
      <c r="A500" s="17"/>
      <c r="C500" t="s">
        <v>45</v>
      </c>
      <c r="D500" s="19">
        <v>25000000</v>
      </c>
    </row>
    <row r="501" spans="1:7" x14ac:dyDescent="0.25">
      <c r="A501" s="17"/>
      <c r="C501" t="s">
        <v>48</v>
      </c>
      <c r="D501" s="19">
        <v>30000000</v>
      </c>
    </row>
    <row r="502" spans="1:7" x14ac:dyDescent="0.25">
      <c r="A502" s="17"/>
      <c r="C502" t="s">
        <v>518</v>
      </c>
      <c r="D502" s="19">
        <v>5000000</v>
      </c>
    </row>
    <row r="503" spans="1:7" x14ac:dyDescent="0.25">
      <c r="A503" s="17"/>
      <c r="C503" t="s">
        <v>882</v>
      </c>
      <c r="D503" s="19">
        <v>33000000</v>
      </c>
    </row>
    <row r="504" spans="1:7" x14ac:dyDescent="0.25">
      <c r="A504" s="17"/>
      <c r="C504" t="s">
        <v>933</v>
      </c>
      <c r="D504" s="19">
        <v>180000000</v>
      </c>
    </row>
    <row r="505" spans="1:7" x14ac:dyDescent="0.25">
      <c r="A505" s="17"/>
      <c r="C505" t="s">
        <v>935</v>
      </c>
      <c r="D505" s="19">
        <v>21500000</v>
      </c>
    </row>
    <row r="506" spans="1:7" x14ac:dyDescent="0.25">
      <c r="A506" s="17"/>
      <c r="C506" t="s">
        <v>744</v>
      </c>
      <c r="D506" s="19">
        <v>1002500</v>
      </c>
    </row>
    <row r="507" spans="1:7" x14ac:dyDescent="0.25">
      <c r="A507" s="17"/>
      <c r="C507" t="s">
        <v>756</v>
      </c>
      <c r="D507" s="20">
        <v>50005000</v>
      </c>
    </row>
    <row r="508" spans="1:7" x14ac:dyDescent="0.25">
      <c r="A508" s="17"/>
      <c r="D508" s="19">
        <f>SUM(D497:D507)</f>
        <v>4146404975</v>
      </c>
    </row>
    <row r="509" spans="1:7" x14ac:dyDescent="0.25">
      <c r="A509" s="17"/>
      <c r="D509" s="19"/>
      <c r="G509" s="1"/>
    </row>
    <row r="510" spans="1:7" x14ac:dyDescent="0.25">
      <c r="A510" s="17"/>
      <c r="B510" s="24" t="s">
        <v>46</v>
      </c>
      <c r="D510" s="19"/>
      <c r="G510" s="1"/>
    </row>
    <row r="511" spans="1:7" x14ac:dyDescent="0.25">
      <c r="A511" s="17"/>
      <c r="B511" s="24"/>
      <c r="C511" t="s">
        <v>934</v>
      </c>
      <c r="D511" s="19">
        <f>82*602500</f>
        <v>49405000</v>
      </c>
      <c r="G511" s="1"/>
    </row>
    <row r="512" spans="1:7" x14ac:dyDescent="0.25">
      <c r="A512" s="17"/>
      <c r="B512" s="24"/>
      <c r="C512" t="s">
        <v>856</v>
      </c>
      <c r="D512" s="20">
        <v>0</v>
      </c>
    </row>
    <row r="513" spans="1:7" x14ac:dyDescent="0.25">
      <c r="A513" s="17"/>
      <c r="D513" s="19">
        <f>SUM(D511:D512)</f>
        <v>49405000</v>
      </c>
      <c r="G513" s="1"/>
    </row>
    <row r="514" spans="1:7" x14ac:dyDescent="0.25">
      <c r="A514" s="17"/>
      <c r="D514" s="19"/>
      <c r="G514" s="1"/>
    </row>
    <row r="515" spans="1:7" x14ac:dyDescent="0.25">
      <c r="A515" s="23" t="s">
        <v>22</v>
      </c>
      <c r="D515" s="19"/>
      <c r="G515" s="1"/>
    </row>
    <row r="516" spans="1:7" x14ac:dyDescent="0.25">
      <c r="A516" s="17"/>
      <c r="C516" t="s">
        <v>23</v>
      </c>
      <c r="D516" s="19">
        <v>1645750000</v>
      </c>
      <c r="G516" s="1"/>
    </row>
    <row r="517" spans="1:7" x14ac:dyDescent="0.25">
      <c r="A517" s="17"/>
      <c r="C517" t="s">
        <v>24</v>
      </c>
      <c r="D517" s="19">
        <v>1625219000</v>
      </c>
      <c r="G517" s="1"/>
    </row>
    <row r="518" spans="1:7" x14ac:dyDescent="0.25">
      <c r="A518" s="17"/>
      <c r="C518" t="s">
        <v>602</v>
      </c>
      <c r="D518" s="19">
        <v>252000000</v>
      </c>
      <c r="G518" s="1"/>
    </row>
    <row r="519" spans="1:7" x14ac:dyDescent="0.25">
      <c r="A519" s="17"/>
      <c r="C519" t="s">
        <v>111</v>
      </c>
      <c r="D519" s="20">
        <v>152100000</v>
      </c>
      <c r="G519" s="1"/>
    </row>
    <row r="520" spans="1:7" x14ac:dyDescent="0.25">
      <c r="A520" s="17"/>
      <c r="D520" s="19">
        <f>SUM(D516:D519)</f>
        <v>3675069000</v>
      </c>
      <c r="G520" s="1"/>
    </row>
    <row r="521" spans="1:7" x14ac:dyDescent="0.25">
      <c r="A521" s="17"/>
      <c r="D521" s="19"/>
      <c r="G521" s="1"/>
    </row>
    <row r="522" spans="1:7" x14ac:dyDescent="0.25">
      <c r="A522" s="43" t="s">
        <v>25</v>
      </c>
      <c r="B522" s="44"/>
      <c r="C522" s="44"/>
      <c r="D522" s="25">
        <f>D494+D508+D513-D520</f>
        <v>1261066471.8500004</v>
      </c>
      <c r="G522" s="1"/>
    </row>
    <row r="523" spans="1:7" x14ac:dyDescent="0.25">
      <c r="A523" s="21"/>
      <c r="B523" s="22"/>
      <c r="C523" s="22"/>
      <c r="D523" s="20"/>
      <c r="G523" s="1"/>
    </row>
  </sheetData>
  <mergeCells count="44">
    <mergeCell ref="A478:D478"/>
    <mergeCell ref="A479:D479"/>
    <mergeCell ref="A480:D480"/>
    <mergeCell ref="A522:C522"/>
    <mergeCell ref="A242:D242"/>
    <mergeCell ref="A243:D243"/>
    <mergeCell ref="A244:D244"/>
    <mergeCell ref="A287:C287"/>
    <mergeCell ref="A337:D337"/>
    <mergeCell ref="A338:D338"/>
    <mergeCell ref="A339:D339"/>
    <mergeCell ref="A381:C381"/>
    <mergeCell ref="A290:D290"/>
    <mergeCell ref="A291:D291"/>
    <mergeCell ref="A292:D292"/>
    <mergeCell ref="A334:C334"/>
    <mergeCell ref="A193:D193"/>
    <mergeCell ref="A194:D194"/>
    <mergeCell ref="A195:D195"/>
    <mergeCell ref="A239:C239"/>
    <mergeCell ref="A50:D50"/>
    <mergeCell ref="A51:D51"/>
    <mergeCell ref="A94:C94"/>
    <mergeCell ref="A145:D145"/>
    <mergeCell ref="A146:D146"/>
    <mergeCell ref="A147:D147"/>
    <mergeCell ref="A190:C190"/>
    <mergeCell ref="A97:D97"/>
    <mergeCell ref="A98:D98"/>
    <mergeCell ref="A99:D99"/>
    <mergeCell ref="A142:C142"/>
    <mergeCell ref="A1:D1"/>
    <mergeCell ref="A2:D2"/>
    <mergeCell ref="A3:D3"/>
    <mergeCell ref="A46:C46"/>
    <mergeCell ref="A49:D49"/>
    <mergeCell ref="A431:D431"/>
    <mergeCell ref="A432:D432"/>
    <mergeCell ref="A433:D433"/>
    <mergeCell ref="A475:C475"/>
    <mergeCell ref="A384:D384"/>
    <mergeCell ref="A385:D385"/>
    <mergeCell ref="A386:D386"/>
    <mergeCell ref="A428:C428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377D-5E80-4E0D-839A-E2D9AD450EE8}">
  <dimension ref="A1:J321"/>
  <sheetViews>
    <sheetView zoomScaleNormal="100" workbookViewId="0">
      <pane ySplit="3" topLeftCell="A285" activePane="bottomLeft" state="frozen"/>
      <selection pane="bottomLeft" activeCell="D317" sqref="D317"/>
    </sheetView>
  </sheetViews>
  <sheetFormatPr defaultRowHeight="15" x14ac:dyDescent="0.25"/>
  <cols>
    <col min="1" max="1" width="30.140625" bestFit="1" customWidth="1"/>
    <col min="2" max="2" width="18.140625" bestFit="1" customWidth="1"/>
    <col min="3" max="3" width="15.140625" bestFit="1" customWidth="1"/>
    <col min="4" max="4" width="16.5703125" bestFit="1" customWidth="1"/>
    <col min="5" max="5" width="12.7109375" style="7" customWidth="1"/>
    <col min="6" max="6" width="12.140625" style="7" customWidth="1"/>
    <col min="7" max="7" width="17.7109375" style="7" customWidth="1"/>
    <col min="10" max="10" width="17.7109375" style="1" bestFit="1" customWidth="1"/>
  </cols>
  <sheetData>
    <row r="1" spans="1:8" x14ac:dyDescent="0.25">
      <c r="A1" s="4" t="s">
        <v>0</v>
      </c>
      <c r="D1" s="6"/>
    </row>
    <row r="2" spans="1:8" x14ac:dyDescent="0.25">
      <c r="D2" s="6"/>
    </row>
    <row r="3" spans="1:8" x14ac:dyDescent="0.25">
      <c r="A3" s="11" t="s">
        <v>4</v>
      </c>
      <c r="B3" s="11" t="s">
        <v>7</v>
      </c>
      <c r="C3" s="11" t="s">
        <v>6</v>
      </c>
      <c r="D3" s="12" t="s">
        <v>5</v>
      </c>
      <c r="E3" s="11" t="s">
        <v>39</v>
      </c>
      <c r="F3" s="11" t="s">
        <v>40</v>
      </c>
    </row>
    <row r="4" spans="1:8" ht="15" customHeight="1" x14ac:dyDescent="0.25">
      <c r="A4" s="3" t="s">
        <v>73</v>
      </c>
      <c r="B4" s="8" t="s">
        <v>8</v>
      </c>
      <c r="C4" s="8" t="s">
        <v>38</v>
      </c>
      <c r="D4" s="9">
        <v>70965000</v>
      </c>
      <c r="E4" s="31">
        <v>45643</v>
      </c>
      <c r="F4" s="31">
        <v>45644</v>
      </c>
      <c r="G4" s="53" t="s">
        <v>75</v>
      </c>
      <c r="H4" s="54"/>
    </row>
    <row r="5" spans="1:8" x14ac:dyDescent="0.25">
      <c r="A5" s="48" t="s">
        <v>73</v>
      </c>
      <c r="B5" s="50" t="s">
        <v>8</v>
      </c>
      <c r="C5" s="8" t="s">
        <v>38</v>
      </c>
      <c r="D5" s="9">
        <v>42380000</v>
      </c>
      <c r="E5" s="31">
        <v>45643</v>
      </c>
      <c r="F5" s="31">
        <v>45646</v>
      </c>
      <c r="G5" s="53"/>
      <c r="H5" s="54"/>
    </row>
    <row r="6" spans="1:8" x14ac:dyDescent="0.25">
      <c r="A6" s="49"/>
      <c r="B6" s="51"/>
      <c r="C6" s="8" t="s">
        <v>3</v>
      </c>
      <c r="D6" s="9">
        <v>28585000</v>
      </c>
      <c r="E6" s="31">
        <v>45643</v>
      </c>
      <c r="F6" s="31">
        <v>45646</v>
      </c>
      <c r="G6" s="53"/>
      <c r="H6" s="54"/>
    </row>
    <row r="7" spans="1:8" x14ac:dyDescent="0.25">
      <c r="A7" s="3" t="s">
        <v>74</v>
      </c>
      <c r="B7" s="8" t="s">
        <v>8</v>
      </c>
      <c r="C7" s="8" t="s">
        <v>3</v>
      </c>
      <c r="D7" s="9">
        <v>71415000</v>
      </c>
      <c r="E7" s="31">
        <v>45643</v>
      </c>
      <c r="F7" s="31">
        <v>45659</v>
      </c>
      <c r="G7" s="53"/>
      <c r="H7" s="54"/>
    </row>
    <row r="8" spans="1:8" x14ac:dyDescent="0.25">
      <c r="A8" s="48" t="s">
        <v>72</v>
      </c>
      <c r="B8" s="50" t="s">
        <v>10</v>
      </c>
      <c r="C8" s="8" t="s">
        <v>3</v>
      </c>
      <c r="D8" s="9">
        <v>50000000</v>
      </c>
      <c r="E8" s="31">
        <v>45644</v>
      </c>
      <c r="F8" s="46">
        <v>45659</v>
      </c>
    </row>
    <row r="9" spans="1:8" x14ac:dyDescent="0.25">
      <c r="A9" s="49"/>
      <c r="B9" s="51"/>
      <c r="C9" s="8" t="s">
        <v>3</v>
      </c>
      <c r="D9" s="9">
        <v>17500000</v>
      </c>
      <c r="E9" s="31">
        <v>45645</v>
      </c>
      <c r="F9" s="47"/>
    </row>
    <row r="10" spans="1:8" x14ac:dyDescent="0.25">
      <c r="A10" s="3" t="s">
        <v>77</v>
      </c>
      <c r="B10" s="8" t="s">
        <v>12</v>
      </c>
      <c r="C10" s="8" t="s">
        <v>38</v>
      </c>
      <c r="D10" s="9">
        <v>73800000</v>
      </c>
      <c r="E10" s="31">
        <v>45650</v>
      </c>
      <c r="F10" s="31">
        <v>45659</v>
      </c>
    </row>
    <row r="11" spans="1:8" x14ac:dyDescent="0.25">
      <c r="A11" s="3" t="s">
        <v>77</v>
      </c>
      <c r="B11" s="8" t="s">
        <v>12</v>
      </c>
      <c r="C11" s="8" t="s">
        <v>38</v>
      </c>
      <c r="D11" s="9">
        <v>73800000</v>
      </c>
      <c r="E11" s="31">
        <v>45650</v>
      </c>
      <c r="F11" s="31">
        <v>45668</v>
      </c>
    </row>
    <row r="12" spans="1:8" x14ac:dyDescent="0.25">
      <c r="A12" s="3" t="s">
        <v>77</v>
      </c>
      <c r="B12" s="8" t="s">
        <v>12</v>
      </c>
      <c r="C12" s="8" t="s">
        <v>38</v>
      </c>
      <c r="D12" s="9">
        <v>73800000</v>
      </c>
      <c r="E12" s="31">
        <v>45650</v>
      </c>
      <c r="F12" s="31">
        <v>45680</v>
      </c>
    </row>
    <row r="13" spans="1:8" x14ac:dyDescent="0.25">
      <c r="A13" s="3" t="s">
        <v>113</v>
      </c>
      <c r="B13" s="8" t="s">
        <v>114</v>
      </c>
      <c r="C13" s="8" t="s">
        <v>38</v>
      </c>
      <c r="D13" s="9">
        <v>71100000</v>
      </c>
      <c r="E13" s="31">
        <v>45652</v>
      </c>
      <c r="F13" s="31">
        <v>45660</v>
      </c>
    </row>
    <row r="14" spans="1:8" x14ac:dyDescent="0.25">
      <c r="A14" s="3" t="s">
        <v>115</v>
      </c>
      <c r="B14" s="8" t="s">
        <v>114</v>
      </c>
      <c r="C14" s="8" t="s">
        <v>38</v>
      </c>
      <c r="D14" s="9">
        <v>72000000</v>
      </c>
      <c r="E14" s="31">
        <v>45652</v>
      </c>
      <c r="F14" s="31">
        <v>45665</v>
      </c>
    </row>
    <row r="15" spans="1:8" x14ac:dyDescent="0.25">
      <c r="A15" s="3" t="s">
        <v>42</v>
      </c>
      <c r="B15" s="8" t="s">
        <v>81</v>
      </c>
      <c r="C15" s="8" t="s">
        <v>3</v>
      </c>
      <c r="D15" s="9">
        <v>10000000</v>
      </c>
      <c r="E15" s="31">
        <v>45656</v>
      </c>
      <c r="F15" s="31">
        <v>45659</v>
      </c>
    </row>
    <row r="16" spans="1:8" x14ac:dyDescent="0.25">
      <c r="A16" s="3" t="s">
        <v>42</v>
      </c>
      <c r="B16" s="8" t="s">
        <v>82</v>
      </c>
      <c r="C16" s="8" t="s">
        <v>3</v>
      </c>
      <c r="D16" s="9">
        <v>40000000</v>
      </c>
      <c r="E16" s="31">
        <v>45656</v>
      </c>
      <c r="F16" s="31">
        <v>45659</v>
      </c>
    </row>
    <row r="17" spans="1:7" x14ac:dyDescent="0.25">
      <c r="A17" s="3" t="s">
        <v>42</v>
      </c>
      <c r="B17" s="8" t="s">
        <v>83</v>
      </c>
      <c r="C17" s="8" t="s">
        <v>3</v>
      </c>
      <c r="D17" s="9">
        <v>50000</v>
      </c>
      <c r="E17" s="31">
        <v>45657</v>
      </c>
      <c r="F17" s="31">
        <v>45659</v>
      </c>
    </row>
    <row r="18" spans="1:7" x14ac:dyDescent="0.25">
      <c r="A18" s="3" t="s">
        <v>77</v>
      </c>
      <c r="B18" s="8" t="s">
        <v>84</v>
      </c>
      <c r="C18" s="8" t="s">
        <v>85</v>
      </c>
      <c r="D18" s="9">
        <v>73800000</v>
      </c>
      <c r="E18" s="31">
        <v>45658</v>
      </c>
      <c r="F18" s="31">
        <v>45661</v>
      </c>
    </row>
    <row r="19" spans="1:7" x14ac:dyDescent="0.25">
      <c r="A19" s="3" t="s">
        <v>100</v>
      </c>
      <c r="B19" s="8" t="s">
        <v>10</v>
      </c>
      <c r="C19" s="8" t="s">
        <v>3</v>
      </c>
      <c r="D19" s="9">
        <v>76500000</v>
      </c>
      <c r="E19" s="31">
        <v>45660</v>
      </c>
      <c r="F19" s="31">
        <v>45663</v>
      </c>
    </row>
    <row r="20" spans="1:7" x14ac:dyDescent="0.25">
      <c r="A20" s="3" t="s">
        <v>106</v>
      </c>
      <c r="B20" s="8" t="s">
        <v>107</v>
      </c>
      <c r="C20" s="8" t="s">
        <v>85</v>
      </c>
      <c r="D20" s="9">
        <v>1000000</v>
      </c>
      <c r="E20" s="31">
        <v>45660</v>
      </c>
      <c r="F20" s="31">
        <v>45661</v>
      </c>
    </row>
    <row r="21" spans="1:7" x14ac:dyDescent="0.25">
      <c r="A21" s="3" t="s">
        <v>108</v>
      </c>
      <c r="B21" s="8" t="s">
        <v>109</v>
      </c>
      <c r="C21" s="8" t="s">
        <v>110</v>
      </c>
      <c r="D21" s="9">
        <v>149200000</v>
      </c>
      <c r="E21" s="31">
        <v>45660</v>
      </c>
      <c r="F21" s="31">
        <v>45661</v>
      </c>
    </row>
    <row r="22" spans="1:7" x14ac:dyDescent="0.25">
      <c r="A22" s="3" t="s">
        <v>42</v>
      </c>
      <c r="B22" s="8" t="s">
        <v>41</v>
      </c>
      <c r="C22" s="8" t="s">
        <v>38</v>
      </c>
      <c r="D22" s="9">
        <v>20975000</v>
      </c>
      <c r="E22" s="31">
        <v>45660</v>
      </c>
      <c r="F22" s="31">
        <v>45661</v>
      </c>
    </row>
    <row r="23" spans="1:7" x14ac:dyDescent="0.25">
      <c r="A23" s="3" t="s">
        <v>106</v>
      </c>
      <c r="B23" s="8" t="s">
        <v>12</v>
      </c>
      <c r="C23" s="8" t="s">
        <v>38</v>
      </c>
      <c r="D23" s="9">
        <v>675000</v>
      </c>
      <c r="E23" s="31">
        <v>45660</v>
      </c>
      <c r="F23" s="31">
        <v>45661</v>
      </c>
    </row>
    <row r="24" spans="1:7" x14ac:dyDescent="0.25">
      <c r="A24" s="3" t="s">
        <v>119</v>
      </c>
      <c r="B24" s="8" t="s">
        <v>12</v>
      </c>
      <c r="C24" s="8" t="s">
        <v>38</v>
      </c>
      <c r="D24" s="9">
        <v>74700000</v>
      </c>
      <c r="E24" s="31">
        <v>45661</v>
      </c>
      <c r="F24" s="31">
        <v>45671</v>
      </c>
    </row>
    <row r="25" spans="1:7" x14ac:dyDescent="0.25">
      <c r="A25" s="3" t="s">
        <v>106</v>
      </c>
      <c r="B25" s="8" t="s">
        <v>12</v>
      </c>
      <c r="C25" s="8" t="s">
        <v>38</v>
      </c>
      <c r="D25" s="9">
        <v>675000</v>
      </c>
      <c r="E25" s="31">
        <v>45661</v>
      </c>
      <c r="F25" s="31">
        <v>45663</v>
      </c>
    </row>
    <row r="26" spans="1:7" x14ac:dyDescent="0.25">
      <c r="A26" s="3" t="s">
        <v>42</v>
      </c>
      <c r="B26" s="8" t="s">
        <v>41</v>
      </c>
      <c r="C26" s="8" t="s">
        <v>38</v>
      </c>
      <c r="D26" s="9">
        <v>27475000</v>
      </c>
      <c r="E26" s="31">
        <v>45663</v>
      </c>
      <c r="F26" s="31">
        <v>45664</v>
      </c>
    </row>
    <row r="27" spans="1:7" x14ac:dyDescent="0.25">
      <c r="A27" s="48" t="s">
        <v>133</v>
      </c>
      <c r="B27" s="50" t="s">
        <v>10</v>
      </c>
      <c r="C27" s="50" t="s">
        <v>3</v>
      </c>
      <c r="D27" s="9">
        <v>44500000</v>
      </c>
      <c r="E27" s="31">
        <v>45663</v>
      </c>
      <c r="F27" s="31">
        <v>45671</v>
      </c>
    </row>
    <row r="28" spans="1:7" x14ac:dyDescent="0.25">
      <c r="A28" s="49"/>
      <c r="B28" s="51"/>
      <c r="C28" s="51"/>
      <c r="D28" s="9">
        <v>30200000</v>
      </c>
      <c r="E28" s="31">
        <v>45664</v>
      </c>
      <c r="F28" s="31">
        <v>45671</v>
      </c>
    </row>
    <row r="29" spans="1:7" x14ac:dyDescent="0.25">
      <c r="A29" s="3" t="s">
        <v>106</v>
      </c>
      <c r="B29" s="8" t="s">
        <v>8</v>
      </c>
      <c r="C29" s="8" t="s">
        <v>38</v>
      </c>
      <c r="D29" s="9">
        <v>2430000</v>
      </c>
      <c r="E29" s="31">
        <v>45663</v>
      </c>
      <c r="F29" s="31">
        <v>45664</v>
      </c>
    </row>
    <row r="30" spans="1:7" x14ac:dyDescent="0.25">
      <c r="A30" s="3" t="s">
        <v>129</v>
      </c>
      <c r="B30" s="8" t="s">
        <v>130</v>
      </c>
      <c r="C30" s="8" t="s">
        <v>110</v>
      </c>
      <c r="D30" s="9">
        <v>450000</v>
      </c>
      <c r="E30" s="31">
        <v>45663</v>
      </c>
      <c r="F30" s="31">
        <v>45664</v>
      </c>
    </row>
    <row r="31" spans="1:7" x14ac:dyDescent="0.25">
      <c r="A31" s="3" t="s">
        <v>140</v>
      </c>
      <c r="B31" s="8" t="s">
        <v>84</v>
      </c>
      <c r="C31" s="8" t="s">
        <v>3</v>
      </c>
      <c r="D31" s="9">
        <v>72675000</v>
      </c>
      <c r="E31" s="31">
        <v>45665</v>
      </c>
      <c r="F31" s="31">
        <v>45666</v>
      </c>
    </row>
    <row r="32" spans="1:7" x14ac:dyDescent="0.25">
      <c r="A32" s="3" t="s">
        <v>106</v>
      </c>
      <c r="B32" s="8" t="s">
        <v>107</v>
      </c>
      <c r="C32" s="8" t="s">
        <v>85</v>
      </c>
      <c r="D32" s="9">
        <v>650000</v>
      </c>
      <c r="E32" s="31">
        <v>45666</v>
      </c>
      <c r="F32" s="31">
        <v>45667</v>
      </c>
      <c r="G32" s="7" t="s">
        <v>144</v>
      </c>
    </row>
    <row r="33" spans="1:6" x14ac:dyDescent="0.25">
      <c r="A33" s="3" t="s">
        <v>175</v>
      </c>
      <c r="B33" s="8" t="s">
        <v>8</v>
      </c>
      <c r="C33" s="8" t="s">
        <v>3</v>
      </c>
      <c r="D33" s="9">
        <v>77850000</v>
      </c>
      <c r="E33" s="31">
        <v>45667</v>
      </c>
      <c r="F33" s="31">
        <v>45673</v>
      </c>
    </row>
    <row r="34" spans="1:6" x14ac:dyDescent="0.25">
      <c r="A34" s="3" t="s">
        <v>108</v>
      </c>
      <c r="B34" s="8" t="s">
        <v>109</v>
      </c>
      <c r="C34" s="8" t="s">
        <v>110</v>
      </c>
      <c r="D34" s="9">
        <v>149200000</v>
      </c>
      <c r="E34" s="31">
        <v>45668</v>
      </c>
      <c r="F34" s="31">
        <v>45670</v>
      </c>
    </row>
    <row r="35" spans="1:6" x14ac:dyDescent="0.25">
      <c r="A35" s="48" t="s">
        <v>202</v>
      </c>
      <c r="B35" s="50" t="s">
        <v>10</v>
      </c>
      <c r="C35" s="50" t="s">
        <v>3</v>
      </c>
      <c r="D35" s="9">
        <v>60000000</v>
      </c>
      <c r="E35" s="31">
        <v>45668</v>
      </c>
      <c r="F35" s="46">
        <v>45698</v>
      </c>
    </row>
    <row r="36" spans="1:6" x14ac:dyDescent="0.25">
      <c r="A36" s="49"/>
      <c r="B36" s="51"/>
      <c r="C36" s="51"/>
      <c r="D36" s="9">
        <v>16500000</v>
      </c>
      <c r="E36" s="31">
        <v>45670</v>
      </c>
      <c r="F36" s="47"/>
    </row>
    <row r="37" spans="1:6" x14ac:dyDescent="0.25">
      <c r="A37" s="3" t="s">
        <v>162</v>
      </c>
      <c r="B37" s="8" t="s">
        <v>84</v>
      </c>
      <c r="C37" s="8" t="s">
        <v>3</v>
      </c>
      <c r="D37" s="9">
        <v>73100000</v>
      </c>
      <c r="E37" s="31">
        <v>45671</v>
      </c>
      <c r="F37" s="31">
        <v>45672</v>
      </c>
    </row>
    <row r="38" spans="1:6" x14ac:dyDescent="0.25">
      <c r="A38" s="3" t="s">
        <v>163</v>
      </c>
      <c r="B38" s="8" t="s">
        <v>84</v>
      </c>
      <c r="C38" s="8" t="s">
        <v>85</v>
      </c>
      <c r="D38" s="9">
        <v>76950000</v>
      </c>
      <c r="E38" s="31">
        <v>45671</v>
      </c>
      <c r="F38" s="31">
        <v>45673</v>
      </c>
    </row>
    <row r="39" spans="1:6" x14ac:dyDescent="0.25">
      <c r="A39" s="3" t="s">
        <v>42</v>
      </c>
      <c r="B39" s="8" t="s">
        <v>41</v>
      </c>
      <c r="C39" s="8" t="s">
        <v>38</v>
      </c>
      <c r="D39" s="9">
        <v>2710000</v>
      </c>
      <c r="E39" s="31">
        <v>45672</v>
      </c>
      <c r="F39" s="31">
        <v>45677</v>
      </c>
    </row>
    <row r="40" spans="1:6" x14ac:dyDescent="0.25">
      <c r="A40" s="3" t="s">
        <v>106</v>
      </c>
      <c r="B40" s="8" t="s">
        <v>174</v>
      </c>
      <c r="C40" s="8" t="s">
        <v>110</v>
      </c>
      <c r="D40" s="9">
        <v>1600000</v>
      </c>
      <c r="E40" s="31">
        <v>45672</v>
      </c>
      <c r="F40" s="31">
        <v>45674</v>
      </c>
    </row>
    <row r="41" spans="1:6" x14ac:dyDescent="0.25">
      <c r="A41" s="3" t="s">
        <v>106</v>
      </c>
      <c r="B41" s="8" t="s">
        <v>8</v>
      </c>
      <c r="C41" s="8" t="s">
        <v>3</v>
      </c>
      <c r="D41" s="9">
        <v>1215000</v>
      </c>
      <c r="E41" s="31">
        <v>45667</v>
      </c>
      <c r="F41" s="31">
        <v>45674</v>
      </c>
    </row>
    <row r="42" spans="1:6" x14ac:dyDescent="0.25">
      <c r="A42" s="3" t="s">
        <v>119</v>
      </c>
      <c r="B42" s="8" t="s">
        <v>12</v>
      </c>
      <c r="C42" s="8" t="s">
        <v>38</v>
      </c>
      <c r="D42" s="9">
        <v>74700000</v>
      </c>
      <c r="E42" s="31">
        <v>45672</v>
      </c>
      <c r="F42" s="31">
        <v>45682</v>
      </c>
    </row>
    <row r="43" spans="1:6" x14ac:dyDescent="0.25">
      <c r="A43" s="3" t="s">
        <v>133</v>
      </c>
      <c r="B43" s="8" t="s">
        <v>12</v>
      </c>
      <c r="C43" s="8" t="s">
        <v>38</v>
      </c>
      <c r="D43" s="9">
        <v>74700000</v>
      </c>
      <c r="E43" s="31">
        <v>45672</v>
      </c>
      <c r="F43" s="31">
        <v>45674</v>
      </c>
    </row>
    <row r="44" spans="1:6" x14ac:dyDescent="0.25">
      <c r="A44" s="48" t="s">
        <v>276</v>
      </c>
      <c r="B44" s="50" t="s">
        <v>10</v>
      </c>
      <c r="C44" s="50" t="s">
        <v>3</v>
      </c>
      <c r="D44" s="9">
        <v>39000000</v>
      </c>
      <c r="E44" s="31">
        <v>45672</v>
      </c>
      <c r="F44" s="46">
        <v>45688</v>
      </c>
    </row>
    <row r="45" spans="1:6" x14ac:dyDescent="0.25">
      <c r="A45" s="49"/>
      <c r="B45" s="51"/>
      <c r="C45" s="51"/>
      <c r="D45" s="9">
        <v>37050000</v>
      </c>
      <c r="E45" s="31">
        <v>45673</v>
      </c>
      <c r="F45" s="47"/>
    </row>
    <row r="46" spans="1:6" x14ac:dyDescent="0.25">
      <c r="A46" s="3" t="s">
        <v>189</v>
      </c>
      <c r="B46" s="8" t="s">
        <v>8</v>
      </c>
      <c r="C46" s="8" t="s">
        <v>38</v>
      </c>
      <c r="D46" s="9">
        <v>77850000</v>
      </c>
      <c r="E46" s="31">
        <v>45673</v>
      </c>
      <c r="F46" s="31">
        <v>45674</v>
      </c>
    </row>
    <row r="47" spans="1:6" x14ac:dyDescent="0.25">
      <c r="A47" s="3" t="s">
        <v>187</v>
      </c>
      <c r="B47" s="8" t="s">
        <v>188</v>
      </c>
      <c r="C47" s="8" t="s">
        <v>38</v>
      </c>
      <c r="D47" s="9">
        <v>81855000</v>
      </c>
      <c r="E47" s="31">
        <v>45674</v>
      </c>
      <c r="F47" s="31">
        <v>45677</v>
      </c>
    </row>
    <row r="48" spans="1:6" x14ac:dyDescent="0.25">
      <c r="A48" s="3" t="s">
        <v>106</v>
      </c>
      <c r="B48" s="8" t="s">
        <v>8</v>
      </c>
      <c r="C48" s="8" t="s">
        <v>38</v>
      </c>
      <c r="D48" s="9">
        <v>1215000</v>
      </c>
      <c r="E48" s="31">
        <v>45673</v>
      </c>
      <c r="F48" s="31">
        <v>45675</v>
      </c>
    </row>
    <row r="49" spans="1:7" x14ac:dyDescent="0.25">
      <c r="A49" s="3" t="s">
        <v>193</v>
      </c>
      <c r="B49" s="8" t="s">
        <v>12</v>
      </c>
      <c r="C49" s="8" t="s">
        <v>38</v>
      </c>
      <c r="D49" s="9">
        <v>76500000</v>
      </c>
      <c r="E49" s="31">
        <v>45674</v>
      </c>
      <c r="F49" s="31">
        <v>45677</v>
      </c>
    </row>
    <row r="50" spans="1:7" x14ac:dyDescent="0.25">
      <c r="A50" s="3" t="s">
        <v>202</v>
      </c>
      <c r="B50" s="8" t="s">
        <v>12</v>
      </c>
      <c r="C50" s="8" t="s">
        <v>38</v>
      </c>
      <c r="D50" s="9">
        <v>76500000</v>
      </c>
      <c r="E50" s="31">
        <v>45675</v>
      </c>
      <c r="F50" s="31">
        <v>45689</v>
      </c>
    </row>
    <row r="51" spans="1:7" x14ac:dyDescent="0.25">
      <c r="A51" s="3" t="s">
        <v>189</v>
      </c>
      <c r="B51" s="8" t="s">
        <v>8</v>
      </c>
      <c r="C51" s="8" t="s">
        <v>38</v>
      </c>
      <c r="D51" s="9">
        <v>77850000</v>
      </c>
      <c r="E51" s="31">
        <v>45677</v>
      </c>
      <c r="F51" s="31">
        <v>45680</v>
      </c>
    </row>
    <row r="52" spans="1:7" x14ac:dyDescent="0.25">
      <c r="A52" s="3" t="s">
        <v>189</v>
      </c>
      <c r="B52" s="8" t="s">
        <v>8</v>
      </c>
      <c r="C52" s="8" t="s">
        <v>38</v>
      </c>
      <c r="D52" s="9">
        <v>77850000</v>
      </c>
      <c r="E52" s="31">
        <v>45677</v>
      </c>
      <c r="F52" s="31">
        <v>45681</v>
      </c>
      <c r="G52" s="7" t="s">
        <v>239</v>
      </c>
    </row>
    <row r="53" spans="1:7" x14ac:dyDescent="0.25">
      <c r="A53" s="3" t="s">
        <v>106</v>
      </c>
      <c r="B53" s="8" t="s">
        <v>8</v>
      </c>
      <c r="C53" s="8" t="s">
        <v>38</v>
      </c>
      <c r="D53" s="9">
        <v>1215000</v>
      </c>
      <c r="E53" s="31">
        <v>45677</v>
      </c>
      <c r="F53" s="31">
        <v>45680</v>
      </c>
    </row>
    <row r="54" spans="1:7" x14ac:dyDescent="0.25">
      <c r="A54" s="3" t="s">
        <v>106</v>
      </c>
      <c r="B54" s="8" t="s">
        <v>8</v>
      </c>
      <c r="C54" s="8" t="s">
        <v>38</v>
      </c>
      <c r="D54" s="9">
        <v>1215000</v>
      </c>
      <c r="E54" s="31">
        <v>45677</v>
      </c>
      <c r="F54" s="31">
        <v>45682</v>
      </c>
    </row>
    <row r="55" spans="1:7" x14ac:dyDescent="0.25">
      <c r="A55" s="3" t="s">
        <v>42</v>
      </c>
      <c r="B55" s="8" t="s">
        <v>10</v>
      </c>
      <c r="C55" s="8" t="s">
        <v>3</v>
      </c>
      <c r="D55" s="9">
        <v>32000000</v>
      </c>
      <c r="E55" s="31">
        <v>45677</v>
      </c>
      <c r="F55" s="31">
        <v>45678</v>
      </c>
    </row>
    <row r="56" spans="1:7" x14ac:dyDescent="0.25">
      <c r="A56" s="3" t="s">
        <v>214</v>
      </c>
      <c r="B56" s="8" t="s">
        <v>215</v>
      </c>
      <c r="C56" s="8" t="s">
        <v>3</v>
      </c>
      <c r="D56" s="9">
        <v>3125000</v>
      </c>
      <c r="E56" s="31">
        <v>45678</v>
      </c>
      <c r="F56" s="31">
        <v>45679</v>
      </c>
    </row>
    <row r="57" spans="1:7" x14ac:dyDescent="0.25">
      <c r="A57" s="3" t="s">
        <v>222</v>
      </c>
      <c r="B57" s="8" t="s">
        <v>12</v>
      </c>
      <c r="C57" s="8" t="s">
        <v>38</v>
      </c>
      <c r="D57" s="9">
        <v>79200000</v>
      </c>
      <c r="E57" s="31">
        <v>45679</v>
      </c>
      <c r="F57" s="31">
        <v>45687</v>
      </c>
    </row>
    <row r="58" spans="1:7" x14ac:dyDescent="0.25">
      <c r="A58" s="3" t="s">
        <v>106</v>
      </c>
      <c r="B58" s="8" t="s">
        <v>8</v>
      </c>
      <c r="C58" s="8" t="s">
        <v>38</v>
      </c>
      <c r="D58" s="9">
        <v>1215000</v>
      </c>
      <c r="E58" s="31">
        <v>45681</v>
      </c>
      <c r="F58" s="31">
        <v>45682</v>
      </c>
    </row>
    <row r="59" spans="1:7" x14ac:dyDescent="0.25">
      <c r="A59" s="3" t="s">
        <v>240</v>
      </c>
      <c r="B59" s="8" t="s">
        <v>8</v>
      </c>
      <c r="C59" s="8" t="s">
        <v>38</v>
      </c>
      <c r="D59" s="9">
        <v>78300000</v>
      </c>
      <c r="E59" s="31">
        <v>45681</v>
      </c>
      <c r="F59" s="31">
        <v>45682</v>
      </c>
    </row>
    <row r="60" spans="1:7" x14ac:dyDescent="0.25">
      <c r="A60" s="3" t="s">
        <v>106</v>
      </c>
      <c r="B60" s="8" t="s">
        <v>8</v>
      </c>
      <c r="C60" s="8" t="s">
        <v>38</v>
      </c>
      <c r="D60" s="9">
        <v>1215000</v>
      </c>
      <c r="E60" s="31">
        <v>45681</v>
      </c>
      <c r="F60" s="31">
        <v>45682</v>
      </c>
    </row>
    <row r="61" spans="1:7" x14ac:dyDescent="0.25">
      <c r="A61" s="3" t="s">
        <v>268</v>
      </c>
      <c r="B61" s="8" t="s">
        <v>241</v>
      </c>
      <c r="C61" s="8" t="s">
        <v>38</v>
      </c>
      <c r="D61" s="9">
        <v>10000000</v>
      </c>
      <c r="E61" s="31">
        <v>45681</v>
      </c>
      <c r="F61" s="31">
        <v>45777</v>
      </c>
    </row>
    <row r="62" spans="1:7" x14ac:dyDescent="0.25">
      <c r="A62" s="3" t="s">
        <v>242</v>
      </c>
      <c r="B62" s="8" t="s">
        <v>243</v>
      </c>
      <c r="C62" s="8" t="s">
        <v>3</v>
      </c>
      <c r="D62" s="9">
        <v>75150000</v>
      </c>
      <c r="E62" s="31">
        <v>45681</v>
      </c>
      <c r="F62" s="31">
        <v>45682</v>
      </c>
    </row>
    <row r="63" spans="1:7" x14ac:dyDescent="0.25">
      <c r="A63" s="3" t="s">
        <v>214</v>
      </c>
      <c r="B63" s="8" t="s">
        <v>255</v>
      </c>
      <c r="C63" s="8" t="s">
        <v>85</v>
      </c>
      <c r="D63" s="9">
        <v>80000</v>
      </c>
      <c r="E63" s="31">
        <v>45682</v>
      </c>
      <c r="F63" s="31">
        <v>45687</v>
      </c>
    </row>
    <row r="64" spans="1:7" x14ac:dyDescent="0.25">
      <c r="A64" s="3" t="s">
        <v>106</v>
      </c>
      <c r="B64" s="8" t="s">
        <v>107</v>
      </c>
      <c r="C64" s="8" t="s">
        <v>85</v>
      </c>
      <c r="D64" s="9">
        <v>1000000</v>
      </c>
      <c r="E64" s="31">
        <v>45685</v>
      </c>
      <c r="F64" s="31">
        <v>45687</v>
      </c>
    </row>
    <row r="65" spans="1:6" x14ac:dyDescent="0.25">
      <c r="A65" s="3" t="s">
        <v>106</v>
      </c>
      <c r="B65" s="8" t="s">
        <v>258</v>
      </c>
      <c r="C65" s="8" t="s">
        <v>38</v>
      </c>
      <c r="D65" s="9">
        <v>1500000</v>
      </c>
      <c r="E65" s="31">
        <v>45682</v>
      </c>
      <c r="F65" s="31">
        <v>45687</v>
      </c>
    </row>
    <row r="66" spans="1:6" x14ac:dyDescent="0.25">
      <c r="A66" s="3" t="s">
        <v>106</v>
      </c>
      <c r="B66" s="8" t="s">
        <v>257</v>
      </c>
      <c r="C66" s="8" t="s">
        <v>38</v>
      </c>
      <c r="D66" s="9">
        <v>1500000</v>
      </c>
      <c r="E66" s="31">
        <v>45685</v>
      </c>
      <c r="F66" s="31">
        <v>45687</v>
      </c>
    </row>
    <row r="67" spans="1:6" x14ac:dyDescent="0.25">
      <c r="A67" s="3" t="s">
        <v>106</v>
      </c>
      <c r="B67" s="8" t="s">
        <v>259</v>
      </c>
      <c r="C67" s="8" t="s">
        <v>3</v>
      </c>
      <c r="D67" s="9">
        <v>1400000</v>
      </c>
      <c r="E67" s="31">
        <v>45684</v>
      </c>
      <c r="F67" s="31">
        <v>45687</v>
      </c>
    </row>
    <row r="68" spans="1:6" x14ac:dyDescent="0.25">
      <c r="A68" s="3" t="s">
        <v>291</v>
      </c>
      <c r="B68" s="8" t="s">
        <v>290</v>
      </c>
      <c r="C68" s="8" t="s">
        <v>3</v>
      </c>
      <c r="D68" s="9">
        <v>100000000</v>
      </c>
      <c r="E68" s="31">
        <v>45658</v>
      </c>
      <c r="F68" s="31">
        <v>45691</v>
      </c>
    </row>
    <row r="69" spans="1:6" x14ac:dyDescent="0.25">
      <c r="A69" s="3" t="s">
        <v>276</v>
      </c>
      <c r="B69" s="8" t="s">
        <v>10</v>
      </c>
      <c r="C69" s="8" t="s">
        <v>3</v>
      </c>
      <c r="D69" s="9">
        <v>76050000</v>
      </c>
      <c r="E69" s="31">
        <v>45691</v>
      </c>
      <c r="F69" s="31">
        <v>45692</v>
      </c>
    </row>
    <row r="70" spans="1:6" x14ac:dyDescent="0.25">
      <c r="A70" s="3" t="s">
        <v>319</v>
      </c>
      <c r="B70" s="8" t="s">
        <v>109</v>
      </c>
      <c r="C70" s="8" t="s">
        <v>110</v>
      </c>
      <c r="D70" s="9">
        <v>148000000</v>
      </c>
      <c r="E70" s="31">
        <v>45693</v>
      </c>
      <c r="F70" s="31">
        <v>45694</v>
      </c>
    </row>
    <row r="71" spans="1:6" x14ac:dyDescent="0.25">
      <c r="A71" s="3" t="s">
        <v>301</v>
      </c>
      <c r="B71" s="8" t="s">
        <v>8</v>
      </c>
      <c r="C71" s="8" t="s">
        <v>38</v>
      </c>
      <c r="D71" s="9">
        <v>76950000</v>
      </c>
      <c r="E71" s="31">
        <v>45694</v>
      </c>
      <c r="F71" s="31">
        <v>45695</v>
      </c>
    </row>
    <row r="72" spans="1:6" x14ac:dyDescent="0.25">
      <c r="A72" s="3" t="s">
        <v>106</v>
      </c>
      <c r="B72" s="8" t="s">
        <v>8</v>
      </c>
      <c r="C72" s="8" t="s">
        <v>38</v>
      </c>
      <c r="D72" s="9">
        <v>1215000</v>
      </c>
      <c r="E72" s="31">
        <v>45694</v>
      </c>
      <c r="F72" s="31">
        <v>45695</v>
      </c>
    </row>
    <row r="73" spans="1:6" x14ac:dyDescent="0.25">
      <c r="A73" s="3" t="s">
        <v>306</v>
      </c>
      <c r="B73" s="8" t="s">
        <v>84</v>
      </c>
      <c r="C73" s="8" t="s">
        <v>3</v>
      </c>
      <c r="D73" s="9">
        <v>4450000</v>
      </c>
      <c r="E73" s="31">
        <v>45696</v>
      </c>
      <c r="F73" s="31">
        <v>45715</v>
      </c>
    </row>
    <row r="74" spans="1:6" x14ac:dyDescent="0.25">
      <c r="A74" s="3" t="s">
        <v>315</v>
      </c>
      <c r="B74" s="8" t="s">
        <v>316</v>
      </c>
      <c r="C74" s="8" t="s">
        <v>110</v>
      </c>
      <c r="D74" s="9">
        <v>17300000</v>
      </c>
      <c r="E74" s="31">
        <v>45698</v>
      </c>
      <c r="F74" s="31">
        <v>45701</v>
      </c>
    </row>
    <row r="75" spans="1:6" x14ac:dyDescent="0.25">
      <c r="A75" s="3" t="s">
        <v>320</v>
      </c>
      <c r="B75" s="8" t="s">
        <v>109</v>
      </c>
      <c r="C75" s="8" t="s">
        <v>110</v>
      </c>
      <c r="D75" s="9">
        <v>146400000</v>
      </c>
      <c r="E75" s="31">
        <v>45700</v>
      </c>
      <c r="F75" s="31">
        <v>45701</v>
      </c>
    </row>
    <row r="76" spans="1:6" x14ac:dyDescent="0.25">
      <c r="A76" s="3" t="s">
        <v>106</v>
      </c>
      <c r="B76" s="8" t="s">
        <v>109</v>
      </c>
      <c r="C76" s="8" t="s">
        <v>110</v>
      </c>
      <c r="D76" s="9">
        <v>1600000</v>
      </c>
      <c r="E76" s="31">
        <v>45700</v>
      </c>
      <c r="F76" s="31">
        <v>45701</v>
      </c>
    </row>
    <row r="77" spans="1:6" x14ac:dyDescent="0.25">
      <c r="A77" s="3" t="s">
        <v>106</v>
      </c>
      <c r="B77" s="8" t="s">
        <v>12</v>
      </c>
      <c r="C77" s="8" t="s">
        <v>38</v>
      </c>
      <c r="D77" s="9">
        <v>675000</v>
      </c>
      <c r="E77" s="31">
        <v>45702</v>
      </c>
      <c r="F77" s="31">
        <v>45703</v>
      </c>
    </row>
    <row r="78" spans="1:6" x14ac:dyDescent="0.25">
      <c r="A78" s="3" t="s">
        <v>334</v>
      </c>
      <c r="B78" s="8" t="s">
        <v>10</v>
      </c>
      <c r="C78" s="8" t="s">
        <v>3</v>
      </c>
      <c r="D78" s="9">
        <v>76050000</v>
      </c>
      <c r="E78" s="31">
        <v>45706</v>
      </c>
      <c r="F78" s="31">
        <v>45710</v>
      </c>
    </row>
    <row r="79" spans="1:6" x14ac:dyDescent="0.25">
      <c r="A79" s="3" t="s">
        <v>380</v>
      </c>
      <c r="B79" s="8" t="s">
        <v>10</v>
      </c>
      <c r="C79" s="8" t="s">
        <v>3</v>
      </c>
      <c r="D79" s="9">
        <v>25000000</v>
      </c>
      <c r="E79" s="31">
        <v>45707</v>
      </c>
      <c r="F79" s="31">
        <v>45728</v>
      </c>
    </row>
    <row r="80" spans="1:6" x14ac:dyDescent="0.25">
      <c r="A80" s="3" t="s">
        <v>380</v>
      </c>
      <c r="B80" s="8" t="s">
        <v>10</v>
      </c>
      <c r="C80" s="8" t="s">
        <v>3</v>
      </c>
      <c r="D80" s="9">
        <v>16000000</v>
      </c>
      <c r="E80" s="31">
        <v>45714</v>
      </c>
      <c r="F80" s="31">
        <v>45728</v>
      </c>
    </row>
    <row r="81" spans="1:7" x14ac:dyDescent="0.25">
      <c r="A81" s="3" t="s">
        <v>42</v>
      </c>
      <c r="B81" s="8" t="s">
        <v>361</v>
      </c>
      <c r="C81" s="8" t="s">
        <v>85</v>
      </c>
      <c r="D81" s="9">
        <v>76050000</v>
      </c>
      <c r="E81" s="31">
        <v>45715</v>
      </c>
      <c r="F81" s="31">
        <v>45716</v>
      </c>
      <c r="G81" s="7" t="s">
        <v>362</v>
      </c>
    </row>
    <row r="82" spans="1:7" x14ac:dyDescent="0.25">
      <c r="A82" s="3" t="s">
        <v>42</v>
      </c>
      <c r="B82" s="8"/>
      <c r="C82" s="8" t="s">
        <v>3</v>
      </c>
      <c r="D82" s="9">
        <v>75465000</v>
      </c>
      <c r="E82" s="31">
        <v>45719</v>
      </c>
      <c r="F82" s="31">
        <v>45720</v>
      </c>
      <c r="G82" s="7" t="s">
        <v>378</v>
      </c>
    </row>
    <row r="83" spans="1:7" x14ac:dyDescent="0.25">
      <c r="A83" s="3" t="s">
        <v>380</v>
      </c>
      <c r="B83" s="8" t="s">
        <v>10</v>
      </c>
      <c r="C83" s="8" t="s">
        <v>3</v>
      </c>
      <c r="D83" s="9">
        <v>31450000</v>
      </c>
      <c r="E83" s="31">
        <v>45720</v>
      </c>
      <c r="F83" s="31">
        <v>45728</v>
      </c>
    </row>
    <row r="84" spans="1:7" x14ac:dyDescent="0.25">
      <c r="A84" s="3" t="s">
        <v>42</v>
      </c>
      <c r="B84" s="8" t="s">
        <v>241</v>
      </c>
      <c r="C84" s="8" t="s">
        <v>38</v>
      </c>
      <c r="D84" s="9">
        <v>8450000</v>
      </c>
      <c r="E84" s="31">
        <v>45722</v>
      </c>
      <c r="F84" s="31">
        <v>45731</v>
      </c>
    </row>
    <row r="85" spans="1:7" x14ac:dyDescent="0.25">
      <c r="A85" s="3" t="s">
        <v>106</v>
      </c>
      <c r="B85" s="8" t="s">
        <v>259</v>
      </c>
      <c r="C85" s="8" t="s">
        <v>3</v>
      </c>
      <c r="D85" s="9">
        <v>1400000</v>
      </c>
      <c r="E85" s="31">
        <v>45724</v>
      </c>
      <c r="F85" s="31">
        <v>45726</v>
      </c>
    </row>
    <row r="86" spans="1:7" x14ac:dyDescent="0.25">
      <c r="A86" s="3" t="s">
        <v>42</v>
      </c>
      <c r="B86" s="8"/>
      <c r="C86" s="8" t="s">
        <v>38</v>
      </c>
      <c r="D86" s="9">
        <v>87500000</v>
      </c>
      <c r="E86" s="31">
        <v>45729</v>
      </c>
      <c r="F86" s="31">
        <v>45730</v>
      </c>
      <c r="G86" s="7" t="s">
        <v>399</v>
      </c>
    </row>
    <row r="87" spans="1:7" x14ac:dyDescent="0.25">
      <c r="A87" s="3" t="s">
        <v>401</v>
      </c>
      <c r="B87" s="8" t="s">
        <v>10</v>
      </c>
      <c r="C87" s="8" t="s">
        <v>3</v>
      </c>
      <c r="D87" s="9">
        <v>60000000</v>
      </c>
      <c r="E87" s="31">
        <v>45731</v>
      </c>
      <c r="F87" s="31">
        <v>45738</v>
      </c>
    </row>
    <row r="88" spans="1:7" x14ac:dyDescent="0.25">
      <c r="A88" s="3" t="s">
        <v>404</v>
      </c>
      <c r="B88" s="8" t="s">
        <v>405</v>
      </c>
      <c r="C88" s="8" t="s">
        <v>38</v>
      </c>
      <c r="D88" s="9">
        <v>74162500</v>
      </c>
      <c r="E88" s="31">
        <v>45731</v>
      </c>
      <c r="F88" s="31">
        <v>45736</v>
      </c>
    </row>
    <row r="89" spans="1:7" x14ac:dyDescent="0.25">
      <c r="A89" s="3" t="s">
        <v>401</v>
      </c>
      <c r="B89" s="8" t="s">
        <v>10</v>
      </c>
      <c r="C89" s="8" t="s">
        <v>3</v>
      </c>
      <c r="D89" s="9">
        <v>14700000</v>
      </c>
      <c r="E89" s="31">
        <v>45734</v>
      </c>
      <c r="F89" s="31">
        <v>45738</v>
      </c>
    </row>
    <row r="90" spans="1:7" x14ac:dyDescent="0.25">
      <c r="A90" s="3" t="s">
        <v>415</v>
      </c>
      <c r="B90" s="8" t="s">
        <v>12</v>
      </c>
      <c r="C90" s="8" t="s">
        <v>38</v>
      </c>
      <c r="D90" s="9">
        <v>76275000</v>
      </c>
      <c r="E90" s="31">
        <v>45736</v>
      </c>
      <c r="F90" s="31">
        <v>45772</v>
      </c>
    </row>
    <row r="91" spans="1:7" x14ac:dyDescent="0.25">
      <c r="A91" s="3" t="s">
        <v>415</v>
      </c>
      <c r="B91" s="8" t="s">
        <v>12</v>
      </c>
      <c r="C91" s="8" t="s">
        <v>38</v>
      </c>
      <c r="D91" s="9">
        <v>76275000</v>
      </c>
      <c r="E91" s="31">
        <v>45736</v>
      </c>
      <c r="F91" s="31">
        <v>45780</v>
      </c>
    </row>
    <row r="92" spans="1:7" x14ac:dyDescent="0.25">
      <c r="A92" s="3" t="s">
        <v>415</v>
      </c>
      <c r="B92" s="8" t="s">
        <v>12</v>
      </c>
      <c r="C92" s="8" t="s">
        <v>38</v>
      </c>
      <c r="D92" s="9">
        <v>76275000</v>
      </c>
      <c r="E92" s="31">
        <v>45736</v>
      </c>
      <c r="F92" s="31">
        <v>45787</v>
      </c>
    </row>
    <row r="93" spans="1:7" x14ac:dyDescent="0.25">
      <c r="A93" s="3" t="s">
        <v>417</v>
      </c>
      <c r="B93" s="8" t="s">
        <v>418</v>
      </c>
      <c r="C93" s="8" t="s">
        <v>38</v>
      </c>
      <c r="D93" s="9">
        <v>84500000</v>
      </c>
      <c r="E93" s="31">
        <v>45736</v>
      </c>
      <c r="F93" s="31">
        <v>45738</v>
      </c>
    </row>
    <row r="94" spans="1:7" x14ac:dyDescent="0.25">
      <c r="A94" s="3" t="s">
        <v>419</v>
      </c>
      <c r="B94" s="8" t="s">
        <v>420</v>
      </c>
      <c r="C94" s="8" t="s">
        <v>38</v>
      </c>
      <c r="D94" s="9">
        <v>74250000</v>
      </c>
      <c r="E94" s="31">
        <v>45736</v>
      </c>
      <c r="F94" s="31">
        <v>45737</v>
      </c>
    </row>
    <row r="95" spans="1:7" x14ac:dyDescent="0.25">
      <c r="A95" s="3" t="s">
        <v>422</v>
      </c>
      <c r="B95" s="8" t="s">
        <v>84</v>
      </c>
      <c r="C95" s="8" t="s">
        <v>3</v>
      </c>
      <c r="D95" s="9">
        <v>76050000</v>
      </c>
      <c r="E95" s="31">
        <v>45737</v>
      </c>
      <c r="F95" s="31">
        <v>45738</v>
      </c>
    </row>
    <row r="96" spans="1:7" x14ac:dyDescent="0.25">
      <c r="A96" s="3" t="s">
        <v>422</v>
      </c>
      <c r="B96" s="8" t="s">
        <v>84</v>
      </c>
      <c r="C96" s="8" t="s">
        <v>3</v>
      </c>
      <c r="D96" s="9">
        <v>76050000</v>
      </c>
      <c r="E96" s="31">
        <v>45737</v>
      </c>
      <c r="F96" s="31">
        <v>45738</v>
      </c>
    </row>
    <row r="97" spans="1:6" x14ac:dyDescent="0.25">
      <c r="A97" s="3" t="s">
        <v>42</v>
      </c>
      <c r="B97" s="8" t="s">
        <v>41</v>
      </c>
      <c r="C97" s="8" t="s">
        <v>38</v>
      </c>
      <c r="D97" s="9">
        <v>80000000</v>
      </c>
      <c r="E97" s="31">
        <v>45737</v>
      </c>
      <c r="F97" s="31">
        <v>45740</v>
      </c>
    </row>
    <row r="98" spans="1:6" x14ac:dyDescent="0.25">
      <c r="A98" s="3" t="s">
        <v>425</v>
      </c>
      <c r="B98" s="8" t="s">
        <v>243</v>
      </c>
      <c r="C98" s="8" t="s">
        <v>3</v>
      </c>
      <c r="D98" s="9">
        <v>77850000</v>
      </c>
      <c r="E98" s="31">
        <v>45737</v>
      </c>
      <c r="F98" s="31">
        <v>45740</v>
      </c>
    </row>
    <row r="99" spans="1:6" x14ac:dyDescent="0.25">
      <c r="A99" s="3" t="s">
        <v>106</v>
      </c>
      <c r="B99" s="8" t="s">
        <v>10</v>
      </c>
      <c r="C99" s="8" t="s">
        <v>3</v>
      </c>
      <c r="D99" s="9">
        <v>1000000</v>
      </c>
      <c r="E99" s="31">
        <v>45737</v>
      </c>
      <c r="F99" s="31">
        <v>45738</v>
      </c>
    </row>
    <row r="100" spans="1:6" x14ac:dyDescent="0.25">
      <c r="A100" s="3" t="s">
        <v>42</v>
      </c>
      <c r="B100" s="8" t="s">
        <v>109</v>
      </c>
      <c r="C100" s="8" t="s">
        <v>110</v>
      </c>
      <c r="D100" s="9">
        <v>45000000</v>
      </c>
      <c r="E100" s="31">
        <v>45739</v>
      </c>
      <c r="F100" s="31">
        <v>45741</v>
      </c>
    </row>
    <row r="101" spans="1:6" x14ac:dyDescent="0.25">
      <c r="A101" s="3" t="s">
        <v>431</v>
      </c>
      <c r="B101" s="8" t="s">
        <v>8</v>
      </c>
      <c r="C101" s="8" t="s">
        <v>3</v>
      </c>
      <c r="D101" s="9">
        <v>77040000</v>
      </c>
      <c r="E101" s="31">
        <v>45740</v>
      </c>
      <c r="F101" s="31">
        <v>45741</v>
      </c>
    </row>
    <row r="102" spans="1:6" x14ac:dyDescent="0.25">
      <c r="A102" s="3" t="s">
        <v>419</v>
      </c>
      <c r="B102" s="8" t="s">
        <v>420</v>
      </c>
      <c r="C102" s="8" t="s">
        <v>38</v>
      </c>
      <c r="D102" s="9">
        <v>74250000</v>
      </c>
      <c r="E102" s="31">
        <v>45741</v>
      </c>
      <c r="F102" s="31">
        <v>45744</v>
      </c>
    </row>
    <row r="103" spans="1:6" x14ac:dyDescent="0.25">
      <c r="A103" s="3" t="s">
        <v>434</v>
      </c>
      <c r="B103" s="8" t="s">
        <v>10</v>
      </c>
      <c r="C103" s="8" t="s">
        <v>3</v>
      </c>
      <c r="D103" s="9">
        <v>73800000</v>
      </c>
      <c r="E103" s="31">
        <v>45742</v>
      </c>
      <c r="F103" s="31">
        <v>45757</v>
      </c>
    </row>
    <row r="104" spans="1:6" x14ac:dyDescent="0.25">
      <c r="A104" s="3" t="s">
        <v>434</v>
      </c>
      <c r="B104" s="8" t="s">
        <v>10</v>
      </c>
      <c r="C104" s="8" t="s">
        <v>3</v>
      </c>
      <c r="D104" s="9">
        <v>700000</v>
      </c>
      <c r="E104" s="31">
        <v>45742</v>
      </c>
      <c r="F104" s="31">
        <v>45761</v>
      </c>
    </row>
    <row r="105" spans="1:6" x14ac:dyDescent="0.25">
      <c r="A105" s="3" t="s">
        <v>42</v>
      </c>
      <c r="B105" s="8" t="s">
        <v>316</v>
      </c>
      <c r="C105" s="8" t="s">
        <v>110</v>
      </c>
      <c r="D105" s="9">
        <v>3000000</v>
      </c>
      <c r="E105" s="31">
        <v>45742</v>
      </c>
      <c r="F105" s="31">
        <v>45756</v>
      </c>
    </row>
    <row r="106" spans="1:6" x14ac:dyDescent="0.25">
      <c r="A106" s="3" t="s">
        <v>485</v>
      </c>
      <c r="B106" s="8" t="s">
        <v>8</v>
      </c>
      <c r="C106" s="8" t="s">
        <v>38</v>
      </c>
      <c r="D106" s="9">
        <v>75825000</v>
      </c>
      <c r="E106" s="31">
        <v>45743</v>
      </c>
      <c r="F106" s="31">
        <v>45757</v>
      </c>
    </row>
    <row r="107" spans="1:6" x14ac:dyDescent="0.25">
      <c r="A107" s="3" t="s">
        <v>441</v>
      </c>
      <c r="B107" s="8" t="s">
        <v>420</v>
      </c>
      <c r="C107" s="8" t="s">
        <v>38</v>
      </c>
      <c r="D107" s="9">
        <v>1350000</v>
      </c>
      <c r="E107" s="31">
        <v>45743</v>
      </c>
      <c r="F107" s="31">
        <v>45751</v>
      </c>
    </row>
    <row r="108" spans="1:6" x14ac:dyDescent="0.25">
      <c r="A108" s="3" t="s">
        <v>42</v>
      </c>
      <c r="B108" s="8" t="s">
        <v>83</v>
      </c>
      <c r="C108" s="8" t="s">
        <v>3</v>
      </c>
      <c r="D108" s="9">
        <v>2099645</v>
      </c>
      <c r="E108" s="31">
        <v>45744</v>
      </c>
      <c r="F108" s="31">
        <v>45756</v>
      </c>
    </row>
    <row r="109" spans="1:6" x14ac:dyDescent="0.25">
      <c r="A109" s="3" t="s">
        <v>106</v>
      </c>
      <c r="B109" s="8" t="s">
        <v>215</v>
      </c>
      <c r="C109" s="8" t="s">
        <v>85</v>
      </c>
      <c r="D109" s="9">
        <v>3000000</v>
      </c>
      <c r="E109" s="31">
        <v>45745</v>
      </c>
      <c r="F109" s="31">
        <v>45751</v>
      </c>
    </row>
    <row r="110" spans="1:6" x14ac:dyDescent="0.25">
      <c r="A110" s="3" t="s">
        <v>106</v>
      </c>
      <c r="B110" s="8" t="s">
        <v>257</v>
      </c>
      <c r="C110" s="8" t="s">
        <v>38</v>
      </c>
      <c r="D110" s="9">
        <v>1500000</v>
      </c>
      <c r="E110" s="31">
        <v>45744</v>
      </c>
      <c r="F110" s="31">
        <v>45751</v>
      </c>
    </row>
    <row r="111" spans="1:6" x14ac:dyDescent="0.25">
      <c r="A111" s="3" t="s">
        <v>106</v>
      </c>
      <c r="B111" s="8" t="s">
        <v>258</v>
      </c>
      <c r="C111" s="8" t="s">
        <v>38</v>
      </c>
      <c r="D111" s="9">
        <v>1350000</v>
      </c>
      <c r="E111" s="31">
        <v>45745</v>
      </c>
      <c r="F111" s="31">
        <v>45751</v>
      </c>
    </row>
    <row r="112" spans="1:6" x14ac:dyDescent="0.25">
      <c r="A112" s="3" t="s">
        <v>106</v>
      </c>
      <c r="B112" s="8" t="s">
        <v>12</v>
      </c>
      <c r="C112" s="8" t="s">
        <v>38</v>
      </c>
      <c r="D112" s="9">
        <v>675000</v>
      </c>
      <c r="E112" s="31">
        <v>45745</v>
      </c>
      <c r="F112" s="31">
        <v>45751</v>
      </c>
    </row>
    <row r="113" spans="1:6" x14ac:dyDescent="0.25">
      <c r="A113" s="3" t="s">
        <v>434</v>
      </c>
      <c r="B113" s="8" t="s">
        <v>10</v>
      </c>
      <c r="C113" s="8" t="s">
        <v>38</v>
      </c>
      <c r="D113" s="9">
        <v>45000000</v>
      </c>
      <c r="E113" s="31">
        <v>45746</v>
      </c>
      <c r="F113" s="31">
        <v>45761</v>
      </c>
    </row>
    <row r="114" spans="1:6" x14ac:dyDescent="0.25">
      <c r="A114" s="3" t="s">
        <v>434</v>
      </c>
      <c r="B114" s="8" t="s">
        <v>10</v>
      </c>
      <c r="C114" s="8" t="s">
        <v>3</v>
      </c>
      <c r="D114" s="9">
        <v>28100000</v>
      </c>
      <c r="E114" s="31">
        <v>45746</v>
      </c>
      <c r="F114" s="31">
        <v>45761</v>
      </c>
    </row>
    <row r="115" spans="1:6" x14ac:dyDescent="0.25">
      <c r="A115" s="3" t="s">
        <v>106</v>
      </c>
      <c r="B115" s="8" t="s">
        <v>452</v>
      </c>
      <c r="C115" s="8" t="s">
        <v>453</v>
      </c>
      <c r="D115" s="9">
        <v>1350000</v>
      </c>
      <c r="E115" s="31">
        <v>45743</v>
      </c>
      <c r="F115" s="31">
        <v>45751</v>
      </c>
    </row>
    <row r="116" spans="1:6" x14ac:dyDescent="0.25">
      <c r="A116" s="3" t="s">
        <v>106</v>
      </c>
      <c r="B116" s="8" t="s">
        <v>452</v>
      </c>
      <c r="C116" s="8" t="s">
        <v>453</v>
      </c>
      <c r="D116" s="9">
        <v>1350000</v>
      </c>
      <c r="E116" s="31">
        <v>45744</v>
      </c>
      <c r="F116" s="31">
        <v>45751</v>
      </c>
    </row>
    <row r="117" spans="1:6" x14ac:dyDescent="0.25">
      <c r="A117" s="48" t="s">
        <v>473</v>
      </c>
      <c r="B117" s="50" t="s">
        <v>454</v>
      </c>
      <c r="C117" s="50" t="s">
        <v>3</v>
      </c>
      <c r="D117" s="9">
        <v>81900000</v>
      </c>
      <c r="E117" s="46">
        <v>45750</v>
      </c>
      <c r="F117" s="31">
        <v>45757</v>
      </c>
    </row>
    <row r="118" spans="1:6" x14ac:dyDescent="0.25">
      <c r="A118" s="49"/>
      <c r="B118" s="51"/>
      <c r="C118" s="51"/>
      <c r="D118" s="9">
        <v>18100000</v>
      </c>
      <c r="E118" s="47"/>
      <c r="F118" s="31">
        <v>45759</v>
      </c>
    </row>
    <row r="119" spans="1:6" x14ac:dyDescent="0.25">
      <c r="A119" s="3" t="s">
        <v>455</v>
      </c>
      <c r="B119" s="8" t="s">
        <v>454</v>
      </c>
      <c r="C119" s="8" t="s">
        <v>3</v>
      </c>
      <c r="D119" s="9">
        <v>77400000</v>
      </c>
      <c r="E119" s="31">
        <v>45750</v>
      </c>
      <c r="F119" s="31">
        <v>45751</v>
      </c>
    </row>
    <row r="120" spans="1:6" x14ac:dyDescent="0.25">
      <c r="A120" s="3" t="s">
        <v>140</v>
      </c>
      <c r="B120" s="8" t="s">
        <v>454</v>
      </c>
      <c r="C120" s="8" t="s">
        <v>3</v>
      </c>
      <c r="D120" s="9">
        <v>72675000</v>
      </c>
      <c r="E120" s="31">
        <v>45750</v>
      </c>
      <c r="F120" s="31">
        <v>45751</v>
      </c>
    </row>
    <row r="121" spans="1:6" x14ac:dyDescent="0.25">
      <c r="A121" s="3" t="s">
        <v>129</v>
      </c>
      <c r="B121" s="8" t="s">
        <v>130</v>
      </c>
      <c r="C121" s="8" t="s">
        <v>110</v>
      </c>
      <c r="D121" s="9">
        <v>450000</v>
      </c>
      <c r="E121" s="31">
        <v>45751</v>
      </c>
      <c r="F121" s="31">
        <v>45755</v>
      </c>
    </row>
    <row r="122" spans="1:6" x14ac:dyDescent="0.25">
      <c r="A122" s="3" t="s">
        <v>129</v>
      </c>
      <c r="B122" s="8" t="s">
        <v>130</v>
      </c>
      <c r="C122" s="8" t="s">
        <v>110</v>
      </c>
      <c r="D122" s="9">
        <v>450000</v>
      </c>
      <c r="E122" s="31">
        <v>45754</v>
      </c>
      <c r="F122" s="31">
        <v>45755</v>
      </c>
    </row>
    <row r="123" spans="1:6" x14ac:dyDescent="0.25">
      <c r="A123" s="39" t="s">
        <v>493</v>
      </c>
      <c r="B123" s="50" t="s">
        <v>420</v>
      </c>
      <c r="C123" s="50" t="s">
        <v>38</v>
      </c>
      <c r="D123" s="9">
        <v>79200000</v>
      </c>
      <c r="E123" s="46">
        <v>45751</v>
      </c>
      <c r="F123" s="31">
        <v>45761</v>
      </c>
    </row>
    <row r="124" spans="1:6" x14ac:dyDescent="0.25">
      <c r="A124" s="39" t="s">
        <v>493</v>
      </c>
      <c r="B124" s="51"/>
      <c r="C124" s="51"/>
      <c r="D124" s="9">
        <v>20800000</v>
      </c>
      <c r="E124" s="47"/>
      <c r="F124" s="31">
        <v>45769</v>
      </c>
    </row>
    <row r="125" spans="1:6" x14ac:dyDescent="0.25">
      <c r="A125" s="3" t="s">
        <v>470</v>
      </c>
      <c r="B125" s="8" t="s">
        <v>12</v>
      </c>
      <c r="C125" s="8" t="s">
        <v>38</v>
      </c>
      <c r="D125" s="9">
        <v>79650000</v>
      </c>
      <c r="E125" s="31">
        <v>45755</v>
      </c>
      <c r="F125" s="31">
        <v>45762</v>
      </c>
    </row>
    <row r="126" spans="1:6" x14ac:dyDescent="0.25">
      <c r="A126" s="3" t="s">
        <v>471</v>
      </c>
      <c r="B126" s="8" t="s">
        <v>12</v>
      </c>
      <c r="C126" s="8" t="s">
        <v>38</v>
      </c>
      <c r="D126" s="9">
        <v>81900000</v>
      </c>
      <c r="E126" s="31">
        <v>45756</v>
      </c>
      <c r="F126" s="31">
        <v>45757</v>
      </c>
    </row>
    <row r="127" spans="1:6" x14ac:dyDescent="0.25">
      <c r="A127" s="3" t="s">
        <v>472</v>
      </c>
      <c r="B127" s="8" t="s">
        <v>12</v>
      </c>
      <c r="C127" s="8" t="s">
        <v>38</v>
      </c>
      <c r="D127" s="9">
        <v>79650000</v>
      </c>
      <c r="E127" s="31">
        <v>45756</v>
      </c>
      <c r="F127" s="31">
        <v>45768</v>
      </c>
    </row>
    <row r="128" spans="1:6" x14ac:dyDescent="0.25">
      <c r="A128" s="3" t="s">
        <v>472</v>
      </c>
      <c r="B128" s="8" t="s">
        <v>12</v>
      </c>
      <c r="C128" s="8" t="s">
        <v>38</v>
      </c>
      <c r="D128" s="9">
        <v>79650000</v>
      </c>
      <c r="E128" s="31">
        <v>45756</v>
      </c>
      <c r="F128" s="31">
        <v>45776</v>
      </c>
    </row>
    <row r="129" spans="1:6" x14ac:dyDescent="0.25">
      <c r="A129" s="3" t="s">
        <v>473</v>
      </c>
      <c r="B129" s="8" t="s">
        <v>454</v>
      </c>
      <c r="C129" s="8" t="s">
        <v>85</v>
      </c>
      <c r="D129" s="9">
        <v>63800000</v>
      </c>
      <c r="E129" s="31">
        <v>45756</v>
      </c>
      <c r="F129" s="31">
        <v>45759</v>
      </c>
    </row>
    <row r="130" spans="1:6" x14ac:dyDescent="0.25">
      <c r="A130" s="3" t="s">
        <v>474</v>
      </c>
      <c r="B130" s="8" t="s">
        <v>454</v>
      </c>
      <c r="C130" s="8" t="s">
        <v>3</v>
      </c>
      <c r="D130" s="9">
        <v>77775000</v>
      </c>
      <c r="E130" s="31">
        <v>45756</v>
      </c>
      <c r="F130" s="31">
        <v>45758</v>
      </c>
    </row>
    <row r="131" spans="1:6" x14ac:dyDescent="0.25">
      <c r="A131" s="3" t="s">
        <v>478</v>
      </c>
      <c r="B131" s="8" t="s">
        <v>10</v>
      </c>
      <c r="C131" s="8" t="s">
        <v>3</v>
      </c>
      <c r="D131" s="9">
        <v>39400000</v>
      </c>
      <c r="E131" s="31">
        <v>45756</v>
      </c>
      <c r="F131" s="31">
        <v>45763</v>
      </c>
    </row>
    <row r="132" spans="1:6" x14ac:dyDescent="0.25">
      <c r="A132" s="3" t="s">
        <v>480</v>
      </c>
      <c r="B132" s="8" t="s">
        <v>405</v>
      </c>
      <c r="C132" s="8" t="s">
        <v>85</v>
      </c>
      <c r="D132" s="9">
        <v>73350000</v>
      </c>
      <c r="E132" s="31">
        <v>45756</v>
      </c>
      <c r="F132" s="31">
        <v>45758</v>
      </c>
    </row>
    <row r="133" spans="1:6" x14ac:dyDescent="0.25">
      <c r="A133" s="3" t="s">
        <v>484</v>
      </c>
      <c r="B133" s="8" t="s">
        <v>8</v>
      </c>
      <c r="C133" s="8" t="s">
        <v>38</v>
      </c>
      <c r="D133" s="9">
        <v>80865000</v>
      </c>
      <c r="E133" s="31">
        <v>45757</v>
      </c>
      <c r="F133" s="31">
        <v>45758</v>
      </c>
    </row>
    <row r="134" spans="1:6" x14ac:dyDescent="0.25">
      <c r="A134" s="3" t="s">
        <v>470</v>
      </c>
      <c r="B134" s="8" t="s">
        <v>8</v>
      </c>
      <c r="C134" s="8" t="s">
        <v>38</v>
      </c>
      <c r="D134" s="9">
        <v>79650000</v>
      </c>
      <c r="E134" s="31">
        <v>45757</v>
      </c>
      <c r="F134" s="31">
        <v>45755</v>
      </c>
    </row>
    <row r="135" spans="1:6" x14ac:dyDescent="0.25">
      <c r="A135" s="3" t="s">
        <v>485</v>
      </c>
      <c r="B135" s="8" t="s">
        <v>8</v>
      </c>
      <c r="C135" s="8" t="s">
        <v>38</v>
      </c>
      <c r="D135" s="9">
        <v>74175000</v>
      </c>
      <c r="E135" s="31">
        <v>45743</v>
      </c>
      <c r="F135" s="31">
        <v>45758</v>
      </c>
    </row>
    <row r="136" spans="1:6" x14ac:dyDescent="0.25">
      <c r="A136" s="3" t="s">
        <v>472</v>
      </c>
      <c r="B136" s="8" t="s">
        <v>12</v>
      </c>
      <c r="C136" s="8" t="s">
        <v>38</v>
      </c>
      <c r="D136" s="9">
        <v>79650000</v>
      </c>
      <c r="E136" s="31">
        <v>45757</v>
      </c>
      <c r="F136" s="31">
        <v>45782</v>
      </c>
    </row>
    <row r="137" spans="1:6" x14ac:dyDescent="0.25">
      <c r="A137" s="3" t="s">
        <v>472</v>
      </c>
      <c r="B137" s="8" t="s">
        <v>12</v>
      </c>
      <c r="C137" s="8" t="s">
        <v>38</v>
      </c>
      <c r="D137" s="9">
        <v>79650000</v>
      </c>
      <c r="E137" s="31">
        <v>45757</v>
      </c>
      <c r="F137" s="31">
        <v>45791</v>
      </c>
    </row>
    <row r="138" spans="1:6" x14ac:dyDescent="0.25">
      <c r="A138" s="3" t="s">
        <v>106</v>
      </c>
      <c r="B138" s="8" t="s">
        <v>452</v>
      </c>
      <c r="C138" s="8" t="s">
        <v>453</v>
      </c>
      <c r="D138" s="9">
        <v>1350000</v>
      </c>
      <c r="E138" s="31">
        <v>45758</v>
      </c>
      <c r="F138" s="31">
        <v>45762</v>
      </c>
    </row>
    <row r="139" spans="1:6" x14ac:dyDescent="0.25">
      <c r="A139" s="3" t="s">
        <v>478</v>
      </c>
      <c r="B139" s="8" t="s">
        <v>10</v>
      </c>
      <c r="C139" s="8" t="s">
        <v>38</v>
      </c>
      <c r="D139" s="9">
        <v>38000000</v>
      </c>
      <c r="E139" s="31">
        <v>45759</v>
      </c>
      <c r="F139" s="31">
        <v>45763</v>
      </c>
    </row>
    <row r="140" spans="1:6" x14ac:dyDescent="0.25">
      <c r="A140" s="3" t="s">
        <v>214</v>
      </c>
      <c r="B140" s="8" t="s">
        <v>489</v>
      </c>
      <c r="C140" s="8" t="s">
        <v>38</v>
      </c>
      <c r="D140" s="9">
        <v>3300000</v>
      </c>
      <c r="E140" s="31">
        <v>45758</v>
      </c>
      <c r="F140" s="31">
        <v>45762</v>
      </c>
    </row>
    <row r="141" spans="1:6" x14ac:dyDescent="0.25">
      <c r="A141" s="3" t="s">
        <v>106</v>
      </c>
      <c r="B141" s="8" t="s">
        <v>8</v>
      </c>
      <c r="C141" s="8" t="s">
        <v>38</v>
      </c>
      <c r="D141" s="9">
        <v>1215000</v>
      </c>
      <c r="E141" s="31">
        <v>45757</v>
      </c>
      <c r="F141" s="31">
        <v>45762</v>
      </c>
    </row>
    <row r="142" spans="1:6" x14ac:dyDescent="0.25">
      <c r="A142" s="3" t="s">
        <v>106</v>
      </c>
      <c r="B142" s="8" t="s">
        <v>492</v>
      </c>
      <c r="C142" s="8" t="s">
        <v>3</v>
      </c>
      <c r="D142" s="9">
        <v>2102350</v>
      </c>
      <c r="E142" s="31">
        <v>45759</v>
      </c>
      <c r="F142" s="31">
        <v>45762</v>
      </c>
    </row>
    <row r="143" spans="1:6" x14ac:dyDescent="0.25">
      <c r="A143" s="3" t="s">
        <v>106</v>
      </c>
      <c r="B143" s="8" t="s">
        <v>495</v>
      </c>
      <c r="C143" s="8" t="s">
        <v>110</v>
      </c>
      <c r="D143" s="9">
        <v>750000</v>
      </c>
      <c r="E143" s="31">
        <v>45761</v>
      </c>
      <c r="F143" s="31">
        <v>45762</v>
      </c>
    </row>
    <row r="144" spans="1:6" x14ac:dyDescent="0.25">
      <c r="A144" s="3" t="s">
        <v>106</v>
      </c>
      <c r="B144" s="8" t="s">
        <v>215</v>
      </c>
      <c r="C144" s="8" t="s">
        <v>85</v>
      </c>
      <c r="D144" s="9">
        <v>1500000</v>
      </c>
      <c r="E144" s="31">
        <v>45761</v>
      </c>
      <c r="F144" s="31">
        <v>45762</v>
      </c>
    </row>
    <row r="145" spans="1:6" x14ac:dyDescent="0.25">
      <c r="A145" s="3" t="s">
        <v>506</v>
      </c>
      <c r="B145" s="8" t="s">
        <v>8</v>
      </c>
      <c r="C145" s="8" t="s">
        <v>38</v>
      </c>
      <c r="D145" s="9">
        <v>79650000</v>
      </c>
      <c r="E145" s="31">
        <v>45762</v>
      </c>
      <c r="F145" s="31">
        <v>45763</v>
      </c>
    </row>
    <row r="146" spans="1:6" x14ac:dyDescent="0.25">
      <c r="A146" s="3" t="s">
        <v>503</v>
      </c>
      <c r="B146" s="8" t="s">
        <v>109</v>
      </c>
      <c r="C146" s="8" t="s">
        <v>110</v>
      </c>
      <c r="D146" s="9">
        <v>19900000</v>
      </c>
      <c r="E146" s="31">
        <v>45762</v>
      </c>
      <c r="F146" s="31">
        <v>45769</v>
      </c>
    </row>
    <row r="147" spans="1:6" x14ac:dyDescent="0.25">
      <c r="A147" s="3" t="s">
        <v>505</v>
      </c>
      <c r="B147" s="8" t="s">
        <v>84</v>
      </c>
      <c r="C147" s="8" t="s">
        <v>85</v>
      </c>
      <c r="D147" s="9">
        <v>83250000</v>
      </c>
      <c r="E147" s="31">
        <v>45763</v>
      </c>
      <c r="F147" s="31">
        <v>45764</v>
      </c>
    </row>
    <row r="148" spans="1:6" x14ac:dyDescent="0.25">
      <c r="A148" s="3" t="s">
        <v>505</v>
      </c>
      <c r="B148" s="8" t="s">
        <v>84</v>
      </c>
      <c r="C148" s="8" t="s">
        <v>85</v>
      </c>
      <c r="D148" s="9">
        <v>83250000</v>
      </c>
      <c r="E148" s="31">
        <v>45763</v>
      </c>
      <c r="F148" s="31">
        <v>45766</v>
      </c>
    </row>
    <row r="149" spans="1:6" x14ac:dyDescent="0.25">
      <c r="A149" s="3" t="s">
        <v>106</v>
      </c>
      <c r="B149" s="8" t="s">
        <v>8</v>
      </c>
      <c r="C149" s="8" t="s">
        <v>38</v>
      </c>
      <c r="D149" s="9">
        <v>1215000</v>
      </c>
      <c r="E149" s="31">
        <v>45762</v>
      </c>
      <c r="F149" s="31">
        <v>45764</v>
      </c>
    </row>
    <row r="150" spans="1:6" x14ac:dyDescent="0.25">
      <c r="A150" s="3" t="s">
        <v>106</v>
      </c>
      <c r="B150" s="8" t="s">
        <v>259</v>
      </c>
      <c r="C150" s="8" t="s">
        <v>3</v>
      </c>
      <c r="D150" s="9">
        <v>1250000</v>
      </c>
      <c r="E150" s="31">
        <v>45763</v>
      </c>
      <c r="F150" s="31">
        <v>45764</v>
      </c>
    </row>
    <row r="151" spans="1:6" x14ac:dyDescent="0.25">
      <c r="A151" s="3" t="s">
        <v>106</v>
      </c>
      <c r="B151" s="8" t="s">
        <v>12</v>
      </c>
      <c r="C151" s="8" t="s">
        <v>38</v>
      </c>
      <c r="D151" s="9">
        <v>675000</v>
      </c>
      <c r="E151" s="31">
        <v>45763</v>
      </c>
      <c r="F151" s="31">
        <v>45764</v>
      </c>
    </row>
    <row r="152" spans="1:6" x14ac:dyDescent="0.25">
      <c r="A152" s="3" t="s">
        <v>214</v>
      </c>
      <c r="B152" s="8" t="s">
        <v>259</v>
      </c>
      <c r="C152" s="8" t="s">
        <v>3</v>
      </c>
      <c r="D152" s="9">
        <v>1320000</v>
      </c>
      <c r="E152" s="31">
        <v>45763</v>
      </c>
      <c r="F152" s="31">
        <v>45764</v>
      </c>
    </row>
    <row r="153" spans="1:6" x14ac:dyDescent="0.25">
      <c r="A153" s="3" t="s">
        <v>509</v>
      </c>
      <c r="B153" s="8" t="s">
        <v>12</v>
      </c>
      <c r="C153" s="8" t="s">
        <v>38</v>
      </c>
      <c r="D153" s="9">
        <v>82800000</v>
      </c>
      <c r="E153" s="31">
        <v>45764</v>
      </c>
      <c r="F153" s="31">
        <v>45770</v>
      </c>
    </row>
    <row r="154" spans="1:6" x14ac:dyDescent="0.25">
      <c r="A154" s="3" t="s">
        <v>509</v>
      </c>
      <c r="B154" s="8" t="s">
        <v>12</v>
      </c>
      <c r="C154" s="8" t="s">
        <v>38</v>
      </c>
      <c r="D154" s="9">
        <v>82800000</v>
      </c>
      <c r="E154" s="31">
        <v>45764</v>
      </c>
      <c r="F154" s="31">
        <v>45777</v>
      </c>
    </row>
    <row r="155" spans="1:6" x14ac:dyDescent="0.25">
      <c r="A155" s="3" t="s">
        <v>42</v>
      </c>
      <c r="B155" s="8" t="s">
        <v>10</v>
      </c>
      <c r="C155" s="8" t="s">
        <v>3</v>
      </c>
      <c r="D155" s="9">
        <v>82800000</v>
      </c>
      <c r="E155" s="31">
        <v>45764</v>
      </c>
      <c r="F155" s="31">
        <v>45769</v>
      </c>
    </row>
    <row r="156" spans="1:6" x14ac:dyDescent="0.25">
      <c r="A156" s="3" t="s">
        <v>511</v>
      </c>
      <c r="B156" s="8" t="s">
        <v>512</v>
      </c>
      <c r="C156" s="8" t="s">
        <v>3</v>
      </c>
      <c r="D156" s="9">
        <v>84150000</v>
      </c>
      <c r="E156" s="31">
        <v>45764</v>
      </c>
      <c r="F156" s="31">
        <v>45766</v>
      </c>
    </row>
    <row r="157" spans="1:6" x14ac:dyDescent="0.25">
      <c r="A157" s="3" t="s">
        <v>214</v>
      </c>
      <c r="B157" s="8" t="s">
        <v>418</v>
      </c>
      <c r="C157" s="8" t="s">
        <v>38</v>
      </c>
      <c r="D157" s="9">
        <v>4620000</v>
      </c>
      <c r="E157" s="31">
        <v>45764</v>
      </c>
      <c r="F157" s="31">
        <v>45766</v>
      </c>
    </row>
    <row r="158" spans="1:6" x14ac:dyDescent="0.25">
      <c r="A158" s="3" t="s">
        <v>106</v>
      </c>
      <c r="B158" s="8" t="s">
        <v>174</v>
      </c>
      <c r="C158" s="8" t="s">
        <v>110</v>
      </c>
      <c r="D158" s="9">
        <v>1440000</v>
      </c>
      <c r="E158" s="31">
        <v>45764</v>
      </c>
      <c r="F158" s="31">
        <v>45766</v>
      </c>
    </row>
    <row r="159" spans="1:6" x14ac:dyDescent="0.25">
      <c r="A159" s="3" t="s">
        <v>106</v>
      </c>
      <c r="B159" s="8" t="s">
        <v>258</v>
      </c>
      <c r="C159" s="8" t="s">
        <v>38</v>
      </c>
      <c r="D159" s="9">
        <v>1500000</v>
      </c>
      <c r="E159" s="31">
        <v>45764</v>
      </c>
      <c r="F159" s="31">
        <v>45766</v>
      </c>
    </row>
    <row r="160" spans="1:6" x14ac:dyDescent="0.25">
      <c r="A160" s="3" t="s">
        <v>106</v>
      </c>
      <c r="B160" s="8" t="s">
        <v>10</v>
      </c>
      <c r="C160" s="8" t="s">
        <v>3</v>
      </c>
      <c r="D160" s="9">
        <v>720000</v>
      </c>
      <c r="E160" s="31">
        <v>45764</v>
      </c>
      <c r="F160" s="31">
        <v>45766</v>
      </c>
    </row>
    <row r="161" spans="1:6" x14ac:dyDescent="0.25">
      <c r="A161" s="3" t="s">
        <v>106</v>
      </c>
      <c r="B161" s="8" t="s">
        <v>259</v>
      </c>
      <c r="C161" s="8" t="s">
        <v>3</v>
      </c>
      <c r="D161" s="9">
        <v>1400000</v>
      </c>
      <c r="E161" s="31">
        <v>45764</v>
      </c>
      <c r="F161" s="31">
        <v>45766</v>
      </c>
    </row>
    <row r="162" spans="1:6" x14ac:dyDescent="0.25">
      <c r="A162" s="3" t="s">
        <v>106</v>
      </c>
      <c r="B162" s="8" t="s">
        <v>241</v>
      </c>
      <c r="C162" s="8" t="s">
        <v>38</v>
      </c>
      <c r="D162" s="9">
        <v>900000</v>
      </c>
      <c r="E162" s="31">
        <v>45764</v>
      </c>
      <c r="F162" s="31">
        <v>45766</v>
      </c>
    </row>
    <row r="163" spans="1:6" x14ac:dyDescent="0.25">
      <c r="A163" s="3" t="s">
        <v>514</v>
      </c>
      <c r="B163" s="8" t="s">
        <v>84</v>
      </c>
      <c r="C163" s="8" t="s">
        <v>85</v>
      </c>
      <c r="D163" s="9">
        <v>83250000</v>
      </c>
      <c r="E163" s="31">
        <v>45764</v>
      </c>
      <c r="F163" s="31">
        <v>45766</v>
      </c>
    </row>
    <row r="164" spans="1:6" x14ac:dyDescent="0.25">
      <c r="A164" s="3" t="s">
        <v>515</v>
      </c>
      <c r="B164" s="8" t="s">
        <v>513</v>
      </c>
      <c r="C164" s="8" t="s">
        <v>85</v>
      </c>
      <c r="D164" s="9">
        <v>93500000</v>
      </c>
      <c r="E164" s="31">
        <v>45764</v>
      </c>
      <c r="F164" s="31">
        <v>45766</v>
      </c>
    </row>
    <row r="165" spans="1:6" x14ac:dyDescent="0.25">
      <c r="A165" s="3" t="s">
        <v>42</v>
      </c>
      <c r="B165" s="8" t="s">
        <v>516</v>
      </c>
      <c r="C165" s="8" t="s">
        <v>3</v>
      </c>
      <c r="D165" s="9">
        <v>70000000</v>
      </c>
      <c r="E165" s="31">
        <v>45764</v>
      </c>
      <c r="F165" s="31">
        <v>45766</v>
      </c>
    </row>
    <row r="166" spans="1:6" x14ac:dyDescent="0.25">
      <c r="A166" s="3" t="s">
        <v>106</v>
      </c>
      <c r="B166" s="8" t="s">
        <v>517</v>
      </c>
      <c r="C166" s="8" t="s">
        <v>38</v>
      </c>
      <c r="D166" s="9">
        <v>900000</v>
      </c>
      <c r="E166" s="31">
        <v>45764</v>
      </c>
      <c r="F166" s="31">
        <v>45766</v>
      </c>
    </row>
    <row r="167" spans="1:6" x14ac:dyDescent="0.25">
      <c r="A167" s="3" t="s">
        <v>106</v>
      </c>
      <c r="B167" s="8" t="s">
        <v>492</v>
      </c>
      <c r="C167" s="8" t="s">
        <v>110</v>
      </c>
      <c r="D167" s="9">
        <v>1492350</v>
      </c>
      <c r="E167" s="31">
        <v>45765</v>
      </c>
      <c r="F167" s="31">
        <v>45766</v>
      </c>
    </row>
    <row r="168" spans="1:6" x14ac:dyDescent="0.25">
      <c r="A168" s="3" t="s">
        <v>525</v>
      </c>
      <c r="B168" s="8" t="s">
        <v>405</v>
      </c>
      <c r="C168" s="8" t="s">
        <v>85</v>
      </c>
      <c r="D168" s="9">
        <v>84000000</v>
      </c>
      <c r="E168" s="31">
        <v>45766</v>
      </c>
      <c r="F168" s="31">
        <v>45773</v>
      </c>
    </row>
    <row r="169" spans="1:6" x14ac:dyDescent="0.25">
      <c r="A169" s="3" t="s">
        <v>509</v>
      </c>
      <c r="B169" s="8" t="s">
        <v>10</v>
      </c>
      <c r="C169" s="8" t="s">
        <v>3</v>
      </c>
      <c r="D169" s="9">
        <v>47200000</v>
      </c>
      <c r="E169" s="31">
        <v>45768</v>
      </c>
      <c r="F169" s="31">
        <v>45773</v>
      </c>
    </row>
    <row r="170" spans="1:6" x14ac:dyDescent="0.25">
      <c r="A170" s="3" t="s">
        <v>580</v>
      </c>
      <c r="B170" s="8" t="s">
        <v>8</v>
      </c>
      <c r="C170" s="8" t="s">
        <v>3</v>
      </c>
      <c r="D170" s="9">
        <v>92350000</v>
      </c>
      <c r="E170" s="31">
        <v>45769</v>
      </c>
      <c r="F170" s="31">
        <v>45775</v>
      </c>
    </row>
    <row r="171" spans="1:6" x14ac:dyDescent="0.25">
      <c r="A171" s="3" t="s">
        <v>580</v>
      </c>
      <c r="B171" s="8" t="s">
        <v>8</v>
      </c>
      <c r="C171" s="8" t="s">
        <v>3</v>
      </c>
      <c r="D171" s="9">
        <v>92350000</v>
      </c>
      <c r="E171" s="31">
        <v>45769</v>
      </c>
      <c r="F171" s="31">
        <v>45776</v>
      </c>
    </row>
    <row r="172" spans="1:6" x14ac:dyDescent="0.25">
      <c r="A172" s="3" t="s">
        <v>580</v>
      </c>
      <c r="B172" s="8" t="s">
        <v>8</v>
      </c>
      <c r="C172" s="8" t="s">
        <v>3</v>
      </c>
      <c r="D172" s="9">
        <v>83115000</v>
      </c>
      <c r="E172" s="31">
        <v>45769</v>
      </c>
      <c r="F172" s="31">
        <v>45783</v>
      </c>
    </row>
    <row r="173" spans="1:6" x14ac:dyDescent="0.25">
      <c r="A173" s="48" t="s">
        <v>580</v>
      </c>
      <c r="B173" s="50" t="s">
        <v>8</v>
      </c>
      <c r="C173" s="8" t="s">
        <v>3</v>
      </c>
      <c r="D173" s="9">
        <v>22950000</v>
      </c>
      <c r="E173" s="31">
        <v>45769</v>
      </c>
      <c r="F173" s="31">
        <v>45785</v>
      </c>
    </row>
    <row r="174" spans="1:6" x14ac:dyDescent="0.25">
      <c r="A174" s="49"/>
      <c r="B174" s="51"/>
      <c r="C174" s="8" t="s">
        <v>38</v>
      </c>
      <c r="D174" s="9">
        <v>60165000</v>
      </c>
      <c r="E174" s="31">
        <v>45769</v>
      </c>
      <c r="F174" s="31">
        <v>45785</v>
      </c>
    </row>
    <row r="175" spans="1:6" x14ac:dyDescent="0.25">
      <c r="A175" s="3" t="s">
        <v>580</v>
      </c>
      <c r="B175" s="8" t="s">
        <v>8</v>
      </c>
      <c r="C175" s="8" t="s">
        <v>38</v>
      </c>
      <c r="D175" s="9">
        <v>83115000</v>
      </c>
      <c r="E175" s="31">
        <v>45769</v>
      </c>
      <c r="F175" s="31">
        <v>45786</v>
      </c>
    </row>
    <row r="176" spans="1:6" x14ac:dyDescent="0.25">
      <c r="A176" s="3" t="s">
        <v>509</v>
      </c>
      <c r="B176" s="8" t="s">
        <v>10</v>
      </c>
      <c r="C176" s="8" t="s">
        <v>3</v>
      </c>
      <c r="D176" s="9">
        <v>35600000</v>
      </c>
      <c r="E176" s="31">
        <v>45770</v>
      </c>
      <c r="F176" s="31">
        <v>45773</v>
      </c>
    </row>
    <row r="177" spans="1:7" x14ac:dyDescent="0.25">
      <c r="A177" s="3" t="s">
        <v>42</v>
      </c>
      <c r="B177" s="8" t="s">
        <v>10</v>
      </c>
      <c r="C177" s="8" t="s">
        <v>3</v>
      </c>
      <c r="D177" s="9">
        <v>30000000</v>
      </c>
      <c r="E177" s="31">
        <v>45771</v>
      </c>
      <c r="F177" s="31">
        <v>45772</v>
      </c>
    </row>
    <row r="178" spans="1:7" x14ac:dyDescent="0.25">
      <c r="A178" s="3" t="s">
        <v>42</v>
      </c>
      <c r="B178" s="8" t="s">
        <v>316</v>
      </c>
      <c r="C178" s="8" t="s">
        <v>110</v>
      </c>
      <c r="D178" s="9">
        <v>20000000</v>
      </c>
      <c r="E178" s="31">
        <v>45772</v>
      </c>
      <c r="F178" s="31">
        <v>45775</v>
      </c>
    </row>
    <row r="179" spans="1:7" x14ac:dyDescent="0.25">
      <c r="A179" s="3" t="s">
        <v>42</v>
      </c>
      <c r="B179" s="8" t="s">
        <v>8</v>
      </c>
      <c r="C179" s="8" t="s">
        <v>3</v>
      </c>
      <c r="D179" s="9">
        <v>9235000</v>
      </c>
      <c r="E179" s="31">
        <v>45769</v>
      </c>
      <c r="F179" s="31">
        <v>45783</v>
      </c>
    </row>
    <row r="180" spans="1:7" x14ac:dyDescent="0.25">
      <c r="A180" s="3" t="s">
        <v>106</v>
      </c>
      <c r="B180" s="8" t="s">
        <v>109</v>
      </c>
      <c r="C180" s="8" t="s">
        <v>110</v>
      </c>
      <c r="D180" s="9">
        <v>2600000</v>
      </c>
      <c r="E180" s="31">
        <v>45775</v>
      </c>
      <c r="F180" s="31">
        <v>45776</v>
      </c>
    </row>
    <row r="181" spans="1:7" x14ac:dyDescent="0.25">
      <c r="A181" s="3" t="s">
        <v>42</v>
      </c>
      <c r="B181" s="8" t="s">
        <v>10</v>
      </c>
      <c r="C181" s="8" t="s">
        <v>3</v>
      </c>
      <c r="D181" s="9">
        <v>66000000</v>
      </c>
      <c r="E181" s="31">
        <v>45776</v>
      </c>
      <c r="F181" s="31">
        <v>45777</v>
      </c>
    </row>
    <row r="182" spans="1:7" x14ac:dyDescent="0.25">
      <c r="A182" s="3" t="s">
        <v>106</v>
      </c>
      <c r="B182" s="8" t="s">
        <v>452</v>
      </c>
      <c r="C182" s="8" t="s">
        <v>453</v>
      </c>
      <c r="D182" s="9">
        <v>1350000</v>
      </c>
      <c r="E182" s="31">
        <v>45771</v>
      </c>
      <c r="F182" s="31">
        <v>45776</v>
      </c>
    </row>
    <row r="183" spans="1:7" x14ac:dyDescent="0.25">
      <c r="A183" s="3" t="s">
        <v>42</v>
      </c>
      <c r="B183" s="8" t="s">
        <v>8</v>
      </c>
      <c r="C183" s="8" t="s">
        <v>3</v>
      </c>
      <c r="D183" s="9">
        <v>9235000</v>
      </c>
      <c r="E183" s="31">
        <v>45769</v>
      </c>
      <c r="F183" s="31">
        <v>45783</v>
      </c>
    </row>
    <row r="184" spans="1:7" x14ac:dyDescent="0.25">
      <c r="A184" s="3" t="s">
        <v>106</v>
      </c>
      <c r="B184" s="8" t="s">
        <v>8</v>
      </c>
      <c r="C184" s="8" t="s">
        <v>3</v>
      </c>
      <c r="D184" s="9">
        <v>1215000</v>
      </c>
      <c r="E184" s="31">
        <v>45769</v>
      </c>
      <c r="F184" s="31">
        <v>45777</v>
      </c>
    </row>
    <row r="185" spans="1:7" x14ac:dyDescent="0.25">
      <c r="A185" s="3" t="s">
        <v>106</v>
      </c>
      <c r="B185" s="8" t="s">
        <v>84</v>
      </c>
      <c r="C185" s="8" t="s">
        <v>85</v>
      </c>
      <c r="D185" s="9">
        <v>1400000</v>
      </c>
      <c r="E185" s="31">
        <v>45776</v>
      </c>
      <c r="F185" s="31">
        <v>45777</v>
      </c>
    </row>
    <row r="186" spans="1:7" x14ac:dyDescent="0.25">
      <c r="A186" s="3" t="s">
        <v>505</v>
      </c>
      <c r="B186" s="8" t="s">
        <v>12</v>
      </c>
      <c r="C186" s="8" t="s">
        <v>38</v>
      </c>
      <c r="D186" s="9">
        <v>83250000</v>
      </c>
      <c r="E186" s="31">
        <v>45776</v>
      </c>
      <c r="F186" s="31">
        <v>45796</v>
      </c>
    </row>
    <row r="187" spans="1:7" x14ac:dyDescent="0.25">
      <c r="A187" s="3" t="s">
        <v>505</v>
      </c>
      <c r="B187" s="8" t="s">
        <v>12</v>
      </c>
      <c r="C187" s="8" t="s">
        <v>38</v>
      </c>
      <c r="D187" s="9">
        <v>83250000</v>
      </c>
      <c r="E187" s="31">
        <v>45776</v>
      </c>
      <c r="F187" s="31">
        <v>45800</v>
      </c>
    </row>
    <row r="188" spans="1:7" x14ac:dyDescent="0.25">
      <c r="A188" s="3" t="s">
        <v>555</v>
      </c>
      <c r="B188" s="8" t="s">
        <v>12</v>
      </c>
      <c r="C188" s="8" t="s">
        <v>38</v>
      </c>
      <c r="D188" s="9">
        <v>83700000</v>
      </c>
      <c r="E188" s="31">
        <v>45776</v>
      </c>
      <c r="F188" s="31">
        <v>45785</v>
      </c>
    </row>
    <row r="189" spans="1:7" x14ac:dyDescent="0.25">
      <c r="A189" s="3" t="s">
        <v>555</v>
      </c>
      <c r="B189" s="8" t="s">
        <v>12</v>
      </c>
      <c r="C189" s="8" t="s">
        <v>38</v>
      </c>
      <c r="D189" s="9">
        <v>83700000</v>
      </c>
      <c r="E189" s="31">
        <v>45776</v>
      </c>
      <c r="F189" s="31">
        <v>45793</v>
      </c>
    </row>
    <row r="190" spans="1:7" x14ac:dyDescent="0.25">
      <c r="A190" s="3" t="s">
        <v>561</v>
      </c>
      <c r="B190" s="8"/>
      <c r="C190" s="8" t="s">
        <v>3</v>
      </c>
      <c r="D190" s="9">
        <v>4541505</v>
      </c>
      <c r="E190" s="31">
        <v>45776</v>
      </c>
      <c r="F190" s="31">
        <v>45779</v>
      </c>
    </row>
    <row r="191" spans="1:7" x14ac:dyDescent="0.25">
      <c r="A191" s="3" t="s">
        <v>106</v>
      </c>
      <c r="B191" s="8" t="s">
        <v>562</v>
      </c>
      <c r="C191" s="8" t="s">
        <v>38</v>
      </c>
      <c r="D191" s="9">
        <v>450000</v>
      </c>
      <c r="E191" s="31">
        <v>45777</v>
      </c>
      <c r="F191" s="31">
        <v>45779</v>
      </c>
    </row>
    <row r="192" spans="1:7" x14ac:dyDescent="0.25">
      <c r="A192" s="3" t="s">
        <v>564</v>
      </c>
      <c r="B192" s="8" t="s">
        <v>516</v>
      </c>
      <c r="C192" s="8" t="s">
        <v>453</v>
      </c>
      <c r="D192" s="9">
        <v>500000</v>
      </c>
      <c r="E192" s="31">
        <v>45777</v>
      </c>
      <c r="F192" s="31">
        <v>45779</v>
      </c>
      <c r="G192" s="7">
        <v>532</v>
      </c>
    </row>
    <row r="193" spans="1:6" x14ac:dyDescent="0.25">
      <c r="A193" s="3" t="s">
        <v>572</v>
      </c>
      <c r="B193" s="8"/>
      <c r="C193" s="8" t="s">
        <v>3</v>
      </c>
      <c r="D193" s="9">
        <v>37500000</v>
      </c>
      <c r="E193" s="31">
        <v>45779</v>
      </c>
      <c r="F193" s="31">
        <v>45780</v>
      </c>
    </row>
    <row r="194" spans="1:6" x14ac:dyDescent="0.25">
      <c r="A194" s="3" t="s">
        <v>573</v>
      </c>
      <c r="B194" s="8" t="s">
        <v>516</v>
      </c>
      <c r="C194" s="8" t="s">
        <v>3</v>
      </c>
      <c r="D194" s="9">
        <v>85500000</v>
      </c>
      <c r="E194" s="31">
        <v>45779</v>
      </c>
      <c r="F194" s="31">
        <v>45782</v>
      </c>
    </row>
    <row r="195" spans="1:6" x14ac:dyDescent="0.25">
      <c r="A195" s="3" t="s">
        <v>106</v>
      </c>
      <c r="B195" s="8" t="s">
        <v>452</v>
      </c>
      <c r="C195" s="8" t="s">
        <v>453</v>
      </c>
      <c r="D195" s="9">
        <v>1350000</v>
      </c>
      <c r="E195" s="31">
        <v>45777</v>
      </c>
      <c r="F195" s="31">
        <v>45780</v>
      </c>
    </row>
    <row r="196" spans="1:6" x14ac:dyDescent="0.25">
      <c r="A196" s="3" t="s">
        <v>574</v>
      </c>
      <c r="B196" s="8" t="s">
        <v>84</v>
      </c>
      <c r="C196" s="8" t="s">
        <v>3</v>
      </c>
      <c r="D196" s="9">
        <v>79050000</v>
      </c>
      <c r="E196" s="31">
        <v>45779</v>
      </c>
      <c r="F196" s="31">
        <v>45780</v>
      </c>
    </row>
    <row r="197" spans="1:6" x14ac:dyDescent="0.25">
      <c r="A197" s="3" t="s">
        <v>586</v>
      </c>
      <c r="B197" s="8" t="s">
        <v>420</v>
      </c>
      <c r="C197" s="8" t="s">
        <v>38</v>
      </c>
      <c r="D197" s="9">
        <v>82350000</v>
      </c>
      <c r="E197" s="31">
        <v>45780</v>
      </c>
      <c r="F197" s="31">
        <v>45786</v>
      </c>
    </row>
    <row r="198" spans="1:6" x14ac:dyDescent="0.25">
      <c r="A198" s="3" t="s">
        <v>42</v>
      </c>
      <c r="B198" s="8" t="s">
        <v>8</v>
      </c>
      <c r="C198" s="8" t="s">
        <v>38</v>
      </c>
      <c r="D198" s="9">
        <v>8335000</v>
      </c>
      <c r="E198" s="31">
        <v>45769</v>
      </c>
      <c r="F198" s="31">
        <v>45783</v>
      </c>
    </row>
    <row r="199" spans="1:6" x14ac:dyDescent="0.25">
      <c r="A199" s="3" t="s">
        <v>42</v>
      </c>
      <c r="B199" s="8" t="s">
        <v>8</v>
      </c>
      <c r="C199" s="8" t="s">
        <v>38</v>
      </c>
      <c r="D199" s="9">
        <v>9235000</v>
      </c>
      <c r="E199" s="31">
        <v>45769</v>
      </c>
      <c r="F199" s="31">
        <v>45783</v>
      </c>
    </row>
    <row r="200" spans="1:6" x14ac:dyDescent="0.25">
      <c r="A200" s="3" t="s">
        <v>42</v>
      </c>
      <c r="B200" s="8" t="s">
        <v>8</v>
      </c>
      <c r="C200" s="8" t="s">
        <v>3</v>
      </c>
      <c r="D200" s="9">
        <v>9235000</v>
      </c>
      <c r="E200" s="31">
        <v>45769</v>
      </c>
      <c r="F200" s="31">
        <v>45783</v>
      </c>
    </row>
    <row r="201" spans="1:6" x14ac:dyDescent="0.25">
      <c r="A201" s="3" t="s">
        <v>582</v>
      </c>
      <c r="B201" s="8" t="s">
        <v>8</v>
      </c>
      <c r="C201" s="8" t="s">
        <v>38</v>
      </c>
      <c r="D201" s="9">
        <v>83565000</v>
      </c>
      <c r="E201" s="31">
        <v>45783</v>
      </c>
      <c r="F201" s="31">
        <v>45784</v>
      </c>
    </row>
    <row r="202" spans="1:6" x14ac:dyDescent="0.25">
      <c r="A202" s="3" t="s">
        <v>586</v>
      </c>
      <c r="B202" s="8" t="s">
        <v>420</v>
      </c>
      <c r="C202" s="8" t="s">
        <v>38</v>
      </c>
      <c r="D202" s="9">
        <v>675000</v>
      </c>
      <c r="E202" s="31">
        <v>45784</v>
      </c>
      <c r="F202" s="31">
        <v>45786</v>
      </c>
    </row>
    <row r="203" spans="1:6" x14ac:dyDescent="0.25">
      <c r="A203" s="3" t="s">
        <v>588</v>
      </c>
      <c r="B203" s="8" t="s">
        <v>10</v>
      </c>
      <c r="C203" s="8" t="s">
        <v>3</v>
      </c>
      <c r="D203" s="9">
        <v>41500000</v>
      </c>
      <c r="E203" s="31">
        <v>45784</v>
      </c>
      <c r="F203" s="31">
        <v>45796</v>
      </c>
    </row>
    <row r="204" spans="1:6" x14ac:dyDescent="0.25">
      <c r="A204" s="3" t="s">
        <v>42</v>
      </c>
      <c r="B204" s="8" t="s">
        <v>215</v>
      </c>
      <c r="C204" s="8" t="s">
        <v>85</v>
      </c>
      <c r="D204" s="9">
        <v>1000000</v>
      </c>
      <c r="E204" s="31">
        <v>45784</v>
      </c>
      <c r="F204" s="31">
        <v>45787</v>
      </c>
    </row>
    <row r="205" spans="1:6" x14ac:dyDescent="0.25">
      <c r="A205" s="3" t="s">
        <v>555</v>
      </c>
      <c r="B205" s="8" t="s">
        <v>590</v>
      </c>
      <c r="C205" s="8" t="s">
        <v>85</v>
      </c>
      <c r="D205" s="9">
        <v>83700000</v>
      </c>
      <c r="E205" s="31">
        <v>45784</v>
      </c>
      <c r="F205" s="31">
        <v>45787</v>
      </c>
    </row>
    <row r="206" spans="1:6" x14ac:dyDescent="0.25">
      <c r="A206" s="3" t="s">
        <v>588</v>
      </c>
      <c r="B206" s="8" t="s">
        <v>10</v>
      </c>
      <c r="C206" s="8" t="s">
        <v>3</v>
      </c>
      <c r="D206" s="9">
        <v>40850000</v>
      </c>
      <c r="E206" s="31">
        <v>45786</v>
      </c>
      <c r="F206" s="31">
        <v>45796</v>
      </c>
    </row>
    <row r="207" spans="1:6" x14ac:dyDescent="0.25">
      <c r="A207" s="3" t="s">
        <v>592</v>
      </c>
      <c r="B207" s="8" t="s">
        <v>405</v>
      </c>
      <c r="C207" s="8" t="s">
        <v>85</v>
      </c>
      <c r="D207" s="9">
        <v>83025000</v>
      </c>
      <c r="E207" s="31">
        <v>45785</v>
      </c>
      <c r="F207" s="31">
        <v>45791</v>
      </c>
    </row>
    <row r="208" spans="1:6" x14ac:dyDescent="0.25">
      <c r="A208" s="3" t="s">
        <v>106</v>
      </c>
      <c r="B208" s="8" t="s">
        <v>603</v>
      </c>
      <c r="C208" s="8" t="s">
        <v>3</v>
      </c>
      <c r="D208" s="9">
        <v>70000</v>
      </c>
      <c r="E208" s="31">
        <v>45787</v>
      </c>
      <c r="F208" s="31">
        <v>45791</v>
      </c>
    </row>
    <row r="209" spans="1:7" x14ac:dyDescent="0.25">
      <c r="A209" s="3" t="s">
        <v>605</v>
      </c>
      <c r="B209" s="8" t="s">
        <v>606</v>
      </c>
      <c r="C209" s="8" t="s">
        <v>85</v>
      </c>
      <c r="D209" s="9">
        <v>46000000</v>
      </c>
      <c r="E209" s="31">
        <v>45791</v>
      </c>
      <c r="F209" s="31">
        <v>45792</v>
      </c>
    </row>
    <row r="210" spans="1:7" x14ac:dyDescent="0.25">
      <c r="A210" s="3" t="s">
        <v>609</v>
      </c>
      <c r="B210" s="8" t="s">
        <v>84</v>
      </c>
      <c r="C210" s="8" t="s">
        <v>85</v>
      </c>
      <c r="D210" s="9">
        <v>77775000</v>
      </c>
      <c r="E210" s="31">
        <v>45791</v>
      </c>
      <c r="F210" s="31">
        <v>45792</v>
      </c>
    </row>
    <row r="211" spans="1:7" x14ac:dyDescent="0.25">
      <c r="A211" s="3" t="s">
        <v>614</v>
      </c>
      <c r="B211" s="8" t="s">
        <v>8</v>
      </c>
      <c r="C211" s="8" t="s">
        <v>38</v>
      </c>
      <c r="D211" s="9">
        <v>83565000</v>
      </c>
      <c r="E211" s="31">
        <v>45792</v>
      </c>
      <c r="F211" s="31">
        <v>45797</v>
      </c>
    </row>
    <row r="212" spans="1:7" x14ac:dyDescent="0.25">
      <c r="A212" s="3" t="s">
        <v>106</v>
      </c>
      <c r="B212" s="8" t="s">
        <v>84</v>
      </c>
      <c r="C212" s="8" t="s">
        <v>85</v>
      </c>
      <c r="D212" s="9">
        <v>1400000</v>
      </c>
      <c r="E212" s="31">
        <v>45792</v>
      </c>
      <c r="F212" s="31">
        <v>45793</v>
      </c>
    </row>
    <row r="213" spans="1:7" x14ac:dyDescent="0.25">
      <c r="A213" s="3" t="s">
        <v>619</v>
      </c>
      <c r="B213" s="8" t="s">
        <v>12</v>
      </c>
      <c r="C213" s="8" t="s">
        <v>38</v>
      </c>
      <c r="D213" s="9">
        <v>82800000</v>
      </c>
      <c r="E213" s="31">
        <v>45792</v>
      </c>
      <c r="F213" s="31">
        <v>45799</v>
      </c>
    </row>
    <row r="214" spans="1:7" x14ac:dyDescent="0.25">
      <c r="A214" s="3" t="s">
        <v>619</v>
      </c>
      <c r="B214" s="8" t="s">
        <v>12</v>
      </c>
      <c r="C214" s="8" t="s">
        <v>38</v>
      </c>
      <c r="D214" s="9">
        <v>82800000</v>
      </c>
      <c r="E214" s="31">
        <v>45792</v>
      </c>
      <c r="F214" s="31">
        <v>45810</v>
      </c>
      <c r="G214" s="7" t="s">
        <v>681</v>
      </c>
    </row>
    <row r="215" spans="1:7" x14ac:dyDescent="0.25">
      <c r="A215" s="3" t="s">
        <v>619</v>
      </c>
      <c r="B215" s="8" t="s">
        <v>12</v>
      </c>
      <c r="C215" s="8" t="s">
        <v>38</v>
      </c>
      <c r="D215" s="9">
        <v>82800000</v>
      </c>
      <c r="E215" s="31">
        <v>45792</v>
      </c>
      <c r="F215" s="31">
        <v>45811</v>
      </c>
    </row>
    <row r="216" spans="1:7" x14ac:dyDescent="0.25">
      <c r="A216" s="3" t="s">
        <v>619</v>
      </c>
      <c r="B216" s="8" t="s">
        <v>12</v>
      </c>
      <c r="C216" s="8" t="s">
        <v>38</v>
      </c>
      <c r="D216" s="9">
        <v>82800000</v>
      </c>
      <c r="E216" s="31">
        <v>45792</v>
      </c>
      <c r="F216" s="31">
        <v>45818</v>
      </c>
    </row>
    <row r="217" spans="1:7" x14ac:dyDescent="0.25">
      <c r="A217" s="3" t="s">
        <v>106</v>
      </c>
      <c r="B217" s="8" t="s">
        <v>562</v>
      </c>
      <c r="C217" s="8" t="s">
        <v>38</v>
      </c>
      <c r="D217" s="9">
        <v>450000</v>
      </c>
      <c r="E217" s="31">
        <v>45796</v>
      </c>
      <c r="F217" s="31">
        <v>45797</v>
      </c>
    </row>
    <row r="218" spans="1:7" x14ac:dyDescent="0.25">
      <c r="A218" s="3" t="s">
        <v>511</v>
      </c>
      <c r="B218" s="8" t="s">
        <v>10</v>
      </c>
      <c r="C218" s="8" t="s">
        <v>3</v>
      </c>
      <c r="D218" s="9">
        <v>65000000</v>
      </c>
      <c r="E218" s="31">
        <v>45798</v>
      </c>
      <c r="F218" s="31">
        <v>45804</v>
      </c>
    </row>
    <row r="219" spans="1:7" x14ac:dyDescent="0.25">
      <c r="A219" s="3" t="s">
        <v>511</v>
      </c>
      <c r="B219" s="8" t="s">
        <v>516</v>
      </c>
      <c r="C219" s="8" t="s">
        <v>3</v>
      </c>
      <c r="D219" s="9">
        <v>84150000</v>
      </c>
      <c r="E219" s="31">
        <v>45799</v>
      </c>
      <c r="F219" s="31">
        <v>45800</v>
      </c>
    </row>
    <row r="220" spans="1:7" x14ac:dyDescent="0.25">
      <c r="A220" s="3" t="s">
        <v>42</v>
      </c>
      <c r="B220" s="8" t="s">
        <v>495</v>
      </c>
      <c r="C220" s="8" t="s">
        <v>110</v>
      </c>
      <c r="D220" s="9">
        <v>20000</v>
      </c>
      <c r="E220" s="31">
        <v>45799</v>
      </c>
      <c r="F220" s="31"/>
    </row>
    <row r="221" spans="1:7" x14ac:dyDescent="0.25">
      <c r="A221" s="3" t="s">
        <v>511</v>
      </c>
      <c r="B221" s="8" t="s">
        <v>10</v>
      </c>
      <c r="C221" s="8" t="s">
        <v>3</v>
      </c>
      <c r="D221" s="9">
        <v>19150000</v>
      </c>
      <c r="E221" s="31">
        <v>45799</v>
      </c>
      <c r="F221" s="31">
        <v>45804</v>
      </c>
    </row>
    <row r="222" spans="1:7" x14ac:dyDescent="0.25">
      <c r="A222" s="48" t="s">
        <v>505</v>
      </c>
      <c r="B222" s="50" t="s">
        <v>10</v>
      </c>
      <c r="C222" s="50" t="s">
        <v>3</v>
      </c>
      <c r="D222" s="9">
        <v>35250000</v>
      </c>
      <c r="E222" s="46">
        <v>45803</v>
      </c>
      <c r="F222" s="31">
        <v>45832</v>
      </c>
    </row>
    <row r="223" spans="1:7" x14ac:dyDescent="0.25">
      <c r="A223" s="49"/>
      <c r="B223" s="51"/>
      <c r="C223" s="51"/>
      <c r="D223" s="9">
        <v>48000000</v>
      </c>
      <c r="E223" s="47"/>
      <c r="F223" s="31">
        <v>45832</v>
      </c>
    </row>
    <row r="224" spans="1:7" x14ac:dyDescent="0.25">
      <c r="A224" s="3" t="s">
        <v>660</v>
      </c>
      <c r="B224" s="8" t="s">
        <v>8</v>
      </c>
      <c r="C224" s="8" t="s">
        <v>38</v>
      </c>
      <c r="D224" s="9">
        <v>84465000</v>
      </c>
      <c r="E224" s="31">
        <v>45804</v>
      </c>
      <c r="F224" s="31">
        <v>45805</v>
      </c>
    </row>
    <row r="225" spans="1:6" x14ac:dyDescent="0.25">
      <c r="A225" s="3" t="s">
        <v>106</v>
      </c>
      <c r="B225" s="8" t="s">
        <v>661</v>
      </c>
      <c r="C225" s="8" t="s">
        <v>85</v>
      </c>
      <c r="D225" s="9">
        <v>900000</v>
      </c>
      <c r="E225" s="31">
        <v>45804</v>
      </c>
      <c r="F225" s="31">
        <v>45805</v>
      </c>
    </row>
    <row r="226" spans="1:6" x14ac:dyDescent="0.25">
      <c r="A226" s="48" t="s">
        <v>662</v>
      </c>
      <c r="B226" s="50" t="s">
        <v>10</v>
      </c>
      <c r="C226" s="50" t="s">
        <v>3</v>
      </c>
      <c r="D226" s="9">
        <v>25000000</v>
      </c>
      <c r="E226" s="46">
        <v>45805</v>
      </c>
      <c r="F226" s="46">
        <v>45807</v>
      </c>
    </row>
    <row r="227" spans="1:6" x14ac:dyDescent="0.25">
      <c r="A227" s="49"/>
      <c r="B227" s="51"/>
      <c r="C227" s="51"/>
      <c r="D227" s="9">
        <v>27000000</v>
      </c>
      <c r="E227" s="47"/>
      <c r="F227" s="47"/>
    </row>
    <row r="228" spans="1:6" x14ac:dyDescent="0.25">
      <c r="A228" s="3" t="s">
        <v>42</v>
      </c>
      <c r="B228" s="8" t="s">
        <v>405</v>
      </c>
      <c r="C228" s="8" t="s">
        <v>85</v>
      </c>
      <c r="D228" s="9">
        <v>500000</v>
      </c>
      <c r="E228" s="31">
        <v>45806</v>
      </c>
      <c r="F228" s="31">
        <v>45820</v>
      </c>
    </row>
    <row r="229" spans="1:6" x14ac:dyDescent="0.25">
      <c r="A229" s="3" t="s">
        <v>682</v>
      </c>
      <c r="B229" s="8" t="s">
        <v>10</v>
      </c>
      <c r="C229" s="8" t="s">
        <v>3</v>
      </c>
      <c r="D229" s="9">
        <v>75000000</v>
      </c>
      <c r="E229" s="31">
        <v>45810</v>
      </c>
      <c r="F229" s="31">
        <v>45811</v>
      </c>
    </row>
    <row r="230" spans="1:6" x14ac:dyDescent="0.25">
      <c r="A230" s="3" t="s">
        <v>686</v>
      </c>
      <c r="B230" s="50" t="s">
        <v>8</v>
      </c>
      <c r="C230" s="50" t="s">
        <v>38</v>
      </c>
      <c r="D230" s="9">
        <f>9000*9050+1215000</f>
        <v>82665000</v>
      </c>
      <c r="E230" s="46">
        <v>45811</v>
      </c>
      <c r="F230" s="31">
        <v>45813</v>
      </c>
    </row>
    <row r="231" spans="1:6" x14ac:dyDescent="0.25">
      <c r="A231" s="3" t="s">
        <v>687</v>
      </c>
      <c r="B231" s="52"/>
      <c r="C231" s="52"/>
      <c r="D231" s="9">
        <f>9000*9250+1215000</f>
        <v>84465000</v>
      </c>
      <c r="E231" s="55"/>
      <c r="F231" s="31">
        <v>45812</v>
      </c>
    </row>
    <row r="232" spans="1:6" x14ac:dyDescent="0.25">
      <c r="A232" s="3" t="s">
        <v>660</v>
      </c>
      <c r="B232" s="52"/>
      <c r="C232" s="52"/>
      <c r="D232" s="9">
        <f>9000*9250+1215000</f>
        <v>84465000</v>
      </c>
      <c r="E232" s="55"/>
      <c r="F232" s="31">
        <v>45817</v>
      </c>
    </row>
    <row r="233" spans="1:6" x14ac:dyDescent="0.25">
      <c r="A233" s="3" t="s">
        <v>688</v>
      </c>
      <c r="B233" s="51"/>
      <c r="C233" s="51"/>
      <c r="D233" s="9">
        <f>9000*9225+1215000</f>
        <v>84240000</v>
      </c>
      <c r="E233" s="47"/>
      <c r="F233" s="31">
        <v>45812</v>
      </c>
    </row>
    <row r="234" spans="1:6" x14ac:dyDescent="0.25">
      <c r="A234" s="3" t="s">
        <v>42</v>
      </c>
      <c r="B234" s="8" t="s">
        <v>84</v>
      </c>
      <c r="C234" s="8" t="s">
        <v>85</v>
      </c>
      <c r="D234" s="9">
        <v>450000</v>
      </c>
      <c r="E234" s="31">
        <v>45817</v>
      </c>
      <c r="F234" s="31">
        <v>45818</v>
      </c>
    </row>
    <row r="235" spans="1:6" x14ac:dyDescent="0.25">
      <c r="A235" s="3" t="s">
        <v>42</v>
      </c>
      <c r="B235" s="8" t="s">
        <v>492</v>
      </c>
      <c r="C235" s="8" t="s">
        <v>3</v>
      </c>
      <c r="D235" s="9">
        <v>60000000</v>
      </c>
      <c r="E235" s="31">
        <v>45817</v>
      </c>
      <c r="F235" s="31">
        <v>45818</v>
      </c>
    </row>
    <row r="236" spans="1:6" x14ac:dyDescent="0.25">
      <c r="A236" s="3" t="s">
        <v>106</v>
      </c>
      <c r="B236" s="8" t="s">
        <v>84</v>
      </c>
      <c r="C236" s="8" t="s">
        <v>85</v>
      </c>
      <c r="D236" s="9">
        <v>1350000</v>
      </c>
      <c r="E236" s="31">
        <v>45817</v>
      </c>
      <c r="F236" s="31">
        <v>45818</v>
      </c>
    </row>
    <row r="237" spans="1:6" x14ac:dyDescent="0.25">
      <c r="A237" s="3" t="s">
        <v>42</v>
      </c>
      <c r="B237" s="8" t="s">
        <v>84</v>
      </c>
      <c r="C237" s="8" t="s">
        <v>85</v>
      </c>
      <c r="D237" s="9">
        <v>225000</v>
      </c>
      <c r="E237" s="31">
        <v>45818</v>
      </c>
      <c r="F237" s="31">
        <v>45820</v>
      </c>
    </row>
    <row r="238" spans="1:6" x14ac:dyDescent="0.25">
      <c r="A238" s="3" t="s">
        <v>42</v>
      </c>
      <c r="B238" s="8" t="s">
        <v>41</v>
      </c>
      <c r="C238" s="8" t="s">
        <v>38</v>
      </c>
      <c r="D238" s="9">
        <v>4100000</v>
      </c>
      <c r="E238" s="31">
        <v>45821</v>
      </c>
      <c r="F238" s="31">
        <v>45822</v>
      </c>
    </row>
    <row r="239" spans="1:6" x14ac:dyDescent="0.25">
      <c r="A239" s="3" t="s">
        <v>719</v>
      </c>
      <c r="B239" s="8" t="s">
        <v>606</v>
      </c>
      <c r="C239" s="8" t="s">
        <v>85</v>
      </c>
      <c r="D239" s="9">
        <v>45750000</v>
      </c>
      <c r="E239" s="31">
        <v>45824</v>
      </c>
      <c r="F239" s="31">
        <v>45832</v>
      </c>
    </row>
    <row r="240" spans="1:6" x14ac:dyDescent="0.25">
      <c r="A240" s="3" t="s">
        <v>42</v>
      </c>
      <c r="B240" s="8" t="s">
        <v>420</v>
      </c>
      <c r="C240" s="8" t="s">
        <v>38</v>
      </c>
      <c r="D240" s="9">
        <v>162900000</v>
      </c>
      <c r="E240" s="31">
        <v>45825</v>
      </c>
      <c r="F240" s="31">
        <v>45831</v>
      </c>
    </row>
    <row r="241" spans="1:6" x14ac:dyDescent="0.25">
      <c r="A241" s="3" t="s">
        <v>42</v>
      </c>
      <c r="B241" s="8" t="s">
        <v>722</v>
      </c>
      <c r="C241" s="8" t="s">
        <v>110</v>
      </c>
      <c r="D241" s="9">
        <v>1800000</v>
      </c>
      <c r="E241" s="31">
        <v>45824</v>
      </c>
      <c r="F241" s="31">
        <v>45828</v>
      </c>
    </row>
    <row r="242" spans="1:6" x14ac:dyDescent="0.25">
      <c r="A242" s="3" t="s">
        <v>106</v>
      </c>
      <c r="B242" s="8" t="s">
        <v>452</v>
      </c>
      <c r="C242" s="8" t="s">
        <v>453</v>
      </c>
      <c r="D242" s="9">
        <v>2700000</v>
      </c>
      <c r="E242" s="31">
        <v>45822</v>
      </c>
      <c r="F242" s="31">
        <v>45826</v>
      </c>
    </row>
    <row r="243" spans="1:6" x14ac:dyDescent="0.25">
      <c r="A243" s="3" t="s">
        <v>42</v>
      </c>
      <c r="B243" s="8" t="s">
        <v>661</v>
      </c>
      <c r="C243" s="8" t="s">
        <v>38</v>
      </c>
      <c r="D243" s="9">
        <v>27900000</v>
      </c>
      <c r="E243" s="31">
        <v>45827</v>
      </c>
      <c r="F243" s="31">
        <v>45828</v>
      </c>
    </row>
    <row r="244" spans="1:6" x14ac:dyDescent="0.25">
      <c r="A244" s="3" t="s">
        <v>106</v>
      </c>
      <c r="B244" s="8" t="s">
        <v>174</v>
      </c>
      <c r="C244" s="8" t="s">
        <v>110</v>
      </c>
      <c r="D244" s="9">
        <v>1600000</v>
      </c>
      <c r="E244" s="31">
        <v>45827</v>
      </c>
      <c r="F244" s="31">
        <v>45828</v>
      </c>
    </row>
    <row r="245" spans="1:6" x14ac:dyDescent="0.25">
      <c r="A245" s="3" t="s">
        <v>106</v>
      </c>
      <c r="B245" s="8" t="s">
        <v>728</v>
      </c>
      <c r="C245" s="8" t="s">
        <v>38</v>
      </c>
      <c r="D245" s="9">
        <v>1100000</v>
      </c>
      <c r="E245" s="31">
        <v>45826</v>
      </c>
      <c r="F245" s="31">
        <v>45828</v>
      </c>
    </row>
    <row r="246" spans="1:6" x14ac:dyDescent="0.25">
      <c r="A246" s="3" t="s">
        <v>561</v>
      </c>
      <c r="B246" s="8"/>
      <c r="C246" s="8" t="s">
        <v>453</v>
      </c>
      <c r="D246" s="9">
        <v>5021755</v>
      </c>
      <c r="E246" s="31">
        <v>45828</v>
      </c>
      <c r="F246" s="31">
        <v>45829</v>
      </c>
    </row>
    <row r="247" spans="1:6" x14ac:dyDescent="0.25">
      <c r="A247" s="3" t="s">
        <v>42</v>
      </c>
      <c r="B247" s="8" t="s">
        <v>41</v>
      </c>
      <c r="C247" s="8" t="s">
        <v>38</v>
      </c>
      <c r="D247" s="9">
        <v>26325000</v>
      </c>
      <c r="E247" s="31">
        <v>45832</v>
      </c>
      <c r="F247" s="31">
        <v>45833</v>
      </c>
    </row>
    <row r="248" spans="1:6" x14ac:dyDescent="0.25">
      <c r="A248" s="3" t="s">
        <v>42</v>
      </c>
      <c r="B248" s="8" t="s">
        <v>749</v>
      </c>
      <c r="C248" s="8" t="s">
        <v>38</v>
      </c>
      <c r="D248" s="9">
        <v>100000</v>
      </c>
      <c r="E248" s="31">
        <v>45833</v>
      </c>
      <c r="F248" s="31">
        <v>45836</v>
      </c>
    </row>
    <row r="249" spans="1:6" x14ac:dyDescent="0.25">
      <c r="A249" s="3" t="s">
        <v>750</v>
      </c>
      <c r="B249" s="8" t="s">
        <v>8</v>
      </c>
      <c r="C249" s="8" t="s">
        <v>38</v>
      </c>
      <c r="D249" s="9">
        <v>81765000</v>
      </c>
      <c r="E249" s="31">
        <v>45833</v>
      </c>
      <c r="F249" s="31">
        <v>45838</v>
      </c>
    </row>
    <row r="250" spans="1:6" x14ac:dyDescent="0.25">
      <c r="A250" s="48" t="s">
        <v>754</v>
      </c>
      <c r="B250" s="50" t="s">
        <v>10</v>
      </c>
      <c r="C250" s="50" t="s">
        <v>3</v>
      </c>
      <c r="D250" s="9">
        <v>39650000</v>
      </c>
      <c r="E250" s="46">
        <v>45838</v>
      </c>
      <c r="F250" s="46">
        <v>45842</v>
      </c>
    </row>
    <row r="251" spans="1:6" x14ac:dyDescent="0.25">
      <c r="A251" s="49"/>
      <c r="B251" s="51"/>
      <c r="C251" s="51"/>
      <c r="D251" s="9">
        <v>40000000</v>
      </c>
      <c r="E251" s="47"/>
      <c r="F251" s="47"/>
    </row>
    <row r="252" spans="1:6" x14ac:dyDescent="0.25">
      <c r="A252" s="3" t="s">
        <v>42</v>
      </c>
      <c r="B252" s="8" t="s">
        <v>130</v>
      </c>
      <c r="C252" s="8" t="s">
        <v>110</v>
      </c>
      <c r="D252" s="9">
        <v>1500000</v>
      </c>
      <c r="E252" s="31">
        <v>45838</v>
      </c>
      <c r="F252" s="31">
        <v>45839</v>
      </c>
    </row>
    <row r="253" spans="1:6" x14ac:dyDescent="0.25">
      <c r="A253" s="3" t="s">
        <v>765</v>
      </c>
      <c r="B253" s="8" t="s">
        <v>766</v>
      </c>
      <c r="C253" s="8" t="s">
        <v>110</v>
      </c>
      <c r="D253" s="9">
        <v>1000000</v>
      </c>
      <c r="E253" s="31">
        <v>45839</v>
      </c>
      <c r="F253" s="31"/>
    </row>
    <row r="254" spans="1:6" x14ac:dyDescent="0.25">
      <c r="A254" s="3" t="s">
        <v>768</v>
      </c>
      <c r="B254" s="8" t="s">
        <v>10</v>
      </c>
      <c r="C254" s="8" t="s">
        <v>3</v>
      </c>
      <c r="D254" s="9">
        <v>38000000</v>
      </c>
      <c r="E254" s="31">
        <v>45840</v>
      </c>
      <c r="F254" s="31">
        <v>45841</v>
      </c>
    </row>
    <row r="255" spans="1:6" x14ac:dyDescent="0.25">
      <c r="A255" s="3" t="s">
        <v>771</v>
      </c>
      <c r="B255" s="8" t="s">
        <v>84</v>
      </c>
      <c r="C255" s="8" t="s">
        <v>85</v>
      </c>
      <c r="D255" s="9">
        <v>81000000</v>
      </c>
      <c r="E255" s="31">
        <v>45841</v>
      </c>
      <c r="F255" s="31">
        <v>45842</v>
      </c>
    </row>
    <row r="256" spans="1:6" x14ac:dyDescent="0.25">
      <c r="A256" s="3" t="s">
        <v>772</v>
      </c>
      <c r="B256" s="8" t="s">
        <v>773</v>
      </c>
      <c r="C256" s="8" t="s">
        <v>38</v>
      </c>
      <c r="D256" s="9">
        <v>78750000</v>
      </c>
      <c r="E256" s="31">
        <v>45841</v>
      </c>
      <c r="F256" s="31">
        <v>45843</v>
      </c>
    </row>
    <row r="257" spans="1:6" x14ac:dyDescent="0.25">
      <c r="A257" s="3" t="s">
        <v>774</v>
      </c>
      <c r="B257" s="8" t="s">
        <v>243</v>
      </c>
      <c r="C257" s="8" t="s">
        <v>3</v>
      </c>
      <c r="D257" s="9">
        <v>80550000</v>
      </c>
      <c r="E257" s="31">
        <v>45841</v>
      </c>
      <c r="F257" s="31">
        <v>45842</v>
      </c>
    </row>
    <row r="258" spans="1:6" x14ac:dyDescent="0.25">
      <c r="A258" s="3" t="s">
        <v>106</v>
      </c>
      <c r="B258" s="8" t="s">
        <v>661</v>
      </c>
      <c r="C258" s="8" t="s">
        <v>85</v>
      </c>
      <c r="D258" s="9">
        <v>900000</v>
      </c>
      <c r="E258" s="31">
        <v>45841</v>
      </c>
      <c r="F258" s="31">
        <v>45842</v>
      </c>
    </row>
    <row r="259" spans="1:6" x14ac:dyDescent="0.25">
      <c r="A259" s="3" t="s">
        <v>781</v>
      </c>
      <c r="B259" s="8" t="s">
        <v>8</v>
      </c>
      <c r="C259" s="8" t="s">
        <v>38</v>
      </c>
      <c r="D259" s="9">
        <v>80415000</v>
      </c>
      <c r="E259" s="31">
        <v>45845</v>
      </c>
      <c r="F259" s="31">
        <v>45846</v>
      </c>
    </row>
    <row r="260" spans="1:6" x14ac:dyDescent="0.25">
      <c r="A260" s="3" t="s">
        <v>106</v>
      </c>
      <c r="B260" s="8" t="s">
        <v>749</v>
      </c>
      <c r="C260" s="8" t="s">
        <v>38</v>
      </c>
      <c r="D260" s="9">
        <v>450000</v>
      </c>
      <c r="E260" s="31">
        <v>45846</v>
      </c>
      <c r="F260" s="31">
        <v>45847</v>
      </c>
    </row>
    <row r="261" spans="1:6" x14ac:dyDescent="0.25">
      <c r="A261" s="3" t="s">
        <v>106</v>
      </c>
      <c r="B261" s="8" t="s">
        <v>257</v>
      </c>
      <c r="C261" s="8" t="s">
        <v>38</v>
      </c>
      <c r="D261" s="9">
        <v>1500000</v>
      </c>
      <c r="E261" s="31">
        <v>45847</v>
      </c>
      <c r="F261" s="31">
        <v>45848</v>
      </c>
    </row>
    <row r="262" spans="1:6" x14ac:dyDescent="0.25">
      <c r="A262" s="3" t="s">
        <v>106</v>
      </c>
      <c r="B262" s="8" t="s">
        <v>10</v>
      </c>
      <c r="C262" s="8" t="s">
        <v>3</v>
      </c>
      <c r="D262" s="9">
        <v>900000</v>
      </c>
      <c r="E262" s="31">
        <v>45847</v>
      </c>
      <c r="F262" s="31">
        <v>45848</v>
      </c>
    </row>
    <row r="263" spans="1:6" x14ac:dyDescent="0.25">
      <c r="A263" s="3" t="s">
        <v>792</v>
      </c>
      <c r="B263" s="8" t="s">
        <v>8</v>
      </c>
      <c r="C263" s="8" t="s">
        <v>38</v>
      </c>
      <c r="D263" s="9">
        <v>81090000</v>
      </c>
      <c r="E263" s="31">
        <v>45848</v>
      </c>
      <c r="F263" s="31">
        <v>45850</v>
      </c>
    </row>
    <row r="264" spans="1:6" x14ac:dyDescent="0.25">
      <c r="A264" s="3" t="s">
        <v>793</v>
      </c>
      <c r="B264" s="8" t="s">
        <v>773</v>
      </c>
      <c r="C264" s="8" t="s">
        <v>3</v>
      </c>
      <c r="D264" s="9">
        <v>36800000</v>
      </c>
      <c r="E264" s="31">
        <v>45848</v>
      </c>
      <c r="F264" s="31">
        <v>45849</v>
      </c>
    </row>
    <row r="265" spans="1:6" x14ac:dyDescent="0.25">
      <c r="A265" s="3" t="s">
        <v>804</v>
      </c>
      <c r="B265" s="8" t="s">
        <v>420</v>
      </c>
      <c r="C265" s="8" t="s">
        <v>38</v>
      </c>
      <c r="D265" s="9">
        <f>18000*8800</f>
        <v>158400000</v>
      </c>
      <c r="E265" s="31">
        <v>45853</v>
      </c>
      <c r="F265" s="31">
        <v>45854</v>
      </c>
    </row>
    <row r="266" spans="1:6" x14ac:dyDescent="0.25">
      <c r="A266" s="3" t="s">
        <v>106</v>
      </c>
      <c r="B266" s="8" t="s">
        <v>84</v>
      </c>
      <c r="C266" s="8" t="s">
        <v>3</v>
      </c>
      <c r="D266" s="9">
        <v>1350000</v>
      </c>
      <c r="E266" s="31">
        <v>45853</v>
      </c>
      <c r="F266" s="31">
        <v>45854</v>
      </c>
    </row>
    <row r="267" spans="1:6" x14ac:dyDescent="0.25">
      <c r="A267" s="3" t="s">
        <v>106</v>
      </c>
      <c r="B267" s="8" t="s">
        <v>418</v>
      </c>
      <c r="C267" s="8" t="s">
        <v>38</v>
      </c>
      <c r="D267" s="9">
        <v>750000</v>
      </c>
      <c r="E267" s="31">
        <v>45854</v>
      </c>
      <c r="F267" s="31">
        <v>45855</v>
      </c>
    </row>
    <row r="268" spans="1:6" x14ac:dyDescent="0.25">
      <c r="A268" s="3" t="s">
        <v>817</v>
      </c>
      <c r="B268" s="8" t="s">
        <v>818</v>
      </c>
      <c r="C268" s="8" t="s">
        <v>85</v>
      </c>
      <c r="D268" s="9">
        <v>34400000</v>
      </c>
      <c r="E268" s="31">
        <v>45860</v>
      </c>
      <c r="F268" s="31">
        <v>45861</v>
      </c>
    </row>
    <row r="269" spans="1:6" x14ac:dyDescent="0.25">
      <c r="A269" s="3" t="s">
        <v>106</v>
      </c>
      <c r="B269" s="8" t="s">
        <v>215</v>
      </c>
      <c r="C269" s="8" t="s">
        <v>3</v>
      </c>
      <c r="D269" s="9">
        <v>1500000</v>
      </c>
      <c r="E269" s="31">
        <v>45860</v>
      </c>
      <c r="F269" s="31">
        <v>45861</v>
      </c>
    </row>
    <row r="270" spans="1:6" x14ac:dyDescent="0.25">
      <c r="A270" s="3" t="s">
        <v>822</v>
      </c>
      <c r="B270" s="8"/>
      <c r="C270" s="8" t="s">
        <v>110</v>
      </c>
      <c r="D270" s="9">
        <v>10854450</v>
      </c>
      <c r="E270" s="31">
        <v>45861</v>
      </c>
      <c r="F270" s="31">
        <v>45863</v>
      </c>
    </row>
    <row r="271" spans="1:6" x14ac:dyDescent="0.25">
      <c r="A271" s="48" t="s">
        <v>830</v>
      </c>
      <c r="B271" s="50" t="s">
        <v>10</v>
      </c>
      <c r="C271" s="50" t="s">
        <v>3</v>
      </c>
      <c r="D271" s="9">
        <v>54000000</v>
      </c>
      <c r="E271" s="46">
        <v>45863</v>
      </c>
      <c r="F271" s="46">
        <v>45864</v>
      </c>
    </row>
    <row r="272" spans="1:6" x14ac:dyDescent="0.25">
      <c r="A272" s="49"/>
      <c r="B272" s="51"/>
      <c r="C272" s="51"/>
      <c r="D272" s="9">
        <v>22725000</v>
      </c>
      <c r="E272" s="47"/>
      <c r="F272" s="47"/>
    </row>
    <row r="273" spans="1:6" x14ac:dyDescent="0.25">
      <c r="A273" s="48" t="s">
        <v>831</v>
      </c>
      <c r="B273" s="50" t="s">
        <v>405</v>
      </c>
      <c r="C273" s="50" t="s">
        <v>85</v>
      </c>
      <c r="D273" s="9">
        <v>68850000</v>
      </c>
      <c r="E273" s="46">
        <v>45863</v>
      </c>
      <c r="F273" s="46">
        <v>45864</v>
      </c>
    </row>
    <row r="274" spans="1:6" x14ac:dyDescent="0.25">
      <c r="A274" s="49"/>
      <c r="B274" s="51"/>
      <c r="C274" s="51"/>
      <c r="D274" s="9">
        <v>8325000</v>
      </c>
      <c r="E274" s="47"/>
      <c r="F274" s="47"/>
    </row>
    <row r="275" spans="1:6" x14ac:dyDescent="0.25">
      <c r="A275" s="3" t="s">
        <v>833</v>
      </c>
      <c r="B275" s="8" t="s">
        <v>606</v>
      </c>
      <c r="C275" s="8" t="s">
        <v>85</v>
      </c>
      <c r="D275" s="9">
        <v>43250000</v>
      </c>
      <c r="E275" s="31">
        <v>45864</v>
      </c>
      <c r="F275" s="31">
        <v>45866</v>
      </c>
    </row>
    <row r="276" spans="1:6" x14ac:dyDescent="0.25">
      <c r="A276" s="3" t="s">
        <v>42</v>
      </c>
      <c r="B276" s="8" t="s">
        <v>838</v>
      </c>
      <c r="C276" s="8" t="s">
        <v>38</v>
      </c>
      <c r="D276" s="9">
        <v>235395000</v>
      </c>
      <c r="E276" s="31">
        <v>45867</v>
      </c>
      <c r="F276" s="31">
        <v>45868</v>
      </c>
    </row>
    <row r="277" spans="1:6" x14ac:dyDescent="0.25">
      <c r="A277" s="3" t="s">
        <v>42</v>
      </c>
      <c r="B277" s="8" t="s">
        <v>749</v>
      </c>
      <c r="C277" s="8" t="s">
        <v>38</v>
      </c>
      <c r="D277" s="9">
        <v>120000000</v>
      </c>
      <c r="E277" s="31">
        <v>45870</v>
      </c>
      <c r="F277" s="31">
        <v>45874</v>
      </c>
    </row>
    <row r="278" spans="1:6" x14ac:dyDescent="0.25">
      <c r="A278" s="3" t="s">
        <v>106</v>
      </c>
      <c r="B278" s="8" t="s">
        <v>84</v>
      </c>
      <c r="C278" s="8" t="s">
        <v>85</v>
      </c>
      <c r="D278" s="9">
        <v>1350000</v>
      </c>
      <c r="E278" s="31">
        <v>45873</v>
      </c>
      <c r="F278" s="31">
        <v>45875</v>
      </c>
    </row>
    <row r="279" spans="1:6" x14ac:dyDescent="0.25">
      <c r="A279" s="3" t="s">
        <v>858</v>
      </c>
      <c r="B279" s="8" t="s">
        <v>10</v>
      </c>
      <c r="C279" s="8" t="s">
        <v>3</v>
      </c>
      <c r="D279" s="9">
        <v>75600000</v>
      </c>
      <c r="E279" s="31">
        <v>45875</v>
      </c>
      <c r="F279" s="31">
        <v>45878</v>
      </c>
    </row>
    <row r="280" spans="1:6" x14ac:dyDescent="0.25">
      <c r="A280" s="3" t="s">
        <v>42</v>
      </c>
      <c r="B280" s="8" t="s">
        <v>661</v>
      </c>
      <c r="C280" s="8" t="s">
        <v>85</v>
      </c>
      <c r="D280" s="9">
        <v>400000</v>
      </c>
      <c r="E280" s="31">
        <v>45880</v>
      </c>
      <c r="F280" s="31">
        <v>45891</v>
      </c>
    </row>
    <row r="281" spans="1:6" x14ac:dyDescent="0.25">
      <c r="A281" s="3" t="s">
        <v>42</v>
      </c>
      <c r="B281" s="8" t="s">
        <v>188</v>
      </c>
      <c r="C281" s="8" t="s">
        <v>38</v>
      </c>
      <c r="D281" s="9">
        <v>450000</v>
      </c>
      <c r="E281" s="31">
        <v>45880</v>
      </c>
      <c r="F281" s="31">
        <v>45891</v>
      </c>
    </row>
    <row r="282" spans="1:6" x14ac:dyDescent="0.25">
      <c r="A282" s="3" t="s">
        <v>865</v>
      </c>
      <c r="B282" s="8" t="s">
        <v>188</v>
      </c>
      <c r="C282" s="8" t="s">
        <v>38</v>
      </c>
      <c r="D282" s="9">
        <v>76950000</v>
      </c>
      <c r="E282" s="31">
        <v>45880</v>
      </c>
      <c r="F282" s="31">
        <v>45881</v>
      </c>
    </row>
    <row r="283" spans="1:6" x14ac:dyDescent="0.25">
      <c r="A283" s="3" t="s">
        <v>42</v>
      </c>
      <c r="B283" s="8" t="s">
        <v>8</v>
      </c>
      <c r="C283" s="8" t="s">
        <v>3</v>
      </c>
      <c r="D283" s="9">
        <v>80100000</v>
      </c>
      <c r="E283" s="31">
        <v>45881</v>
      </c>
      <c r="F283" s="31">
        <v>45882</v>
      </c>
    </row>
    <row r="284" spans="1:6" x14ac:dyDescent="0.25">
      <c r="A284" s="48" t="s">
        <v>868</v>
      </c>
      <c r="B284" s="50" t="s">
        <v>10</v>
      </c>
      <c r="C284" s="8" t="s">
        <v>38</v>
      </c>
      <c r="D284" s="9">
        <v>45000000</v>
      </c>
      <c r="E284" s="46">
        <v>45882</v>
      </c>
      <c r="F284" s="46">
        <v>45890</v>
      </c>
    </row>
    <row r="285" spans="1:6" x14ac:dyDescent="0.25">
      <c r="A285" s="49"/>
      <c r="B285" s="51"/>
      <c r="C285" s="8" t="s">
        <v>3</v>
      </c>
      <c r="D285" s="9">
        <v>31050000</v>
      </c>
      <c r="E285" s="47"/>
      <c r="F285" s="47"/>
    </row>
    <row r="286" spans="1:6" x14ac:dyDescent="0.25">
      <c r="A286" s="3" t="s">
        <v>873</v>
      </c>
      <c r="B286" s="8" t="s">
        <v>420</v>
      </c>
      <c r="C286" s="8" t="s">
        <v>38</v>
      </c>
      <c r="D286" s="9">
        <v>77400000</v>
      </c>
      <c r="E286" s="31">
        <v>45882</v>
      </c>
      <c r="F286" s="31">
        <v>45884</v>
      </c>
    </row>
    <row r="287" spans="1:6" x14ac:dyDescent="0.25">
      <c r="A287" s="3" t="s">
        <v>873</v>
      </c>
      <c r="B287" s="8" t="s">
        <v>420</v>
      </c>
      <c r="C287" s="8" t="s">
        <v>38</v>
      </c>
      <c r="D287" s="9">
        <v>72300000</v>
      </c>
      <c r="E287" s="31">
        <v>45882</v>
      </c>
      <c r="F287" s="31">
        <v>45887</v>
      </c>
    </row>
    <row r="288" spans="1:6" x14ac:dyDescent="0.25">
      <c r="A288" s="3" t="s">
        <v>875</v>
      </c>
      <c r="B288" s="8" t="s">
        <v>10</v>
      </c>
      <c r="C288" s="8" t="s">
        <v>3</v>
      </c>
      <c r="D288" s="9">
        <v>76050000</v>
      </c>
      <c r="E288" s="31">
        <v>45883</v>
      </c>
      <c r="F288" s="31">
        <v>45885</v>
      </c>
    </row>
    <row r="289" spans="1:6" x14ac:dyDescent="0.25">
      <c r="A289" s="3" t="s">
        <v>422</v>
      </c>
      <c r="B289" s="8" t="s">
        <v>8</v>
      </c>
      <c r="C289" s="8" t="s">
        <v>38</v>
      </c>
      <c r="D289" s="9">
        <v>77265000</v>
      </c>
      <c r="E289" s="31">
        <v>45883</v>
      </c>
      <c r="F289" s="31">
        <v>45889</v>
      </c>
    </row>
    <row r="290" spans="1:6" x14ac:dyDescent="0.25">
      <c r="A290" s="3" t="s">
        <v>455</v>
      </c>
      <c r="B290" s="8" t="s">
        <v>84</v>
      </c>
      <c r="C290" s="8" t="s">
        <v>85</v>
      </c>
      <c r="D290" s="9">
        <v>77400000</v>
      </c>
      <c r="E290" s="31">
        <v>45885</v>
      </c>
      <c r="F290" s="31">
        <v>45887</v>
      </c>
    </row>
    <row r="291" spans="1:6" x14ac:dyDescent="0.25">
      <c r="A291" s="3" t="s">
        <v>42</v>
      </c>
      <c r="B291" s="8" t="s">
        <v>876</v>
      </c>
      <c r="C291" s="8" t="s">
        <v>38</v>
      </c>
      <c r="D291" s="9">
        <v>1000000</v>
      </c>
      <c r="E291" s="31">
        <v>45887</v>
      </c>
      <c r="F291" s="31"/>
    </row>
    <row r="292" spans="1:6" x14ac:dyDescent="0.25">
      <c r="A292" s="3" t="s">
        <v>878</v>
      </c>
      <c r="B292" s="50" t="s">
        <v>606</v>
      </c>
      <c r="C292" s="50" t="s">
        <v>85</v>
      </c>
      <c r="D292" s="9">
        <v>43500000</v>
      </c>
      <c r="E292" s="46">
        <v>45888</v>
      </c>
      <c r="F292" s="46">
        <v>45890</v>
      </c>
    </row>
    <row r="293" spans="1:6" x14ac:dyDescent="0.25">
      <c r="A293" s="3" t="s">
        <v>879</v>
      </c>
      <c r="B293" s="51"/>
      <c r="C293" s="51"/>
      <c r="D293" s="9">
        <v>1320000</v>
      </c>
      <c r="E293" s="47"/>
      <c r="F293" s="47"/>
    </row>
    <row r="294" spans="1:6" x14ac:dyDescent="0.25">
      <c r="A294" s="3" t="s">
        <v>889</v>
      </c>
      <c r="B294" s="8" t="s">
        <v>890</v>
      </c>
      <c r="C294" s="8" t="s">
        <v>38</v>
      </c>
      <c r="D294" s="9">
        <v>86500000</v>
      </c>
      <c r="E294" s="31">
        <v>45891</v>
      </c>
      <c r="F294" s="31">
        <v>45892</v>
      </c>
    </row>
    <row r="295" spans="1:6" x14ac:dyDescent="0.25">
      <c r="A295" s="3" t="s">
        <v>917</v>
      </c>
      <c r="B295" s="8" t="s">
        <v>918</v>
      </c>
      <c r="C295" s="8" t="s">
        <v>85</v>
      </c>
      <c r="D295" s="9">
        <v>30000000</v>
      </c>
      <c r="E295" s="31">
        <v>45902</v>
      </c>
      <c r="F295" s="31">
        <v>45903</v>
      </c>
    </row>
    <row r="296" spans="1:6" x14ac:dyDescent="0.25">
      <c r="A296" s="3" t="s">
        <v>921</v>
      </c>
      <c r="B296" s="50" t="s">
        <v>8</v>
      </c>
      <c r="C296" s="50" t="s">
        <v>38</v>
      </c>
      <c r="D296" s="9">
        <v>76815000</v>
      </c>
      <c r="E296" s="46">
        <v>45903</v>
      </c>
      <c r="F296" s="46">
        <v>45906</v>
      </c>
    </row>
    <row r="297" spans="1:6" x14ac:dyDescent="0.25">
      <c r="A297" s="3" t="s">
        <v>922</v>
      </c>
      <c r="B297" s="51"/>
      <c r="C297" s="51"/>
      <c r="D297" s="9">
        <v>6250000</v>
      </c>
      <c r="E297" s="47"/>
      <c r="F297" s="47"/>
    </row>
    <row r="298" spans="1:6" x14ac:dyDescent="0.25">
      <c r="A298" s="3" t="s">
        <v>930</v>
      </c>
      <c r="B298" s="8" t="s">
        <v>405</v>
      </c>
      <c r="C298" s="8" t="s">
        <v>85</v>
      </c>
      <c r="D298" s="9">
        <v>58975000</v>
      </c>
      <c r="E298" s="31">
        <v>45909</v>
      </c>
      <c r="F298" s="31">
        <v>45911</v>
      </c>
    </row>
    <row r="299" spans="1:6" x14ac:dyDescent="0.25">
      <c r="A299" s="3" t="s">
        <v>106</v>
      </c>
      <c r="B299" s="8" t="s">
        <v>918</v>
      </c>
      <c r="C299" s="8" t="s">
        <v>85</v>
      </c>
      <c r="D299" s="9">
        <v>450000</v>
      </c>
      <c r="E299" s="31">
        <v>45909</v>
      </c>
      <c r="F299" s="31">
        <v>45910</v>
      </c>
    </row>
    <row r="300" spans="1:6" x14ac:dyDescent="0.25">
      <c r="A300" s="3" t="s">
        <v>858</v>
      </c>
      <c r="B300" s="8" t="s">
        <v>10</v>
      </c>
      <c r="C300" s="8" t="s">
        <v>3</v>
      </c>
      <c r="D300" s="9">
        <v>24400000</v>
      </c>
      <c r="E300" s="31">
        <v>45913</v>
      </c>
      <c r="F300" s="31"/>
    </row>
    <row r="301" spans="1:6" x14ac:dyDescent="0.25">
      <c r="A301" s="3"/>
      <c r="B301" s="8"/>
      <c r="C301" s="8"/>
      <c r="D301" s="9"/>
      <c r="E301" s="31"/>
      <c r="F301" s="31"/>
    </row>
    <row r="302" spans="1:6" x14ac:dyDescent="0.25">
      <c r="A302" s="3"/>
      <c r="B302" s="8"/>
      <c r="C302" s="8"/>
      <c r="D302" s="9"/>
      <c r="E302" s="31"/>
      <c r="F302" s="31"/>
    </row>
    <row r="303" spans="1:6" x14ac:dyDescent="0.25">
      <c r="A303" s="3"/>
      <c r="B303" s="8"/>
      <c r="C303" s="8"/>
      <c r="D303" s="9"/>
      <c r="E303" s="31"/>
      <c r="F303" s="31"/>
    </row>
    <row r="304" spans="1:6" x14ac:dyDescent="0.25">
      <c r="A304" s="3"/>
      <c r="B304" s="8"/>
      <c r="C304" s="8"/>
      <c r="D304" s="9"/>
      <c r="E304" s="8"/>
      <c r="F304" s="8"/>
    </row>
    <row r="305" spans="1:6" x14ac:dyDescent="0.25">
      <c r="A305" s="45" t="s">
        <v>9</v>
      </c>
      <c r="B305" s="45"/>
      <c r="C305" s="45"/>
      <c r="D305" s="10">
        <f>D220+D253+D300</f>
        <v>25420000</v>
      </c>
    </row>
    <row r="307" spans="1:6" x14ac:dyDescent="0.25">
      <c r="A307" s="4" t="s">
        <v>0</v>
      </c>
      <c r="D307" s="6"/>
      <c r="E307"/>
      <c r="F307"/>
    </row>
    <row r="308" spans="1:6" x14ac:dyDescent="0.25">
      <c r="D308" s="6"/>
      <c r="E308"/>
      <c r="F308"/>
    </row>
    <row r="309" spans="1:6" x14ac:dyDescent="0.25">
      <c r="A309" s="11" t="s">
        <v>4</v>
      </c>
      <c r="B309" s="11" t="s">
        <v>7</v>
      </c>
      <c r="C309" s="11" t="s">
        <v>6</v>
      </c>
      <c r="D309" s="12" t="s">
        <v>5</v>
      </c>
      <c r="E309"/>
      <c r="F309"/>
    </row>
    <row r="310" spans="1:6" x14ac:dyDescent="0.25">
      <c r="A310" s="3" t="s">
        <v>42</v>
      </c>
      <c r="B310" s="8" t="s">
        <v>495</v>
      </c>
      <c r="C310" s="8" t="s">
        <v>110</v>
      </c>
      <c r="D310" s="9">
        <v>20000</v>
      </c>
      <c r="E310"/>
      <c r="F310"/>
    </row>
    <row r="311" spans="1:6" x14ac:dyDescent="0.25">
      <c r="A311" s="3" t="s">
        <v>765</v>
      </c>
      <c r="B311" s="8" t="s">
        <v>766</v>
      </c>
      <c r="C311" s="8" t="s">
        <v>110</v>
      </c>
      <c r="D311" s="9">
        <v>1000000</v>
      </c>
      <c r="E311"/>
      <c r="F311"/>
    </row>
    <row r="312" spans="1:6" x14ac:dyDescent="0.25">
      <c r="A312" s="3" t="s">
        <v>858</v>
      </c>
      <c r="B312" s="8" t="s">
        <v>10</v>
      </c>
      <c r="C312" s="8" t="s">
        <v>3</v>
      </c>
      <c r="D312" s="9">
        <v>24400000</v>
      </c>
      <c r="E312"/>
      <c r="F312"/>
    </row>
    <row r="313" spans="1:6" x14ac:dyDescent="0.25">
      <c r="A313" s="3"/>
      <c r="B313" s="8"/>
      <c r="C313" s="8"/>
      <c r="D313" s="9"/>
      <c r="E313"/>
      <c r="F313"/>
    </row>
    <row r="314" spans="1:6" x14ac:dyDescent="0.25">
      <c r="A314" s="3"/>
      <c r="B314" s="8"/>
      <c r="C314" s="8"/>
      <c r="D314" s="9"/>
      <c r="E314"/>
      <c r="F314"/>
    </row>
    <row r="315" spans="1:6" x14ac:dyDescent="0.25">
      <c r="A315" s="3"/>
      <c r="B315" s="8"/>
      <c r="C315" s="8"/>
      <c r="D315" s="9"/>
      <c r="E315"/>
      <c r="F315"/>
    </row>
    <row r="316" spans="1:6" x14ac:dyDescent="0.25">
      <c r="A316" s="3"/>
      <c r="B316" s="8"/>
      <c r="C316" s="8"/>
      <c r="D316" s="9"/>
      <c r="E316"/>
      <c r="F316"/>
    </row>
    <row r="317" spans="1:6" x14ac:dyDescent="0.25">
      <c r="A317" s="45" t="s">
        <v>9</v>
      </c>
      <c r="B317" s="45"/>
      <c r="C317" s="45"/>
      <c r="D317" s="10">
        <f>SUM(D310:D316)</f>
        <v>25420000</v>
      </c>
      <c r="E317"/>
      <c r="F317"/>
    </row>
    <row r="318" spans="1:6" x14ac:dyDescent="0.25">
      <c r="E318"/>
      <c r="F318"/>
    </row>
    <row r="319" spans="1:6" x14ac:dyDescent="0.25">
      <c r="E319"/>
      <c r="F319"/>
    </row>
    <row r="320" spans="1:6" x14ac:dyDescent="0.25">
      <c r="E320"/>
      <c r="F320"/>
    </row>
    <row r="321" spans="5:6" x14ac:dyDescent="0.25">
      <c r="E321"/>
      <c r="F321"/>
    </row>
  </sheetData>
  <autoFilter ref="A3:F196" xr:uid="{A0F9377D-5E80-4E0D-839A-E2D9AD450EE8}"/>
  <mergeCells count="67">
    <mergeCell ref="B273:B274"/>
    <mergeCell ref="A273:A274"/>
    <mergeCell ref="A284:A285"/>
    <mergeCell ref="B284:B285"/>
    <mergeCell ref="F296:F297"/>
    <mergeCell ref="B296:B297"/>
    <mergeCell ref="C296:C297"/>
    <mergeCell ref="E296:E297"/>
    <mergeCell ref="F292:F293"/>
    <mergeCell ref="E284:E285"/>
    <mergeCell ref="F284:F285"/>
    <mergeCell ref="C292:C293"/>
    <mergeCell ref="B292:B293"/>
    <mergeCell ref="E292:E293"/>
    <mergeCell ref="A5:A6"/>
    <mergeCell ref="B5:B6"/>
    <mergeCell ref="A8:A9"/>
    <mergeCell ref="B8:B9"/>
    <mergeCell ref="A27:A28"/>
    <mergeCell ref="B27:B28"/>
    <mergeCell ref="A35:A36"/>
    <mergeCell ref="B35:B36"/>
    <mergeCell ref="C35:C36"/>
    <mergeCell ref="A117:A118"/>
    <mergeCell ref="C44:C45"/>
    <mergeCell ref="B44:B45"/>
    <mergeCell ref="C27:C28"/>
    <mergeCell ref="E273:E274"/>
    <mergeCell ref="G4:H7"/>
    <mergeCell ref="F8:F9"/>
    <mergeCell ref="F35:F36"/>
    <mergeCell ref="F44:F45"/>
    <mergeCell ref="E117:E118"/>
    <mergeCell ref="E230:E233"/>
    <mergeCell ref="F250:F251"/>
    <mergeCell ref="F226:F227"/>
    <mergeCell ref="F271:F272"/>
    <mergeCell ref="F273:F274"/>
    <mergeCell ref="C273:C274"/>
    <mergeCell ref="A173:A174"/>
    <mergeCell ref="B173:B174"/>
    <mergeCell ref="E250:E251"/>
    <mergeCell ref="B250:B251"/>
    <mergeCell ref="A250:A251"/>
    <mergeCell ref="C250:C251"/>
    <mergeCell ref="B123:B124"/>
    <mergeCell ref="A44:A45"/>
    <mergeCell ref="E123:E124"/>
    <mergeCell ref="C123:C124"/>
    <mergeCell ref="C117:C118"/>
    <mergeCell ref="B117:B118"/>
    <mergeCell ref="A317:C317"/>
    <mergeCell ref="A305:C305"/>
    <mergeCell ref="E222:E223"/>
    <mergeCell ref="A226:A227"/>
    <mergeCell ref="B226:B227"/>
    <mergeCell ref="C226:C227"/>
    <mergeCell ref="E226:E227"/>
    <mergeCell ref="A222:A223"/>
    <mergeCell ref="C222:C223"/>
    <mergeCell ref="B222:B223"/>
    <mergeCell ref="B230:B233"/>
    <mergeCell ref="C230:C233"/>
    <mergeCell ref="C271:C272"/>
    <mergeCell ref="B271:B272"/>
    <mergeCell ref="A271:A272"/>
    <mergeCell ref="E271:E272"/>
  </mergeCells>
  <phoneticPr fontId="8" type="noConversion"/>
  <pageMargins left="0.7" right="0.7" top="0.75" bottom="0.75" header="0.3" footer="0.3"/>
  <pageSetup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7B574-C955-4241-8BD9-1712A4844973}">
  <sheetPr>
    <tabColor theme="5" tint="0.59999389629810485"/>
  </sheetPr>
  <dimension ref="A1:F26"/>
  <sheetViews>
    <sheetView zoomScale="80" zoomScaleNormal="80" workbookViewId="0">
      <selection activeCell="F22" sqref="F22"/>
    </sheetView>
  </sheetViews>
  <sheetFormatPr defaultRowHeight="15" x14ac:dyDescent="0.25"/>
  <cols>
    <col min="1" max="1" width="7.28515625" customWidth="1"/>
    <col min="2" max="2" width="31" customWidth="1"/>
    <col min="3" max="3" width="24.7109375" customWidth="1"/>
    <col min="4" max="4" width="5" customWidth="1"/>
    <col min="5" max="5" width="45" customWidth="1"/>
    <col min="6" max="6" width="24.42578125" style="1" customWidth="1"/>
  </cols>
  <sheetData>
    <row r="1" spans="1:6" x14ac:dyDescent="0.25">
      <c r="A1" s="40" t="s">
        <v>13</v>
      </c>
      <c r="B1" s="40"/>
      <c r="C1" s="40"/>
    </row>
    <row r="2" spans="1:6" x14ac:dyDescent="0.25">
      <c r="A2" s="41" t="s">
        <v>52</v>
      </c>
      <c r="B2" s="41"/>
      <c r="C2" s="41"/>
    </row>
    <row r="3" spans="1:6" x14ac:dyDescent="0.25">
      <c r="A3" s="42">
        <v>45549</v>
      </c>
      <c r="B3" s="42"/>
      <c r="C3" s="42"/>
    </row>
    <row r="4" spans="1:6" x14ac:dyDescent="0.25">
      <c r="A4" s="13"/>
      <c r="B4" s="13"/>
      <c r="C4" s="13"/>
    </row>
    <row r="5" spans="1:6" x14ac:dyDescent="0.25">
      <c r="A5" s="14"/>
      <c r="B5" s="15"/>
      <c r="C5" s="16"/>
      <c r="E5" s="33" t="s">
        <v>59</v>
      </c>
    </row>
    <row r="6" spans="1:6" x14ac:dyDescent="0.25">
      <c r="A6" s="17"/>
      <c r="C6" s="32" t="s">
        <v>16</v>
      </c>
    </row>
    <row r="7" spans="1:6" x14ac:dyDescent="0.25">
      <c r="A7" s="23" t="s">
        <v>15</v>
      </c>
      <c r="C7" s="18" t="s">
        <v>17</v>
      </c>
      <c r="E7" t="s">
        <v>60</v>
      </c>
      <c r="F7" s="1">
        <v>2000000000</v>
      </c>
    </row>
    <row r="8" spans="1:6" x14ac:dyDescent="0.25">
      <c r="A8" s="17"/>
      <c r="C8" s="19"/>
      <c r="E8" t="s">
        <v>61</v>
      </c>
      <c r="F8" s="1">
        <v>500000000</v>
      </c>
    </row>
    <row r="9" spans="1:6" x14ac:dyDescent="0.25">
      <c r="A9" s="17"/>
      <c r="B9" s="2" t="s">
        <v>53</v>
      </c>
      <c r="C9" s="19">
        <v>1754728286.0999999</v>
      </c>
      <c r="E9" t="s">
        <v>62</v>
      </c>
      <c r="F9" s="1">
        <v>335000000</v>
      </c>
    </row>
    <row r="10" spans="1:6" x14ac:dyDescent="0.25">
      <c r="A10" s="17"/>
      <c r="B10" s="2" t="s">
        <v>54</v>
      </c>
      <c r="C10" s="19">
        <v>1992000000</v>
      </c>
      <c r="E10" t="s">
        <v>63</v>
      </c>
      <c r="F10" s="1">
        <v>83000000</v>
      </c>
    </row>
    <row r="11" spans="1:6" x14ac:dyDescent="0.25">
      <c r="A11" s="17"/>
      <c r="B11" s="2" t="s">
        <v>1</v>
      </c>
      <c r="C11" s="19">
        <v>490025000</v>
      </c>
      <c r="F11" s="34">
        <f>SUM(F7:F10)</f>
        <v>2918000000</v>
      </c>
    </row>
    <row r="12" spans="1:6" x14ac:dyDescent="0.25">
      <c r="A12" s="17"/>
      <c r="B12" s="2" t="s">
        <v>55</v>
      </c>
      <c r="C12" s="19">
        <v>1962203500</v>
      </c>
    </row>
    <row r="13" spans="1:6" x14ac:dyDescent="0.25">
      <c r="A13" s="17"/>
      <c r="B13" s="2" t="s">
        <v>56</v>
      </c>
      <c r="C13" s="19">
        <v>66275000</v>
      </c>
      <c r="E13" s="35" t="s">
        <v>64</v>
      </c>
    </row>
    <row r="14" spans="1:6" x14ac:dyDescent="0.25">
      <c r="A14" s="17"/>
      <c r="B14" s="2" t="s">
        <v>57</v>
      </c>
      <c r="C14" s="20">
        <v>55000000</v>
      </c>
      <c r="E14" s="26" t="s">
        <v>28</v>
      </c>
    </row>
    <row r="15" spans="1:6" x14ac:dyDescent="0.25">
      <c r="A15" s="17"/>
      <c r="C15" s="19">
        <f>SUM(C9:C14)</f>
        <v>6320231786.1000004</v>
      </c>
      <c r="E15" t="s">
        <v>65</v>
      </c>
      <c r="F15" s="1">
        <v>1610594286.0999999</v>
      </c>
    </row>
    <row r="16" spans="1:6" x14ac:dyDescent="0.25">
      <c r="A16" s="17"/>
      <c r="C16" s="19"/>
      <c r="E16" t="s">
        <v>66</v>
      </c>
      <c r="F16" s="1">
        <v>793614325</v>
      </c>
    </row>
    <row r="17" spans="1:6" x14ac:dyDescent="0.25">
      <c r="A17" s="23" t="s">
        <v>22</v>
      </c>
      <c r="C17" s="19"/>
      <c r="F17" s="36">
        <f>SUM(F15:F16)</f>
        <v>2404208611.0999999</v>
      </c>
    </row>
    <row r="18" spans="1:6" x14ac:dyDescent="0.25">
      <c r="A18" s="17"/>
      <c r="B18" t="s">
        <v>23</v>
      </c>
      <c r="C18" s="19">
        <v>2341775000</v>
      </c>
      <c r="E18" s="26" t="s">
        <v>29</v>
      </c>
    </row>
    <row r="19" spans="1:6" x14ac:dyDescent="0.25">
      <c r="A19" s="17"/>
      <c r="B19" t="s">
        <v>24</v>
      </c>
      <c r="C19" s="19">
        <v>1223062500</v>
      </c>
      <c r="E19" t="s">
        <v>67</v>
      </c>
      <c r="F19" s="1">
        <v>1770286500</v>
      </c>
    </row>
    <row r="20" spans="1:6" x14ac:dyDescent="0.25">
      <c r="A20" s="17"/>
      <c r="B20" t="s">
        <v>44</v>
      </c>
      <c r="C20" s="19">
        <v>144800000</v>
      </c>
      <c r="F20" s="36">
        <f>F19</f>
        <v>1770286500</v>
      </c>
    </row>
    <row r="21" spans="1:6" x14ac:dyDescent="0.25">
      <c r="A21" s="17"/>
      <c r="B21" t="s">
        <v>41</v>
      </c>
      <c r="C21" s="19">
        <v>500000000</v>
      </c>
    </row>
    <row r="22" spans="1:6" x14ac:dyDescent="0.25">
      <c r="A22" s="17"/>
      <c r="B22" t="s">
        <v>58</v>
      </c>
      <c r="C22" s="20">
        <v>500000000</v>
      </c>
      <c r="E22" s="26" t="s">
        <v>30</v>
      </c>
      <c r="F22" s="37">
        <f>F17-F20</f>
        <v>633922111.0999999</v>
      </c>
    </row>
    <row r="23" spans="1:6" x14ac:dyDescent="0.25">
      <c r="A23" s="17"/>
      <c r="C23" s="19">
        <f>SUM(C18:C22)</f>
        <v>4709637500</v>
      </c>
    </row>
    <row r="24" spans="1:6" x14ac:dyDescent="0.25">
      <c r="A24" s="17"/>
      <c r="C24" s="19"/>
    </row>
    <row r="25" spans="1:6" x14ac:dyDescent="0.25">
      <c r="A25" s="43" t="s">
        <v>25</v>
      </c>
      <c r="B25" s="44"/>
      <c r="C25" s="25">
        <f>C15-C23</f>
        <v>1610594286.1000004</v>
      </c>
    </row>
    <row r="26" spans="1:6" x14ac:dyDescent="0.25">
      <c r="A26" s="21"/>
      <c r="B26" s="22"/>
      <c r="C26" s="20"/>
    </row>
  </sheetData>
  <mergeCells count="4">
    <mergeCell ref="A1:C1"/>
    <mergeCell ref="A2:C2"/>
    <mergeCell ref="A3:C3"/>
    <mergeCell ref="A25:B2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Jan</vt:lpstr>
      <vt:lpstr>Feb</vt:lpstr>
      <vt:lpstr>Mar</vt:lpstr>
      <vt:lpstr>Apr</vt:lpstr>
      <vt:lpstr>Mei</vt:lpstr>
      <vt:lpstr>Juni</vt:lpstr>
      <vt:lpstr>Juli</vt:lpstr>
      <vt:lpstr>Agust</vt:lpstr>
      <vt:lpstr>Sept</vt:lpstr>
      <vt:lpstr>Deposit</vt:lpstr>
      <vt:lpstr>Audit mingguan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2023-10-31T03:28:22Z</cp:lastPrinted>
  <dcterms:created xsi:type="dcterms:W3CDTF">2023-08-26T04:34:46Z</dcterms:created>
  <dcterms:modified xsi:type="dcterms:W3CDTF">2025-09-13T09:13:12Z</dcterms:modified>
</cp:coreProperties>
</file>