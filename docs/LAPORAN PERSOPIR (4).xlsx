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 ROFIQ (W8515DT)" sheetId="1" r:id="rId4"/>
    <sheet state="visible" name="P IRVAN (W9366PA)" sheetId="2" r:id="rId5"/>
    <sheet state="visible" name="P ZAENAL (P9611GA)" sheetId="3" r:id="rId6"/>
    <sheet state="visible" name="P PRI (W8263DW)" sheetId="4" r:id="rId7"/>
    <sheet state="visible" name="P AJI (N8517EW)" sheetId="5" r:id="rId8"/>
    <sheet state="visible" name="P NARTO (A9108A)" sheetId="6" r:id="rId9"/>
    <sheet state="visible" name="P SENO (S9509NG)" sheetId="7" r:id="rId10"/>
    <sheet state="visible" name="P YOYOK (A9379CO)" sheetId="8" r:id="rId11"/>
    <sheet state="visible" name="P DWI (K 8094 IS)" sheetId="9" r:id="rId12"/>
    <sheet state="visible" name="P AGIK (S 8903 UX)" sheetId="10" r:id="rId13"/>
    <sheet state="visible" name="P TOPEK (W 9695 NA)" sheetId="11" r:id="rId14"/>
    <sheet state="visible" name="PENGELUARAN LAIN LAIN" sheetId="12" r:id="rId15"/>
    <sheet state="visible" name="(W 8707 DQ)" sheetId="13" r:id="rId16"/>
    <sheet state="visible" name="MAS BAYU" sheetId="14" r:id="rId17"/>
    <sheet state="visible" name="PAK EKO" sheetId="15" r:id="rId18"/>
    <sheet state="visible" name="MAS DONI" sheetId="16" r:id="rId19"/>
    <sheet state="visible" name="PAK MAD" sheetId="17" r:id="rId20"/>
    <sheet state="visible" name="PAK NUR" sheetId="18" r:id="rId21"/>
  </sheets>
  <definedNames>
    <definedName hidden="1" localSheetId="1" name="_xlnm._FilterDatabase">'P IRVAN (W9366PA)'!$B$225:$M$225</definedName>
    <definedName hidden="1" localSheetId="3" name="_xlnm._FilterDatabase">'P PRI (W8263DW)'!$B$1:$M$1</definedName>
    <definedName hidden="1" localSheetId="13" name="_xlnm._FilterDatabase">'MAS BAYU'!$C$50:$N$50</definedName>
    <definedName hidden="1" localSheetId="15" name="_xlnm._FilterDatabase">'MAS DONI'!$A$169:$L$169</definedName>
    <definedName hidden="1" localSheetId="17" name="_xlnm._FilterDatabase">'PAK NUR'!$A$1:$L$1</definedName>
  </definedNames>
  <calcPr/>
  <extLst>
    <ext uri="GoogleSheetsCustomDataVersion2">
      <go:sheetsCustomData xmlns:go="http://customooxmlschemas.google.com/" r:id="rId22" roundtripDataChecksum="y2Z45400kU1v419X1lWee+DquaUgqIYKfUxKnqL+1U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57">
      <text>
        <t xml:space="preserve">======
ID#AAABqPv8LlY
cvsurya angkutan    (2025-08-30 02:00:11)
dari p aji</t>
      </text>
    </comment>
  </commentList>
  <extLst>
    <ext uri="GoogleSheetsCustomDataVersion2">
      <go:sheetsCustomData xmlns:go="http://customooxmlschemas.google.com/" r:id="rId1" roundtripDataSignature="AMtx7mhn849X4fkcawjDavsGqigRtT/3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74">
      <text>
        <t xml:space="preserve">======
ID#AAABqayHIQk
cvsurya angkutan    (2025-09-01 03:05:04)
4ton blitar</t>
      </text>
    </comment>
    <comment authorId="0" ref="H574">
      <text>
        <t xml:space="preserve">======
ID#AAABqH0yHGI
cvsurya angkutan    (2025-08-27 01:49:59)
blitar 600.000 belum</t>
      </text>
    </comment>
    <comment authorId="0" ref="I562">
      <text>
        <t xml:space="preserve">======
ID#AAABpSvG-SA
cvsurya angkutan    (2025-08-14 08:16:24)
750.000 dari blitar</t>
      </text>
    </comment>
  </commentList>
  <extLst>
    <ext uri="GoogleSheetsCustomDataVersion2">
      <go:sheetsCustomData xmlns:go="http://customooxmlschemas.google.com/" r:id="rId1" roundtripDataSignature="AMtx7mguplIr1AuZvBA9ETjdm3ikl5Cpg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68">
      <text>
        <t xml:space="preserve">======
ID#AAABpocUHmI
cvsurya angkutan    (2025-08-21 04:52:34)
toko 150.000</t>
      </text>
    </comment>
  </commentList>
  <extLst>
    <ext uri="GoogleSheetsCustomDataVersion2">
      <go:sheetsCustomData xmlns:go="http://customooxmlschemas.google.com/" r:id="rId1" roundtripDataSignature="AMtx7mioJyf9YdvssE8xlKDcWBq+ULqVh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58">
      <text>
        <t xml:space="preserve">======
ID#AAABqayHIQU
cvsurya angkutan    (2025-09-01 02:37:44)
dikasi p irvan</t>
      </text>
    </comment>
  </commentList>
  <extLst>
    <ext uri="GoogleSheetsCustomDataVersion2">
      <go:sheetsCustomData xmlns:go="http://customooxmlschemas.google.com/" r:id="rId1" roundtripDataSignature="AMtx7mhOXBiWfXVDUvx0OwmFaqctncq8g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4">
      <text>
        <t xml:space="preserve">======
ID#AAABaV79XbA
USER    (2024-12-13 02:35:19)
uang dikasih bapak
17000 amplas 
110000 makan 
25000 rokok</t>
      </text>
    </comment>
  </commentList>
  <extLst>
    <ext uri="GoogleSheetsCustomDataVersion2">
      <go:sheetsCustomData xmlns:go="http://customooxmlschemas.google.com/" r:id="rId1" roundtripDataSignature="AMtx7micNAXCiIGq8sLjc8tlUw8Zy5lvm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9">
      <text>
        <t xml:space="preserve">======
ID#AAABaV79XbI
USER    (2024-12-13 02:35:19)
KASBON</t>
      </text>
    </comment>
  </commentList>
  <extLst>
    <ext uri="GoogleSheetsCustomDataVersion2">
      <go:sheetsCustomData xmlns:go="http://customooxmlschemas.google.com/" r:id="rId1" roundtripDataSignature="AMtx7mghp96ckhnLs9Juf9Doy3i6z/3erg=="/>
    </ext>
  </extLst>
</comments>
</file>

<file path=xl/sharedStrings.xml><?xml version="1.0" encoding="utf-8"?>
<sst xmlns="http://schemas.openxmlformats.org/spreadsheetml/2006/main" count="24383" uniqueCount="1154">
  <si>
    <t>TANGGAL</t>
  </si>
  <si>
    <t>NO. POL</t>
  </si>
  <si>
    <t>DRIVER</t>
  </si>
  <si>
    <t xml:space="preserve">MERK KEDELAI </t>
  </si>
  <si>
    <t>PENERIMA</t>
  </si>
  <si>
    <t>BERAT (kg)</t>
  </si>
  <si>
    <t>ONGKOSAN</t>
  </si>
  <si>
    <t>SAKU SOPIR</t>
  </si>
  <si>
    <t>SETORAN</t>
  </si>
  <si>
    <t>KERUSAKAN</t>
  </si>
  <si>
    <t>B 9705 FYV</t>
  </si>
  <si>
    <t>PAK YOYOK</t>
  </si>
  <si>
    <t xml:space="preserve">PANAH </t>
  </si>
  <si>
    <t>PAK JAMIL</t>
  </si>
  <si>
    <t xml:space="preserve">BU YATINI </t>
  </si>
  <si>
    <t>LOTUS</t>
  </si>
  <si>
    <t>PAK SLAMET TOBO</t>
  </si>
  <si>
    <t>MAS ARIK</t>
  </si>
  <si>
    <t>ABAH PRANOTO BLITAR</t>
  </si>
  <si>
    <t>BU KASMI MADIUN</t>
  </si>
  <si>
    <t>PAK SAIKU</t>
  </si>
  <si>
    <t>PAK RAMIN</t>
  </si>
  <si>
    <t>KOPTI WAHYU SATRIA MALANG</t>
  </si>
  <si>
    <t xml:space="preserve">PAK JAMIL </t>
  </si>
  <si>
    <t xml:space="preserve"> </t>
  </si>
  <si>
    <t>TOKO</t>
  </si>
  <si>
    <t>Pak Yoyok</t>
  </si>
  <si>
    <t>Panah Biru</t>
  </si>
  <si>
    <t>Kopti Wahyu Satria Malang</t>
  </si>
  <si>
    <t>Pak Iwan Bojonegoro Kota</t>
  </si>
  <si>
    <t>Lotus</t>
  </si>
  <si>
    <t>Pak saiku malang</t>
  </si>
  <si>
    <t>Toko bumi berkah</t>
  </si>
  <si>
    <t>Pak ramin</t>
  </si>
  <si>
    <t>Abah slamet</t>
  </si>
  <si>
    <t>Pak arik ngawi</t>
  </si>
  <si>
    <t>Bu Kasmi Madiun</t>
  </si>
  <si>
    <t>Hiu</t>
  </si>
  <si>
    <t>Bu yantini ngawi</t>
  </si>
  <si>
    <t>KET</t>
  </si>
  <si>
    <t>Panah</t>
  </si>
  <si>
    <t>P Ramin ngawi</t>
  </si>
  <si>
    <t>Cash</t>
  </si>
  <si>
    <t>Bu kasmi madiun</t>
  </si>
  <si>
    <t>TF</t>
  </si>
  <si>
    <t>Jempol Sip</t>
  </si>
  <si>
    <t>Abah Slamet</t>
  </si>
  <si>
    <t>Toko Bumi berkah</t>
  </si>
  <si>
    <t>Soyabean</t>
  </si>
  <si>
    <t>Bu Astutik</t>
  </si>
  <si>
    <t>Prama</t>
  </si>
  <si>
    <t>P Arik ngawi</t>
  </si>
  <si>
    <t>P Iwan bojonegoro</t>
  </si>
  <si>
    <t xml:space="preserve">P Jamil </t>
  </si>
  <si>
    <t>Bu prapti nganjuk</t>
  </si>
  <si>
    <t>P Saiku malang</t>
  </si>
  <si>
    <t>Bu kasmi</t>
  </si>
  <si>
    <t>P Iwan</t>
  </si>
  <si>
    <t>Abah yudi burno</t>
  </si>
  <si>
    <t>Abah mif</t>
  </si>
  <si>
    <t>Abah parnoto</t>
  </si>
  <si>
    <t>Bongkar Gudang</t>
  </si>
  <si>
    <t>M 8382 UA</t>
  </si>
  <si>
    <t>Abah mif kopti giri jaya gresik</t>
  </si>
  <si>
    <t>P Yoyok</t>
  </si>
  <si>
    <t>P 9611 GA</t>
  </si>
  <si>
    <t>Toko putra bumi berkah</t>
  </si>
  <si>
    <t>Kacang Hijau</t>
  </si>
  <si>
    <t>H Hamdan Hulaan</t>
  </si>
  <si>
    <t xml:space="preserve">Abah yudi </t>
  </si>
  <si>
    <t>Bu prapti</t>
  </si>
  <si>
    <t>Tulip</t>
  </si>
  <si>
    <t xml:space="preserve">Abah slamet </t>
  </si>
  <si>
    <t>Bu yatini ngawi</t>
  </si>
  <si>
    <t>Toko roni sederhana malang</t>
  </si>
  <si>
    <t>Abah slamet bojonegoro</t>
  </si>
  <si>
    <t>Abah parnoto blitar</t>
  </si>
  <si>
    <t>TF Pake BRI Bapak</t>
  </si>
  <si>
    <t>Boyongan bantul</t>
  </si>
  <si>
    <t>Kopti ws malang</t>
  </si>
  <si>
    <t>SGR</t>
  </si>
  <si>
    <t>TSC</t>
  </si>
  <si>
    <t xml:space="preserve">Prama </t>
  </si>
  <si>
    <t>Super bean</t>
  </si>
  <si>
    <t>Bu tutik bojonegoro</t>
  </si>
  <si>
    <t xml:space="preserve">Lotus </t>
  </si>
  <si>
    <t>Abah kohar</t>
  </si>
  <si>
    <t>P Jamil ngawi</t>
  </si>
  <si>
    <t>Lotus 5 ton + panah 4 ton</t>
  </si>
  <si>
    <t>Bu sum ploso</t>
  </si>
  <si>
    <t xml:space="preserve">Gak dpt ongkosan </t>
  </si>
  <si>
    <t>Toko sederhana malang</t>
  </si>
  <si>
    <t xml:space="preserve">Hiu </t>
  </si>
  <si>
    <t>Mas eko turen</t>
  </si>
  <si>
    <t>Roni sederhana malang</t>
  </si>
  <si>
    <t>Mba nur kopti mjk</t>
  </si>
  <si>
    <t xml:space="preserve">Panah </t>
  </si>
  <si>
    <t>Lotus + kacang hijau</t>
  </si>
  <si>
    <t xml:space="preserve">TF  </t>
  </si>
  <si>
    <t>Lotus + Kacang Ijo</t>
  </si>
  <si>
    <t>Angkutan Luar</t>
  </si>
  <si>
    <t>Magelang</t>
  </si>
  <si>
    <t>P Suparjo ngawi</t>
  </si>
  <si>
    <t>Bu iin sepanjang</t>
  </si>
  <si>
    <t>Bu tutik bojonegoro Kota</t>
  </si>
  <si>
    <t>Toko Putra bumi berkah</t>
  </si>
  <si>
    <t>Plastik</t>
  </si>
  <si>
    <t>Bu tutik bojonegoro kota</t>
  </si>
  <si>
    <t>P Yanto porong</t>
  </si>
  <si>
    <t>P Ridwan manyar</t>
  </si>
  <si>
    <t>Mba tiwuk</t>
  </si>
  <si>
    <t>Bu sum ploso jombang</t>
  </si>
  <si>
    <t xml:space="preserve">02 Mei </t>
  </si>
  <si>
    <t xml:space="preserve">03 Mei </t>
  </si>
  <si>
    <t xml:space="preserve">06 Mei </t>
  </si>
  <si>
    <t>Mba nur kopti mjokerto</t>
  </si>
  <si>
    <t xml:space="preserve">07 Mei </t>
  </si>
  <si>
    <t xml:space="preserve">08 Mei </t>
  </si>
  <si>
    <t>Bu tutik sumber rejo</t>
  </si>
  <si>
    <t xml:space="preserve">10 Mei </t>
  </si>
  <si>
    <t xml:space="preserve">11 Mei </t>
  </si>
  <si>
    <t>P iwan bojonegoro</t>
  </si>
  <si>
    <t xml:space="preserve">13 Mei </t>
  </si>
  <si>
    <t>BW</t>
  </si>
  <si>
    <t>Bu tutik Bojonegoro Kota</t>
  </si>
  <si>
    <t xml:space="preserve">17 Mei </t>
  </si>
  <si>
    <t xml:space="preserve">18 Mei </t>
  </si>
  <si>
    <t xml:space="preserve">21 Mei </t>
  </si>
  <si>
    <t xml:space="preserve">22 Mei </t>
  </si>
  <si>
    <t xml:space="preserve">25 Mei </t>
  </si>
  <si>
    <t xml:space="preserve">27 Mei </t>
  </si>
  <si>
    <t xml:space="preserve">31 Mei </t>
  </si>
  <si>
    <t>Abah kohar bojonegoro</t>
  </si>
  <si>
    <t>Abah zakaria Jombang</t>
  </si>
  <si>
    <t>N 8353 EC</t>
  </si>
  <si>
    <t>Abah saiful</t>
  </si>
  <si>
    <t>P Suryo</t>
  </si>
  <si>
    <t xml:space="preserve">Bu tutik kapas </t>
  </si>
  <si>
    <t xml:space="preserve">Mba nur kopti mojokerto </t>
  </si>
  <si>
    <t>01 Juli</t>
  </si>
  <si>
    <t>02 Juli</t>
  </si>
  <si>
    <t>03 Juli</t>
  </si>
  <si>
    <t>Jember</t>
  </si>
  <si>
    <t>05 Juli</t>
  </si>
  <si>
    <t>06 Juli</t>
  </si>
  <si>
    <t>Abah saiful krian</t>
  </si>
  <si>
    <t>08 Juli</t>
  </si>
  <si>
    <t>09 Juli</t>
  </si>
  <si>
    <t>Mas Eko turen</t>
  </si>
  <si>
    <t>10 Juli</t>
  </si>
  <si>
    <t>11 Juli</t>
  </si>
  <si>
    <t>12 Juli</t>
  </si>
  <si>
    <t>Kulit Sapi</t>
  </si>
  <si>
    <t>15 Juli</t>
  </si>
  <si>
    <t>19 Juli</t>
  </si>
  <si>
    <t>20 Juli</t>
  </si>
  <si>
    <t>22 Juli</t>
  </si>
  <si>
    <t xml:space="preserve">Abah zakaria </t>
  </si>
  <si>
    <t>23 Juli</t>
  </si>
  <si>
    <t>24 Juli</t>
  </si>
  <si>
    <t>25 Juli</t>
  </si>
  <si>
    <t>Abah slamet tobo</t>
  </si>
  <si>
    <t>26 Juli</t>
  </si>
  <si>
    <t>27 Juli</t>
  </si>
  <si>
    <t>29 Juli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</si>
  <si>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</si>
  <si>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 Juli</t>
  </si>
  <si>
    <t>Roni sederhana Malang</t>
  </si>
  <si>
    <t>2 Agustus</t>
  </si>
  <si>
    <t>3 Agustus</t>
  </si>
  <si>
    <t>Bu tutik kota</t>
  </si>
  <si>
    <t>5 Agustus</t>
  </si>
  <si>
    <t>P Siwi krian</t>
  </si>
  <si>
    <t>6 Agustus</t>
  </si>
  <si>
    <t>7 Agustus</t>
  </si>
  <si>
    <t>Bu qusaimah pare</t>
  </si>
  <si>
    <t>9 Agustus</t>
  </si>
  <si>
    <t>10 Agustus</t>
  </si>
  <si>
    <t>P Mahmud probolinggo</t>
  </si>
  <si>
    <t>12 Agustus</t>
  </si>
  <si>
    <t>13 Agustus</t>
  </si>
  <si>
    <t>14 Agustus</t>
  </si>
  <si>
    <t>Abah Zakaria Jombang</t>
  </si>
  <si>
    <t>15 Agustus</t>
  </si>
  <si>
    <t>Bu eni Sidoarjo</t>
  </si>
  <si>
    <t>16 Agustus</t>
  </si>
  <si>
    <t>22 Agustus</t>
  </si>
  <si>
    <t>23 Agustus</t>
  </si>
  <si>
    <t>24 Agustus</t>
  </si>
  <si>
    <t>26 Agustus</t>
  </si>
  <si>
    <t>28 Agustus</t>
  </si>
  <si>
    <t xml:space="preserve">Abah Yudi </t>
  </si>
  <si>
    <t>29 Agustus</t>
  </si>
  <si>
    <t>30 Agustus</t>
  </si>
  <si>
    <t>Abah Muh Madura</t>
  </si>
  <si>
    <t>31 Agustus</t>
  </si>
  <si>
    <t>P Ramin Ngawi</t>
  </si>
  <si>
    <t>Umik Nardi Malang</t>
  </si>
  <si>
    <t>Abah slamet Bojonegoro</t>
  </si>
  <si>
    <t xml:space="preserve">Bu tutik bojonegoro </t>
  </si>
  <si>
    <t xml:space="preserve">Bu prapti nganjuk </t>
  </si>
  <si>
    <t>Toko Putra Bumi berkah</t>
  </si>
  <si>
    <t>Libur</t>
  </si>
  <si>
    <t xml:space="preserve"> Pak Ramin Ngawi</t>
  </si>
  <si>
    <t>Superbeen</t>
  </si>
  <si>
    <t xml:space="preserve">Bu Tutik bojonegoro </t>
  </si>
  <si>
    <t>W 8515 DT</t>
  </si>
  <si>
    <t>Pak Ramin Ngawi</t>
  </si>
  <si>
    <t>Kopti Sepanjang</t>
  </si>
  <si>
    <t>NO</t>
  </si>
  <si>
    <t>1.</t>
  </si>
  <si>
    <t>BW + 2 Ragi</t>
  </si>
  <si>
    <t>cash</t>
  </si>
  <si>
    <t>2.</t>
  </si>
  <si>
    <t>bu yatini ngawi</t>
  </si>
  <si>
    <t>3.</t>
  </si>
  <si>
    <t>4.</t>
  </si>
  <si>
    <t>Bola</t>
  </si>
  <si>
    <t>Madiun</t>
  </si>
  <si>
    <t>5.</t>
  </si>
  <si>
    <t>6.</t>
  </si>
  <si>
    <t>7.</t>
  </si>
  <si>
    <t>Bu Yatini ngawi</t>
  </si>
  <si>
    <t>8.</t>
  </si>
  <si>
    <t>9.</t>
  </si>
  <si>
    <t>10.</t>
  </si>
  <si>
    <t>Menir Besar</t>
  </si>
  <si>
    <t>Demak Semarang</t>
  </si>
  <si>
    <t>11.</t>
  </si>
  <si>
    <t>12.</t>
  </si>
  <si>
    <t>13.</t>
  </si>
  <si>
    <t>14.</t>
  </si>
  <si>
    <t>15.</t>
  </si>
  <si>
    <t>Bu Tutik Bojonrgoro</t>
  </si>
  <si>
    <t>Pak Sukem Ngawi</t>
  </si>
  <si>
    <t>Menir BW</t>
  </si>
  <si>
    <t>Bu Iin Sepanjang</t>
  </si>
  <si>
    <t xml:space="preserve">Pak Sukem Ngawi </t>
  </si>
  <si>
    <t>tf</t>
  </si>
  <si>
    <t>Bu Prapti Nganjuk</t>
  </si>
  <si>
    <t>Cash + TF</t>
  </si>
  <si>
    <t>Bu tutik bojonegoro (kapas)</t>
  </si>
  <si>
    <t>hiu</t>
  </si>
  <si>
    <t>panah</t>
  </si>
  <si>
    <t>Bu Eni Tulangan</t>
  </si>
  <si>
    <t>Mbak Nur Mojokerto</t>
  </si>
  <si>
    <t>Toko Putra Bumi</t>
  </si>
  <si>
    <t>ongkos kurang 150k, dikasi cash</t>
  </si>
  <si>
    <t>ragi 5</t>
  </si>
  <si>
    <t>pak parjo ngawi</t>
  </si>
  <si>
    <t>sgr</t>
  </si>
  <si>
    <t>Bu puji mojokerto</t>
  </si>
  <si>
    <t>Menir FKS</t>
  </si>
  <si>
    <t xml:space="preserve"> P Najib Demak Semarang</t>
  </si>
  <si>
    <t>bola</t>
  </si>
  <si>
    <t>pak sukem ngawi</t>
  </si>
  <si>
    <t>tulip</t>
  </si>
  <si>
    <t>pak roni toko sederhana malang</t>
  </si>
  <si>
    <t>p najib demak semarang</t>
  </si>
  <si>
    <t>bu kasmi madiun</t>
  </si>
  <si>
    <t>p sukem ngawi</t>
  </si>
  <si>
    <t>hiu + ragi 5</t>
  </si>
  <si>
    <t>ragi 4</t>
  </si>
  <si>
    <t>pak ji hiu</t>
  </si>
  <si>
    <t>bu yeni ngawi</t>
  </si>
  <si>
    <t>Hiu + Bola</t>
  </si>
  <si>
    <t>Pak Rudi Sidoarjo</t>
  </si>
  <si>
    <t>P Rofiq</t>
  </si>
  <si>
    <t>ust muh madura</t>
  </si>
  <si>
    <t>coklat</t>
  </si>
  <si>
    <t>p dhion legundi</t>
  </si>
  <si>
    <t>bu iin sepanjang</t>
  </si>
  <si>
    <t>abah mif gresik (pelabuhan)</t>
  </si>
  <si>
    <t>jempol sip</t>
  </si>
  <si>
    <t>pak nain sidoarjo</t>
  </si>
  <si>
    <t xml:space="preserve">umik nardi malang </t>
  </si>
  <si>
    <t>ragi 7</t>
  </si>
  <si>
    <t>kopti sepanjang</t>
  </si>
  <si>
    <t>p kasan sukodono</t>
  </si>
  <si>
    <t>lotus</t>
  </si>
  <si>
    <t>tomat</t>
  </si>
  <si>
    <t>p ramin ngawi</t>
  </si>
  <si>
    <t>minyak kita</t>
  </si>
  <si>
    <t>p nanang bojonegoro</t>
  </si>
  <si>
    <t>800 dus</t>
  </si>
  <si>
    <t>p eko turen</t>
  </si>
  <si>
    <t>p anwar porong</t>
  </si>
  <si>
    <t>abah rohmat kediri</t>
  </si>
  <si>
    <t>bu tutik kapas/p agus</t>
  </si>
  <si>
    <t>menir besar</t>
  </si>
  <si>
    <t>pak najib demak semarang</t>
  </si>
  <si>
    <t>tulip+ragi</t>
  </si>
  <si>
    <t>bu kusaimah pare</t>
  </si>
  <si>
    <t>p saiful krian</t>
  </si>
  <si>
    <t>abah maskur sidoarjo</t>
  </si>
  <si>
    <t>bu tutik toko/kota</t>
  </si>
  <si>
    <t>bu nur mojokerto</t>
  </si>
  <si>
    <t>abah zakaria jombang</t>
  </si>
  <si>
    <t>p juwari ngawi</t>
  </si>
  <si>
    <t>tomat new</t>
  </si>
  <si>
    <t>bu ida porong</t>
  </si>
  <si>
    <t>abah yudi burno</t>
  </si>
  <si>
    <t>abah mif gresik</t>
  </si>
  <si>
    <t>abah slamet tobo</t>
  </si>
  <si>
    <t>pak nain porong</t>
  </si>
  <si>
    <t>superbeen</t>
  </si>
  <si>
    <t>bu tutik p agus/kapas</t>
  </si>
  <si>
    <t>tumpi FKS</t>
  </si>
  <si>
    <t>p arif blitar</t>
  </si>
  <si>
    <t>pak jamil ngawi</t>
  </si>
  <si>
    <t>tomat + ragi 2</t>
  </si>
  <si>
    <t>p ridwan manyar</t>
  </si>
  <si>
    <t>S</t>
  </si>
  <si>
    <t>pak roni sederhana malang</t>
  </si>
  <si>
    <t>P Agik</t>
  </si>
  <si>
    <t>bu herman sidarjo</t>
  </si>
  <si>
    <t>pak ridwan manyar</t>
  </si>
  <si>
    <t>bu herman sidoarjo</t>
  </si>
  <si>
    <t>tumpi</t>
  </si>
  <si>
    <t>pak arif blitar</t>
  </si>
  <si>
    <t>prama</t>
  </si>
  <si>
    <t>bu eni tulangan</t>
  </si>
  <si>
    <t>sip</t>
  </si>
  <si>
    <t>pak eko turen</t>
  </si>
  <si>
    <t>toko putra bumi berkah</t>
  </si>
  <si>
    <t>bu prapti nganjuk</t>
  </si>
  <si>
    <t>pak juwari ngawi</t>
  </si>
  <si>
    <t>selendang</t>
  </si>
  <si>
    <t>pak ramin ngawi</t>
  </si>
  <si>
    <t>pak yoyok jombang</t>
  </si>
  <si>
    <t>p roni sederhana malang</t>
  </si>
  <si>
    <t>pak saiku malang</t>
  </si>
  <si>
    <t>bu nur kopti mojokerto</t>
  </si>
  <si>
    <t>toko bumi berkah blitar</t>
  </si>
  <si>
    <t>hiu, bola</t>
  </si>
  <si>
    <t>pakan ternak</t>
  </si>
  <si>
    <t>ADM blitar</t>
  </si>
  <si>
    <t>ADM pujon malang</t>
  </si>
  <si>
    <t>pak dhion coklat blitar-gresik</t>
  </si>
  <si>
    <t>abah kohar burno</t>
  </si>
  <si>
    <t>ADM malang</t>
  </si>
  <si>
    <t>ADM kediri</t>
  </si>
  <si>
    <t>pak sugianto ngawi</t>
  </si>
  <si>
    <t>abah dori bangil</t>
  </si>
  <si>
    <t>menir fks</t>
  </si>
  <si>
    <t>pak naji demak semarang</t>
  </si>
  <si>
    <t>bu tutik sumberejo</t>
  </si>
  <si>
    <t>tumpi lotus</t>
  </si>
  <si>
    <t>pak yanto porong</t>
  </si>
  <si>
    <t>pak zaen jombang</t>
  </si>
  <si>
    <t>minyak</t>
  </si>
  <si>
    <t>750 dus</t>
  </si>
  <si>
    <t>S 9013 UJ</t>
  </si>
  <si>
    <t>DIKI</t>
  </si>
  <si>
    <t>HIU</t>
  </si>
  <si>
    <t>JEMPOL SIP</t>
  </si>
  <si>
    <t>PAK RAMIN NGAWI</t>
  </si>
  <si>
    <t xml:space="preserve">ABAH KOHAR </t>
  </si>
  <si>
    <t>PAK JAMIL NGAWI</t>
  </si>
  <si>
    <t>ABAH PRANOTO</t>
  </si>
  <si>
    <t>KOPTI GIRI GRESIK</t>
  </si>
  <si>
    <t>BU YATINI</t>
  </si>
  <si>
    <t>Mas Diky</t>
  </si>
  <si>
    <t>Pak Herwanto Jombang Sumobito</t>
  </si>
  <si>
    <t>Mbak Nur Kopti Mojokerto</t>
  </si>
  <si>
    <t>Panah biru</t>
  </si>
  <si>
    <t>Pak jamil</t>
  </si>
  <si>
    <t>Pak slamet</t>
  </si>
  <si>
    <t>Bu astutik bojonegoro</t>
  </si>
  <si>
    <t>P Iwan Bojonegoro</t>
  </si>
  <si>
    <t>Mas Diki</t>
  </si>
  <si>
    <t>Bu Kasmi madiun</t>
  </si>
  <si>
    <t>-</t>
  </si>
  <si>
    <t>Pak Jamil ngawi</t>
  </si>
  <si>
    <t>Pak iwan bojonegoro</t>
  </si>
  <si>
    <t>Pak Ramin ngawi</t>
  </si>
  <si>
    <t>Pak herwanto jombang</t>
  </si>
  <si>
    <t xml:space="preserve">Abah mif Kopti giri jaya </t>
  </si>
  <si>
    <t>Kopti wahyu satria malang</t>
  </si>
  <si>
    <t>SB</t>
  </si>
  <si>
    <t>Bu astutik</t>
  </si>
  <si>
    <t>Abah mif kopti giri jaya</t>
  </si>
  <si>
    <t>Pak ramin ngawi</t>
  </si>
  <si>
    <t>Jempol sip</t>
  </si>
  <si>
    <t>Bu astutik Kota</t>
  </si>
  <si>
    <t>Pakan</t>
  </si>
  <si>
    <t>Jombang</t>
  </si>
  <si>
    <t>Bu yatini</t>
  </si>
  <si>
    <t>Kacang hijau + kedelai</t>
  </si>
  <si>
    <t>W 9876 UR</t>
  </si>
  <si>
    <t>W 8882 DS</t>
  </si>
  <si>
    <t>Mas Arik ngawi</t>
  </si>
  <si>
    <t>Koi</t>
  </si>
  <si>
    <t>Bu tiwuk nganjuk</t>
  </si>
  <si>
    <t>W 9366 PA</t>
  </si>
  <si>
    <t>Bu basuki sumber rejo</t>
  </si>
  <si>
    <t>Bu tutik kapas</t>
  </si>
  <si>
    <t>Mba nur kopti mojokerto</t>
  </si>
  <si>
    <t xml:space="preserve">Kopti ws malang </t>
  </si>
  <si>
    <t xml:space="preserve">Panah   </t>
  </si>
  <si>
    <t>Bu tutik bojonegoro / manyar</t>
  </si>
  <si>
    <t>Kopti sepanjang</t>
  </si>
  <si>
    <t>mbak ti nganjuk</t>
  </si>
  <si>
    <t xml:space="preserve">TF </t>
  </si>
  <si>
    <t xml:space="preserve">BW </t>
  </si>
  <si>
    <t>Bu tutik Bojonegoro kota</t>
  </si>
  <si>
    <t>P  Manyar</t>
  </si>
  <si>
    <t xml:space="preserve">Abah mif </t>
  </si>
  <si>
    <t>P  manyar</t>
  </si>
  <si>
    <t xml:space="preserve">Mba nur kopti mjk </t>
  </si>
  <si>
    <t>CV Putra Bumi Berkah</t>
  </si>
  <si>
    <t>Bu tutik Bojonegoro</t>
  </si>
  <si>
    <t>02 Mei</t>
  </si>
  <si>
    <t>03 Mei</t>
  </si>
  <si>
    <t>04 Mei</t>
  </si>
  <si>
    <t>07 Mei</t>
  </si>
  <si>
    <t>08 Mei</t>
  </si>
  <si>
    <t xml:space="preserve">P </t>
  </si>
  <si>
    <t>10 Mei</t>
  </si>
  <si>
    <t>11 Mei</t>
  </si>
  <si>
    <t>13 Mei</t>
  </si>
  <si>
    <t>15 Mei</t>
  </si>
  <si>
    <t>18 Mei</t>
  </si>
  <si>
    <t>20 Mei</t>
  </si>
  <si>
    <t>21 Mei</t>
  </si>
  <si>
    <t>22 Mei</t>
  </si>
  <si>
    <t>25 Mei</t>
  </si>
  <si>
    <t>27 Mei</t>
  </si>
  <si>
    <t>31 Mei</t>
  </si>
  <si>
    <t>03 Juni</t>
  </si>
  <si>
    <t>04 Juni</t>
  </si>
  <si>
    <t>05 Juni</t>
  </si>
  <si>
    <t>08 Juni</t>
  </si>
  <si>
    <t>10 Juni</t>
  </si>
  <si>
    <t>Bu tutik bojonegoro kapas</t>
  </si>
  <si>
    <t xml:space="preserve">11 Juni </t>
  </si>
  <si>
    <t>Mas diki</t>
  </si>
  <si>
    <t xml:space="preserve">12 Juni </t>
  </si>
  <si>
    <t xml:space="preserve">13 Juni </t>
  </si>
  <si>
    <t xml:space="preserve">14 Juni </t>
  </si>
  <si>
    <t xml:space="preserve">15 Juni </t>
  </si>
  <si>
    <t xml:space="preserve">20 Juni </t>
  </si>
  <si>
    <t xml:space="preserve">21 Juni </t>
  </si>
  <si>
    <t xml:space="preserve">22 Juni </t>
  </si>
  <si>
    <t xml:space="preserve">24 Juni </t>
  </si>
  <si>
    <t xml:space="preserve">25 Juni </t>
  </si>
  <si>
    <t>Bu Basuki sumber rejo</t>
  </si>
  <si>
    <t xml:space="preserve">26 Juni </t>
  </si>
  <si>
    <t xml:space="preserve">Tulip </t>
  </si>
  <si>
    <t>Abah Mif</t>
  </si>
  <si>
    <t xml:space="preserve">27 Juni </t>
  </si>
  <si>
    <t xml:space="preserve">28 Juni </t>
  </si>
  <si>
    <t xml:space="preserve">29 Juni </t>
  </si>
  <si>
    <t xml:space="preserve">01 Juli </t>
  </si>
  <si>
    <t xml:space="preserve">02 Juli </t>
  </si>
  <si>
    <t xml:space="preserve">04 Juli </t>
  </si>
  <si>
    <t xml:space="preserve">05 Juli </t>
  </si>
  <si>
    <t xml:space="preserve">Bu tutik bojonegoro kota </t>
  </si>
  <si>
    <t>16 Juli</t>
  </si>
  <si>
    <t>17 Juli</t>
  </si>
  <si>
    <t>18 Juli</t>
  </si>
  <si>
    <t>Abah dori</t>
  </si>
  <si>
    <t xml:space="preserve">21 Juli </t>
  </si>
  <si>
    <t>Mba tiwuk nganjuk</t>
  </si>
  <si>
    <t>31 Juli</t>
  </si>
  <si>
    <t>Bu hj herman</t>
  </si>
  <si>
    <t>Mba nur hiu mojokerto</t>
  </si>
  <si>
    <t>N 8561 ES</t>
  </si>
  <si>
    <t xml:space="preserve">Bu qusaimah pare </t>
  </si>
  <si>
    <t>19 Agustus</t>
  </si>
  <si>
    <t>20 Agustus</t>
  </si>
  <si>
    <t>21 Agustus</t>
  </si>
  <si>
    <t>Bu Iin sepanjang</t>
  </si>
  <si>
    <t>Bu tutik Kapas</t>
  </si>
  <si>
    <t>Toko Putra Bumi Berkah</t>
  </si>
  <si>
    <t>N 8561  ES</t>
  </si>
  <si>
    <t>Mba Nur kopti Mojokerto</t>
  </si>
  <si>
    <t>Abah Mif kopti giri jaya</t>
  </si>
  <si>
    <t>Abah Koko Mantup</t>
  </si>
  <si>
    <t xml:space="preserve">Bu Tutik Bojonegoro </t>
  </si>
  <si>
    <t xml:space="preserve">Bu kasmi madiun </t>
  </si>
  <si>
    <t>Abah Parnoto blitar</t>
  </si>
  <si>
    <t>Kacang Ijo 3 ton + Lotus 6 ton</t>
  </si>
  <si>
    <t>Abah rohmat kediri</t>
  </si>
  <si>
    <t>Tumpi</t>
  </si>
  <si>
    <t>Pak arif blitar</t>
  </si>
  <si>
    <t>Mba Ti Nganjuk</t>
  </si>
  <si>
    <t xml:space="preserve">Bu Kasmi madiun </t>
  </si>
  <si>
    <t>Tumpi Panah</t>
  </si>
  <si>
    <t>Pak Agus Bojonegoro (Kapas)</t>
  </si>
  <si>
    <t>Bu Tutik Bojonegoro Kota</t>
  </si>
  <si>
    <t>Mba Nur Mojokerto</t>
  </si>
  <si>
    <t>Tumpi Bola</t>
  </si>
  <si>
    <t>Bu iin Sepanjang</t>
  </si>
  <si>
    <t>Kacang Ijo 2ton + Lotus 6 ton</t>
  </si>
  <si>
    <t>Abah Slamet Tobo</t>
  </si>
  <si>
    <t>Menir FKS HIU</t>
  </si>
  <si>
    <t>P Arif blitar</t>
  </si>
  <si>
    <t>Roni Toko Sederhana Malang</t>
  </si>
  <si>
    <t>Jagung</t>
  </si>
  <si>
    <t>Pare</t>
  </si>
  <si>
    <t>Abah Pranoto Blitar</t>
  </si>
  <si>
    <t>Bu Tutik Bojonegoro</t>
  </si>
  <si>
    <t>Tumpi GCU</t>
  </si>
  <si>
    <t>Tumpi FKS</t>
  </si>
  <si>
    <t>Tumpi Superbeen</t>
  </si>
  <si>
    <t>Pak Sugeng Kopti Sepanjang</t>
  </si>
  <si>
    <t>p yanto porong</t>
  </si>
  <si>
    <t>nota di bapak</t>
  </si>
  <si>
    <t>roni sederhana malang</t>
  </si>
  <si>
    <t>bu tutik bojonegoro toko/kota</t>
  </si>
  <si>
    <t>gudang adm</t>
  </si>
  <si>
    <t>pak anwar porong</t>
  </si>
  <si>
    <t>panah +ragi 2</t>
  </si>
  <si>
    <t>BW + ragi 2</t>
  </si>
  <si>
    <t>polos prama</t>
  </si>
  <si>
    <t>panah+ragi 5</t>
  </si>
  <si>
    <t>P Hendro</t>
  </si>
  <si>
    <t>wayang</t>
  </si>
  <si>
    <t>pak kasan sukodono</t>
  </si>
  <si>
    <t>P Narto</t>
  </si>
  <si>
    <t>bu hj herman sidoarjo</t>
  </si>
  <si>
    <t>bu tiwuk nganjuk</t>
  </si>
  <si>
    <t>cash+tf</t>
  </si>
  <si>
    <t>tulip+lotus</t>
  </si>
  <si>
    <t xml:space="preserve">tomat </t>
  </si>
  <si>
    <t>lotus+ragi2</t>
  </si>
  <si>
    <t>menir</t>
  </si>
  <si>
    <t>BW new</t>
  </si>
  <si>
    <t>senggigi</t>
  </si>
  <si>
    <t>P Seno</t>
  </si>
  <si>
    <t>P Irvan</t>
  </si>
  <si>
    <t>TMM</t>
  </si>
  <si>
    <t>tf+cash</t>
  </si>
  <si>
    <t>pakan</t>
  </si>
  <si>
    <t>ADM ponorogo</t>
  </si>
  <si>
    <t>pakan ADM</t>
  </si>
  <si>
    <t>Pak Rofiq</t>
  </si>
  <si>
    <t>Pakan Ternak</t>
  </si>
  <si>
    <t>Pak Anwar Porong</t>
  </si>
  <si>
    <t>Pak Yudi Bojonegoro</t>
  </si>
  <si>
    <t>BU Kasmi Madiun</t>
  </si>
  <si>
    <t>Pak Yanto Porong</t>
  </si>
  <si>
    <t>Pak Ridwan Manyar</t>
  </si>
  <si>
    <t>P Anwar Porong</t>
  </si>
  <si>
    <t>Abah Zakariya Jombang</t>
  </si>
  <si>
    <t>BW (Tomat)</t>
  </si>
  <si>
    <t>Abah Rohmat kediri</t>
  </si>
  <si>
    <t>bawa cash</t>
  </si>
  <si>
    <t>Pak Saiku Malang</t>
  </si>
  <si>
    <t>Bu Tutik Kapas</t>
  </si>
  <si>
    <t>Toko Roni Sederhana Malang</t>
  </si>
  <si>
    <t>Bu Tutik Kota</t>
  </si>
  <si>
    <t>Pelet Pakan</t>
  </si>
  <si>
    <t>Pak Sukem ngawi</t>
  </si>
  <si>
    <t>P Arif Blitar</t>
  </si>
  <si>
    <t>Tumpi Lotus</t>
  </si>
  <si>
    <t>Pak Arif Blitar</t>
  </si>
  <si>
    <t>Jempol Sip (malang)</t>
  </si>
  <si>
    <t>Gudang Panah adm</t>
  </si>
  <si>
    <t>Bu Tutik Bojonegoro toko</t>
  </si>
  <si>
    <t xml:space="preserve">Bu Kasmi Madiun </t>
  </si>
  <si>
    <t xml:space="preserve">kurang 240rb, 400rbnya sudah ditf </t>
  </si>
  <si>
    <t>Abah Zakariya</t>
  </si>
  <si>
    <t xml:space="preserve">Bu Tutik Bojonegoro kota (toko) </t>
  </si>
  <si>
    <t>Abah Maskur</t>
  </si>
  <si>
    <t>pollard</t>
  </si>
  <si>
    <t xml:space="preserve">Bu Andin </t>
  </si>
  <si>
    <t>bu tutik bojonegoro kapas/pak agus</t>
  </si>
  <si>
    <t>bu prati nganjuk</t>
  </si>
  <si>
    <t>Roni Sederhana Malang</t>
  </si>
  <si>
    <t>lotus + ragi 5</t>
  </si>
  <si>
    <t>bu tutik bojonegoro kapas/p agus</t>
  </si>
  <si>
    <t>najib demak semarang</t>
  </si>
  <si>
    <t>bu basuki bojonegoro</t>
  </si>
  <si>
    <t>Pak Hendro</t>
  </si>
  <si>
    <t>tomat + ragi 5</t>
  </si>
  <si>
    <t>Pak Gendon</t>
  </si>
  <si>
    <t>panah  + ragi 5</t>
  </si>
  <si>
    <t>Bu tutik kapas/p agus</t>
  </si>
  <si>
    <t>p roni senderhana malang</t>
  </si>
  <si>
    <t>panah + ragi 2</t>
  </si>
  <si>
    <t>bu tutik bojonegoro kapas/agus</t>
  </si>
  <si>
    <t>p juwari ngawi (bnkr madiun)</t>
  </si>
  <si>
    <t>bola + ragi 4</t>
  </si>
  <si>
    <t>abah pranoto blitar</t>
  </si>
  <si>
    <t>p dhion nganjuk ke legundi</t>
  </si>
  <si>
    <t>p nain sidoarjo</t>
  </si>
  <si>
    <t>P Aji</t>
  </si>
  <si>
    <t>p saiku malang</t>
  </si>
  <si>
    <t>Mas Eki</t>
  </si>
  <si>
    <t>abah ran madiun</t>
  </si>
  <si>
    <t>tomat old</t>
  </si>
  <si>
    <t>Pak Zaen</t>
  </si>
  <si>
    <t>selendang, lotus</t>
  </si>
  <si>
    <t>abah qomar madiun</t>
  </si>
  <si>
    <t>pak hasan madura</t>
  </si>
  <si>
    <t>W 8263 DW</t>
  </si>
  <si>
    <t>Pak Priyanto</t>
  </si>
  <si>
    <t>14 Mei</t>
  </si>
  <si>
    <t>17 Mei</t>
  </si>
  <si>
    <t>24 Mei</t>
  </si>
  <si>
    <t>28 Mei</t>
  </si>
  <si>
    <t>29 Mei</t>
  </si>
  <si>
    <t>P Priyanto</t>
  </si>
  <si>
    <t>06 Juni</t>
  </si>
  <si>
    <t>07 Juni</t>
  </si>
  <si>
    <t>12 Juni</t>
  </si>
  <si>
    <t>13 Juni</t>
  </si>
  <si>
    <t>14 Juni</t>
  </si>
  <si>
    <t>15 Juni</t>
  </si>
  <si>
    <t>18 Juni</t>
  </si>
  <si>
    <t>19 Juni</t>
  </si>
  <si>
    <t>P Saiku Malang</t>
  </si>
  <si>
    <t>20 Juni</t>
  </si>
  <si>
    <t>21 Juni</t>
  </si>
  <si>
    <t>22 Juni</t>
  </si>
  <si>
    <t>24 Juni</t>
  </si>
  <si>
    <t>25 Juni</t>
  </si>
  <si>
    <t>26 Juni</t>
  </si>
  <si>
    <t>Mba nur kopti mjkerto</t>
  </si>
  <si>
    <t>27 Juni</t>
  </si>
  <si>
    <t>28 Juni</t>
  </si>
  <si>
    <t>P Sukari sidokare</t>
  </si>
  <si>
    <t>P priyanto</t>
  </si>
  <si>
    <t>Porang</t>
  </si>
  <si>
    <t>Ponorogo</t>
  </si>
  <si>
    <t>P Anwar porong</t>
  </si>
  <si>
    <t xml:space="preserve">Mba Nur Kopti Mojokerto </t>
  </si>
  <si>
    <t>Menir</t>
  </si>
  <si>
    <t>M Nur kopti mojokerto</t>
  </si>
  <si>
    <t>Abah dori bangil</t>
  </si>
  <si>
    <t>1 Jt cash p pri &amp; 782,000 &amp; TF Di rek angkutan tgl 29/7</t>
  </si>
  <si>
    <t>Nira kurg 25 rb tf nya</t>
  </si>
  <si>
    <t>Tumpi Tulip</t>
  </si>
  <si>
    <t>8 Agustus</t>
  </si>
  <si>
    <t>Tumpi Hiu</t>
  </si>
  <si>
    <t>Lotus 4 Ton + Panah 5 Ton</t>
  </si>
  <si>
    <t>Bu Sulikah Nganjuk</t>
  </si>
  <si>
    <t xml:space="preserve">Lotus  </t>
  </si>
  <si>
    <t>Lawang Malang</t>
  </si>
  <si>
    <t>Pak eko pandaan</t>
  </si>
  <si>
    <t>Mas Nanang Nganjuk</t>
  </si>
  <si>
    <t>Pak Saiku malang</t>
  </si>
  <si>
    <t>Pelet</t>
  </si>
  <si>
    <t>Tf</t>
  </si>
  <si>
    <t>x175</t>
  </si>
  <si>
    <t>BU Tutik Bojonegoro</t>
  </si>
  <si>
    <t>Mas nanang Bojonegoro</t>
  </si>
  <si>
    <t>Tumpi Fks</t>
  </si>
  <si>
    <t>FKS (Menir Bulat)</t>
  </si>
  <si>
    <t>Demak Jawa Tengah</t>
  </si>
  <si>
    <t>Tumpi Wilmar</t>
  </si>
  <si>
    <t>Mas Nanang nganjuk</t>
  </si>
  <si>
    <t>Menir GCU</t>
  </si>
  <si>
    <t>Nota sudah diserahkan tanggal 18/12</t>
  </si>
  <si>
    <t>Abah Maskur Sidoarjo</t>
  </si>
  <si>
    <t>Gudang Panah</t>
  </si>
  <si>
    <t>Toko Roni Sederhana</t>
  </si>
  <si>
    <t xml:space="preserve">Kedelai Reject </t>
  </si>
  <si>
    <t xml:space="preserve">Pak Ramin Ngawi </t>
  </si>
  <si>
    <t>Pak Arif</t>
  </si>
  <si>
    <t>Gudang panah</t>
  </si>
  <si>
    <t>Bu Tutik (P Agus)</t>
  </si>
  <si>
    <t>Pak Nanang Nganjuk</t>
  </si>
  <si>
    <t xml:space="preserve">Menir </t>
  </si>
  <si>
    <t xml:space="preserve">Abah Rohmat </t>
  </si>
  <si>
    <t>nota difoto pak pri</t>
  </si>
  <si>
    <t>tumpi gcu</t>
  </si>
  <si>
    <t>nota di hp pak pri</t>
  </si>
  <si>
    <t>Pak Nanang Bojonegoro</t>
  </si>
  <si>
    <t>nota di p pri</t>
  </si>
  <si>
    <t>plastik</t>
  </si>
  <si>
    <t>pak Parjo ngawi</t>
  </si>
  <si>
    <t>200 kir</t>
  </si>
  <si>
    <t>tf + cash</t>
  </si>
  <si>
    <t>p nanang nganjuk</t>
  </si>
  <si>
    <t>P anwar Porong</t>
  </si>
  <si>
    <t>tulip (new crop)</t>
  </si>
  <si>
    <t>menir FKS</t>
  </si>
  <si>
    <t>P arif blitar</t>
  </si>
  <si>
    <t>185 dus</t>
  </si>
  <si>
    <t>dikasi 1jt cash</t>
  </si>
  <si>
    <t>selendang prem</t>
  </si>
  <si>
    <t>hiu + ragi 10</t>
  </si>
  <si>
    <t>p dhion nganjuk-legundi</t>
  </si>
  <si>
    <t>cash + tf</t>
  </si>
  <si>
    <t>menir BW</t>
  </si>
  <si>
    <t>p tejo mojokerto</t>
  </si>
  <si>
    <t>pak nanang bojonegoro</t>
  </si>
  <si>
    <t>abah zaen jombang</t>
  </si>
  <si>
    <t>pak dhion lawang</t>
  </si>
  <si>
    <t>abah saiful krian</t>
  </si>
  <si>
    <t>bu sukarsih ngawi</t>
  </si>
  <si>
    <t>pak zaen blitar</t>
  </si>
  <si>
    <t>tumpi fks</t>
  </si>
  <si>
    <t>cash 1jt</t>
  </si>
  <si>
    <t>S 9157 HI</t>
  </si>
  <si>
    <t>PAK AJI</t>
  </si>
  <si>
    <t>TOKO SEDERHANA MALANG</t>
  </si>
  <si>
    <t>KAMDANI</t>
  </si>
  <si>
    <t>PAK HERWANTO</t>
  </si>
  <si>
    <t>SUPERBIN</t>
  </si>
  <si>
    <t>BU TUTIK</t>
  </si>
  <si>
    <t>KOPTI GIRI JAYA GRESIK</t>
  </si>
  <si>
    <t>TOKO BUMI BERKAH</t>
  </si>
  <si>
    <t>PAK KAMDANI</t>
  </si>
  <si>
    <t>ABAH KOHAR BOJONEGORO</t>
  </si>
  <si>
    <t>PLASTIK</t>
  </si>
  <si>
    <t>KOH HERI JEMBER</t>
  </si>
  <si>
    <t>Pak Aji</t>
  </si>
  <si>
    <t>Roni Sederhana Malang Blimbing</t>
  </si>
  <si>
    <t>Pak Ramen Ngawi</t>
  </si>
  <si>
    <t>Abah Mif Kopti Giri Jaya</t>
  </si>
  <si>
    <t>Abah Slamet Bojonegoro Kalitidu</t>
  </si>
  <si>
    <t>Bu Astuti  Bojonegoro Kota</t>
  </si>
  <si>
    <t>Abah khohar</t>
  </si>
  <si>
    <t>Abah mif kopti gresik</t>
  </si>
  <si>
    <t>Pak Jamil Ngawi</t>
  </si>
  <si>
    <t xml:space="preserve">Abah yudi borneo </t>
  </si>
  <si>
    <t xml:space="preserve">Pak iwan </t>
  </si>
  <si>
    <t>Bu Hj Herman</t>
  </si>
  <si>
    <t>Abah saiful sidoarjo</t>
  </si>
  <si>
    <t>Bongkar gudang</t>
  </si>
  <si>
    <t>P Herwanto Kemlagi</t>
  </si>
  <si>
    <t>W 8910 DS</t>
  </si>
  <si>
    <t>G 1475 TF</t>
  </si>
  <si>
    <t>Bu basuki</t>
  </si>
  <si>
    <t>Mas mol sby</t>
  </si>
  <si>
    <t xml:space="preserve">Bu hj herman </t>
  </si>
  <si>
    <t>N 8163 EW</t>
  </si>
  <si>
    <t>Abah yudi Burno</t>
  </si>
  <si>
    <t xml:space="preserve">04 Mei </t>
  </si>
  <si>
    <t>P Sukari Sidokare</t>
  </si>
  <si>
    <t xml:space="preserve">15 Mei </t>
  </si>
  <si>
    <t>P Nawir krian</t>
  </si>
  <si>
    <t xml:space="preserve">20 Mei </t>
  </si>
  <si>
    <t>Bu tutik Kapas bojonegoro</t>
  </si>
  <si>
    <t xml:space="preserve">06 Juli </t>
  </si>
  <si>
    <t xml:space="preserve">Toko Putra Bumi berkah </t>
  </si>
  <si>
    <t xml:space="preserve">08 Juli </t>
  </si>
  <si>
    <t xml:space="preserve">09 Juli </t>
  </si>
  <si>
    <t xml:space="preserve">10 Juli </t>
  </si>
  <si>
    <t xml:space="preserve">11 Juli </t>
  </si>
  <si>
    <t xml:space="preserve">13 Juli </t>
  </si>
  <si>
    <t>P ridwan manyar</t>
  </si>
  <si>
    <t xml:space="preserve">15 Juli </t>
  </si>
  <si>
    <t>N 8613 EW</t>
  </si>
  <si>
    <t>P Nawir Krian</t>
  </si>
  <si>
    <t xml:space="preserve">16 Juli </t>
  </si>
  <si>
    <t xml:space="preserve">17 Juli </t>
  </si>
  <si>
    <t xml:space="preserve">18 Juli </t>
  </si>
  <si>
    <t xml:space="preserve">19 Juli </t>
  </si>
  <si>
    <t xml:space="preserve">20 Juli </t>
  </si>
  <si>
    <t xml:space="preserve">22 Juli </t>
  </si>
  <si>
    <t xml:space="preserve">23 Juli </t>
  </si>
  <si>
    <t xml:space="preserve">24 Juli </t>
  </si>
  <si>
    <t xml:space="preserve">25 Juli </t>
  </si>
  <si>
    <t xml:space="preserve">26 Juli </t>
  </si>
  <si>
    <t xml:space="preserve">27 Juli </t>
  </si>
  <si>
    <t xml:space="preserve">29 Juli </t>
  </si>
  <si>
    <t>Mba Nur kopti mojokerto</t>
  </si>
  <si>
    <t>1 Agustus</t>
  </si>
  <si>
    <t>P Jamil Ngawi</t>
  </si>
  <si>
    <t>Jempol  sip</t>
  </si>
  <si>
    <t>Abah yudi bojonegoro</t>
  </si>
  <si>
    <t>P Rudi sidoarjo</t>
  </si>
  <si>
    <t>Abah Muh madura</t>
  </si>
  <si>
    <t>Tulung Agung</t>
  </si>
  <si>
    <t>Kupu Kupu</t>
  </si>
  <si>
    <t>Bu septi mojokerto</t>
  </si>
  <si>
    <t xml:space="preserve">Jempol Sip </t>
  </si>
  <si>
    <t>dr bu prapti ke toko putra bumi</t>
  </si>
  <si>
    <t>Tidak Ada Ongkir</t>
  </si>
  <si>
    <t>Toko Puta Bumi Berkah</t>
  </si>
  <si>
    <t>Abah Mif kopti giri jaya Gresik</t>
  </si>
  <si>
    <t>Abah Rohmat Kediri</t>
  </si>
  <si>
    <t>N 8517 EW</t>
  </si>
  <si>
    <t>boyongan</t>
  </si>
  <si>
    <t>Trenggalek</t>
  </si>
  <si>
    <t>Pak Sugeng kopti sepanjang</t>
  </si>
  <si>
    <t>umik Nardi Malang</t>
  </si>
  <si>
    <t>CASH</t>
  </si>
  <si>
    <t>Bu Basuki Bojonegoro</t>
  </si>
  <si>
    <t>Abah Pranoto</t>
  </si>
  <si>
    <t>cash+TF</t>
  </si>
  <si>
    <t>Bu Kasmi Masiun</t>
  </si>
  <si>
    <t xml:space="preserve"> bu tutik bojonegoro kota (toko)</t>
  </si>
  <si>
    <t>saku krg 40rb (sudah dikasihkan) 23/12</t>
  </si>
  <si>
    <t>Abah Pranoto blitar</t>
  </si>
  <si>
    <t>nota di kirim pak suryo</t>
  </si>
  <si>
    <t>nota di foto p aji</t>
  </si>
  <si>
    <t>lotus + 10 ragi</t>
  </si>
  <si>
    <t>abah mif kopti gresik</t>
  </si>
  <si>
    <t>nota difoto p aji</t>
  </si>
  <si>
    <t>Hiu + ragi 5</t>
  </si>
  <si>
    <t>Abah Kohar</t>
  </si>
  <si>
    <t>abah mif</t>
  </si>
  <si>
    <t>KIR</t>
  </si>
  <si>
    <t>kopti WS</t>
  </si>
  <si>
    <t>superbean</t>
  </si>
  <si>
    <t>di p aji 100</t>
  </si>
  <si>
    <t>tulip + ragi 10</t>
  </si>
  <si>
    <t>di p aji 25</t>
  </si>
  <si>
    <t>tulip, kacang hijau</t>
  </si>
  <si>
    <t>pak dhion blitar</t>
  </si>
  <si>
    <t xml:space="preserve">cash </t>
  </si>
  <si>
    <t>pak kemis ngawi</t>
  </si>
  <si>
    <t>p roni, toko bumi berkah blitar</t>
  </si>
  <si>
    <t>cash tf</t>
  </si>
  <si>
    <t>27 Juni 24</t>
  </si>
  <si>
    <t>S 8329 WI</t>
  </si>
  <si>
    <t>28 Juni 24</t>
  </si>
  <si>
    <t>29 Juni 24</t>
  </si>
  <si>
    <t>Abah slamet tobo bojonegoro</t>
  </si>
  <si>
    <t>04 Juli</t>
  </si>
  <si>
    <t>13 Juli</t>
  </si>
  <si>
    <t xml:space="preserve">Bu tutik sumber rejo </t>
  </si>
  <si>
    <t>Toko Putra bumi Berkah</t>
  </si>
  <si>
    <t>P Hasan sukodono</t>
  </si>
  <si>
    <t>Bu tutik bojonegoro sumber rejo</t>
  </si>
  <si>
    <t>Abah muh madura</t>
  </si>
  <si>
    <t>Abah zakaria jombang</t>
  </si>
  <si>
    <t>Panah Polos</t>
  </si>
  <si>
    <t>27 Agustus</t>
  </si>
  <si>
    <t>Srengat Blitar</t>
  </si>
  <si>
    <t>A 9108 A</t>
  </si>
  <si>
    <t>Hiu 3 ton + Lotus 6 ton</t>
  </si>
  <si>
    <t>Bu qusaimah</t>
  </si>
  <si>
    <t>CGC</t>
  </si>
  <si>
    <t xml:space="preserve">Hiu  </t>
  </si>
  <si>
    <t>Abah Yudi Burno</t>
  </si>
  <si>
    <t>CGF</t>
  </si>
  <si>
    <t>Wonotirto blitar</t>
  </si>
  <si>
    <t>Hiu 4 ton + Lotus 5 ton</t>
  </si>
  <si>
    <t>Abah Parnoto Blitar</t>
  </si>
  <si>
    <t>nota Belum</t>
  </si>
  <si>
    <t>Bu Andin</t>
  </si>
  <si>
    <t>berat x 140</t>
  </si>
  <si>
    <t>Abah Mif Kopti Giri</t>
  </si>
  <si>
    <t xml:space="preserve">Abah Mif </t>
  </si>
  <si>
    <t>Pace Nganjuk</t>
  </si>
  <si>
    <t>Abah Mif Pelabuhan</t>
  </si>
  <si>
    <t>P Sutari</t>
  </si>
  <si>
    <t>W 9695 NA</t>
  </si>
  <si>
    <t>toko Putra Bumi Berkah</t>
  </si>
  <si>
    <t>bu tutik bojoneegoro toko/kota</t>
  </si>
  <si>
    <t>Jempol sip + ragi 5</t>
  </si>
  <si>
    <t xml:space="preserve"> cash</t>
  </si>
  <si>
    <t>abah muh madura</t>
  </si>
  <si>
    <t>P Karyono</t>
  </si>
  <si>
    <t>M Eki</t>
  </si>
  <si>
    <t>jempol sip + ragi 1</t>
  </si>
  <si>
    <t>superbean + selendang</t>
  </si>
  <si>
    <t>selendang + ragi 4</t>
  </si>
  <si>
    <t>BW + ragi2</t>
  </si>
  <si>
    <t xml:space="preserve">Cash </t>
  </si>
  <si>
    <t>hiu + ragi 1</t>
  </si>
  <si>
    <t>P Nanil</t>
  </si>
  <si>
    <t>beli solar</t>
  </si>
  <si>
    <t>M Ilham</t>
  </si>
  <si>
    <t>bu kaspali kepajen</t>
  </si>
  <si>
    <t>550000 vira</t>
  </si>
  <si>
    <t>bu retno ponorogo</t>
  </si>
  <si>
    <t>toko gresik, toko berkah blitar</t>
  </si>
  <si>
    <t>CV hasil tani metatu</t>
  </si>
  <si>
    <t xml:space="preserve">M Endris </t>
  </si>
  <si>
    <t>M Endris</t>
  </si>
  <si>
    <t xml:space="preserve">Bu kasmi </t>
  </si>
  <si>
    <t xml:space="preserve">18 Agustus </t>
  </si>
  <si>
    <t>25 Agustus</t>
  </si>
  <si>
    <t xml:space="preserve">Pujon </t>
  </si>
  <si>
    <t xml:space="preserve">Bola </t>
  </si>
  <si>
    <t>Bu tutik  kapas</t>
  </si>
  <si>
    <t>Tumpi panah</t>
  </si>
  <si>
    <t>61.30,5</t>
  </si>
  <si>
    <t>Pak Anwar porong</t>
  </si>
  <si>
    <t>Bu Tutik bojonegoro (kapas)</t>
  </si>
  <si>
    <t>Tumpi FKs</t>
  </si>
  <si>
    <t>Abah yudi baureno</t>
  </si>
  <si>
    <t>Bu Eni Tulangin</t>
  </si>
  <si>
    <t>sisa saku mas endris 100</t>
  </si>
  <si>
    <t>yg 70 di mba vira</t>
  </si>
  <si>
    <t>Semarang</t>
  </si>
  <si>
    <t>Toko Putra Bumi Berakh</t>
  </si>
  <si>
    <t>Kedelai</t>
  </si>
  <si>
    <t>Abah Yudi Burneo</t>
  </si>
  <si>
    <t>Minyakkita</t>
  </si>
  <si>
    <t>M Krisna</t>
  </si>
  <si>
    <t>Jempol Sip malang</t>
  </si>
  <si>
    <t>Gudang adm</t>
  </si>
  <si>
    <t>Minyak kita</t>
  </si>
  <si>
    <t>Cash+tf</t>
  </si>
  <si>
    <t>saku kurang 25rb</t>
  </si>
  <si>
    <t xml:space="preserve">Gudang adm </t>
  </si>
  <si>
    <t>Bu Tutik Bojonegoro kapas (pak agus)</t>
  </si>
  <si>
    <t xml:space="preserve"> pak arif blitar</t>
  </si>
  <si>
    <t>bu tutik bojonegoro (sumberejo)</t>
  </si>
  <si>
    <t>prama + ragi 7</t>
  </si>
  <si>
    <t>S 9958 JD</t>
  </si>
  <si>
    <t>dr toko</t>
  </si>
  <si>
    <t>tF</t>
  </si>
  <si>
    <t>p dhion Blitar</t>
  </si>
  <si>
    <t>ragi 2</t>
  </si>
  <si>
    <t>BW+ragi 2</t>
  </si>
  <si>
    <t>p parjo ngawi</t>
  </si>
  <si>
    <t>BW + ragi</t>
  </si>
  <si>
    <t>panah + ragi</t>
  </si>
  <si>
    <t>lotus + ragi 10</t>
  </si>
  <si>
    <t>p jum kopti ponorogo</t>
  </si>
  <si>
    <t>pak rudi sidoarjo</t>
  </si>
  <si>
    <t>lotus, selandang</t>
  </si>
  <si>
    <t>selendang, SGR</t>
  </si>
  <si>
    <t>S 9509 NG</t>
  </si>
  <si>
    <t>P Umar</t>
  </si>
  <si>
    <t>shintanola</t>
  </si>
  <si>
    <t>P Sungkono</t>
  </si>
  <si>
    <t>pak jum kopti ponorogo</t>
  </si>
  <si>
    <t>lotus+ragi 10</t>
  </si>
  <si>
    <t>A 8379 CO</t>
  </si>
  <si>
    <t>aku kurang 1000</t>
  </si>
  <si>
    <t>p dhion blitar</t>
  </si>
  <si>
    <t>hiu + ragi 4</t>
  </si>
  <si>
    <t>nota dibapak</t>
  </si>
  <si>
    <t>p roni malang</t>
  </si>
  <si>
    <t>.</t>
  </si>
  <si>
    <t>p mul surabaya</t>
  </si>
  <si>
    <t>K 8094 IS</t>
  </si>
  <si>
    <t>P Dwi</t>
  </si>
  <si>
    <t>pak roni, toko bumi berkah blitar</t>
  </si>
  <si>
    <t>ADM malang kesambon</t>
  </si>
  <si>
    <t>pak mul surabaya</t>
  </si>
  <si>
    <t>Pak Firman</t>
  </si>
  <si>
    <t>Bu Tutik Bojonegoro (Toko)</t>
  </si>
  <si>
    <t>Bu Kasmi MAdiun</t>
  </si>
  <si>
    <t>Mba Tiwuk nganjuk</t>
  </si>
  <si>
    <t>Cash+TF</t>
  </si>
  <si>
    <t>sisa ongkosan 100</t>
  </si>
  <si>
    <t>Jempol Sip Malang</t>
  </si>
  <si>
    <t>Bu Tutik Bojonegoro (kapas)</t>
  </si>
  <si>
    <t>Lotus + 2 dus ragi</t>
  </si>
  <si>
    <t>CGV</t>
  </si>
  <si>
    <t>Pak Kasan Sukodono</t>
  </si>
  <si>
    <t>Pak Suparjo Ngawi</t>
  </si>
  <si>
    <t>Tomat</t>
  </si>
  <si>
    <t>Bu Tutik Bojonegoro (sumber rejo)</t>
  </si>
  <si>
    <t>abah rohmat</t>
  </si>
  <si>
    <t>panah + ragi 7</t>
  </si>
  <si>
    <t xml:space="preserve">bu eni tulangan </t>
  </si>
  <si>
    <t>mbak nur mojokerto</t>
  </si>
  <si>
    <t>rem</t>
  </si>
  <si>
    <t>nota di p hendro</t>
  </si>
  <si>
    <t>pak sugeng kopti sepanjang</t>
  </si>
  <si>
    <t>M ilham</t>
  </si>
  <si>
    <t>DK 8772 QE</t>
  </si>
  <si>
    <t>pollar</t>
  </si>
  <si>
    <t>bu andin wilmar</t>
  </si>
  <si>
    <t>S 8903 UX</t>
  </si>
  <si>
    <t>P Joko</t>
  </si>
  <si>
    <t>P Ridwan Manyar</t>
  </si>
  <si>
    <t>P Prasetyo</t>
  </si>
  <si>
    <t>Bu Tutik bojonegoro (toko)</t>
  </si>
  <si>
    <t>BW + 2 dus Ragi</t>
  </si>
  <si>
    <t>Bu Tutik Bojonegoro (Kapas)</t>
  </si>
  <si>
    <t>Bu Tiwuk Nganjuk</t>
  </si>
  <si>
    <t>Pak Saiful Krian</t>
  </si>
  <si>
    <t>BW + 2 dus ragi</t>
  </si>
  <si>
    <t>Bu Tutik Bojonegoro (sumberejo)</t>
  </si>
  <si>
    <t>Bu Tutik Bojonegoro (kota/ toko)</t>
  </si>
  <si>
    <t xml:space="preserve">Mbak Nur Mojokerto </t>
  </si>
  <si>
    <t>Lotus + 15 ragi + 6 ragi</t>
  </si>
  <si>
    <t>nota di kirim p suryo (kurang 23rb)</t>
  </si>
  <si>
    <t>P Sunarto</t>
  </si>
  <si>
    <t>Bu Tutik Bojonegoro (p agus)</t>
  </si>
  <si>
    <t>bu tutik bojonegoro kota/toko</t>
  </si>
  <si>
    <t>lotus +  ragi 5</t>
  </si>
  <si>
    <t>p sunarto kalo ke bjn potong kasbon</t>
  </si>
  <si>
    <t>hiu + ragi 2</t>
  </si>
  <si>
    <t>prama 5, panah 4</t>
  </si>
  <si>
    <t>bu tutik bojonegoro kapas/ p agus</t>
  </si>
  <si>
    <t>jempol sip + ragi 5</t>
  </si>
  <si>
    <t>BW + ragi 1</t>
  </si>
  <si>
    <t>seledang</t>
  </si>
  <si>
    <t>selendang + panah</t>
  </si>
  <si>
    <t>jempol sip + ragi 10</t>
  </si>
  <si>
    <t>tulip + ragi 1</t>
  </si>
  <si>
    <t>tsc hijau + ragi 5</t>
  </si>
  <si>
    <t>tulip + ragi 5</t>
  </si>
  <si>
    <t>panah + ragi 5</t>
  </si>
  <si>
    <t>Pak Topek</t>
  </si>
  <si>
    <t>ADM Triwiyono</t>
  </si>
  <si>
    <t>Nopol</t>
  </si>
  <si>
    <t>KETERANGAN</t>
  </si>
  <si>
    <t>NOMINAL KERUSAKAN</t>
  </si>
  <si>
    <t>W 8962 DO</t>
  </si>
  <si>
    <t>M Bayu</t>
  </si>
  <si>
    <t>Pembelian 3 tong</t>
  </si>
  <si>
    <t>Kawalan 6 truk untuk 3 blan kedepan</t>
  </si>
  <si>
    <t>Pembelian stok meditran oli sc 30 ltr</t>
  </si>
  <si>
    <t>L 9524 BK</t>
  </si>
  <si>
    <t>P Suud</t>
  </si>
  <si>
    <t>Kerusakan L 300 pick up toko</t>
  </si>
  <si>
    <t>Konsumsi p aji ambil truk p eko ke sragen</t>
  </si>
  <si>
    <t>Mas bayu</t>
  </si>
  <si>
    <t>Bongkar ban</t>
  </si>
  <si>
    <t>Pembelian stok meditran oli sc 50 ltr (5 Galon)</t>
  </si>
  <si>
    <t>Kawalan 6 truk sampai januari 2024 (3 bulan)</t>
  </si>
  <si>
    <t>Led kedip P Aji</t>
  </si>
  <si>
    <t>Lampu led 3 mata terang 24 Volt P Aji</t>
  </si>
  <si>
    <t>Biaya balik Nama G 1475 TF</t>
  </si>
  <si>
    <t>Beli ban G 1475 TF</t>
  </si>
  <si>
    <t>Bayar kawalan 5 truk</t>
  </si>
  <si>
    <t>Pak Pras dituker  M diki</t>
  </si>
  <si>
    <t>Ngepok</t>
  </si>
  <si>
    <t>Bayar kawalan 5 truk bulan 2-4</t>
  </si>
  <si>
    <t>biaya adm</t>
  </si>
  <si>
    <t>Bayar kawalan 5 truk bulan 5-7</t>
  </si>
  <si>
    <t>Bayar kawalan 5 truk bulan 8-10</t>
  </si>
  <si>
    <t>Pak sutari</t>
  </si>
  <si>
    <t xml:space="preserve">Pak ridwan Manyar </t>
  </si>
  <si>
    <t>Pak Yanto Kopti Porong</t>
  </si>
  <si>
    <t>Abah Mif Kopti giri</t>
  </si>
  <si>
    <t>Nota belum</t>
  </si>
  <si>
    <t>Bu Tutik Bojonegoro (kota)</t>
  </si>
  <si>
    <t>Kedelai Reject</t>
  </si>
  <si>
    <t>Abah Kohar Mbruno</t>
  </si>
  <si>
    <t>Saku P sutari kelebihan 50rb</t>
  </si>
  <si>
    <t>panah + 6 ragi</t>
  </si>
  <si>
    <t>Bu Tutik bojonegoro Toko</t>
  </si>
  <si>
    <t xml:space="preserve">Abah Slamet Tobo </t>
  </si>
  <si>
    <t>Bu Puji Bangsal</t>
  </si>
  <si>
    <t>Bu Tutik Bojonegoro (kota/toko)</t>
  </si>
  <si>
    <t>kerusakan tg 27/12</t>
  </si>
  <si>
    <t>Pak Abdul</t>
  </si>
  <si>
    <t>masih di mas abdul</t>
  </si>
  <si>
    <t>W 8707 DQ</t>
  </si>
  <si>
    <t>bojonegoro</t>
  </si>
  <si>
    <t>tf bukan dari rek angkutan</t>
  </si>
  <si>
    <t>SURAT JALAN</t>
  </si>
  <si>
    <t>Tanpa Ongkos</t>
  </si>
  <si>
    <t>Tanpa Saku</t>
  </si>
  <si>
    <t>√</t>
  </si>
  <si>
    <t>Sdh di tf</t>
  </si>
  <si>
    <t>Kopti wahyu satria</t>
  </si>
  <si>
    <t xml:space="preserve">Menganti </t>
  </si>
  <si>
    <t>Tanpa surat jalan</t>
  </si>
  <si>
    <t>S 8165 HJ</t>
  </si>
  <si>
    <t>P Hermanto kemlagi</t>
  </si>
  <si>
    <t>Tanpa saku</t>
  </si>
  <si>
    <t>Tanpa ongkos</t>
  </si>
  <si>
    <t>Sdh dkasih ibu</t>
  </si>
  <si>
    <t>Abah yudi</t>
  </si>
  <si>
    <t>Sdh di tf cv tgl 13/10</t>
  </si>
  <si>
    <t>Bu astutik bjonegoro</t>
  </si>
  <si>
    <t>Dikembalikan 60,000 m bayu krna gak diisi ful</t>
  </si>
  <si>
    <t>P Arik Ngawi</t>
  </si>
  <si>
    <t>sdh di tf angkutan tgl 21/10</t>
  </si>
  <si>
    <t>Mas Bayu</t>
  </si>
  <si>
    <t>Sdh di tf cv tgl 1/11</t>
  </si>
  <si>
    <t>Sdh di tf cv tgl 8/11</t>
  </si>
  <si>
    <t>BAYU</t>
  </si>
  <si>
    <t xml:space="preserve">HIU </t>
  </si>
  <si>
    <t xml:space="preserve">KOPTI PORONG </t>
  </si>
  <si>
    <t>KOPTI MOJOKERTO</t>
  </si>
  <si>
    <t>BU PRAPTI</t>
  </si>
  <si>
    <t xml:space="preserve">BU PRAPTI </t>
  </si>
  <si>
    <t>ABAH YUDI BURNO</t>
  </si>
  <si>
    <t xml:space="preserve">PAK IWAN </t>
  </si>
  <si>
    <t>PAK IWAN BOJONEGORO</t>
  </si>
  <si>
    <t>Pak Eko</t>
  </si>
  <si>
    <t>Bu Astuti  Bojonegoro Kapas</t>
  </si>
  <si>
    <t>Toko Bumi Berkah</t>
  </si>
  <si>
    <t>SuperBean</t>
  </si>
  <si>
    <t>Mas arik ngawi</t>
  </si>
  <si>
    <t>Pak saiku Malang</t>
  </si>
  <si>
    <t xml:space="preserve"> W 8962 DO</t>
  </si>
  <si>
    <t>Kedelai Prama</t>
  </si>
  <si>
    <t>Abah pranoto blitar</t>
  </si>
  <si>
    <t>Bu Yantini</t>
  </si>
  <si>
    <t>Tiket bus</t>
  </si>
  <si>
    <t>Kopti Wahyu Satria malang</t>
  </si>
  <si>
    <t>Pak Saiku</t>
  </si>
  <si>
    <t>Kopti ws</t>
  </si>
  <si>
    <t>Bu yantini</t>
  </si>
  <si>
    <t>Kurang 625,000</t>
  </si>
  <si>
    <t xml:space="preserve">Roni sederhana </t>
  </si>
  <si>
    <t>Bu astutik bojonegoro kota</t>
  </si>
  <si>
    <t>Bu astutik sumber rejo</t>
  </si>
  <si>
    <t>Kopti giri jaya abah mif</t>
  </si>
  <si>
    <t>Repair terpal</t>
  </si>
  <si>
    <t>P Eko</t>
  </si>
  <si>
    <t>DONI</t>
  </si>
  <si>
    <t>ABAH KOHAR</t>
  </si>
  <si>
    <t>KOPTI SEPANJANG</t>
  </si>
  <si>
    <t>PAK MUL SIDOTOPO</t>
  </si>
  <si>
    <t xml:space="preserve">ABAH YUDI </t>
  </si>
  <si>
    <t xml:space="preserve">BU IIN </t>
  </si>
  <si>
    <t>Mas Doni</t>
  </si>
  <si>
    <t>Kopti giri jaya</t>
  </si>
  <si>
    <t>Pak kasan sukodono</t>
  </si>
  <si>
    <t>Solar</t>
  </si>
  <si>
    <t>Uang konsumsi tanpa nota</t>
  </si>
  <si>
    <t>Pembelian ganjel tanpa nota</t>
  </si>
  <si>
    <t>Abah kohar madura</t>
  </si>
  <si>
    <t>125*9000</t>
  </si>
  <si>
    <t>Bu astutik Kapas</t>
  </si>
  <si>
    <t>W 8976 UR</t>
  </si>
  <si>
    <t>AE 8913 FE</t>
  </si>
  <si>
    <t xml:space="preserve">Nota belum </t>
  </si>
  <si>
    <t>Pake uang bapak sakune</t>
  </si>
  <si>
    <t>Mbak ti</t>
  </si>
  <si>
    <t>Mbak prapti nganjuk</t>
  </si>
  <si>
    <t>Wayang</t>
  </si>
  <si>
    <t>Boyongan Pandaan</t>
  </si>
  <si>
    <t xml:space="preserve">Mba nur kopti mjkerto </t>
  </si>
  <si>
    <t>Panah 5 + kacang ijo 4</t>
  </si>
  <si>
    <t>06 Mei</t>
  </si>
  <si>
    <t>Mbak tiwuk nganjuk</t>
  </si>
  <si>
    <t xml:space="preserve"> 70rb di tf cv tgl 17/5</t>
  </si>
  <si>
    <t>Panah + kacang Hijau</t>
  </si>
  <si>
    <t>Abah saiful Krian</t>
  </si>
  <si>
    <t>Lotus + Kacang Hijau</t>
  </si>
  <si>
    <t xml:space="preserve">Lotus + Panah </t>
  </si>
  <si>
    <t xml:space="preserve">P Khodir </t>
  </si>
  <si>
    <t>23 Juni</t>
  </si>
  <si>
    <t>Pupuk</t>
  </si>
  <si>
    <t>Mbah mudin Bojonegoro</t>
  </si>
  <si>
    <t>tf di rek blitar bapak</t>
  </si>
  <si>
    <t>29 Juni</t>
  </si>
  <si>
    <t>Abah Yudi</t>
  </si>
  <si>
    <t>P Parjo Ngawi</t>
  </si>
  <si>
    <t>sdh di kash p jamil 50 rb ,kata bapak</t>
  </si>
  <si>
    <t>P Riono mojokerto</t>
  </si>
  <si>
    <t xml:space="preserve">Antri jempol sip </t>
  </si>
  <si>
    <t xml:space="preserve">12 Juli </t>
  </si>
  <si>
    <t>Abah Maskur sidoarjo</t>
  </si>
  <si>
    <t>Mas siwi krian</t>
  </si>
  <si>
    <t>Kedelai Lokal</t>
  </si>
  <si>
    <t>Abah Saiful krian</t>
  </si>
  <si>
    <t>Surat jalan M Doni Lupa .WA Tgl 2/9</t>
  </si>
  <si>
    <t>Doni Bon sangu 200 rb Tgl 3/9 + Sisa Setoran 60 rb = 260.000</t>
  </si>
  <si>
    <t>TMM + Lotus</t>
  </si>
  <si>
    <t>N 9902 UK</t>
  </si>
  <si>
    <t>Pak Mad</t>
  </si>
  <si>
    <t>Abah maskur sidoarjo</t>
  </si>
  <si>
    <t>surat jalan Tdk dkasih bu prapti nganjuk</t>
  </si>
  <si>
    <t>Palet</t>
  </si>
  <si>
    <t>Super Bean</t>
  </si>
  <si>
    <t>P Mad</t>
  </si>
  <si>
    <t>Tidak ada surat jalan,ditinggal p mad di p ridwan</t>
  </si>
  <si>
    <t xml:space="preserve">18 Juni </t>
  </si>
  <si>
    <t>P Nur</t>
  </si>
  <si>
    <t xml:space="preserve">Tdak dapat Ongkir </t>
  </si>
  <si>
    <t>LIBUR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</si>
</sst>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p&quot;* #,##0_-;\-&quot;Rp&quot;* #,##0_-;_-&quot;Rp&quot;* &quot;-&quot;??_-;_-@"/>
    <numFmt numFmtId="165" formatCode="_-[$Rp-421]* #,##0_-;\-[$Rp-421]* #,##0_-;_-[$Rp-421]* &quot;-&quot;_-;_-@"/>
    <numFmt numFmtId="166" formatCode="_-&quot;Rp&quot;* #,##0_-;\-&quot;Rp&quot;* #,##0_-;_-&quot;Rp&quot;* &quot;-&quot;_-;_-@"/>
    <numFmt numFmtId="167" formatCode="_-[$Rp-421]* #,##0_-;_-[$Rp-421]* \-#,##0_-;_-[$Rp-421]* &quot;-&quot;??_-;_-@"/>
    <numFmt numFmtId="168" formatCode="d\ mmmm"/>
    <numFmt numFmtId="169" formatCode="&quot;Rp&quot;#,##0.00"/>
  </numFmts>
  <fonts count="2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rgb="FFFF0000"/>
      <name val="Times New Roman"/>
    </font>
    <font>
      <color theme="1"/>
      <name val="Times New Roman"/>
    </font>
    <font>
      <sz val="11.0"/>
      <color theme="1"/>
      <name val="Calibri"/>
    </font>
    <font>
      <b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/>
    <font>
      <sz val="10.0"/>
      <color rgb="FF3A3838"/>
      <name val="Times New Roman"/>
    </font>
    <font>
      <sz val="11.0"/>
      <color rgb="FFFF0000"/>
      <name val="Calibri"/>
    </font>
    <font>
      <b/>
      <sz val="19.0"/>
      <color rgb="FFFF0000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FFCCCC"/>
        <bgColor rgb="FFFFCCCC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9999"/>
        <bgColor rgb="FFFF9999"/>
      </patternFill>
    </fill>
    <fill>
      <patternFill patternType="solid">
        <fgColor rgb="FFAEABAB"/>
        <bgColor rgb="FFAEABAB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2" numFmtId="3" xfId="0" applyAlignment="1" applyBorder="1" applyFont="1" applyNumberForma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2" fillId="2" fontId="2" numFmtId="165" xfId="0" applyAlignment="1" applyBorder="1" applyFont="1" applyNumberFormat="1">
      <alignment horizontal="center" vertical="center"/>
    </xf>
    <xf borderId="0" fillId="0" fontId="3" numFmtId="0" xfId="0" applyFont="1"/>
    <xf borderId="0" fillId="0" fontId="3" numFmtId="14" xfId="0" applyAlignment="1" applyFont="1" applyNumberFormat="1">
      <alignment horizontal="center" vertical="center"/>
    </xf>
    <xf borderId="3" fillId="0" fontId="4" numFmtId="14" xfId="0" applyBorder="1" applyFont="1" applyNumberForma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3" fillId="0" fontId="4" numFmtId="3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3" fillId="0" fontId="4" numFmtId="164" xfId="0" applyAlignment="1" applyBorder="1" applyFont="1" applyNumberFormat="1">
      <alignment horizontal="center" vertical="center"/>
    </xf>
    <xf borderId="3" fillId="0" fontId="4" numFmtId="164" xfId="0" applyBorder="1" applyFont="1" applyNumberFormat="1"/>
    <xf borderId="0" fillId="0" fontId="3" numFmtId="0" xfId="0" applyAlignment="1" applyFont="1">
      <alignment horizontal="center"/>
    </xf>
    <xf borderId="3" fillId="0" fontId="4" numFmtId="3" xfId="0" applyAlignment="1" applyBorder="1" applyFont="1" applyNumberFormat="1">
      <alignment horizontal="center"/>
    </xf>
    <xf borderId="0" fillId="0" fontId="5" numFmtId="14" xfId="0" applyAlignment="1" applyFont="1" applyNumberFormat="1">
      <alignment horizontal="center" vertical="center"/>
    </xf>
    <xf borderId="3" fillId="0" fontId="6" numFmtId="14" xfId="0" applyBorder="1" applyFont="1" applyNumberForma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vertical="center"/>
    </xf>
    <xf borderId="1" fillId="3" fontId="2" numFmtId="164" xfId="0" applyAlignment="1" applyBorder="1" applyFill="1" applyFont="1" applyNumberFormat="1">
      <alignment horizontal="center"/>
    </xf>
    <xf borderId="1" fillId="4" fontId="2" numFmtId="164" xfId="0" applyBorder="1" applyFill="1" applyFont="1" applyNumberFormat="1"/>
    <xf borderId="1" fillId="5" fontId="2" numFmtId="164" xfId="0" applyAlignment="1" applyBorder="1" applyFill="1" applyFont="1" applyNumberFormat="1">
      <alignment horizontal="center"/>
    </xf>
    <xf borderId="0" fillId="0" fontId="4" numFmtId="164" xfId="0" applyFont="1" applyNumberFormat="1"/>
    <xf borderId="0" fillId="0" fontId="4" numFmtId="0" xfId="0" applyAlignment="1" applyFont="1">
      <alignment horizontal="right"/>
    </xf>
    <xf borderId="1" fillId="6" fontId="2" numFmtId="164" xfId="0" applyAlignment="1" applyBorder="1" applyFill="1" applyFont="1" applyNumberFormat="1">
      <alignment horizont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shrinkToFit="0" vertical="center" wrapText="1"/>
    </xf>
    <xf borderId="5" fillId="2" fontId="2" numFmtId="3" xfId="0" applyAlignment="1" applyBorder="1" applyFont="1" applyNumberForma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5" fillId="2" fontId="2" numFmtId="165" xfId="0" applyAlignment="1" applyBorder="1" applyFont="1" applyNumberFormat="1">
      <alignment horizontal="center" vertical="center"/>
    </xf>
    <xf borderId="6" fillId="2" fontId="2" numFmtId="164" xfId="0" applyAlignment="1" applyBorder="1" applyFont="1" applyNumberFormat="1">
      <alignment horizontal="center" vertical="center"/>
    </xf>
    <xf borderId="7" fillId="0" fontId="4" numFmtId="14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0" fontId="4" numFmtId="3" xfId="0" applyAlignment="1" applyBorder="1" applyFont="1" applyNumberForma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center" vertical="center"/>
    </xf>
    <xf borderId="7" fillId="0" fontId="4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3" fillId="0" fontId="4" numFmtId="14" xfId="0" applyAlignment="1" applyBorder="1" applyFont="1" applyNumberFormat="1">
      <alignment horizontal="center"/>
    </xf>
    <xf borderId="1" fillId="7" fontId="2" numFmtId="164" xfId="0" applyAlignment="1" applyBorder="1" applyFill="1" applyFont="1" applyNumberFormat="1">
      <alignment horizontal="center"/>
    </xf>
    <xf borderId="1" fillId="8" fontId="2" numFmtId="164" xfId="0" applyBorder="1" applyFill="1" applyFont="1" applyNumberFormat="1"/>
    <xf borderId="0" fillId="0" fontId="2" numFmtId="164" xfId="0" applyFont="1" applyNumberFormat="1"/>
    <xf borderId="3" fillId="9" fontId="2" numFmtId="164" xfId="0" applyAlignment="1" applyBorder="1" applyFill="1" applyFont="1" applyNumberFormat="1">
      <alignment horizontal="center"/>
    </xf>
    <xf borderId="1" fillId="8" fontId="2" numFmtId="164" xfId="0" applyAlignment="1" applyBorder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Font="1" applyNumberFormat="1"/>
    <xf borderId="3" fillId="0" fontId="4" numFmtId="166" xfId="0" applyBorder="1" applyFont="1" applyNumberFormat="1"/>
    <xf borderId="3" fillId="0" fontId="4" numFmtId="166" xfId="0" applyAlignment="1" applyBorder="1" applyFont="1" applyNumberFormat="1">
      <alignment horizontal="center"/>
    </xf>
    <xf borderId="3" fillId="0" fontId="7" numFmtId="14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/>
    </xf>
    <xf borderId="3" fillId="0" fontId="7" numFmtId="3" xfId="0" applyAlignment="1" applyBorder="1" applyFont="1" applyNumberFormat="1">
      <alignment horizontal="center" vertical="center"/>
    </xf>
    <xf borderId="3" fillId="0" fontId="7" numFmtId="164" xfId="0" applyAlignment="1" applyBorder="1" applyFont="1" applyNumberFormat="1">
      <alignment horizontal="center"/>
    </xf>
    <xf borderId="3" fillId="0" fontId="8" numFmtId="164" xfId="0" applyAlignment="1" applyBorder="1" applyFont="1" applyNumberFormat="1">
      <alignment horizontal="center"/>
    </xf>
    <xf borderId="3" fillId="0" fontId="7" numFmtId="164" xfId="0" applyAlignment="1" applyBorder="1" applyFont="1" applyNumberFormat="1">
      <alignment horizontal="center" vertical="center"/>
    </xf>
    <xf borderId="3" fillId="0" fontId="7" numFmtId="164" xfId="0" applyBorder="1" applyFont="1" applyNumberFormat="1"/>
    <xf borderId="3" fillId="0" fontId="3" numFmtId="1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4" xfId="0" applyBorder="1" applyFont="1" applyNumberFormat="1"/>
    <xf borderId="3" fillId="0" fontId="1" numFmtId="0" xfId="0" applyAlignment="1" applyBorder="1" applyFont="1">
      <alignment horizontal="center"/>
    </xf>
    <xf borderId="3" fillId="0" fontId="3" numFmtId="3" xfId="0" applyAlignment="1" applyBorder="1" applyFont="1" applyNumberFormat="1">
      <alignment horizont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shrinkToFit="0" vertical="center" wrapText="1"/>
    </xf>
    <xf borderId="9" fillId="2" fontId="2" numFmtId="3" xfId="0" applyAlignment="1" applyBorder="1" applyFont="1" applyNumberFormat="1">
      <alignment horizontal="center" vertical="center"/>
    </xf>
    <xf borderId="9" fillId="2" fontId="2" numFmtId="165" xfId="0" applyAlignment="1" applyBorder="1" applyFont="1" applyNumberFormat="1">
      <alignment horizontal="center" vertical="center"/>
    </xf>
    <xf borderId="10" fillId="2" fontId="2" numFmtId="165" xfId="0" applyAlignment="1" applyBorder="1" applyFont="1" applyNumberFormat="1">
      <alignment horizontal="center" vertical="center"/>
    </xf>
    <xf borderId="0" fillId="0" fontId="3" numFmtId="16" xfId="0" applyAlignment="1" applyFont="1" applyNumberFormat="1">
      <alignment horizontal="center" vertical="center"/>
    </xf>
    <xf borderId="0" fillId="0" fontId="3" numFmtId="16" xfId="0" applyAlignment="1" applyFont="1" applyNumberFormat="1">
      <alignment horizontal="center"/>
    </xf>
    <xf borderId="0" fillId="0" fontId="3" numFmtId="3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3" numFmtId="3" xfId="0" applyFont="1" applyNumberForma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horizontal="center" vertical="center"/>
    </xf>
    <xf borderId="0" fillId="0" fontId="3" numFmtId="166" xfId="0" applyFont="1" applyNumberFormat="1"/>
    <xf borderId="0" fillId="0" fontId="3" numFmtId="167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3" numFmtId="167" xfId="0" applyFont="1" applyNumberFormat="1"/>
    <xf borderId="0" fillId="0" fontId="3" numFmtId="167" xfId="0" applyAlignment="1" applyFont="1" applyNumberFormat="1">
      <alignment horizontal="center" vertical="center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16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4" xfId="0" applyFont="1" applyNumberFormat="1"/>
    <xf borderId="0" fillId="0" fontId="1" numFmtId="0" xfId="0" applyAlignment="1" applyFont="1">
      <alignment horizontal="center" readingOrder="0"/>
    </xf>
    <xf borderId="0" fillId="0" fontId="10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167" xfId="0" applyFont="1" applyNumberFormat="1"/>
    <xf borderId="0" fillId="0" fontId="1" numFmtId="0" xfId="0" applyAlignment="1" applyFon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readingOrder="0" vertical="bottom"/>
    </xf>
    <xf borderId="0" fillId="0" fontId="11" numFmtId="164" xfId="0" applyAlignment="1" applyFont="1" applyNumberFormat="1">
      <alignment readingOrder="0"/>
    </xf>
    <xf borderId="1" fillId="2" fontId="12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wrapText="1"/>
    </xf>
    <xf borderId="1" fillId="2" fontId="12" numFmtId="3" xfId="0" applyAlignment="1" applyBorder="1" applyFont="1" applyNumberFormat="1">
      <alignment horizontal="center"/>
    </xf>
    <xf borderId="1" fillId="2" fontId="12" numFmtId="164" xfId="0" applyAlignment="1" applyBorder="1" applyFont="1" applyNumberFormat="1">
      <alignment horizontal="center"/>
    </xf>
    <xf borderId="1" fillId="2" fontId="12" numFmtId="165" xfId="0" applyAlignment="1" applyBorder="1" applyFont="1" applyNumberFormat="1">
      <alignment horizontal="center"/>
    </xf>
    <xf borderId="1" fillId="2" fontId="12" numFmtId="167" xfId="0" applyAlignment="1" applyBorder="1" applyFont="1" applyNumberFormat="1">
      <alignment horizontal="center"/>
    </xf>
    <xf borderId="0" fillId="0" fontId="3" numFmtId="1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11" numFmtId="167" xfId="0" applyAlignment="1" applyFont="1" applyNumberFormat="1">
      <alignment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11" numFmtId="167" xfId="0" applyFont="1" applyNumberFormat="1"/>
    <xf borderId="0" fillId="0" fontId="11" numFmtId="167" xfId="0" applyAlignment="1" applyFont="1" applyNumberFormat="1">
      <alignment readingOrder="0"/>
    </xf>
    <xf borderId="0" fillId="0" fontId="11" numFmtId="3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9" fontId="1" numFmtId="164" xfId="0" applyAlignment="1" applyFont="1" applyNumberFormat="1">
      <alignment horizontal="center" readingOrder="0"/>
    </xf>
    <xf borderId="2" fillId="2" fontId="2" numFmtId="167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/>
    </xf>
    <xf borderId="3" fillId="0" fontId="4" numFmtId="167" xfId="0" applyAlignment="1" applyBorder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1" fillId="4" fontId="2" numFmtId="167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3" fillId="4" fontId="2" numFmtId="167" xfId="0" applyAlignment="1" applyBorder="1" applyFont="1" applyNumberFormat="1">
      <alignment horizontal="center"/>
    </xf>
    <xf borderId="11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3" xfId="0" applyAlignment="1" applyBorder="1" applyFont="1" applyNumberFormat="1">
      <alignment horizontal="center" vertical="center"/>
    </xf>
    <xf borderId="11" fillId="2" fontId="2" numFmtId="167" xfId="0" applyAlignment="1" applyBorder="1" applyFont="1" applyNumberFormat="1">
      <alignment horizontal="center" vertical="center"/>
    </xf>
    <xf borderId="11" fillId="2" fontId="2" numFmtId="164" xfId="0" applyAlignment="1" applyBorder="1" applyFont="1" applyNumberFormat="1">
      <alignment horizontal="center" vertical="center"/>
    </xf>
    <xf borderId="7" fillId="0" fontId="4" numFmtId="167" xfId="0" applyAlignment="1" applyBorder="1" applyFont="1" applyNumberFormat="1">
      <alignment horizontal="center"/>
    </xf>
    <xf borderId="1" fillId="8" fontId="2" numFmtId="167" xfId="0" applyAlignment="1" applyBorder="1" applyFont="1" applyNumberFormat="1">
      <alignment horizontal="center"/>
    </xf>
    <xf borderId="0" fillId="0" fontId="2" numFmtId="0" xfId="0" applyFont="1"/>
    <xf borderId="0" fillId="0" fontId="11" numFmtId="0" xfId="0" applyAlignment="1" applyFont="1">
      <alignment horizontal="center"/>
    </xf>
    <xf borderId="0" fillId="0" fontId="11" numFmtId="3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11" numFmtId="167" xfId="0" applyAlignment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0" fillId="0" fontId="13" numFmtId="0" xfId="0" applyFont="1"/>
    <xf borderId="3" fillId="0" fontId="4" numFmtId="167" xfId="0" applyAlignment="1" applyBorder="1" applyFont="1" applyNumberFormat="1">
      <alignment horizontal="center" vertical="center"/>
    </xf>
    <xf borderId="0" fillId="0" fontId="7" numFmtId="14" xfId="0" applyAlignment="1" applyFont="1" applyNumberFormat="1">
      <alignment horizontal="center"/>
    </xf>
    <xf borderId="3" fillId="0" fontId="7" numFmtId="167" xfId="0" applyAlignment="1" applyBorder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3" fillId="0" fontId="3" numFmtId="3" xfId="0" applyAlignment="1" applyBorder="1" applyFont="1" applyNumberFormat="1">
      <alignment horizontal="center" vertical="center"/>
    </xf>
    <xf borderId="3" fillId="0" fontId="3" numFmtId="167" xfId="0" applyAlignment="1" applyBorder="1" applyFont="1" applyNumberFormat="1">
      <alignment horizontal="center"/>
    </xf>
    <xf borderId="3" fillId="0" fontId="1" numFmtId="166" xfId="0" applyAlignment="1" applyBorder="1" applyFont="1" applyNumberFormat="1">
      <alignment horizontal="center"/>
    </xf>
    <xf borderId="3" fillId="0" fontId="3" numFmtId="166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1" fillId="7" fontId="2" numFmtId="166" xfId="0" applyAlignment="1" applyBorder="1" applyFont="1" applyNumberFormat="1">
      <alignment horizontal="center"/>
    </xf>
    <xf borderId="1" fillId="6" fontId="2" numFmtId="166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3" fillId="2" fontId="1" numFmtId="3" xfId="0" applyAlignment="1" applyBorder="1" applyFont="1" applyNumberFormat="1">
      <alignment horizontal="center" vertical="center"/>
    </xf>
    <xf borderId="3" fillId="2" fontId="1" numFmtId="167" xfId="0" applyAlignment="1" applyBorder="1" applyFont="1" applyNumberFormat="1">
      <alignment horizontal="center" vertical="center"/>
    </xf>
    <xf borderId="3" fillId="2" fontId="1" numFmtId="165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1" fillId="5" fontId="2" numFmtId="167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/>
    </xf>
    <xf borderId="1" fillId="10" fontId="3" numFmtId="0" xfId="0" applyAlignment="1" applyBorder="1" applyFill="1" applyFont="1">
      <alignment horizontal="center"/>
    </xf>
    <xf borderId="0" fillId="0" fontId="5" numFmtId="167" xfId="0" applyFont="1" applyNumberFormat="1"/>
    <xf borderId="0" fillId="0" fontId="11" numFmtId="164" xfId="0" applyFont="1" applyNumberForma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horizontal="center" readingOrder="0" vertical="center"/>
    </xf>
    <xf borderId="0" fillId="0" fontId="11" numFmtId="167" xfId="0" applyAlignment="1" applyFont="1" applyNumberFormat="1">
      <alignment horizontal="center" readingOrder="0"/>
    </xf>
    <xf borderId="0" fillId="0" fontId="15" numFmtId="167" xfId="0" applyAlignment="1" applyFont="1" applyNumberFormat="1">
      <alignment readingOrder="0"/>
    </xf>
    <xf borderId="0" fillId="0" fontId="3" numFmtId="16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3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left" readingOrder="0"/>
    </xf>
    <xf borderId="0" fillId="0" fontId="11" numFmtId="164" xfId="0" applyAlignment="1" applyFont="1" applyNumberFormat="1">
      <alignment horizontal="center" readingOrder="0"/>
    </xf>
    <xf borderId="1" fillId="7" fontId="12" numFmtId="164" xfId="0" applyAlignment="1" applyBorder="1" applyFont="1" applyNumberFormat="1">
      <alignment horizontal="center" vertical="bottom"/>
    </xf>
    <xf borderId="1" fillId="5" fontId="12" numFmtId="164" xfId="0" applyAlignment="1" applyBorder="1" applyFont="1" applyNumberFormat="1">
      <alignment horizontal="center" vertical="bottom"/>
    </xf>
    <xf borderId="1" fillId="6" fontId="12" numFmtId="164" xfId="0" applyAlignment="1" applyBorder="1" applyFont="1" applyNumberFormat="1">
      <alignment horizontal="center" vertical="bottom"/>
    </xf>
    <xf borderId="0" fillId="0" fontId="11" numFmtId="164" xfId="0" applyAlignment="1" applyFont="1" applyNumberFormat="1">
      <alignment vertical="bottom"/>
    </xf>
    <xf borderId="1" fillId="0" fontId="2" numFmtId="164" xfId="0" applyAlignment="1" applyBorder="1" applyFont="1" applyNumberFormat="1">
      <alignment horizontal="center"/>
    </xf>
    <xf borderId="0" fillId="9" fontId="11" numFmtId="167" xfId="0" applyAlignment="1" applyFont="1" applyNumberFormat="1">
      <alignment readingOrder="0"/>
    </xf>
    <xf borderId="0" fillId="9" fontId="3" numFmtId="164" xfId="0" applyAlignment="1" applyFont="1" applyNumberFormat="1">
      <alignment horizontal="center" readingOrder="0" vertical="center"/>
    </xf>
    <xf borderId="1" fillId="11" fontId="3" numFmtId="166" xfId="0" applyBorder="1" applyFill="1" applyFont="1" applyNumberFormat="1"/>
    <xf borderId="1" fillId="11" fontId="1" numFmtId="0" xfId="0" applyAlignment="1" applyBorder="1" applyFont="1">
      <alignment horizontal="center"/>
    </xf>
    <xf borderId="1" fillId="11" fontId="3" numFmtId="167" xfId="0" applyBorder="1" applyFont="1" applyNumberFormat="1"/>
    <xf borderId="1" fillId="6" fontId="4" numFmtId="164" xfId="0" applyBorder="1" applyFont="1" applyNumberFormat="1"/>
    <xf borderId="0" fillId="0" fontId="1" numFmtId="166" xfId="0" applyAlignment="1" applyFont="1" applyNumberFormat="1">
      <alignment horizontal="center"/>
    </xf>
    <xf borderId="0" fillId="11" fontId="2" numFmtId="167" xfId="0" applyAlignment="1" applyFont="1" applyNumberFormat="1">
      <alignment horizontal="center"/>
    </xf>
    <xf borderId="0" fillId="11" fontId="3" numFmtId="167" xfId="0" applyFont="1" applyNumberFormat="1"/>
    <xf borderId="0" fillId="0" fontId="14" numFmtId="167" xfId="0" applyAlignment="1" applyFont="1" applyNumberFormat="1">
      <alignment readingOrder="0"/>
    </xf>
    <xf borderId="1" fillId="6" fontId="2" numFmtId="164" xfId="0" applyBorder="1" applyFont="1" applyNumberFormat="1"/>
    <xf borderId="0" fillId="0" fontId="1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/>
    </xf>
    <xf borderId="0" fillId="6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" fillId="10" fontId="2" numFmtId="164" xfId="0" applyAlignment="1" applyBorder="1" applyFont="1" applyNumberFormat="1">
      <alignment horizontal="center"/>
    </xf>
    <xf borderId="1" fillId="10" fontId="2" numFmtId="167" xfId="0" applyAlignment="1" applyBorder="1" applyFont="1" applyNumberFormat="1">
      <alignment horizontal="center"/>
    </xf>
    <xf borderId="0" fillId="0" fontId="11" numFmtId="0" xfId="0" applyFont="1"/>
    <xf borderId="0" fillId="0" fontId="13" numFmtId="0" xfId="0" applyAlignment="1" applyFont="1">
      <alignment horizontal="center" vertical="center"/>
    </xf>
    <xf borderId="1" fillId="10" fontId="3" numFmtId="167" xfId="0" applyBorder="1" applyFont="1" applyNumberFormat="1"/>
    <xf borderId="0" fillId="0" fontId="11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bottom"/>
    </xf>
    <xf borderId="2" fillId="2" fontId="4" numFmtId="3" xfId="0" applyAlignment="1" applyBorder="1" applyFont="1" applyNumberForma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2" numFmtId="164" xfId="0" applyBorder="1" applyFont="1" applyNumberFormat="1"/>
    <xf borderId="1" fillId="5" fontId="2" numFmtId="164" xfId="0" applyBorder="1" applyFont="1" applyNumberFormat="1"/>
    <xf borderId="1" fillId="7" fontId="2" numFmtId="164" xfId="0" applyBorder="1" applyFont="1" applyNumberFormat="1"/>
    <xf borderId="3" fillId="4" fontId="2" numFmtId="164" xfId="0" applyBorder="1" applyFont="1" applyNumberFormat="1"/>
    <xf borderId="5" fillId="2" fontId="2" numFmtId="167" xfId="0" applyAlignment="1" applyBorder="1" applyFont="1" applyNumberFormat="1">
      <alignment horizontal="center" vertical="center"/>
    </xf>
    <xf borderId="5" fillId="2" fontId="4" numFmtId="3" xfId="0" applyAlignment="1" applyBorder="1" applyFont="1" applyNumberFormat="1">
      <alignment horizontal="center" vertical="center"/>
    </xf>
    <xf borderId="7" fillId="0" fontId="4" numFmtId="164" xfId="0" applyBorder="1" applyFont="1" applyNumberFormat="1"/>
    <xf borderId="3" fillId="0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shrinkToFit="0" vertical="center" wrapText="1"/>
    </xf>
    <xf borderId="13" fillId="2" fontId="2" numFmtId="3" xfId="0" applyAlignment="1" applyBorder="1" applyFont="1" applyNumberFormat="1">
      <alignment horizontal="center" vertical="center"/>
    </xf>
    <xf borderId="13" fillId="2" fontId="2" numFmtId="164" xfId="0" applyAlignment="1" applyBorder="1" applyFont="1" applyNumberFormat="1">
      <alignment horizontal="center" vertical="center"/>
    </xf>
    <xf borderId="13" fillId="2" fontId="2" numFmtId="165" xfId="0" applyAlignment="1" applyBorder="1" applyFont="1" applyNumberFormat="1">
      <alignment horizontal="center" vertical="center"/>
    </xf>
    <xf borderId="13" fillId="2" fontId="2" numFmtId="167" xfId="0" applyAlignment="1" applyBorder="1" applyFont="1" applyNumberFormat="1">
      <alignment horizontal="center" vertical="center"/>
    </xf>
    <xf borderId="13" fillId="2" fontId="4" numFmtId="3" xfId="0" applyAlignment="1" applyBorder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vertical="center"/>
    </xf>
    <xf borderId="3" fillId="6" fontId="4" numFmtId="14" xfId="0" applyAlignment="1" applyBorder="1" applyFont="1" applyNumberFormat="1">
      <alignment horizontal="center"/>
    </xf>
    <xf borderId="3" fillId="6" fontId="4" numFmtId="0" xfId="0" applyAlignment="1" applyBorder="1" applyFont="1">
      <alignment horizontal="center"/>
    </xf>
    <xf borderId="3" fillId="6" fontId="4" numFmtId="3" xfId="0" applyAlignment="1" applyBorder="1" applyFont="1" applyNumberFormat="1">
      <alignment horizontal="center" vertical="center"/>
    </xf>
    <xf borderId="3" fillId="6" fontId="4" numFmtId="164" xfId="0" applyAlignment="1" applyBorder="1" applyFont="1" applyNumberFormat="1">
      <alignment horizontal="center"/>
    </xf>
    <xf borderId="3" fillId="6" fontId="2" numFmtId="164" xfId="0" applyAlignment="1" applyBorder="1" applyFont="1" applyNumberFormat="1">
      <alignment horizontal="center" vertical="center"/>
    </xf>
    <xf borderId="3" fillId="6" fontId="4" numFmtId="167" xfId="0" applyAlignment="1" applyBorder="1" applyFont="1" applyNumberFormat="1">
      <alignment horizontal="center"/>
    </xf>
    <xf borderId="3" fillId="6" fontId="4" numFmtId="164" xfId="0" applyAlignment="1" applyBorder="1" applyFont="1" applyNumberFormat="1">
      <alignment horizontal="center" vertical="center"/>
    </xf>
    <xf borderId="3" fillId="6" fontId="4" numFmtId="164" xfId="0" applyBorder="1" applyFont="1" applyNumberFormat="1"/>
    <xf borderId="3" fillId="0" fontId="2" numFmtId="166" xfId="0" applyAlignment="1" applyBorder="1" applyFont="1" applyNumberFormat="1">
      <alignment horizontal="center" vertical="center"/>
    </xf>
    <xf borderId="1" fillId="7" fontId="2" numFmtId="166" xfId="0" applyBorder="1" applyFont="1" applyNumberFormat="1"/>
    <xf borderId="1" fillId="6" fontId="2" numFmtId="166" xfId="0" applyBorder="1" applyFont="1" applyNumberFormat="1"/>
    <xf borderId="3" fillId="0" fontId="4" numFmtId="166" xfId="0" applyAlignment="1" applyBorder="1" applyFont="1" applyNumberFormat="1">
      <alignment horizontal="center" vertical="center"/>
    </xf>
    <xf borderId="3" fillId="9" fontId="2" numFmtId="164" xfId="0" applyBorder="1" applyFont="1" applyNumberFormat="1"/>
    <xf borderId="0" fillId="0" fontId="2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3" fillId="0" fontId="1" numFmtId="166" xfId="0" applyAlignment="1" applyBorder="1" applyFont="1" applyNumberFormat="1">
      <alignment horizontal="center" vertical="center"/>
    </xf>
    <xf borderId="3" fillId="0" fontId="3" numFmtId="166" xfId="0" applyAlignment="1" applyBorder="1" applyFont="1" applyNumberFormat="1">
      <alignment horizontal="center" vertical="center"/>
    </xf>
    <xf borderId="3" fillId="0" fontId="3" numFmtId="166" xfId="0" applyBorder="1" applyFont="1" applyNumberFormat="1"/>
    <xf borderId="3" fillId="0" fontId="3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3" fillId="2" fontId="2" numFmtId="3" xfId="0" applyAlignment="1" applyBorder="1" applyFont="1" applyNumberFormat="1">
      <alignment horizontal="center" vertical="center"/>
    </xf>
    <xf borderId="3" fillId="2" fontId="2" numFmtId="164" xfId="0" applyAlignment="1" applyBorder="1" applyFont="1" applyNumberFormat="1">
      <alignment horizontal="center" vertical="center"/>
    </xf>
    <xf borderId="3" fillId="2" fontId="2" numFmtId="165" xfId="0" applyAlignment="1" applyBorder="1" applyFont="1" applyNumberFormat="1">
      <alignment horizontal="center" vertical="center"/>
    </xf>
    <xf borderId="3" fillId="2" fontId="2" numFmtId="167" xfId="0" applyAlignment="1" applyBorder="1" applyFont="1" applyNumberFormat="1">
      <alignment horizontal="center" vertical="center"/>
    </xf>
    <xf borderId="3" fillId="2" fontId="4" numFmtId="3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1" fillId="2" fontId="4" numFmtId="3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/>
    </xf>
    <xf borderId="1" fillId="10" fontId="11" numFmtId="0" xfId="0" applyAlignment="1" applyBorder="1" applyFont="1">
      <alignment horizontal="center" vertical="center"/>
    </xf>
    <xf borderId="0" fillId="0" fontId="4" numFmtId="167" xfId="0" applyFont="1" applyNumberFormat="1"/>
    <xf borderId="0" fillId="0" fontId="13" numFmtId="167" xfId="0" applyAlignment="1" applyFont="1" applyNumberFormat="1">
      <alignment horizontal="center" readingOrder="0"/>
    </xf>
    <xf borderId="0" fillId="0" fontId="11" numFmtId="0" xfId="0" applyAlignment="1" applyFont="1">
      <alignment horizontal="center" vertical="bottom"/>
    </xf>
    <xf borderId="0" fillId="0" fontId="11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readingOrder="0" vertical="center"/>
    </xf>
    <xf borderId="0" fillId="12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9" fontId="13" numFmtId="0" xfId="0" applyAlignment="1" applyFont="1">
      <alignment horizontal="center"/>
    </xf>
    <xf borderId="0" fillId="9" fontId="3" numFmtId="0" xfId="0" applyAlignment="1" applyFont="1">
      <alignment horizontal="center" readingOrder="0"/>
    </xf>
    <xf borderId="1" fillId="7" fontId="1" numFmtId="164" xfId="0" applyAlignment="1" applyBorder="1" applyFont="1" applyNumberFormat="1">
      <alignment horizontal="center"/>
    </xf>
    <xf borderId="1" fillId="8" fontId="1" numFmtId="167" xfId="0" applyAlignment="1" applyBorder="1" applyFont="1" applyNumberFormat="1">
      <alignment horizontal="center"/>
    </xf>
    <xf borderId="1" fillId="6" fontId="1" numFmtId="164" xfId="0" applyAlignment="1" applyBorder="1" applyFont="1" applyNumberFormat="1">
      <alignment horizontal="center"/>
    </xf>
    <xf borderId="0" fillId="13" fontId="13" numFmtId="0" xfId="0" applyAlignment="1" applyFill="1" applyFont="1">
      <alignment horizontal="center" readingOrder="0" vertical="center"/>
    </xf>
    <xf borderId="0" fillId="13" fontId="3" numFmtId="0" xfId="0" applyAlignment="1" applyFont="1">
      <alignment horizontal="center" readingOrder="0"/>
    </xf>
    <xf borderId="0" fillId="13" fontId="3" numFmtId="0" xfId="0" applyAlignment="1" applyFont="1">
      <alignment horizontal="center"/>
    </xf>
    <xf borderId="0" fillId="0" fontId="15" numFmtId="167" xfId="0" applyFont="1" applyNumberFormat="1"/>
    <xf borderId="0" fillId="9" fontId="3" numFmtId="0" xfId="0" applyAlignment="1" applyFont="1">
      <alignment horizontal="center"/>
    </xf>
    <xf borderId="0" fillId="9" fontId="1" numFmtId="0" xfId="0" applyAlignment="1" applyFont="1">
      <alignment horizontal="center" readingOrder="0"/>
    </xf>
    <xf borderId="0" fillId="9" fontId="1" numFmtId="167" xfId="0" applyAlignment="1" applyFont="1" applyNumberFormat="1">
      <alignment horizontal="center" readingOrder="0"/>
    </xf>
    <xf borderId="1" fillId="7" fontId="1" numFmtId="167" xfId="0" applyAlignment="1" applyBorder="1" applyFont="1" applyNumberFormat="1">
      <alignment horizontal="center"/>
    </xf>
    <xf borderId="1" fillId="6" fontId="1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 vertical="center"/>
    </xf>
    <xf borderId="1" fillId="7" fontId="2" numFmtId="167" xfId="0" applyAlignment="1" applyBorder="1" applyFont="1" applyNumberFormat="1">
      <alignment horizontal="center"/>
    </xf>
    <xf borderId="1" fillId="6" fontId="2" numFmtId="167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right"/>
    </xf>
    <xf borderId="0" fillId="0" fontId="1" numFmtId="164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readingOrder="0"/>
    </xf>
    <xf borderId="0" fillId="0" fontId="11" numFmtId="167" xfId="0" applyAlignment="1" applyFont="1" applyNumberFormat="1">
      <alignment vertical="bottom"/>
    </xf>
    <xf borderId="1" fillId="2" fontId="12" numFmtId="0" xfId="0" applyAlignment="1" applyBorder="1" applyFont="1">
      <alignment horizontal="center"/>
    </xf>
    <xf borderId="1" fillId="2" fontId="12" numFmtId="0" xfId="0" applyAlignment="1" applyBorder="1" applyFont="1">
      <alignment horizontal="center" shrinkToFit="0" wrapText="1"/>
    </xf>
    <xf borderId="0" fillId="0" fontId="14" numFmtId="164" xfId="0" applyAlignment="1" applyFont="1" applyNumberFormat="1">
      <alignment readingOrder="0"/>
    </xf>
    <xf borderId="1" fillId="2" fontId="12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 readingOrder="0" vertical="bottom"/>
    </xf>
    <xf borderId="0" fillId="0" fontId="11" numFmtId="164" xfId="0" applyAlignment="1" applyFont="1" applyNumberFormat="1">
      <alignment readingOrder="0" vertical="bottom"/>
    </xf>
    <xf borderId="0" fillId="0" fontId="3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1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6" fontId="13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" fillId="11" fontId="2" numFmtId="165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readingOrder="0"/>
    </xf>
    <xf borderId="0" fillId="0" fontId="15" numFmtId="164" xfId="0" applyFont="1" applyNumberFormat="1"/>
    <xf borderId="1" fillId="0" fontId="1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0" fillId="0" fontId="10" numFmtId="164" xfId="0" applyFont="1" applyNumberFormat="1"/>
    <xf borderId="0" fillId="0" fontId="14" numFmtId="164" xfId="0" applyFont="1" applyNumberFormat="1"/>
    <xf borderId="0" fillId="0" fontId="14" numFmtId="167" xfId="0" applyFont="1" applyNumberFormat="1"/>
    <xf borderId="3" fillId="14" fontId="4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4" fontId="2" numFmtId="166" xfId="0" applyBorder="1" applyFont="1" applyNumberFormat="1"/>
    <xf borderId="3" fillId="0" fontId="4" numFmtId="1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166" xfId="0" applyAlignment="1" applyBorder="1" applyFont="1" applyNumberFormat="1">
      <alignment shrinkToFit="0" vertical="center" wrapText="1"/>
    </xf>
    <xf borderId="3" fillId="0" fontId="4" numFmtId="15" xfId="0" applyAlignment="1" applyBorder="1" applyFont="1" applyNumberFormat="1">
      <alignment horizontal="center"/>
    </xf>
    <xf borderId="0" fillId="0" fontId="2" numFmtId="166" xfId="0" applyFont="1" applyNumberFormat="1"/>
    <xf borderId="15" fillId="0" fontId="11" numFmtId="14" xfId="0" applyBorder="1" applyFont="1" applyNumberFormat="1"/>
    <xf borderId="15" fillId="0" fontId="11" numFmtId="0" xfId="0" applyBorder="1" applyFont="1"/>
    <xf borderId="15" fillId="0" fontId="2" numFmtId="166" xfId="0" applyBorder="1" applyFont="1" applyNumberFormat="1"/>
    <xf borderId="16" fillId="0" fontId="4" numFmtId="15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readingOrder="0"/>
    </xf>
    <xf borderId="3" fillId="0" fontId="4" numFmtId="166" xfId="0" applyAlignment="1" applyBorder="1" applyFont="1" applyNumberFormat="1">
      <alignment readingOrder="0"/>
    </xf>
    <xf borderId="7" fillId="0" fontId="16" numFmtId="0" xfId="0" applyBorder="1" applyFont="1"/>
    <xf borderId="1" fillId="11" fontId="11" numFmtId="0" xfId="0" applyBorder="1" applyFont="1"/>
    <xf borderId="0" fillId="0" fontId="14" numFmtId="0" xfId="0" applyFont="1"/>
    <xf borderId="0" fillId="0" fontId="11" numFmtId="16" xfId="0" applyAlignment="1" applyFont="1" applyNumberFormat="1">
      <alignment horizontal="center"/>
    </xf>
    <xf borderId="0" fillId="0" fontId="4" numFmtId="166" xfId="0" applyAlignment="1" applyFont="1" applyNumberFormat="1">
      <alignment readingOrder="0"/>
    </xf>
    <xf borderId="0" fillId="0" fontId="11" numFmtId="16" xfId="0" applyAlignment="1" applyFont="1" applyNumberFormat="1">
      <alignment horizontal="center" readingOrder="0"/>
    </xf>
    <xf borderId="0" fillId="10" fontId="3" numFmtId="0" xfId="0" applyAlignment="1" applyFont="1">
      <alignment horizontal="center"/>
    </xf>
    <xf borderId="0" fillId="9" fontId="3" numFmtId="166" xfId="0" applyFont="1" applyNumberFormat="1"/>
    <xf borderId="0" fillId="10" fontId="3" numFmtId="0" xfId="0" applyAlignment="1" applyFont="1">
      <alignment horizontal="center" readingOrder="0"/>
    </xf>
    <xf borderId="0" fillId="11" fontId="11" numFmtId="167" xfId="0" applyAlignment="1" applyFont="1" applyNumberFormat="1">
      <alignment readingOrder="0"/>
    </xf>
    <xf borderId="17" fillId="2" fontId="2" numFmtId="165" xfId="0" applyAlignment="1" applyBorder="1" applyFont="1" applyNumberFormat="1">
      <alignment horizontal="center" vertical="center"/>
    </xf>
    <xf borderId="18" fillId="2" fontId="2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vertical="center"/>
    </xf>
    <xf borderId="19" fillId="0" fontId="4" numFmtId="3" xfId="0" applyAlignment="1" applyBorder="1" applyFont="1" applyNumberFormat="1">
      <alignment horizontal="center" vertical="center"/>
    </xf>
    <xf borderId="19" fillId="0" fontId="4" numFmtId="164" xfId="0" applyAlignment="1" applyBorder="1" applyFont="1" applyNumberFormat="1">
      <alignment horizontal="center" vertical="center"/>
    </xf>
    <xf borderId="20" fillId="0" fontId="4" numFmtId="164" xfId="0" applyBorder="1" applyFont="1" applyNumberFormat="1"/>
    <xf borderId="7" fillId="0" fontId="4" numFmtId="0" xfId="0" applyBorder="1" applyFont="1"/>
    <xf borderId="21" fillId="2" fontId="2" numFmtId="165" xfId="0" applyAlignment="1" applyBorder="1" applyFont="1" applyNumberFormat="1">
      <alignment horizontal="center" vertical="center"/>
    </xf>
    <xf borderId="22" fillId="2" fontId="2" numFmtId="164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3" fillId="0" fontId="17" numFmtId="14" xfId="0" applyAlignment="1" applyBorder="1" applyFont="1" applyNumberFormat="1">
      <alignment horizontal="center"/>
    </xf>
    <xf borderId="3" fillId="0" fontId="17" numFmtId="0" xfId="0" applyAlignment="1" applyBorder="1" applyFont="1">
      <alignment horizontal="center"/>
    </xf>
    <xf borderId="3" fillId="0" fontId="17" numFmtId="3" xfId="0" applyAlignment="1" applyBorder="1" applyFont="1" applyNumberFormat="1">
      <alignment horizontal="center" vertical="center"/>
    </xf>
    <xf borderId="3" fillId="0" fontId="17" numFmtId="164" xfId="0" applyAlignment="1" applyBorder="1" applyFont="1" applyNumberFormat="1">
      <alignment horizontal="center"/>
    </xf>
    <xf borderId="3" fillId="0" fontId="17" numFmtId="164" xfId="0" applyBorder="1" applyFont="1" applyNumberFormat="1"/>
    <xf borderId="20" fillId="0" fontId="17" numFmtId="164" xfId="0" applyBorder="1" applyFont="1" applyNumberFormat="1"/>
    <xf borderId="3" fillId="15" fontId="4" numFmtId="14" xfId="0" applyAlignment="1" applyBorder="1" applyFill="1" applyFont="1" applyNumberFormat="1">
      <alignment horizontal="center"/>
    </xf>
    <xf borderId="3" fillId="15" fontId="4" numFmtId="0" xfId="0" applyAlignment="1" applyBorder="1" applyFont="1">
      <alignment horizontal="center"/>
    </xf>
    <xf borderId="3" fillId="15" fontId="4" numFmtId="3" xfId="0" applyAlignment="1" applyBorder="1" applyFont="1" applyNumberFormat="1">
      <alignment horizontal="center" vertical="center"/>
    </xf>
    <xf borderId="3" fillId="15" fontId="4" numFmtId="166" xfId="0" applyBorder="1" applyFont="1" applyNumberFormat="1"/>
    <xf borderId="3" fillId="15" fontId="4" numFmtId="166" xfId="0" applyAlignment="1" applyBorder="1" applyFont="1" applyNumberFormat="1">
      <alignment horizontal="center"/>
    </xf>
    <xf borderId="3" fillId="16" fontId="4" numFmtId="0" xfId="0" applyAlignment="1" applyBorder="1" applyFill="1" applyFont="1">
      <alignment horizontal="center"/>
    </xf>
    <xf borderId="1" fillId="8" fontId="2" numFmtId="166" xfId="0" applyBorder="1" applyFont="1" applyNumberFormat="1"/>
    <xf borderId="3" fillId="17" fontId="4" numFmtId="14" xfId="0" applyAlignment="1" applyBorder="1" applyFill="1" applyFont="1" applyNumberFormat="1">
      <alignment horizontal="center"/>
    </xf>
    <xf borderId="3" fillId="17" fontId="4" numFmtId="0" xfId="0" applyAlignment="1" applyBorder="1" applyFont="1">
      <alignment horizontal="center"/>
    </xf>
    <xf borderId="3" fillId="17" fontId="4" numFmtId="3" xfId="0" applyAlignment="1" applyBorder="1" applyFont="1" applyNumberFormat="1">
      <alignment horizontal="center" vertical="center"/>
    </xf>
    <xf borderId="3" fillId="17" fontId="4" numFmtId="166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 vertical="center"/>
    </xf>
    <xf borderId="0" fillId="0" fontId="11" numFmtId="166" xfId="0" applyFont="1" applyNumberFormat="1"/>
    <xf borderId="0" fillId="0" fontId="11" numFmtId="169" xfId="0" applyFont="1" applyNumberFormat="1"/>
    <xf borderId="0" fillId="0" fontId="2" numFmtId="14" xfId="0" applyAlignment="1" applyFont="1" applyNumberFormat="1">
      <alignment horizontal="center"/>
    </xf>
    <xf borderId="3" fillId="0" fontId="4" numFmtId="164" xfId="0" applyAlignment="1" applyBorder="1" applyFont="1" applyNumberFormat="1">
      <alignment readingOrder="0"/>
    </xf>
    <xf borderId="11" fillId="2" fontId="2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7" fillId="0" fontId="2" numFmtId="3" xfId="0" applyAlignment="1" applyBorder="1" applyFont="1" applyNumberFormat="1">
      <alignment horizontal="center" vertical="center"/>
    </xf>
    <xf borderId="7" fillId="0" fontId="2" numFmtId="165" xfId="0" applyAlignment="1" applyBorder="1" applyFont="1" applyNumberFormat="1">
      <alignment horizontal="center" vertical="center"/>
    </xf>
    <xf borderId="3" fillId="0" fontId="7" numFmtId="166" xfId="0" applyBorder="1" applyFont="1" applyNumberFormat="1"/>
    <xf borderId="3" fillId="0" fontId="7" numFmtId="166" xfId="0" applyAlignment="1" applyBorder="1" applyFont="1" applyNumberFormat="1">
      <alignment horizontal="center"/>
    </xf>
    <xf borderId="3" fillId="0" fontId="7" numFmtId="0" xfId="0" applyBorder="1" applyFont="1"/>
    <xf borderId="19" fillId="0" fontId="3" numFmtId="166" xfId="0" applyBorder="1" applyFont="1" applyNumberFormat="1"/>
    <xf borderId="1" fillId="8" fontId="1" numFmtId="164" xfId="0" applyAlignment="1" applyBorder="1" applyFont="1" applyNumberFormat="1">
      <alignment horizontal="center"/>
    </xf>
    <xf borderId="0" fillId="0" fontId="18" numFmtId="0" xfId="0" applyFont="1"/>
    <xf borderId="0" fillId="0" fontId="9" numFmtId="0" xfId="0" applyFont="1"/>
    <xf borderId="1" fillId="11" fontId="3" numFmtId="0" xfId="0" applyAlignment="1" applyBorder="1" applyFont="1">
      <alignment horizontal="center"/>
    </xf>
    <xf borderId="0" fillId="0" fontId="19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4.71"/>
    <col customWidth="1" min="4" max="4" width="13.14"/>
    <col customWidth="1" min="5" max="5" width="19.43"/>
    <col customWidth="1" min="6" max="6" width="28.57"/>
    <col customWidth="1" min="7" max="7" width="11.71"/>
    <col customWidth="1" min="8" max="8" width="20.14"/>
    <col customWidth="1" min="9" max="9" width="11.57"/>
    <col customWidth="1" min="10" max="10" width="14.43"/>
    <col customWidth="1" min="11" max="11" width="13.29"/>
    <col customWidth="1" min="12" max="12" width="15.57"/>
    <col customWidth="1" min="13" max="13" width="15.71"/>
    <col customWidth="1" min="14" max="15" width="8.71"/>
  </cols>
  <sheetData>
    <row r="1" ht="30.0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5" t="s">
        <v>6</v>
      </c>
      <c r="I1" s="5"/>
      <c r="J1" s="5" t="s">
        <v>7</v>
      </c>
      <c r="K1" s="5"/>
      <c r="L1" s="6" t="s">
        <v>8</v>
      </c>
      <c r="M1" s="5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9">
        <v>45078.0</v>
      </c>
      <c r="C2" s="10" t="s">
        <v>10</v>
      </c>
      <c r="D2" s="11" t="s">
        <v>11</v>
      </c>
      <c r="E2" s="11" t="s">
        <v>12</v>
      </c>
      <c r="F2" s="11" t="s">
        <v>13</v>
      </c>
      <c r="G2" s="12">
        <v>9000.0</v>
      </c>
      <c r="H2" s="13">
        <v>1400000.0</v>
      </c>
      <c r="I2" s="14"/>
      <c r="J2" s="15">
        <v>900000.0</v>
      </c>
      <c r="K2" s="15"/>
      <c r="L2" s="13">
        <f t="shared" ref="L2:L17" si="1">H2-J2</f>
        <v>500000</v>
      </c>
      <c r="M2" s="16">
        <v>450000.0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9">
        <v>45080.0</v>
      </c>
      <c r="C3" s="10" t="s">
        <v>10</v>
      </c>
      <c r="D3" s="11" t="s">
        <v>11</v>
      </c>
      <c r="E3" s="11" t="s">
        <v>12</v>
      </c>
      <c r="F3" s="11" t="s">
        <v>14</v>
      </c>
      <c r="G3" s="12">
        <v>9000.0</v>
      </c>
      <c r="H3" s="13">
        <v>1400000.0</v>
      </c>
      <c r="I3" s="14"/>
      <c r="J3" s="15">
        <v>900000.0</v>
      </c>
      <c r="K3" s="15"/>
      <c r="L3" s="13">
        <f t="shared" si="1"/>
        <v>500000</v>
      </c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9">
        <v>45082.0</v>
      </c>
      <c r="C4" s="10" t="s">
        <v>10</v>
      </c>
      <c r="D4" s="11" t="s">
        <v>11</v>
      </c>
      <c r="E4" s="11" t="s">
        <v>12</v>
      </c>
      <c r="F4" s="11" t="s">
        <v>13</v>
      </c>
      <c r="G4" s="12">
        <v>9000.0</v>
      </c>
      <c r="H4" s="13">
        <v>1400000.0</v>
      </c>
      <c r="I4" s="14"/>
      <c r="J4" s="15">
        <v>900000.0</v>
      </c>
      <c r="K4" s="15"/>
      <c r="L4" s="13">
        <f t="shared" si="1"/>
        <v>500000</v>
      </c>
      <c r="M4" s="1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9">
        <v>45083.0</v>
      </c>
      <c r="C5" s="10" t="s">
        <v>10</v>
      </c>
      <c r="D5" s="11" t="s">
        <v>11</v>
      </c>
      <c r="E5" s="11" t="s">
        <v>15</v>
      </c>
      <c r="F5" s="12" t="s">
        <v>16</v>
      </c>
      <c r="G5" s="12">
        <v>9000.0</v>
      </c>
      <c r="H5" s="13">
        <v>1215000.0</v>
      </c>
      <c r="I5" s="14"/>
      <c r="J5" s="15">
        <v>700000.0</v>
      </c>
      <c r="K5" s="15"/>
      <c r="L5" s="13">
        <f t="shared" si="1"/>
        <v>515000</v>
      </c>
      <c r="M5" s="1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9">
        <v>45084.0</v>
      </c>
      <c r="C6" s="10" t="s">
        <v>10</v>
      </c>
      <c r="D6" s="11" t="s">
        <v>11</v>
      </c>
      <c r="E6" s="11" t="s">
        <v>12</v>
      </c>
      <c r="F6" s="12" t="s">
        <v>13</v>
      </c>
      <c r="G6" s="12">
        <v>9000.0</v>
      </c>
      <c r="H6" s="13">
        <v>1400000.0</v>
      </c>
      <c r="I6" s="14"/>
      <c r="J6" s="15">
        <v>900000.0</v>
      </c>
      <c r="K6" s="15"/>
      <c r="L6" s="13">
        <f t="shared" si="1"/>
        <v>500000</v>
      </c>
      <c r="M6" s="1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9">
        <v>45085.0</v>
      </c>
      <c r="C7" s="10" t="s">
        <v>10</v>
      </c>
      <c r="D7" s="11" t="s">
        <v>11</v>
      </c>
      <c r="E7" s="11" t="s">
        <v>12</v>
      </c>
      <c r="F7" s="11" t="s">
        <v>17</v>
      </c>
      <c r="G7" s="12">
        <v>9000.0</v>
      </c>
      <c r="H7" s="13">
        <v>1400000.0</v>
      </c>
      <c r="I7" s="14"/>
      <c r="J7" s="15">
        <v>900000.0</v>
      </c>
      <c r="K7" s="15"/>
      <c r="L7" s="13">
        <f t="shared" si="1"/>
        <v>500000</v>
      </c>
      <c r="M7" s="1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9">
        <v>45086.0</v>
      </c>
      <c r="C8" s="10" t="s">
        <v>10</v>
      </c>
      <c r="D8" s="11" t="s">
        <v>11</v>
      </c>
      <c r="E8" s="11" t="s">
        <v>15</v>
      </c>
      <c r="F8" s="11" t="s">
        <v>18</v>
      </c>
      <c r="G8" s="12">
        <v>8500.0</v>
      </c>
      <c r="H8" s="13">
        <v>1300000.0</v>
      </c>
      <c r="I8" s="14"/>
      <c r="J8" s="15">
        <v>850000.0</v>
      </c>
      <c r="K8" s="15"/>
      <c r="L8" s="13">
        <f t="shared" si="1"/>
        <v>450000</v>
      </c>
      <c r="M8" s="1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/>
      <c r="B9" s="9">
        <v>45090.0</v>
      </c>
      <c r="C9" s="10" t="s">
        <v>10</v>
      </c>
      <c r="D9" s="11" t="s">
        <v>11</v>
      </c>
      <c r="E9" s="11" t="s">
        <v>12</v>
      </c>
      <c r="F9" s="11" t="s">
        <v>19</v>
      </c>
      <c r="G9" s="12">
        <v>9000.0</v>
      </c>
      <c r="H9" s="13">
        <v>1350000.0</v>
      </c>
      <c r="I9" s="14"/>
      <c r="J9" s="15">
        <v>800000.0</v>
      </c>
      <c r="K9" s="15"/>
      <c r="L9" s="13">
        <f t="shared" si="1"/>
        <v>550000</v>
      </c>
      <c r="M9" s="16">
        <v>1727000.0</v>
      </c>
      <c r="N9" s="7"/>
      <c r="O9" s="1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/>
      <c r="B10" s="9">
        <v>45091.0</v>
      </c>
      <c r="C10" s="10" t="s">
        <v>10</v>
      </c>
      <c r="D10" s="11" t="s">
        <v>11</v>
      </c>
      <c r="E10" s="11" t="s">
        <v>15</v>
      </c>
      <c r="F10" s="11" t="s">
        <v>20</v>
      </c>
      <c r="G10" s="12">
        <v>8500.0</v>
      </c>
      <c r="H10" s="13">
        <v>1230000.0</v>
      </c>
      <c r="I10" s="14"/>
      <c r="J10" s="15">
        <v>700000.0</v>
      </c>
      <c r="K10" s="15"/>
      <c r="L10" s="13">
        <f t="shared" si="1"/>
        <v>530000</v>
      </c>
      <c r="M10" s="1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/>
      <c r="B11" s="9">
        <v>45092.0</v>
      </c>
      <c r="C11" s="10" t="s">
        <v>10</v>
      </c>
      <c r="D11" s="11" t="s">
        <v>11</v>
      </c>
      <c r="E11" s="11" t="s">
        <v>12</v>
      </c>
      <c r="F11" s="11" t="s">
        <v>13</v>
      </c>
      <c r="G11" s="12">
        <v>9000.0</v>
      </c>
      <c r="H11" s="13">
        <v>1400000.0</v>
      </c>
      <c r="I11" s="14"/>
      <c r="J11" s="15">
        <v>900000.0</v>
      </c>
      <c r="K11" s="15"/>
      <c r="L11" s="13">
        <f t="shared" si="1"/>
        <v>500000</v>
      </c>
      <c r="M11" s="1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/>
      <c r="B12" s="9">
        <v>45093.0</v>
      </c>
      <c r="C12" s="10" t="s">
        <v>10</v>
      </c>
      <c r="D12" s="11" t="s">
        <v>11</v>
      </c>
      <c r="E12" s="11" t="s">
        <v>12</v>
      </c>
      <c r="F12" s="11" t="s">
        <v>13</v>
      </c>
      <c r="G12" s="12">
        <v>9000.0</v>
      </c>
      <c r="H12" s="13">
        <v>1400000.0</v>
      </c>
      <c r="I12" s="14"/>
      <c r="J12" s="15">
        <v>900000.0</v>
      </c>
      <c r="K12" s="15"/>
      <c r="L12" s="13">
        <f t="shared" si="1"/>
        <v>500000</v>
      </c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9">
        <v>45094.0</v>
      </c>
      <c r="C13" s="10" t="s">
        <v>10</v>
      </c>
      <c r="D13" s="11" t="s">
        <v>11</v>
      </c>
      <c r="E13" s="11" t="s">
        <v>12</v>
      </c>
      <c r="F13" s="11" t="s">
        <v>13</v>
      </c>
      <c r="G13" s="12">
        <v>9000.0</v>
      </c>
      <c r="H13" s="13">
        <v>1400000.0</v>
      </c>
      <c r="I13" s="14"/>
      <c r="J13" s="15">
        <v>900000.0</v>
      </c>
      <c r="K13" s="15"/>
      <c r="L13" s="13">
        <f t="shared" si="1"/>
        <v>500000</v>
      </c>
      <c r="M13" s="1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9">
        <v>45096.0</v>
      </c>
      <c r="C14" s="10" t="s">
        <v>10</v>
      </c>
      <c r="D14" s="11" t="s">
        <v>11</v>
      </c>
      <c r="E14" s="11" t="s">
        <v>15</v>
      </c>
      <c r="F14" s="11" t="s">
        <v>21</v>
      </c>
      <c r="G14" s="18"/>
      <c r="H14" s="13">
        <v>1450000.0</v>
      </c>
      <c r="I14" s="14"/>
      <c r="J14" s="15">
        <v>900000.0</v>
      </c>
      <c r="K14" s="15"/>
      <c r="L14" s="13">
        <f t="shared" si="1"/>
        <v>550000</v>
      </c>
      <c r="M14" s="16">
        <v>63000.0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9">
        <v>45097.0</v>
      </c>
      <c r="C15" s="10" t="s">
        <v>10</v>
      </c>
      <c r="D15" s="11" t="s">
        <v>11</v>
      </c>
      <c r="E15" s="11" t="s">
        <v>12</v>
      </c>
      <c r="F15" s="11" t="s">
        <v>22</v>
      </c>
      <c r="G15" s="18"/>
      <c r="H15" s="13">
        <v>1200000.0</v>
      </c>
      <c r="I15" s="14"/>
      <c r="J15" s="15">
        <v>640000.0</v>
      </c>
      <c r="K15" s="15"/>
      <c r="L15" s="13">
        <f t="shared" si="1"/>
        <v>560000</v>
      </c>
      <c r="M15" s="1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9">
        <v>45098.0</v>
      </c>
      <c r="C16" s="10" t="s">
        <v>10</v>
      </c>
      <c r="D16" s="11" t="s">
        <v>11</v>
      </c>
      <c r="E16" s="11" t="s">
        <v>12</v>
      </c>
      <c r="F16" s="11" t="s">
        <v>23</v>
      </c>
      <c r="G16" s="12">
        <v>8500.0</v>
      </c>
      <c r="H16" s="13">
        <v>1400000.0</v>
      </c>
      <c r="I16" s="14"/>
      <c r="J16" s="15">
        <v>900000.0</v>
      </c>
      <c r="K16" s="15"/>
      <c r="L16" s="13">
        <f t="shared" si="1"/>
        <v>500000</v>
      </c>
      <c r="M16" s="1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/>
      <c r="B17" s="9">
        <v>45099.0</v>
      </c>
      <c r="C17" s="10" t="s">
        <v>10</v>
      </c>
      <c r="D17" s="11" t="s">
        <v>11</v>
      </c>
      <c r="E17" s="11" t="s">
        <v>15</v>
      </c>
      <c r="F17" s="11" t="s">
        <v>17</v>
      </c>
      <c r="G17" s="18"/>
      <c r="H17" s="13">
        <v>1400000.0</v>
      </c>
      <c r="I17" s="14"/>
      <c r="J17" s="15">
        <v>900000.0</v>
      </c>
      <c r="K17" s="15"/>
      <c r="L17" s="13">
        <f t="shared" si="1"/>
        <v>500000</v>
      </c>
      <c r="M17" s="1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/>
      <c r="B18" s="9">
        <v>45100.0</v>
      </c>
      <c r="C18" s="10" t="s">
        <v>10</v>
      </c>
      <c r="D18" s="11" t="s">
        <v>11</v>
      </c>
      <c r="E18" s="11" t="s">
        <v>12</v>
      </c>
      <c r="F18" s="11" t="s">
        <v>23</v>
      </c>
      <c r="G18" s="18"/>
      <c r="H18" s="13">
        <v>1400000.0</v>
      </c>
      <c r="I18" s="14"/>
      <c r="J18" s="15" t="s">
        <v>24</v>
      </c>
      <c r="K18" s="15"/>
      <c r="L18" s="13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9">
        <v>45101.0</v>
      </c>
      <c r="C19" s="10" t="s">
        <v>10</v>
      </c>
      <c r="D19" s="11" t="s">
        <v>11</v>
      </c>
      <c r="E19" s="11" t="s">
        <v>12</v>
      </c>
      <c r="F19" s="11" t="s">
        <v>21</v>
      </c>
      <c r="G19" s="18"/>
      <c r="H19" s="13">
        <v>1450000.0</v>
      </c>
      <c r="I19" s="14"/>
      <c r="J19" s="15">
        <v>900000.0</v>
      </c>
      <c r="K19" s="15"/>
      <c r="L19" s="13">
        <f t="shared" ref="L19:L21" si="2">H19-J19</f>
        <v>550000</v>
      </c>
      <c r="M19" s="16">
        <v>3870000.0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9">
        <v>45104.0</v>
      </c>
      <c r="C20" s="10" t="s">
        <v>10</v>
      </c>
      <c r="D20" s="11" t="s">
        <v>11</v>
      </c>
      <c r="E20" s="11" t="s">
        <v>12</v>
      </c>
      <c r="F20" s="11" t="s">
        <v>19</v>
      </c>
      <c r="G20" s="18"/>
      <c r="H20" s="13">
        <v>1350000.0</v>
      </c>
      <c r="I20" s="14"/>
      <c r="J20" s="15">
        <v>800000.0</v>
      </c>
      <c r="K20" s="15"/>
      <c r="L20" s="13">
        <f t="shared" si="2"/>
        <v>550000</v>
      </c>
      <c r="M20" s="1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9"/>
      <c r="B21" s="20">
        <v>45105.0</v>
      </c>
      <c r="C21" s="10" t="s">
        <v>10</v>
      </c>
      <c r="D21" s="11" t="s">
        <v>11</v>
      </c>
      <c r="E21" s="11" t="s">
        <v>15</v>
      </c>
      <c r="F21" s="11" t="s">
        <v>25</v>
      </c>
      <c r="G21" s="18"/>
      <c r="H21" s="13">
        <v>675000.0</v>
      </c>
      <c r="I21" s="14"/>
      <c r="J21" s="15">
        <v>350000.0</v>
      </c>
      <c r="K21" s="15"/>
      <c r="L21" s="13">
        <f t="shared" si="2"/>
        <v>325000</v>
      </c>
      <c r="M21" s="16">
        <v>670000.0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1"/>
      <c r="B22" s="22"/>
      <c r="C22" s="23"/>
      <c r="D22" s="23"/>
      <c r="E22" s="23"/>
      <c r="F22" s="23"/>
      <c r="G22" s="24"/>
      <c r="H22" s="25"/>
      <c r="I22" s="26"/>
      <c r="J22" s="27"/>
      <c r="K22" s="27"/>
      <c r="L22" s="28">
        <f t="shared" ref="L22:M22" si="3">SUM(L1:L21)</f>
        <v>9580000</v>
      </c>
      <c r="M22" s="29">
        <f t="shared" si="3"/>
        <v>6780000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1"/>
      <c r="B23" s="22"/>
      <c r="C23" s="23"/>
      <c r="D23" s="23"/>
      <c r="E23" s="23"/>
      <c r="F23" s="23"/>
      <c r="G23" s="24"/>
      <c r="H23" s="25"/>
      <c r="I23" s="26"/>
      <c r="J23" s="27"/>
      <c r="K23" s="27"/>
      <c r="L23" s="30">
        <f>L22-M22</f>
        <v>2800000</v>
      </c>
      <c r="M23" s="31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1"/>
      <c r="B24" s="22"/>
      <c r="C24" s="23"/>
      <c r="D24" s="23"/>
      <c r="E24" s="23"/>
      <c r="F24" s="23"/>
      <c r="G24" s="24"/>
      <c r="H24" s="25"/>
      <c r="I24" s="26"/>
      <c r="J24" s="27"/>
      <c r="K24" s="27"/>
      <c r="L24" s="23"/>
      <c r="M24" s="3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1"/>
      <c r="B25" s="2" t="s">
        <v>0</v>
      </c>
      <c r="C25" s="2" t="s">
        <v>1</v>
      </c>
      <c r="D25" s="2" t="s">
        <v>2</v>
      </c>
      <c r="E25" s="3" t="s">
        <v>3</v>
      </c>
      <c r="F25" s="2" t="s">
        <v>4</v>
      </c>
      <c r="G25" s="4" t="s">
        <v>5</v>
      </c>
      <c r="H25" s="5" t="s">
        <v>6</v>
      </c>
      <c r="I25" s="5"/>
      <c r="J25" s="5" t="s">
        <v>7</v>
      </c>
      <c r="K25" s="5"/>
      <c r="L25" s="6" t="s">
        <v>8</v>
      </c>
      <c r="M25" s="5" t="s">
        <v>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9">
        <v>45113.0</v>
      </c>
      <c r="C26" s="10" t="s">
        <v>10</v>
      </c>
      <c r="D26" s="11" t="s">
        <v>26</v>
      </c>
      <c r="E26" s="11" t="s">
        <v>27</v>
      </c>
      <c r="F26" s="11" t="s">
        <v>28</v>
      </c>
      <c r="G26" s="12">
        <v>8500.0</v>
      </c>
      <c r="H26" s="13">
        <v>1100000.0</v>
      </c>
      <c r="I26" s="14"/>
      <c r="J26" s="15">
        <v>640000.0</v>
      </c>
      <c r="K26" s="15"/>
      <c r="L26" s="13">
        <f t="shared" ref="L26:L46" si="4">H26-J26</f>
        <v>460000</v>
      </c>
      <c r="M26" s="1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9">
        <v>45114.0</v>
      </c>
      <c r="C27" s="10" t="s">
        <v>10</v>
      </c>
      <c r="D27" s="11" t="s">
        <v>26</v>
      </c>
      <c r="E27" s="11" t="s">
        <v>27</v>
      </c>
      <c r="F27" s="11" t="s">
        <v>29</v>
      </c>
      <c r="G27" s="12">
        <v>9000.0</v>
      </c>
      <c r="H27" s="13">
        <v>1350000.0</v>
      </c>
      <c r="I27" s="14"/>
      <c r="J27" s="15">
        <v>800000.0</v>
      </c>
      <c r="K27" s="15"/>
      <c r="L27" s="13">
        <f t="shared" si="4"/>
        <v>550000</v>
      </c>
      <c r="M27" s="16">
        <v>120000.0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9">
        <v>45115.0</v>
      </c>
      <c r="C28" s="10" t="s">
        <v>10</v>
      </c>
      <c r="D28" s="11" t="s">
        <v>26</v>
      </c>
      <c r="E28" s="11" t="s">
        <v>30</v>
      </c>
      <c r="G28" s="12">
        <v>9000.0</v>
      </c>
      <c r="H28" s="13">
        <v>1080000.0</v>
      </c>
      <c r="I28" s="14"/>
      <c r="J28" s="15">
        <v>640000.0</v>
      </c>
      <c r="K28" s="15"/>
      <c r="L28" s="13">
        <f t="shared" si="4"/>
        <v>440000</v>
      </c>
      <c r="M28" s="16">
        <v>60000.0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9">
        <v>45117.0</v>
      </c>
      <c r="C29" s="10" t="s">
        <v>10</v>
      </c>
      <c r="D29" s="11" t="s">
        <v>26</v>
      </c>
      <c r="E29" s="11" t="s">
        <v>30</v>
      </c>
      <c r="F29" s="11" t="s">
        <v>31</v>
      </c>
      <c r="G29" s="12">
        <v>8500.0</v>
      </c>
      <c r="H29" s="13">
        <v>1230000.0</v>
      </c>
      <c r="I29" s="14"/>
      <c r="J29" s="15">
        <v>700000.0</v>
      </c>
      <c r="K29" s="15"/>
      <c r="L29" s="13">
        <f t="shared" si="4"/>
        <v>530000</v>
      </c>
      <c r="M29" s="16">
        <v>184000.0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/>
      <c r="B30" s="9">
        <v>45118.0</v>
      </c>
      <c r="C30" s="10" t="s">
        <v>10</v>
      </c>
      <c r="D30" s="11" t="s">
        <v>26</v>
      </c>
      <c r="E30" s="11" t="s">
        <v>30</v>
      </c>
      <c r="F30" s="11" t="s">
        <v>32</v>
      </c>
      <c r="G30" s="12">
        <v>9000.0</v>
      </c>
      <c r="H30" s="13">
        <v>675000.0</v>
      </c>
      <c r="I30" s="14"/>
      <c r="J30" s="15">
        <v>350000.0</v>
      </c>
      <c r="K30" s="15"/>
      <c r="L30" s="13">
        <f t="shared" si="4"/>
        <v>325000</v>
      </c>
      <c r="M30" s="16">
        <v>993000.0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9">
        <v>45119.0</v>
      </c>
      <c r="C31" s="10" t="s">
        <v>10</v>
      </c>
      <c r="D31" s="11" t="s">
        <v>26</v>
      </c>
      <c r="E31" s="11" t="s">
        <v>30</v>
      </c>
      <c r="F31" s="11" t="s">
        <v>33</v>
      </c>
      <c r="G31" s="12">
        <v>9000.0</v>
      </c>
      <c r="H31" s="13">
        <v>1450000.0</v>
      </c>
      <c r="I31" s="14"/>
      <c r="J31" s="15">
        <v>900000.0</v>
      </c>
      <c r="K31" s="15"/>
      <c r="L31" s="13">
        <f t="shared" si="4"/>
        <v>550000</v>
      </c>
      <c r="M31" s="1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/>
      <c r="B32" s="9">
        <v>45120.0</v>
      </c>
      <c r="C32" s="10" t="s">
        <v>10</v>
      </c>
      <c r="D32" s="11" t="s">
        <v>26</v>
      </c>
      <c r="E32" s="11" t="s">
        <v>30</v>
      </c>
      <c r="F32" s="11" t="s">
        <v>33</v>
      </c>
      <c r="G32" s="12">
        <v>9000.0</v>
      </c>
      <c r="H32" s="13">
        <v>1450000.0</v>
      </c>
      <c r="I32" s="14"/>
      <c r="J32" s="15">
        <v>900000.0</v>
      </c>
      <c r="K32" s="15"/>
      <c r="L32" s="13">
        <f t="shared" si="4"/>
        <v>550000</v>
      </c>
      <c r="M32" s="16">
        <v>580000.0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/>
      <c r="B33" s="9">
        <v>45121.0</v>
      </c>
      <c r="C33" s="10" t="s">
        <v>10</v>
      </c>
      <c r="D33" s="11" t="s">
        <v>26</v>
      </c>
      <c r="E33" s="11" t="s">
        <v>30</v>
      </c>
      <c r="F33" s="11" t="s">
        <v>34</v>
      </c>
      <c r="G33" s="12">
        <v>9000.0</v>
      </c>
      <c r="H33" s="13">
        <v>1215000.0</v>
      </c>
      <c r="I33" s="14"/>
      <c r="J33" s="15">
        <v>700000.0</v>
      </c>
      <c r="K33" s="15"/>
      <c r="L33" s="13">
        <f t="shared" si="4"/>
        <v>515000</v>
      </c>
      <c r="M33" s="1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/>
      <c r="B34" s="9">
        <v>45122.0</v>
      </c>
      <c r="C34" s="10" t="s">
        <v>10</v>
      </c>
      <c r="D34" s="11" t="s">
        <v>26</v>
      </c>
      <c r="E34" s="11" t="s">
        <v>30</v>
      </c>
      <c r="F34" s="11" t="s">
        <v>29</v>
      </c>
      <c r="G34" s="12">
        <v>9000.0</v>
      </c>
      <c r="H34" s="13">
        <v>1080000.0</v>
      </c>
      <c r="I34" s="14"/>
      <c r="J34" s="15">
        <v>640000.0</v>
      </c>
      <c r="K34" s="15"/>
      <c r="L34" s="13">
        <f t="shared" si="4"/>
        <v>440000</v>
      </c>
      <c r="M34" s="16">
        <v>275000.0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/>
      <c r="B35" s="9">
        <v>45124.0</v>
      </c>
      <c r="C35" s="10" t="s">
        <v>10</v>
      </c>
      <c r="D35" s="11" t="s">
        <v>26</v>
      </c>
      <c r="E35" s="11" t="s">
        <v>30</v>
      </c>
      <c r="F35" s="11" t="s">
        <v>28</v>
      </c>
      <c r="G35" s="12">
        <v>8500.0</v>
      </c>
      <c r="H35" s="13">
        <v>1100000.0</v>
      </c>
      <c r="I35" s="14"/>
      <c r="J35" s="15">
        <v>640000.0</v>
      </c>
      <c r="K35" s="15"/>
      <c r="L35" s="13">
        <f t="shared" si="4"/>
        <v>460000</v>
      </c>
      <c r="M35" s="16">
        <v>626000.0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/>
      <c r="B36" s="9">
        <v>45125.0</v>
      </c>
      <c r="C36" s="10" t="s">
        <v>10</v>
      </c>
      <c r="D36" s="11" t="s">
        <v>26</v>
      </c>
      <c r="E36" s="11" t="s">
        <v>30</v>
      </c>
      <c r="F36" s="11" t="s">
        <v>34</v>
      </c>
      <c r="G36" s="12">
        <v>9000.0</v>
      </c>
      <c r="H36" s="13">
        <v>1215000.0</v>
      </c>
      <c r="I36" s="14"/>
      <c r="J36" s="15">
        <v>700000.0</v>
      </c>
      <c r="K36" s="15"/>
      <c r="L36" s="13">
        <f t="shared" si="4"/>
        <v>515000</v>
      </c>
      <c r="M36" s="1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/>
      <c r="B37" s="9">
        <v>45127.0</v>
      </c>
      <c r="C37" s="10" t="s">
        <v>10</v>
      </c>
      <c r="D37" s="11" t="s">
        <v>26</v>
      </c>
      <c r="E37" s="11" t="s">
        <v>30</v>
      </c>
      <c r="F37" s="11" t="s">
        <v>33</v>
      </c>
      <c r="G37" s="12">
        <v>9000.0</v>
      </c>
      <c r="H37" s="13">
        <v>1450000.0</v>
      </c>
      <c r="I37" s="14"/>
      <c r="J37" s="15">
        <v>900000.0</v>
      </c>
      <c r="K37" s="15"/>
      <c r="L37" s="13">
        <f t="shared" si="4"/>
        <v>550000</v>
      </c>
      <c r="M37" s="1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/>
      <c r="B38" s="9">
        <v>45128.0</v>
      </c>
      <c r="C38" s="10" t="s">
        <v>10</v>
      </c>
      <c r="D38" s="11" t="s">
        <v>26</v>
      </c>
      <c r="E38" s="11" t="s">
        <v>30</v>
      </c>
      <c r="F38" s="11" t="s">
        <v>33</v>
      </c>
      <c r="G38" s="12">
        <v>9000.0</v>
      </c>
      <c r="H38" s="13">
        <v>1450000.0</v>
      </c>
      <c r="I38" s="14"/>
      <c r="J38" s="15">
        <v>900000.0</v>
      </c>
      <c r="K38" s="15"/>
      <c r="L38" s="13">
        <f t="shared" si="4"/>
        <v>550000</v>
      </c>
      <c r="M38" s="1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/>
      <c r="B39" s="9">
        <v>45129.0</v>
      </c>
      <c r="C39" s="10" t="s">
        <v>10</v>
      </c>
      <c r="D39" s="11" t="s">
        <v>26</v>
      </c>
      <c r="E39" s="11" t="s">
        <v>30</v>
      </c>
      <c r="F39" s="11" t="s">
        <v>32</v>
      </c>
      <c r="G39" s="12">
        <v>9000.0</v>
      </c>
      <c r="H39" s="13">
        <v>675000.0</v>
      </c>
      <c r="I39" s="14"/>
      <c r="J39" s="15">
        <v>350000.0</v>
      </c>
      <c r="K39" s="15"/>
      <c r="L39" s="13">
        <f t="shared" si="4"/>
        <v>325000</v>
      </c>
      <c r="M39" s="16">
        <v>110000.0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/>
      <c r="B40" s="9">
        <v>45131.0</v>
      </c>
      <c r="C40" s="10" t="s">
        <v>10</v>
      </c>
      <c r="D40" s="11" t="s">
        <v>26</v>
      </c>
      <c r="E40" s="11" t="s">
        <v>30</v>
      </c>
      <c r="F40" s="11" t="s">
        <v>35</v>
      </c>
      <c r="G40" s="12">
        <v>9000.0</v>
      </c>
      <c r="H40" s="13">
        <v>1400000.0</v>
      </c>
      <c r="I40" s="14"/>
      <c r="J40" s="15">
        <v>900000.0</v>
      </c>
      <c r="K40" s="15"/>
      <c r="L40" s="13">
        <f t="shared" si="4"/>
        <v>500000</v>
      </c>
      <c r="M40" s="16">
        <v>325000.0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/>
      <c r="B41" s="9">
        <v>45132.0</v>
      </c>
      <c r="C41" s="10" t="s">
        <v>10</v>
      </c>
      <c r="D41" s="11" t="s">
        <v>26</v>
      </c>
      <c r="E41" s="11" t="s">
        <v>30</v>
      </c>
      <c r="F41" s="11" t="s">
        <v>36</v>
      </c>
      <c r="G41" s="12">
        <v>9000.0</v>
      </c>
      <c r="H41" s="13">
        <v>1350000.0</v>
      </c>
      <c r="I41" s="14"/>
      <c r="J41" s="15">
        <v>800000.0</v>
      </c>
      <c r="K41" s="15"/>
      <c r="L41" s="13">
        <f t="shared" si="4"/>
        <v>550000</v>
      </c>
      <c r="M41" s="1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/>
      <c r="B42" s="9">
        <v>45133.0</v>
      </c>
      <c r="C42" s="10" t="s">
        <v>10</v>
      </c>
      <c r="D42" s="11" t="s">
        <v>26</v>
      </c>
      <c r="E42" s="11" t="s">
        <v>37</v>
      </c>
      <c r="F42" s="11" t="s">
        <v>38</v>
      </c>
      <c r="G42" s="12">
        <v>9000.0</v>
      </c>
      <c r="H42" s="13">
        <v>1400000.0</v>
      </c>
      <c r="I42" s="14"/>
      <c r="J42" s="15">
        <v>900000.0</v>
      </c>
      <c r="K42" s="15"/>
      <c r="L42" s="13">
        <f t="shared" si="4"/>
        <v>500000</v>
      </c>
      <c r="M42" s="16">
        <v>850000.0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/>
      <c r="B43" s="9">
        <v>45134.0</v>
      </c>
      <c r="C43" s="10" t="s">
        <v>10</v>
      </c>
      <c r="D43" s="11" t="s">
        <v>26</v>
      </c>
      <c r="E43" s="11" t="s">
        <v>37</v>
      </c>
      <c r="F43" s="11" t="s">
        <v>36</v>
      </c>
      <c r="G43" s="12">
        <v>9000.0</v>
      </c>
      <c r="H43" s="13">
        <v>1350000.0</v>
      </c>
      <c r="I43" s="14"/>
      <c r="J43" s="15">
        <v>800000.0</v>
      </c>
      <c r="K43" s="15"/>
      <c r="L43" s="13">
        <f t="shared" si="4"/>
        <v>550000</v>
      </c>
      <c r="M43" s="1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/>
      <c r="B44" s="9">
        <v>45135.0</v>
      </c>
      <c r="C44" s="10" t="s">
        <v>10</v>
      </c>
      <c r="D44" s="11" t="s">
        <v>26</v>
      </c>
      <c r="E44" s="11" t="s">
        <v>30</v>
      </c>
      <c r="F44" s="11" t="s">
        <v>29</v>
      </c>
      <c r="G44" s="12">
        <v>9000.0</v>
      </c>
      <c r="H44" s="13">
        <v>1080000.0</v>
      </c>
      <c r="I44" s="14"/>
      <c r="J44" s="15">
        <v>640000.0</v>
      </c>
      <c r="K44" s="15"/>
      <c r="L44" s="13">
        <f t="shared" si="4"/>
        <v>440000</v>
      </c>
      <c r="M44" s="1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/>
      <c r="B45" s="9">
        <v>45136.0</v>
      </c>
      <c r="C45" s="10" t="s">
        <v>10</v>
      </c>
      <c r="D45" s="11" t="s">
        <v>26</v>
      </c>
      <c r="E45" s="11" t="s">
        <v>30</v>
      </c>
      <c r="F45" s="11" t="s">
        <v>32</v>
      </c>
      <c r="G45" s="12">
        <v>9000.0</v>
      </c>
      <c r="H45" s="13">
        <v>675000.0</v>
      </c>
      <c r="I45" s="14"/>
      <c r="J45" s="15">
        <v>350000.0</v>
      </c>
      <c r="K45" s="15"/>
      <c r="L45" s="13">
        <f t="shared" si="4"/>
        <v>325000</v>
      </c>
      <c r="M45" s="16">
        <v>51000.0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/>
      <c r="B46" s="9">
        <v>45138.0</v>
      </c>
      <c r="C46" s="10" t="s">
        <v>10</v>
      </c>
      <c r="D46" s="11" t="s">
        <v>26</v>
      </c>
      <c r="E46" s="11" t="s">
        <v>30</v>
      </c>
      <c r="F46" s="11" t="s">
        <v>31</v>
      </c>
      <c r="G46" s="12">
        <v>8500.0</v>
      </c>
      <c r="H46" s="13">
        <v>1230000.0</v>
      </c>
      <c r="I46" s="14"/>
      <c r="J46" s="15">
        <v>700000.0</v>
      </c>
      <c r="K46" s="15"/>
      <c r="L46" s="13">
        <f t="shared" si="4"/>
        <v>530000</v>
      </c>
      <c r="M46" s="1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1"/>
      <c r="B47" s="22"/>
      <c r="C47" s="23"/>
      <c r="D47" s="23"/>
      <c r="E47" s="23"/>
      <c r="F47" s="23"/>
      <c r="G47" s="24"/>
      <c r="H47" s="25"/>
      <c r="I47" s="26"/>
      <c r="J47" s="27"/>
      <c r="K47" s="27"/>
      <c r="L47" s="28">
        <f t="shared" ref="L47:M47" si="5">SUM(L26:L46)</f>
        <v>10155000</v>
      </c>
      <c r="M47" s="29">
        <f t="shared" si="5"/>
        <v>4174000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1"/>
      <c r="B48" s="22"/>
      <c r="C48" s="23"/>
      <c r="D48" s="23"/>
      <c r="E48" s="32" t="s">
        <v>24</v>
      </c>
      <c r="F48" s="23"/>
      <c r="G48" s="24"/>
      <c r="H48" s="25"/>
      <c r="I48" s="26"/>
      <c r="J48" s="27"/>
      <c r="K48" s="27"/>
      <c r="L48" s="33">
        <f>L47-M47</f>
        <v>5981000</v>
      </c>
      <c r="M48" s="31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3.0" customHeight="1">
      <c r="A49" s="1"/>
      <c r="B49" s="34" t="s">
        <v>0</v>
      </c>
      <c r="C49" s="35" t="s">
        <v>1</v>
      </c>
      <c r="D49" s="35" t="s">
        <v>2</v>
      </c>
      <c r="E49" s="36" t="s">
        <v>3</v>
      </c>
      <c r="F49" s="35" t="s">
        <v>4</v>
      </c>
      <c r="G49" s="37" t="s">
        <v>5</v>
      </c>
      <c r="H49" s="38" t="s">
        <v>6</v>
      </c>
      <c r="I49" s="38" t="s">
        <v>39</v>
      </c>
      <c r="J49" s="38" t="s">
        <v>7</v>
      </c>
      <c r="K49" s="38" t="s">
        <v>39</v>
      </c>
      <c r="L49" s="39" t="s">
        <v>8</v>
      </c>
      <c r="M49" s="40" t="s">
        <v>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/>
      <c r="B50" s="41">
        <v>45138.0</v>
      </c>
      <c r="C50" s="42" t="s">
        <v>10</v>
      </c>
      <c r="D50" s="42" t="s">
        <v>26</v>
      </c>
      <c r="E50" s="43"/>
      <c r="F50" s="44"/>
      <c r="G50" s="45"/>
      <c r="H50" s="46"/>
      <c r="I50" s="47"/>
      <c r="J50" s="46"/>
      <c r="K50" s="46"/>
      <c r="L50" s="48"/>
      <c r="M50" s="49">
        <v>135000.0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/>
      <c r="B51" s="41">
        <v>45139.0</v>
      </c>
      <c r="C51" s="42" t="s">
        <v>10</v>
      </c>
      <c r="D51" s="42" t="s">
        <v>26</v>
      </c>
      <c r="E51" s="42" t="s">
        <v>40</v>
      </c>
      <c r="F51" s="42" t="s">
        <v>41</v>
      </c>
      <c r="G51" s="45">
        <v>8500.0</v>
      </c>
      <c r="H51" s="49">
        <v>1450000.0</v>
      </c>
      <c r="I51" s="50" t="s">
        <v>42</v>
      </c>
      <c r="J51" s="49">
        <v>900000.0</v>
      </c>
      <c r="K51" s="49" t="s">
        <v>42</v>
      </c>
      <c r="L51" s="49">
        <f t="shared" ref="L51:L52" si="6">H51-J51</f>
        <v>550000</v>
      </c>
      <c r="M51" s="49">
        <v>0.0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/>
      <c r="B52" s="51">
        <v>45140.0</v>
      </c>
      <c r="C52" s="11" t="s">
        <v>10</v>
      </c>
      <c r="D52" s="11" t="s">
        <v>26</v>
      </c>
      <c r="E52" s="11" t="s">
        <v>37</v>
      </c>
      <c r="F52" s="11" t="s">
        <v>43</v>
      </c>
      <c r="G52" s="12">
        <v>9000.0</v>
      </c>
      <c r="H52" s="13">
        <v>1350000.0</v>
      </c>
      <c r="I52" s="14" t="s">
        <v>44</v>
      </c>
      <c r="J52" s="15">
        <v>800000.0</v>
      </c>
      <c r="K52" s="49" t="s">
        <v>42</v>
      </c>
      <c r="L52" s="13">
        <f t="shared" si="6"/>
        <v>550000</v>
      </c>
      <c r="M52" s="13">
        <v>0.0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/>
      <c r="B53" s="51">
        <v>45141.0</v>
      </c>
      <c r="C53" s="11" t="s">
        <v>10</v>
      </c>
      <c r="D53" s="11" t="s">
        <v>26</v>
      </c>
      <c r="E53" s="11"/>
      <c r="F53" s="11"/>
      <c r="G53" s="12"/>
      <c r="H53" s="13"/>
      <c r="I53" s="14"/>
      <c r="J53" s="15"/>
      <c r="K53" s="15"/>
      <c r="L53" s="13"/>
      <c r="M53" s="13">
        <v>550000.0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/>
      <c r="B54" s="51">
        <v>45142.0</v>
      </c>
      <c r="C54" s="11" t="s">
        <v>10</v>
      </c>
      <c r="D54" s="11" t="s">
        <v>26</v>
      </c>
      <c r="E54" s="11" t="s">
        <v>45</v>
      </c>
      <c r="F54" s="11" t="s">
        <v>46</v>
      </c>
      <c r="G54" s="12">
        <v>9000.0</v>
      </c>
      <c r="H54" s="13">
        <v>1215000.0</v>
      </c>
      <c r="I54" s="14" t="s">
        <v>44</v>
      </c>
      <c r="J54" s="15">
        <v>700000.0</v>
      </c>
      <c r="K54" s="15" t="s">
        <v>42</v>
      </c>
      <c r="L54" s="13">
        <f t="shared" ref="L54:L59" si="7">H54-J54</f>
        <v>515000</v>
      </c>
      <c r="M54" s="13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/>
      <c r="B55" s="51">
        <v>45142.0</v>
      </c>
      <c r="C55" s="11" t="s">
        <v>10</v>
      </c>
      <c r="D55" s="11" t="s">
        <v>26</v>
      </c>
      <c r="E55" s="11" t="s">
        <v>30</v>
      </c>
      <c r="F55" s="11" t="s">
        <v>47</v>
      </c>
      <c r="G55" s="12">
        <v>9000.0</v>
      </c>
      <c r="H55" s="13">
        <v>675000.0</v>
      </c>
      <c r="I55" s="14" t="s">
        <v>42</v>
      </c>
      <c r="J55" s="15">
        <v>350000.0</v>
      </c>
      <c r="K55" s="15" t="s">
        <v>42</v>
      </c>
      <c r="L55" s="13">
        <f t="shared" si="7"/>
        <v>325000</v>
      </c>
      <c r="M55" s="13">
        <v>0.0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/>
      <c r="B56" s="51">
        <v>45143.0</v>
      </c>
      <c r="C56" s="11" t="s">
        <v>10</v>
      </c>
      <c r="D56" s="11" t="s">
        <v>26</v>
      </c>
      <c r="E56" s="11" t="s">
        <v>30</v>
      </c>
      <c r="F56" s="11" t="s">
        <v>47</v>
      </c>
      <c r="G56" s="45">
        <v>8500.0</v>
      </c>
      <c r="H56" s="13">
        <v>675000.0</v>
      </c>
      <c r="I56" s="14" t="s">
        <v>42</v>
      </c>
      <c r="J56" s="15">
        <v>350000.0</v>
      </c>
      <c r="K56" s="15" t="s">
        <v>42</v>
      </c>
      <c r="L56" s="13">
        <f t="shared" si="7"/>
        <v>325000</v>
      </c>
      <c r="M56" s="13">
        <v>0.0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/>
      <c r="B57" s="51">
        <v>45146.0</v>
      </c>
      <c r="C57" s="11" t="s">
        <v>10</v>
      </c>
      <c r="D57" s="11" t="s">
        <v>26</v>
      </c>
      <c r="E57" s="11" t="s">
        <v>48</v>
      </c>
      <c r="F57" s="11" t="s">
        <v>49</v>
      </c>
      <c r="G57" s="12">
        <v>9000.0</v>
      </c>
      <c r="H57" s="13">
        <v>1035000.0</v>
      </c>
      <c r="I57" s="14" t="s">
        <v>42</v>
      </c>
      <c r="J57" s="15">
        <v>600000.0</v>
      </c>
      <c r="K57" s="15" t="s">
        <v>42</v>
      </c>
      <c r="L57" s="13">
        <f t="shared" si="7"/>
        <v>435000</v>
      </c>
      <c r="M57" s="13">
        <v>0.0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/>
      <c r="B58" s="51">
        <v>45147.0</v>
      </c>
      <c r="C58" s="11" t="s">
        <v>10</v>
      </c>
      <c r="D58" s="11" t="s">
        <v>26</v>
      </c>
      <c r="E58" s="11" t="s">
        <v>50</v>
      </c>
      <c r="F58" s="11" t="s">
        <v>41</v>
      </c>
      <c r="G58" s="12">
        <v>10000.0</v>
      </c>
      <c r="H58" s="13">
        <v>1450000.0</v>
      </c>
      <c r="I58" s="14" t="s">
        <v>42</v>
      </c>
      <c r="J58" s="15">
        <v>900000.0</v>
      </c>
      <c r="K58" s="15" t="s">
        <v>42</v>
      </c>
      <c r="L58" s="13">
        <f t="shared" si="7"/>
        <v>550000</v>
      </c>
      <c r="M58" s="13">
        <v>190000.0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/>
      <c r="B59" s="51">
        <v>45148.0</v>
      </c>
      <c r="C59" s="11" t="s">
        <v>10</v>
      </c>
      <c r="D59" s="11" t="s">
        <v>26</v>
      </c>
      <c r="E59" s="11" t="s">
        <v>40</v>
      </c>
      <c r="F59" s="11" t="s">
        <v>43</v>
      </c>
      <c r="G59" s="12">
        <v>9000.0</v>
      </c>
      <c r="H59" s="13">
        <v>1350000.0</v>
      </c>
      <c r="I59" s="14" t="s">
        <v>44</v>
      </c>
      <c r="J59" s="15">
        <v>800000.0</v>
      </c>
      <c r="K59" s="15" t="s">
        <v>42</v>
      </c>
      <c r="L59" s="13">
        <f t="shared" si="7"/>
        <v>550000</v>
      </c>
      <c r="M59" s="13">
        <v>0.0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/>
      <c r="B60" s="51">
        <v>45149.0</v>
      </c>
      <c r="C60" s="11" t="s">
        <v>10</v>
      </c>
      <c r="D60" s="11" t="s">
        <v>26</v>
      </c>
      <c r="E60" s="11"/>
      <c r="F60" s="11"/>
      <c r="G60" s="12"/>
      <c r="H60" s="13"/>
      <c r="I60" s="14"/>
      <c r="J60" s="15"/>
      <c r="K60" s="15"/>
      <c r="L60" s="13"/>
      <c r="M60" s="13">
        <v>50000.0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/>
      <c r="B61" s="51">
        <v>45150.0</v>
      </c>
      <c r="C61" s="11" t="s">
        <v>10</v>
      </c>
      <c r="D61" s="11" t="s">
        <v>26</v>
      </c>
      <c r="E61" s="11" t="s">
        <v>30</v>
      </c>
      <c r="F61" s="11" t="s">
        <v>47</v>
      </c>
      <c r="G61" s="12">
        <v>8500.0</v>
      </c>
      <c r="H61" s="13">
        <v>675000.0</v>
      </c>
      <c r="I61" s="14" t="s">
        <v>42</v>
      </c>
      <c r="J61" s="15">
        <v>350000.0</v>
      </c>
      <c r="K61" s="15" t="s">
        <v>42</v>
      </c>
      <c r="L61" s="13">
        <f t="shared" ref="L61:L70" si="8">H61-J61</f>
        <v>325000</v>
      </c>
      <c r="M61" s="13">
        <v>0.0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/>
      <c r="B62" s="51">
        <v>45152.0</v>
      </c>
      <c r="C62" s="11" t="s">
        <v>10</v>
      </c>
      <c r="D62" s="11" t="s">
        <v>26</v>
      </c>
      <c r="E62" s="11" t="s">
        <v>30</v>
      </c>
      <c r="F62" s="11" t="s">
        <v>47</v>
      </c>
      <c r="G62" s="12">
        <v>9000.0</v>
      </c>
      <c r="H62" s="13">
        <v>675000.0</v>
      </c>
      <c r="I62" s="14" t="s">
        <v>42</v>
      </c>
      <c r="J62" s="15">
        <v>350000.0</v>
      </c>
      <c r="K62" s="15" t="s">
        <v>42</v>
      </c>
      <c r="L62" s="13">
        <f t="shared" si="8"/>
        <v>325000</v>
      </c>
      <c r="M62" s="13">
        <v>0.0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/>
      <c r="B63" s="51">
        <v>45153.0</v>
      </c>
      <c r="C63" s="11" t="s">
        <v>10</v>
      </c>
      <c r="D63" s="11" t="s">
        <v>26</v>
      </c>
      <c r="E63" s="11" t="s">
        <v>37</v>
      </c>
      <c r="F63" s="11" t="s">
        <v>43</v>
      </c>
      <c r="G63" s="12">
        <v>9000.0</v>
      </c>
      <c r="H63" s="13">
        <v>1350000.0</v>
      </c>
      <c r="I63" s="14" t="s">
        <v>44</v>
      </c>
      <c r="J63" s="15">
        <v>800000.0</v>
      </c>
      <c r="K63" s="15" t="s">
        <v>42</v>
      </c>
      <c r="L63" s="13">
        <f t="shared" si="8"/>
        <v>550000</v>
      </c>
      <c r="M63" s="13">
        <v>0.0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/>
      <c r="B64" s="51">
        <v>45154.0</v>
      </c>
      <c r="C64" s="11" t="s">
        <v>10</v>
      </c>
      <c r="D64" s="11" t="s">
        <v>26</v>
      </c>
      <c r="E64" s="11" t="s">
        <v>30</v>
      </c>
      <c r="F64" s="11" t="s">
        <v>46</v>
      </c>
      <c r="G64" s="12">
        <v>9000.0</v>
      </c>
      <c r="H64" s="13">
        <v>1215000.0</v>
      </c>
      <c r="I64" s="14" t="s">
        <v>44</v>
      </c>
      <c r="J64" s="15">
        <v>700000.0</v>
      </c>
      <c r="K64" s="15" t="s">
        <v>42</v>
      </c>
      <c r="L64" s="13">
        <f t="shared" si="8"/>
        <v>515000</v>
      </c>
      <c r="M64" s="13">
        <v>120000.0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/>
      <c r="B65" s="51">
        <v>45156.0</v>
      </c>
      <c r="C65" s="11" t="s">
        <v>10</v>
      </c>
      <c r="D65" s="11" t="s">
        <v>26</v>
      </c>
      <c r="E65" s="11" t="s">
        <v>37</v>
      </c>
      <c r="F65" s="11" t="s">
        <v>43</v>
      </c>
      <c r="G65" s="12">
        <v>9000.0</v>
      </c>
      <c r="H65" s="13">
        <v>1350000.0</v>
      </c>
      <c r="I65" s="14" t="s">
        <v>44</v>
      </c>
      <c r="J65" s="15">
        <v>800000.0</v>
      </c>
      <c r="K65" s="15" t="s">
        <v>42</v>
      </c>
      <c r="L65" s="13">
        <f t="shared" si="8"/>
        <v>550000</v>
      </c>
      <c r="M65" s="13">
        <v>500000.0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/>
      <c r="B66" s="51">
        <v>45157.0</v>
      </c>
      <c r="C66" s="11" t="s">
        <v>10</v>
      </c>
      <c r="D66" s="11" t="s">
        <v>26</v>
      </c>
      <c r="E66" s="11" t="s">
        <v>30</v>
      </c>
      <c r="F66" s="11" t="s">
        <v>46</v>
      </c>
      <c r="G66" s="12">
        <v>9000.0</v>
      </c>
      <c r="H66" s="13">
        <v>1215000.0</v>
      </c>
      <c r="I66" s="14" t="s">
        <v>44</v>
      </c>
      <c r="J66" s="15">
        <v>700000.0</v>
      </c>
      <c r="K66" s="15" t="s">
        <v>42</v>
      </c>
      <c r="L66" s="13">
        <f t="shared" si="8"/>
        <v>515000</v>
      </c>
      <c r="M66" s="13">
        <v>0.0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/>
      <c r="B67" s="51">
        <v>45159.0</v>
      </c>
      <c r="C67" s="11" t="s">
        <v>10</v>
      </c>
      <c r="D67" s="11" t="s">
        <v>26</v>
      </c>
      <c r="E67" s="11" t="s">
        <v>30</v>
      </c>
      <c r="F67" s="11" t="s">
        <v>51</v>
      </c>
      <c r="G67" s="12">
        <v>9000.0</v>
      </c>
      <c r="H67" s="13">
        <v>1400000.0</v>
      </c>
      <c r="I67" s="14" t="s">
        <v>42</v>
      </c>
      <c r="J67" s="15">
        <v>900000.0</v>
      </c>
      <c r="K67" s="15" t="s">
        <v>42</v>
      </c>
      <c r="L67" s="13">
        <f t="shared" si="8"/>
        <v>500000</v>
      </c>
      <c r="M67" s="13">
        <v>0.0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/>
      <c r="B68" s="51">
        <v>45160.0</v>
      </c>
      <c r="C68" s="11" t="s">
        <v>10</v>
      </c>
      <c r="D68" s="11" t="s">
        <v>26</v>
      </c>
      <c r="E68" s="11" t="s">
        <v>30</v>
      </c>
      <c r="F68" s="11" t="s">
        <v>41</v>
      </c>
      <c r="G68" s="12">
        <v>9000.0</v>
      </c>
      <c r="H68" s="13">
        <v>1450000.0</v>
      </c>
      <c r="I68" s="14" t="s">
        <v>42</v>
      </c>
      <c r="J68" s="15">
        <v>900000.0</v>
      </c>
      <c r="K68" s="15" t="s">
        <v>42</v>
      </c>
      <c r="L68" s="13">
        <f t="shared" si="8"/>
        <v>550000</v>
      </c>
      <c r="M68" s="13">
        <v>360000.0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/>
      <c r="B69" s="51">
        <v>45161.0</v>
      </c>
      <c r="C69" s="11" t="s">
        <v>10</v>
      </c>
      <c r="D69" s="11" t="s">
        <v>26</v>
      </c>
      <c r="E69" s="11" t="s">
        <v>30</v>
      </c>
      <c r="F69" s="11" t="s">
        <v>52</v>
      </c>
      <c r="G69" s="12">
        <v>9000.0</v>
      </c>
      <c r="H69" s="13">
        <v>1080000.0</v>
      </c>
      <c r="I69" s="14" t="s">
        <v>42</v>
      </c>
      <c r="J69" s="15">
        <v>640000.0</v>
      </c>
      <c r="K69" s="15" t="s">
        <v>42</v>
      </c>
      <c r="L69" s="13">
        <f t="shared" si="8"/>
        <v>440000</v>
      </c>
      <c r="M69" s="13">
        <v>0.0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/>
      <c r="B70" s="51">
        <v>45162.0</v>
      </c>
      <c r="C70" s="11" t="s">
        <v>10</v>
      </c>
      <c r="D70" s="11" t="s">
        <v>26</v>
      </c>
      <c r="E70" s="11" t="s">
        <v>40</v>
      </c>
      <c r="F70" s="11" t="s">
        <v>53</v>
      </c>
      <c r="G70" s="12">
        <v>9000.0</v>
      </c>
      <c r="H70" s="13">
        <v>1400000.0</v>
      </c>
      <c r="I70" s="14" t="s">
        <v>42</v>
      </c>
      <c r="J70" s="15">
        <v>900000.0</v>
      </c>
      <c r="K70" s="15" t="s">
        <v>42</v>
      </c>
      <c r="L70" s="13">
        <f t="shared" si="8"/>
        <v>500000</v>
      </c>
      <c r="M70" s="13">
        <v>0.0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/>
      <c r="B71" s="51">
        <v>45163.0</v>
      </c>
      <c r="C71" s="11" t="s">
        <v>10</v>
      </c>
      <c r="D71" s="11" t="s">
        <v>26</v>
      </c>
      <c r="E71" s="11"/>
      <c r="F71" s="11"/>
      <c r="G71" s="12"/>
      <c r="H71" s="13"/>
      <c r="I71" s="14"/>
      <c r="J71" s="15"/>
      <c r="K71" s="15"/>
      <c r="L71" s="13"/>
      <c r="M71" s="13">
        <v>535000.0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/>
      <c r="B72" s="51">
        <v>45166.0</v>
      </c>
      <c r="C72" s="11" t="s">
        <v>10</v>
      </c>
      <c r="D72" s="11" t="s">
        <v>26</v>
      </c>
      <c r="E72" s="11"/>
      <c r="F72" s="11"/>
      <c r="G72" s="12"/>
      <c r="H72" s="13"/>
      <c r="I72" s="14"/>
      <c r="J72" s="15"/>
      <c r="K72" s="15"/>
      <c r="L72" s="13"/>
      <c r="M72" s="13">
        <v>244000.0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/>
      <c r="B73" s="51">
        <v>45167.0</v>
      </c>
      <c r="C73" s="11" t="s">
        <v>10</v>
      </c>
      <c r="D73" s="11" t="s">
        <v>26</v>
      </c>
      <c r="E73" s="11" t="s">
        <v>37</v>
      </c>
      <c r="F73" s="11" t="s">
        <v>43</v>
      </c>
      <c r="G73" s="12">
        <v>9000.0</v>
      </c>
      <c r="H73" s="13">
        <v>1350000.0</v>
      </c>
      <c r="I73" s="14" t="s">
        <v>44</v>
      </c>
      <c r="J73" s="15">
        <v>800000.0</v>
      </c>
      <c r="K73" s="15" t="s">
        <v>42</v>
      </c>
      <c r="L73" s="13">
        <f t="shared" ref="L73:L75" si="9">H73-J73</f>
        <v>550000</v>
      </c>
      <c r="M73" s="13">
        <v>0.0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/>
      <c r="B74" s="51">
        <v>45168.0</v>
      </c>
      <c r="C74" s="11" t="s">
        <v>10</v>
      </c>
      <c r="D74" s="11" t="s">
        <v>26</v>
      </c>
      <c r="E74" s="11" t="s">
        <v>30</v>
      </c>
      <c r="F74" s="11" t="s">
        <v>54</v>
      </c>
      <c r="G74" s="12">
        <v>9000.0</v>
      </c>
      <c r="H74" s="13">
        <v>1200000.0</v>
      </c>
      <c r="I74" s="14" t="s">
        <v>42</v>
      </c>
      <c r="J74" s="15">
        <v>640000.0</v>
      </c>
      <c r="K74" s="15" t="s">
        <v>42</v>
      </c>
      <c r="L74" s="13">
        <f t="shared" si="9"/>
        <v>560000</v>
      </c>
      <c r="M74" s="13">
        <v>0.0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/>
      <c r="B75" s="51">
        <v>45169.0</v>
      </c>
      <c r="C75" s="11" t="s">
        <v>10</v>
      </c>
      <c r="D75" s="11" t="s">
        <v>26</v>
      </c>
      <c r="E75" s="11" t="s">
        <v>40</v>
      </c>
      <c r="F75" s="11" t="s">
        <v>43</v>
      </c>
      <c r="G75" s="12">
        <v>9000.0</v>
      </c>
      <c r="H75" s="13">
        <v>1350000.0</v>
      </c>
      <c r="I75" s="14" t="s">
        <v>44</v>
      </c>
      <c r="J75" s="15">
        <v>800000.0</v>
      </c>
      <c r="K75" s="15" t="s">
        <v>42</v>
      </c>
      <c r="L75" s="13">
        <f t="shared" si="9"/>
        <v>550000</v>
      </c>
      <c r="M75" s="13">
        <v>0.0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1"/>
      <c r="B76" s="22"/>
      <c r="C76" s="23"/>
      <c r="D76" s="23"/>
      <c r="E76" s="23"/>
      <c r="F76" s="23"/>
      <c r="G76" s="24"/>
      <c r="H76" s="25"/>
      <c r="I76" s="26"/>
      <c r="J76" s="27"/>
      <c r="K76" s="27"/>
      <c r="L76" s="52">
        <f>SUM(L51:L75)</f>
        <v>10230000</v>
      </c>
      <c r="M76" s="53">
        <f>SUM(M50:M75)</f>
        <v>2684000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1"/>
      <c r="B77" s="22"/>
      <c r="C77" s="23"/>
      <c r="D77" s="23"/>
      <c r="E77" s="23"/>
      <c r="F77" s="23"/>
      <c r="G77" s="24"/>
      <c r="H77" s="25"/>
      <c r="I77" s="26"/>
      <c r="J77" s="27"/>
      <c r="K77" s="27"/>
      <c r="L77" s="33">
        <f>L76-M76</f>
        <v>7546000</v>
      </c>
      <c r="M77" s="31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6.25" customHeight="1">
      <c r="A78" s="1"/>
      <c r="B78" s="2" t="s">
        <v>0</v>
      </c>
      <c r="C78" s="2" t="s">
        <v>1</v>
      </c>
      <c r="D78" s="2" t="s">
        <v>2</v>
      </c>
      <c r="E78" s="3" t="s">
        <v>3</v>
      </c>
      <c r="F78" s="2" t="s">
        <v>4</v>
      </c>
      <c r="G78" s="4" t="s">
        <v>5</v>
      </c>
      <c r="H78" s="6" t="s">
        <v>6</v>
      </c>
      <c r="I78" s="6" t="s">
        <v>39</v>
      </c>
      <c r="J78" s="4" t="s">
        <v>7</v>
      </c>
      <c r="K78" s="4" t="s">
        <v>39</v>
      </c>
      <c r="L78" s="6" t="s">
        <v>8</v>
      </c>
      <c r="M78" s="6" t="s">
        <v>9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/>
      <c r="B79" s="51">
        <v>45170.0</v>
      </c>
      <c r="C79" s="11" t="s">
        <v>10</v>
      </c>
      <c r="D79" s="11" t="s">
        <v>26</v>
      </c>
      <c r="E79" s="11" t="s">
        <v>30</v>
      </c>
      <c r="F79" s="11" t="s">
        <v>55</v>
      </c>
      <c r="G79" s="12">
        <v>8500.0</v>
      </c>
      <c r="H79" s="13">
        <v>1225000.0</v>
      </c>
      <c r="I79" s="14" t="s">
        <v>44</v>
      </c>
      <c r="J79" s="13">
        <v>700000.0</v>
      </c>
      <c r="K79" s="15" t="s">
        <v>42</v>
      </c>
      <c r="L79" s="13">
        <f t="shared" ref="L79:L82" si="10">H79-J79</f>
        <v>525000</v>
      </c>
      <c r="M79" s="13">
        <v>0.0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/>
      <c r="B80" s="51">
        <v>45174.0</v>
      </c>
      <c r="C80" s="11" t="s">
        <v>10</v>
      </c>
      <c r="D80" s="11" t="s">
        <v>26</v>
      </c>
      <c r="E80" s="11" t="s">
        <v>30</v>
      </c>
      <c r="F80" s="11" t="s">
        <v>41</v>
      </c>
      <c r="G80" s="12">
        <v>9000.0</v>
      </c>
      <c r="H80" s="13">
        <v>1450000.0</v>
      </c>
      <c r="I80" s="14" t="s">
        <v>42</v>
      </c>
      <c r="J80" s="13">
        <v>900000.0</v>
      </c>
      <c r="K80" s="15" t="s">
        <v>42</v>
      </c>
      <c r="L80" s="13">
        <f t="shared" si="10"/>
        <v>550000</v>
      </c>
      <c r="M80" s="13">
        <v>30000.0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/>
      <c r="B81" s="51">
        <v>45175.0</v>
      </c>
      <c r="C81" s="11" t="s">
        <v>10</v>
      </c>
      <c r="D81" s="11" t="s">
        <v>26</v>
      </c>
      <c r="E81" s="11" t="s">
        <v>37</v>
      </c>
      <c r="F81" s="11" t="s">
        <v>56</v>
      </c>
      <c r="G81" s="12">
        <v>9000.0</v>
      </c>
      <c r="H81" s="13">
        <v>1350000.0</v>
      </c>
      <c r="I81" s="14" t="s">
        <v>44</v>
      </c>
      <c r="J81" s="13">
        <v>800000.0</v>
      </c>
      <c r="K81" s="15" t="s">
        <v>42</v>
      </c>
      <c r="L81" s="13">
        <f t="shared" si="10"/>
        <v>550000</v>
      </c>
      <c r="M81" s="13">
        <v>0.0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/>
      <c r="B82" s="51">
        <v>45178.0</v>
      </c>
      <c r="C82" s="11" t="s">
        <v>10</v>
      </c>
      <c r="D82" s="11" t="s">
        <v>26</v>
      </c>
      <c r="E82" s="11" t="s">
        <v>30</v>
      </c>
      <c r="F82" s="11" t="s">
        <v>57</v>
      </c>
      <c r="G82" s="12">
        <v>9000.0</v>
      </c>
      <c r="H82" s="13">
        <v>1080000.0</v>
      </c>
      <c r="I82" s="14" t="s">
        <v>42</v>
      </c>
      <c r="J82" s="13">
        <v>640000.0</v>
      </c>
      <c r="K82" s="15" t="s">
        <v>42</v>
      </c>
      <c r="L82" s="13">
        <f t="shared" si="10"/>
        <v>440000</v>
      </c>
      <c r="M82" s="13">
        <v>0.0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/>
      <c r="B83" s="51">
        <v>45179.0</v>
      </c>
      <c r="C83" s="11" t="s">
        <v>10</v>
      </c>
      <c r="D83" s="11" t="s">
        <v>26</v>
      </c>
      <c r="E83" s="11"/>
      <c r="F83" s="11"/>
      <c r="G83" s="12"/>
      <c r="H83" s="13"/>
      <c r="I83" s="14"/>
      <c r="J83" s="13"/>
      <c r="K83" s="15"/>
      <c r="L83" s="13"/>
      <c r="M83" s="13">
        <v>820000.0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/>
      <c r="B84" s="51">
        <v>45180.0</v>
      </c>
      <c r="C84" s="11" t="s">
        <v>10</v>
      </c>
      <c r="D84" s="11" t="s">
        <v>26</v>
      </c>
      <c r="E84" s="11"/>
      <c r="F84" s="11"/>
      <c r="G84" s="12"/>
      <c r="H84" s="13"/>
      <c r="I84" s="14"/>
      <c r="J84" s="13"/>
      <c r="K84" s="15"/>
      <c r="L84" s="13"/>
      <c r="M84" s="13">
        <v>19000.0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/>
      <c r="B85" s="51">
        <v>45181.0</v>
      </c>
      <c r="C85" s="11" t="s">
        <v>10</v>
      </c>
      <c r="D85" s="11" t="s">
        <v>26</v>
      </c>
      <c r="E85" s="11"/>
      <c r="F85" s="11"/>
      <c r="G85" s="12"/>
      <c r="H85" s="13"/>
      <c r="I85" s="14"/>
      <c r="J85" s="13"/>
      <c r="K85" s="15"/>
      <c r="L85" s="13"/>
      <c r="M85" s="13">
        <v>450000.0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/>
      <c r="B86" s="51">
        <v>45182.0</v>
      </c>
      <c r="C86" s="11" t="s">
        <v>10</v>
      </c>
      <c r="D86" s="11" t="s">
        <v>26</v>
      </c>
      <c r="E86" s="11" t="s">
        <v>37</v>
      </c>
      <c r="F86" s="11" t="s">
        <v>56</v>
      </c>
      <c r="G86" s="12">
        <v>9000.0</v>
      </c>
      <c r="H86" s="13">
        <v>1350000.0</v>
      </c>
      <c r="I86" s="14" t="s">
        <v>44</v>
      </c>
      <c r="J86" s="13">
        <v>800000.0</v>
      </c>
      <c r="K86" s="15" t="s">
        <v>42</v>
      </c>
      <c r="L86" s="13">
        <f t="shared" ref="L86:L100" si="11">H86-J86</f>
        <v>550000</v>
      </c>
      <c r="M86" s="13">
        <v>700000.0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/>
      <c r="B87" s="51">
        <v>45183.0</v>
      </c>
      <c r="C87" s="11" t="s">
        <v>10</v>
      </c>
      <c r="D87" s="11" t="s">
        <v>26</v>
      </c>
      <c r="E87" s="11" t="s">
        <v>30</v>
      </c>
      <c r="F87" s="11" t="s">
        <v>34</v>
      </c>
      <c r="G87" s="12">
        <v>9000.0</v>
      </c>
      <c r="H87" s="13">
        <v>1215000.0</v>
      </c>
      <c r="I87" s="14" t="s">
        <v>44</v>
      </c>
      <c r="J87" s="13">
        <v>700000.0</v>
      </c>
      <c r="K87" s="15" t="s">
        <v>42</v>
      </c>
      <c r="L87" s="13">
        <f t="shared" si="11"/>
        <v>515000</v>
      </c>
      <c r="M87" s="13">
        <v>0.0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/>
      <c r="B88" s="51">
        <v>45184.0</v>
      </c>
      <c r="C88" s="11" t="s">
        <v>10</v>
      </c>
      <c r="D88" s="11" t="s">
        <v>26</v>
      </c>
      <c r="E88" s="11" t="s">
        <v>30</v>
      </c>
      <c r="F88" s="11" t="s">
        <v>58</v>
      </c>
      <c r="G88" s="12">
        <v>9000.0</v>
      </c>
      <c r="H88" s="13">
        <v>900000.0</v>
      </c>
      <c r="I88" s="14" t="s">
        <v>42</v>
      </c>
      <c r="J88" s="13">
        <v>500000.0</v>
      </c>
      <c r="K88" s="15" t="s">
        <v>42</v>
      </c>
      <c r="L88" s="13">
        <f t="shared" si="11"/>
        <v>400000</v>
      </c>
      <c r="M88" s="13">
        <v>0.0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/>
      <c r="B89" s="51">
        <v>45185.0</v>
      </c>
      <c r="C89" s="11" t="s">
        <v>10</v>
      </c>
      <c r="D89" s="11" t="s">
        <v>26</v>
      </c>
      <c r="E89" s="11" t="s">
        <v>30</v>
      </c>
      <c r="F89" s="11" t="s">
        <v>59</v>
      </c>
      <c r="G89" s="12">
        <v>9000.0</v>
      </c>
      <c r="H89" s="13">
        <v>720000.0</v>
      </c>
      <c r="I89" s="14" t="s">
        <v>44</v>
      </c>
      <c r="J89" s="13">
        <v>350000.0</v>
      </c>
      <c r="K89" s="15" t="s">
        <v>42</v>
      </c>
      <c r="L89" s="13">
        <f t="shared" si="11"/>
        <v>370000</v>
      </c>
      <c r="M89" s="13">
        <v>0.0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/>
      <c r="B90" s="51">
        <v>45185.0</v>
      </c>
      <c r="C90" s="11" t="s">
        <v>10</v>
      </c>
      <c r="D90" s="11" t="s">
        <v>26</v>
      </c>
      <c r="E90" s="11" t="s">
        <v>30</v>
      </c>
      <c r="F90" s="11" t="s">
        <v>32</v>
      </c>
      <c r="G90" s="12">
        <v>9000.0</v>
      </c>
      <c r="H90" s="13">
        <v>675000.0</v>
      </c>
      <c r="I90" s="14" t="s">
        <v>42</v>
      </c>
      <c r="J90" s="13">
        <v>350000.0</v>
      </c>
      <c r="K90" s="15" t="s">
        <v>42</v>
      </c>
      <c r="L90" s="13">
        <f t="shared" si="11"/>
        <v>325000</v>
      </c>
      <c r="M90" s="13">
        <v>0.0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/>
      <c r="B91" s="51">
        <v>45188.0</v>
      </c>
      <c r="C91" s="11" t="s">
        <v>10</v>
      </c>
      <c r="D91" s="11" t="s">
        <v>26</v>
      </c>
      <c r="E91" s="11" t="s">
        <v>30</v>
      </c>
      <c r="F91" s="11" t="s">
        <v>41</v>
      </c>
      <c r="G91" s="12">
        <v>9000.0</v>
      </c>
      <c r="H91" s="13">
        <v>1450000.0</v>
      </c>
      <c r="I91" s="14" t="s">
        <v>42</v>
      </c>
      <c r="J91" s="13">
        <v>900000.0</v>
      </c>
      <c r="K91" s="15" t="s">
        <v>42</v>
      </c>
      <c r="L91" s="13">
        <f t="shared" si="11"/>
        <v>550000</v>
      </c>
      <c r="M91" s="13">
        <v>0.0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/>
      <c r="B92" s="51">
        <v>45189.0</v>
      </c>
      <c r="C92" s="11" t="s">
        <v>10</v>
      </c>
      <c r="D92" s="11" t="s">
        <v>26</v>
      </c>
      <c r="E92" s="11" t="s">
        <v>37</v>
      </c>
      <c r="F92" s="11" t="s">
        <v>56</v>
      </c>
      <c r="G92" s="12">
        <v>9000.0</v>
      </c>
      <c r="H92" s="13">
        <v>1350000.0</v>
      </c>
      <c r="I92" s="14" t="s">
        <v>44</v>
      </c>
      <c r="J92" s="13">
        <v>800000.0</v>
      </c>
      <c r="K92" s="15" t="s">
        <v>42</v>
      </c>
      <c r="L92" s="13">
        <f t="shared" si="11"/>
        <v>550000</v>
      </c>
      <c r="M92" s="13">
        <v>0.0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/>
      <c r="B93" s="51">
        <v>45190.0</v>
      </c>
      <c r="C93" s="11" t="s">
        <v>10</v>
      </c>
      <c r="D93" s="11" t="s">
        <v>26</v>
      </c>
      <c r="E93" s="11" t="s">
        <v>30</v>
      </c>
      <c r="F93" s="11" t="s">
        <v>57</v>
      </c>
      <c r="G93" s="12">
        <v>9000.0</v>
      </c>
      <c r="H93" s="13">
        <v>1080000.0</v>
      </c>
      <c r="I93" s="14" t="s">
        <v>42</v>
      </c>
      <c r="J93" s="13">
        <v>640000.0</v>
      </c>
      <c r="K93" s="15" t="s">
        <v>42</v>
      </c>
      <c r="L93" s="13">
        <f t="shared" si="11"/>
        <v>440000</v>
      </c>
      <c r="M93" s="13">
        <v>0.0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/>
      <c r="B94" s="51">
        <v>45191.0</v>
      </c>
      <c r="C94" s="11" t="s">
        <v>10</v>
      </c>
      <c r="D94" s="11" t="s">
        <v>26</v>
      </c>
      <c r="E94" s="11" t="s">
        <v>30</v>
      </c>
      <c r="F94" s="11" t="s">
        <v>32</v>
      </c>
      <c r="G94" s="12">
        <v>9000.0</v>
      </c>
      <c r="H94" s="13">
        <v>675000.0</v>
      </c>
      <c r="I94" s="14" t="s">
        <v>42</v>
      </c>
      <c r="J94" s="13">
        <v>350000.0</v>
      </c>
      <c r="K94" s="15" t="s">
        <v>42</v>
      </c>
      <c r="L94" s="13">
        <f t="shared" si="11"/>
        <v>325000</v>
      </c>
      <c r="M94" s="13">
        <v>0.0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/>
      <c r="B95" s="51">
        <v>45194.0</v>
      </c>
      <c r="C95" s="11" t="s">
        <v>10</v>
      </c>
      <c r="D95" s="11" t="s">
        <v>26</v>
      </c>
      <c r="E95" s="11" t="s">
        <v>30</v>
      </c>
      <c r="F95" s="11" t="s">
        <v>59</v>
      </c>
      <c r="G95" s="12">
        <v>9000.0</v>
      </c>
      <c r="H95" s="13">
        <v>820000.0</v>
      </c>
      <c r="I95" s="14" t="s">
        <v>44</v>
      </c>
      <c r="J95" s="13">
        <v>350000.0</v>
      </c>
      <c r="K95" s="15" t="s">
        <v>42</v>
      </c>
      <c r="L95" s="13">
        <f t="shared" si="11"/>
        <v>470000</v>
      </c>
      <c r="M95" s="13">
        <v>0.0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/>
      <c r="B96" s="51">
        <v>45195.0</v>
      </c>
      <c r="C96" s="11" t="s">
        <v>10</v>
      </c>
      <c r="D96" s="11" t="s">
        <v>26</v>
      </c>
      <c r="E96" s="11" t="s">
        <v>37</v>
      </c>
      <c r="F96" s="11" t="s">
        <v>56</v>
      </c>
      <c r="G96" s="12">
        <v>9000.0</v>
      </c>
      <c r="H96" s="13">
        <v>1350000.0</v>
      </c>
      <c r="I96" s="14" t="s">
        <v>44</v>
      </c>
      <c r="J96" s="13">
        <v>800000.0</v>
      </c>
      <c r="K96" s="15" t="s">
        <v>42</v>
      </c>
      <c r="L96" s="13">
        <f t="shared" si="11"/>
        <v>550000</v>
      </c>
      <c r="M96" s="13">
        <v>0.0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/>
      <c r="B97" s="51">
        <v>45196.0</v>
      </c>
      <c r="C97" s="11" t="s">
        <v>10</v>
      </c>
      <c r="D97" s="11" t="s">
        <v>26</v>
      </c>
      <c r="E97" s="11" t="s">
        <v>30</v>
      </c>
      <c r="F97" s="11" t="s">
        <v>32</v>
      </c>
      <c r="G97" s="12">
        <v>8500.0</v>
      </c>
      <c r="H97" s="13">
        <v>675000.0</v>
      </c>
      <c r="I97" s="14" t="s">
        <v>42</v>
      </c>
      <c r="J97" s="13">
        <v>350000.0</v>
      </c>
      <c r="K97" s="15" t="s">
        <v>42</v>
      </c>
      <c r="L97" s="13">
        <f t="shared" si="11"/>
        <v>325000</v>
      </c>
      <c r="M97" s="13">
        <v>0.0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/>
      <c r="B98" s="51">
        <v>45198.0</v>
      </c>
      <c r="C98" s="11" t="s">
        <v>10</v>
      </c>
      <c r="D98" s="11" t="s">
        <v>26</v>
      </c>
      <c r="E98" s="11" t="s">
        <v>37</v>
      </c>
      <c r="F98" s="11" t="s">
        <v>56</v>
      </c>
      <c r="G98" s="12">
        <v>9000.0</v>
      </c>
      <c r="H98" s="13">
        <v>1350000.0</v>
      </c>
      <c r="I98" s="14" t="s">
        <v>44</v>
      </c>
      <c r="J98" s="13">
        <v>800000.0</v>
      </c>
      <c r="K98" s="15" t="s">
        <v>42</v>
      </c>
      <c r="L98" s="13">
        <f t="shared" si="11"/>
        <v>550000</v>
      </c>
      <c r="M98" s="13">
        <v>0.0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/>
      <c r="B99" s="51">
        <v>45199.0</v>
      </c>
      <c r="C99" s="11" t="s">
        <v>10</v>
      </c>
      <c r="D99" s="11" t="s">
        <v>26</v>
      </c>
      <c r="E99" s="11" t="s">
        <v>30</v>
      </c>
      <c r="F99" s="11" t="s">
        <v>32</v>
      </c>
      <c r="G99" s="12">
        <v>9000.0</v>
      </c>
      <c r="H99" s="13">
        <v>675000.0</v>
      </c>
      <c r="I99" s="14" t="s">
        <v>42</v>
      </c>
      <c r="J99" s="13">
        <v>350000.0</v>
      </c>
      <c r="K99" s="15" t="s">
        <v>42</v>
      </c>
      <c r="L99" s="13">
        <f t="shared" si="11"/>
        <v>325000</v>
      </c>
      <c r="M99" s="13">
        <v>0.0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/>
      <c r="B100" s="51">
        <v>45199.0</v>
      </c>
      <c r="C100" s="11" t="s">
        <v>10</v>
      </c>
      <c r="D100" s="11" t="s">
        <v>26</v>
      </c>
      <c r="E100" s="11" t="s">
        <v>30</v>
      </c>
      <c r="F100" s="11" t="s">
        <v>32</v>
      </c>
      <c r="G100" s="12">
        <v>9000.0</v>
      </c>
      <c r="H100" s="13">
        <v>675000.0</v>
      </c>
      <c r="I100" s="14" t="s">
        <v>42</v>
      </c>
      <c r="J100" s="13">
        <v>350000.0</v>
      </c>
      <c r="K100" s="15" t="s">
        <v>42</v>
      </c>
      <c r="L100" s="13">
        <f t="shared" si="11"/>
        <v>325000</v>
      </c>
      <c r="M100" s="13">
        <v>0.0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1"/>
      <c r="B101" s="22"/>
      <c r="C101" s="23"/>
      <c r="D101" s="23"/>
      <c r="E101" s="23"/>
      <c r="F101" s="23"/>
      <c r="G101" s="24"/>
      <c r="H101" s="25"/>
      <c r="I101" s="26"/>
      <c r="J101" s="27"/>
      <c r="K101" s="27"/>
      <c r="L101" s="52">
        <f t="shared" ref="L101:M101" si="12">SUM(L79:L99)</f>
        <v>8310000</v>
      </c>
      <c r="M101" s="53">
        <f t="shared" si="12"/>
        <v>2019000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1"/>
      <c r="B102" s="22"/>
      <c r="C102" s="23"/>
      <c r="D102" s="23"/>
      <c r="E102" s="23"/>
      <c r="F102" s="23"/>
      <c r="G102" s="24"/>
      <c r="H102" s="25"/>
      <c r="I102" s="26"/>
      <c r="J102" s="27"/>
      <c r="K102" s="27"/>
      <c r="L102" s="33">
        <f>L101-M101</f>
        <v>6291000</v>
      </c>
      <c r="M102" s="5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0.0" customHeight="1">
      <c r="A103" s="1"/>
      <c r="B103" s="2" t="s">
        <v>0</v>
      </c>
      <c r="C103" s="2" t="s">
        <v>1</v>
      </c>
      <c r="D103" s="2" t="s">
        <v>2</v>
      </c>
      <c r="E103" s="3" t="s">
        <v>3</v>
      </c>
      <c r="F103" s="2" t="s">
        <v>4</v>
      </c>
      <c r="G103" s="4" t="s">
        <v>5</v>
      </c>
      <c r="H103" s="6" t="s">
        <v>6</v>
      </c>
      <c r="I103" s="6" t="s">
        <v>39</v>
      </c>
      <c r="J103" s="4" t="s">
        <v>7</v>
      </c>
      <c r="K103" s="4" t="s">
        <v>39</v>
      </c>
      <c r="L103" s="6" t="s">
        <v>8</v>
      </c>
      <c r="M103" s="6" t="s">
        <v>9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/>
      <c r="B104" s="51">
        <v>45201.0</v>
      </c>
      <c r="C104" s="11" t="s">
        <v>10</v>
      </c>
      <c r="D104" s="11" t="s">
        <v>26</v>
      </c>
      <c r="E104" s="11" t="s">
        <v>37</v>
      </c>
      <c r="F104" s="11" t="s">
        <v>60</v>
      </c>
      <c r="G104" s="12">
        <v>8500.0</v>
      </c>
      <c r="H104" s="13">
        <v>1300000.0</v>
      </c>
      <c r="I104" s="14" t="s">
        <v>42</v>
      </c>
      <c r="J104" s="15">
        <v>850000.0</v>
      </c>
      <c r="K104" s="15" t="s">
        <v>42</v>
      </c>
      <c r="L104" s="13">
        <f t="shared" ref="L104:L119" si="13">H104-J104</f>
        <v>450000</v>
      </c>
      <c r="M104" s="16">
        <v>40000.0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/>
      <c r="B105" s="51">
        <v>45202.0</v>
      </c>
      <c r="C105" s="11" t="s">
        <v>10</v>
      </c>
      <c r="D105" s="11" t="s">
        <v>26</v>
      </c>
      <c r="E105" s="11" t="s">
        <v>40</v>
      </c>
      <c r="F105" s="11" t="s">
        <v>60</v>
      </c>
      <c r="G105" s="12">
        <v>8500.0</v>
      </c>
      <c r="H105" s="13">
        <v>1300000.0</v>
      </c>
      <c r="I105" s="14" t="s">
        <v>42</v>
      </c>
      <c r="J105" s="15">
        <v>850000.0</v>
      </c>
      <c r="K105" s="15" t="s">
        <v>42</v>
      </c>
      <c r="L105" s="13">
        <f t="shared" si="13"/>
        <v>450000</v>
      </c>
      <c r="M105" s="16">
        <v>5075000.0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/>
      <c r="B106" s="51">
        <v>45205.0</v>
      </c>
      <c r="C106" s="11" t="s">
        <v>10</v>
      </c>
      <c r="D106" s="11" t="s">
        <v>26</v>
      </c>
      <c r="E106" s="11" t="s">
        <v>40</v>
      </c>
      <c r="F106" s="11" t="s">
        <v>28</v>
      </c>
      <c r="G106" s="12">
        <v>8500.0</v>
      </c>
      <c r="H106" s="55">
        <v>1100000.0</v>
      </c>
      <c r="I106" s="14"/>
      <c r="J106" s="15">
        <v>640000.0</v>
      </c>
      <c r="K106" s="15" t="s">
        <v>42</v>
      </c>
      <c r="L106" s="13">
        <f t="shared" si="13"/>
        <v>460000</v>
      </c>
      <c r="M106" s="16">
        <v>0.0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/>
      <c r="B107" s="51">
        <v>45212.0</v>
      </c>
      <c r="C107" s="11" t="s">
        <v>10</v>
      </c>
      <c r="D107" s="11" t="s">
        <v>26</v>
      </c>
      <c r="E107" s="11" t="s">
        <v>30</v>
      </c>
      <c r="F107" s="11" t="s">
        <v>61</v>
      </c>
      <c r="G107" s="12">
        <v>9000.0</v>
      </c>
      <c r="H107" s="13">
        <v>675000.0</v>
      </c>
      <c r="I107" s="14" t="s">
        <v>44</v>
      </c>
      <c r="J107" s="15">
        <v>350000.0</v>
      </c>
      <c r="K107" s="15" t="s">
        <v>42</v>
      </c>
      <c r="L107" s="13">
        <f t="shared" si="13"/>
        <v>325000</v>
      </c>
      <c r="M107" s="16">
        <v>0.0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/>
      <c r="B108" s="51">
        <v>45212.0</v>
      </c>
      <c r="C108" s="11" t="s">
        <v>62</v>
      </c>
      <c r="D108" s="11" t="s">
        <v>26</v>
      </c>
      <c r="E108" s="11" t="s">
        <v>30</v>
      </c>
      <c r="F108" s="11" t="s">
        <v>61</v>
      </c>
      <c r="G108" s="12">
        <v>10000.0</v>
      </c>
      <c r="H108" s="13">
        <v>750000.0</v>
      </c>
      <c r="I108" s="14" t="s">
        <v>44</v>
      </c>
      <c r="J108" s="15">
        <v>350000.0</v>
      </c>
      <c r="K108" s="15" t="s">
        <v>42</v>
      </c>
      <c r="L108" s="13">
        <f t="shared" si="13"/>
        <v>400000</v>
      </c>
      <c r="M108" s="16">
        <v>0.0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/>
      <c r="B109" s="51">
        <v>45213.0</v>
      </c>
      <c r="C109" s="11" t="s">
        <v>10</v>
      </c>
      <c r="D109" s="11" t="s">
        <v>26</v>
      </c>
      <c r="E109" s="11" t="s">
        <v>30</v>
      </c>
      <c r="F109" s="11" t="s">
        <v>63</v>
      </c>
      <c r="G109" s="12">
        <v>9000.0</v>
      </c>
      <c r="H109" s="13">
        <v>1000000.0</v>
      </c>
      <c r="I109" s="14" t="s">
        <v>44</v>
      </c>
      <c r="J109" s="15">
        <v>350000.0</v>
      </c>
      <c r="K109" s="15" t="s">
        <v>42</v>
      </c>
      <c r="L109" s="13">
        <f t="shared" si="13"/>
        <v>650000</v>
      </c>
      <c r="M109" s="16">
        <v>120000.0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/>
      <c r="B110" s="51">
        <v>45213.0</v>
      </c>
      <c r="C110" s="11" t="s">
        <v>62</v>
      </c>
      <c r="D110" s="11" t="s">
        <v>26</v>
      </c>
      <c r="E110" s="11" t="s">
        <v>30</v>
      </c>
      <c r="F110" s="11" t="s">
        <v>55</v>
      </c>
      <c r="G110" s="12">
        <v>8500.0</v>
      </c>
      <c r="H110" s="13">
        <v>1250000.0</v>
      </c>
      <c r="I110" s="14" t="s">
        <v>44</v>
      </c>
      <c r="J110" s="15">
        <v>700000.0</v>
      </c>
      <c r="K110" s="15" t="s">
        <v>42</v>
      </c>
      <c r="L110" s="13">
        <f t="shared" si="13"/>
        <v>550000</v>
      </c>
      <c r="M110" s="16">
        <v>0.0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/>
      <c r="B111" s="51">
        <v>45215.0</v>
      </c>
      <c r="C111" s="11" t="s">
        <v>10</v>
      </c>
      <c r="D111" s="11" t="s">
        <v>26</v>
      </c>
      <c r="E111" s="11" t="s">
        <v>30</v>
      </c>
      <c r="F111" s="11" t="s">
        <v>32</v>
      </c>
      <c r="G111" s="12">
        <v>9000.0</v>
      </c>
      <c r="H111" s="13">
        <v>675000.0</v>
      </c>
      <c r="I111" s="14" t="s">
        <v>42</v>
      </c>
      <c r="J111" s="15">
        <v>350000.0</v>
      </c>
      <c r="K111" s="15" t="s">
        <v>42</v>
      </c>
      <c r="L111" s="13">
        <f t="shared" si="13"/>
        <v>325000</v>
      </c>
      <c r="M111" s="16">
        <v>0.0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/>
      <c r="B112" s="51">
        <v>45215.0</v>
      </c>
      <c r="C112" s="11" t="s">
        <v>10</v>
      </c>
      <c r="D112" s="11" t="s">
        <v>26</v>
      </c>
      <c r="E112" s="11" t="s">
        <v>30</v>
      </c>
      <c r="F112" s="11" t="s">
        <v>38</v>
      </c>
      <c r="G112" s="12">
        <v>9000.0</v>
      </c>
      <c r="H112" s="13">
        <v>1400000.0</v>
      </c>
      <c r="I112" s="14" t="s">
        <v>44</v>
      </c>
      <c r="J112" s="15">
        <v>900000.0</v>
      </c>
      <c r="K112" s="15" t="s">
        <v>42</v>
      </c>
      <c r="L112" s="13">
        <f t="shared" si="13"/>
        <v>500000</v>
      </c>
      <c r="M112" s="16">
        <v>0.0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/>
      <c r="B113" s="51">
        <v>45216.0</v>
      </c>
      <c r="C113" s="11" t="s">
        <v>10</v>
      </c>
      <c r="D113" s="11" t="s">
        <v>26</v>
      </c>
      <c r="E113" s="11" t="s">
        <v>30</v>
      </c>
      <c r="F113" s="11" t="s">
        <v>61</v>
      </c>
      <c r="G113" s="12">
        <v>9000.0</v>
      </c>
      <c r="H113" s="13">
        <v>675000.0</v>
      </c>
      <c r="I113" s="14" t="s">
        <v>44</v>
      </c>
      <c r="J113" s="15">
        <v>350000.0</v>
      </c>
      <c r="K113" s="15" t="s">
        <v>42</v>
      </c>
      <c r="L113" s="13">
        <f t="shared" si="13"/>
        <v>325000</v>
      </c>
      <c r="M113" s="16">
        <v>0.0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/>
      <c r="B114" s="51">
        <v>45219.0</v>
      </c>
      <c r="C114" s="11" t="s">
        <v>10</v>
      </c>
      <c r="D114" s="11" t="s">
        <v>26</v>
      </c>
      <c r="E114" s="11" t="s">
        <v>30</v>
      </c>
      <c r="F114" s="11" t="s">
        <v>61</v>
      </c>
      <c r="G114" s="12">
        <v>9000.0</v>
      </c>
      <c r="H114" s="13">
        <v>675000.0</v>
      </c>
      <c r="I114" s="14" t="s">
        <v>44</v>
      </c>
      <c r="J114" s="15">
        <v>350000.0</v>
      </c>
      <c r="K114" s="15" t="s">
        <v>42</v>
      </c>
      <c r="L114" s="13">
        <f t="shared" si="13"/>
        <v>325000</v>
      </c>
      <c r="M114" s="16">
        <v>0.0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/>
      <c r="B115" s="51">
        <v>45220.0</v>
      </c>
      <c r="C115" s="11" t="s">
        <v>10</v>
      </c>
      <c r="D115" s="11" t="s">
        <v>26</v>
      </c>
      <c r="E115" s="11" t="s">
        <v>37</v>
      </c>
      <c r="F115" s="11" t="s">
        <v>43</v>
      </c>
      <c r="G115" s="12">
        <v>9000.0</v>
      </c>
      <c r="H115" s="13">
        <v>1350000.0</v>
      </c>
      <c r="I115" s="14" t="s">
        <v>44</v>
      </c>
      <c r="J115" s="15">
        <v>800000.0</v>
      </c>
      <c r="K115" s="15" t="s">
        <v>42</v>
      </c>
      <c r="L115" s="13">
        <f t="shared" si="13"/>
        <v>550000</v>
      </c>
      <c r="M115" s="16">
        <v>0.0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/>
      <c r="B116" s="51">
        <v>45222.0</v>
      </c>
      <c r="C116" s="11" t="s">
        <v>10</v>
      </c>
      <c r="D116" s="11" t="s">
        <v>26</v>
      </c>
      <c r="E116" s="11"/>
      <c r="F116" s="11"/>
      <c r="G116" s="18"/>
      <c r="H116" s="13"/>
      <c r="I116" s="14"/>
      <c r="J116" s="15"/>
      <c r="K116" s="15"/>
      <c r="L116" s="13">
        <f t="shared" si="13"/>
        <v>0</v>
      </c>
      <c r="M116" s="16">
        <v>370000.0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/>
      <c r="B117" s="51">
        <v>45223.0</v>
      </c>
      <c r="C117" s="11" t="s">
        <v>10</v>
      </c>
      <c r="D117" s="11" t="s">
        <v>26</v>
      </c>
      <c r="E117" s="11" t="s">
        <v>30</v>
      </c>
      <c r="F117" s="11" t="s">
        <v>28</v>
      </c>
      <c r="G117" s="12">
        <v>8500.0</v>
      </c>
      <c r="H117" s="55">
        <v>1100000.0</v>
      </c>
      <c r="I117" s="14" t="s">
        <v>42</v>
      </c>
      <c r="J117" s="15">
        <v>640000.0</v>
      </c>
      <c r="K117" s="15" t="s">
        <v>42</v>
      </c>
      <c r="L117" s="13">
        <f t="shared" si="13"/>
        <v>460000</v>
      </c>
      <c r="M117" s="16">
        <v>0.0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/>
      <c r="B118" s="51">
        <v>45229.0</v>
      </c>
      <c r="C118" s="11" t="s">
        <v>10</v>
      </c>
      <c r="D118" s="11" t="s">
        <v>26</v>
      </c>
      <c r="E118" s="11" t="s">
        <v>30</v>
      </c>
      <c r="F118" s="11" t="s">
        <v>32</v>
      </c>
      <c r="G118" s="12">
        <v>10000.0</v>
      </c>
      <c r="H118" s="13">
        <v>750000.0</v>
      </c>
      <c r="I118" s="14" t="s">
        <v>42</v>
      </c>
      <c r="J118" s="15">
        <v>350000.0</v>
      </c>
      <c r="K118" s="15" t="s">
        <v>42</v>
      </c>
      <c r="L118" s="13">
        <f t="shared" si="13"/>
        <v>400000</v>
      </c>
      <c r="M118" s="16">
        <v>0.0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/>
      <c r="B119" s="51">
        <v>45229.0</v>
      </c>
      <c r="C119" s="11" t="s">
        <v>10</v>
      </c>
      <c r="D119" s="11" t="s">
        <v>26</v>
      </c>
      <c r="E119" s="11" t="s">
        <v>30</v>
      </c>
      <c r="F119" s="11" t="s">
        <v>55</v>
      </c>
      <c r="G119" s="12">
        <v>8500.0</v>
      </c>
      <c r="H119" s="13">
        <v>1250000.0</v>
      </c>
      <c r="I119" s="14" t="s">
        <v>44</v>
      </c>
      <c r="J119" s="15">
        <v>700000.0</v>
      </c>
      <c r="K119" s="15" t="s">
        <v>42</v>
      </c>
      <c r="L119" s="13">
        <f t="shared" si="13"/>
        <v>550000</v>
      </c>
      <c r="M119" s="16">
        <v>0.0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1"/>
      <c r="B120" s="22"/>
      <c r="C120" s="23"/>
      <c r="D120" s="23"/>
      <c r="E120" s="23"/>
      <c r="F120" s="23"/>
      <c r="G120" s="24"/>
      <c r="H120" s="25"/>
      <c r="I120" s="26"/>
      <c r="J120" s="27"/>
      <c r="K120" s="27"/>
      <c r="L120" s="52">
        <f t="shared" ref="L120:M120" si="14">SUM(L104:L119)</f>
        <v>6720000</v>
      </c>
      <c r="M120" s="56">
        <f t="shared" si="14"/>
        <v>5605000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1"/>
      <c r="B121" s="22"/>
      <c r="C121" s="23"/>
      <c r="D121" s="23"/>
      <c r="E121" s="23"/>
      <c r="F121" s="23"/>
      <c r="G121" s="24"/>
      <c r="H121" s="25"/>
      <c r="I121" s="26"/>
      <c r="J121" s="27"/>
      <c r="K121" s="27"/>
      <c r="L121" s="33">
        <f>L120-M120</f>
        <v>1115000</v>
      </c>
      <c r="M121" s="5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1"/>
      <c r="B122" s="7"/>
      <c r="C122" s="17"/>
      <c r="D122" s="17"/>
      <c r="E122" s="17"/>
      <c r="F122" s="17"/>
      <c r="G122" s="57"/>
      <c r="H122" s="58"/>
      <c r="I122" s="59"/>
      <c r="J122" s="60"/>
      <c r="K122" s="60"/>
      <c r="L122" s="17"/>
      <c r="M122" s="61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7.5" customHeight="1">
      <c r="A123" s="1"/>
      <c r="B123" s="2" t="s">
        <v>0</v>
      </c>
      <c r="C123" s="2" t="s">
        <v>1</v>
      </c>
      <c r="D123" s="2" t="s">
        <v>2</v>
      </c>
      <c r="E123" s="3" t="s">
        <v>3</v>
      </c>
      <c r="F123" s="2" t="s">
        <v>4</v>
      </c>
      <c r="G123" s="4" t="s">
        <v>5</v>
      </c>
      <c r="H123" s="6" t="s">
        <v>6</v>
      </c>
      <c r="I123" s="6" t="s">
        <v>39</v>
      </c>
      <c r="J123" s="4" t="s">
        <v>7</v>
      </c>
      <c r="K123" s="4" t="s">
        <v>39</v>
      </c>
      <c r="L123" s="6" t="s">
        <v>8</v>
      </c>
      <c r="M123" s="6" t="s">
        <v>9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/>
      <c r="B124" s="51">
        <v>45231.0</v>
      </c>
      <c r="C124" s="11" t="s">
        <v>10</v>
      </c>
      <c r="D124" s="11" t="s">
        <v>64</v>
      </c>
      <c r="E124" s="11" t="s">
        <v>30</v>
      </c>
      <c r="F124" s="11" t="s">
        <v>61</v>
      </c>
      <c r="G124" s="12">
        <v>9000.0</v>
      </c>
      <c r="H124" s="62">
        <v>675000.0</v>
      </c>
      <c r="I124" s="14" t="s">
        <v>44</v>
      </c>
      <c r="J124" s="15">
        <v>350000.0</v>
      </c>
      <c r="K124" s="15" t="s">
        <v>42</v>
      </c>
      <c r="L124" s="63">
        <f t="shared" ref="L124:L135" si="15">H124-J124</f>
        <v>325000</v>
      </c>
      <c r="M124" s="16">
        <v>0.0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/>
      <c r="B125" s="51">
        <v>45232.0</v>
      </c>
      <c r="C125" s="11" t="s">
        <v>10</v>
      </c>
      <c r="D125" s="11" t="s">
        <v>64</v>
      </c>
      <c r="E125" s="11" t="s">
        <v>30</v>
      </c>
      <c r="F125" s="11" t="s">
        <v>32</v>
      </c>
      <c r="G125" s="12">
        <v>10000.0</v>
      </c>
      <c r="H125" s="13">
        <v>750000.0</v>
      </c>
      <c r="I125" s="14" t="s">
        <v>42</v>
      </c>
      <c r="J125" s="15">
        <v>350000.0</v>
      </c>
      <c r="K125" s="15" t="s">
        <v>42</v>
      </c>
      <c r="L125" s="63">
        <f t="shared" si="15"/>
        <v>400000</v>
      </c>
      <c r="M125" s="16">
        <v>0.0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/>
      <c r="B126" s="51">
        <v>45236.0</v>
      </c>
      <c r="C126" s="11" t="s">
        <v>10</v>
      </c>
      <c r="D126" s="11" t="s">
        <v>64</v>
      </c>
      <c r="E126" s="11" t="s">
        <v>37</v>
      </c>
      <c r="F126" s="11" t="s">
        <v>56</v>
      </c>
      <c r="G126" s="12">
        <v>9000.0</v>
      </c>
      <c r="H126" s="13">
        <v>1350000.0</v>
      </c>
      <c r="I126" s="14" t="s">
        <v>44</v>
      </c>
      <c r="J126" s="15">
        <v>800000.0</v>
      </c>
      <c r="K126" s="15" t="s">
        <v>44</v>
      </c>
      <c r="L126" s="63">
        <f t="shared" si="15"/>
        <v>550000</v>
      </c>
      <c r="M126" s="16">
        <v>0.0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/>
      <c r="B127" s="51">
        <v>45237.0</v>
      </c>
      <c r="C127" s="11" t="s">
        <v>10</v>
      </c>
      <c r="D127" s="11" t="s">
        <v>64</v>
      </c>
      <c r="E127" s="11" t="s">
        <v>30</v>
      </c>
      <c r="F127" s="11" t="s">
        <v>34</v>
      </c>
      <c r="G127" s="12">
        <v>9000.0</v>
      </c>
      <c r="H127" s="13">
        <v>1215000.0</v>
      </c>
      <c r="I127" s="14" t="s">
        <v>44</v>
      </c>
      <c r="J127" s="15">
        <v>700000.0</v>
      </c>
      <c r="K127" s="15" t="s">
        <v>42</v>
      </c>
      <c r="L127" s="63">
        <f t="shared" si="15"/>
        <v>515000</v>
      </c>
      <c r="M127" s="16">
        <v>0.0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/>
      <c r="B128" s="51">
        <v>45244.0</v>
      </c>
      <c r="C128" s="11" t="s">
        <v>10</v>
      </c>
      <c r="D128" s="11" t="s">
        <v>64</v>
      </c>
      <c r="E128" s="11" t="s">
        <v>30</v>
      </c>
      <c r="F128" s="11" t="s">
        <v>32</v>
      </c>
      <c r="G128" s="12">
        <v>9000.0</v>
      </c>
      <c r="H128" s="13">
        <v>675000.0</v>
      </c>
      <c r="I128" s="14" t="s">
        <v>42</v>
      </c>
      <c r="J128" s="15">
        <v>350000.0</v>
      </c>
      <c r="K128" s="15" t="s">
        <v>42</v>
      </c>
      <c r="L128" s="63">
        <f t="shared" si="15"/>
        <v>325000</v>
      </c>
      <c r="M128" s="16">
        <v>0.0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/>
      <c r="B129" s="51">
        <v>45244.0</v>
      </c>
      <c r="C129" s="11" t="s">
        <v>10</v>
      </c>
      <c r="D129" s="11" t="s">
        <v>64</v>
      </c>
      <c r="E129" s="11" t="s">
        <v>30</v>
      </c>
      <c r="F129" s="11" t="s">
        <v>55</v>
      </c>
      <c r="G129" s="12">
        <v>8500.0</v>
      </c>
      <c r="H129" s="13">
        <v>1230000.0</v>
      </c>
      <c r="I129" s="14" t="s">
        <v>44</v>
      </c>
      <c r="J129" s="15">
        <v>700000.0</v>
      </c>
      <c r="K129" s="15" t="s">
        <v>42</v>
      </c>
      <c r="L129" s="63">
        <f t="shared" si="15"/>
        <v>530000</v>
      </c>
      <c r="M129" s="16">
        <v>0.0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/>
      <c r="B130" s="51">
        <v>45245.0</v>
      </c>
      <c r="C130" s="11" t="s">
        <v>10</v>
      </c>
      <c r="D130" s="11" t="s">
        <v>64</v>
      </c>
      <c r="E130" s="11" t="s">
        <v>30</v>
      </c>
      <c r="F130" s="11" t="s">
        <v>32</v>
      </c>
      <c r="G130" s="12">
        <v>9000.0</v>
      </c>
      <c r="H130" s="13">
        <v>675000.0</v>
      </c>
      <c r="I130" s="14" t="s">
        <v>42</v>
      </c>
      <c r="J130" s="15">
        <v>350000.0</v>
      </c>
      <c r="K130" s="15" t="s">
        <v>42</v>
      </c>
      <c r="L130" s="63">
        <f t="shared" si="15"/>
        <v>325000</v>
      </c>
      <c r="M130" s="16">
        <v>0.0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/>
      <c r="B131" s="51">
        <v>45253.0</v>
      </c>
      <c r="C131" s="11" t="s">
        <v>65</v>
      </c>
      <c r="D131" s="11" t="s">
        <v>64</v>
      </c>
      <c r="E131" s="11" t="s">
        <v>37</v>
      </c>
      <c r="F131" s="11" t="s">
        <v>66</v>
      </c>
      <c r="G131" s="12">
        <v>9000.0</v>
      </c>
      <c r="H131" s="13">
        <v>675000.0</v>
      </c>
      <c r="I131" s="14" t="s">
        <v>42</v>
      </c>
      <c r="J131" s="15">
        <v>350000.0</v>
      </c>
      <c r="K131" s="15"/>
      <c r="L131" s="63">
        <f t="shared" si="15"/>
        <v>325000</v>
      </c>
      <c r="M131" s="16">
        <v>280000.0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/>
      <c r="B132" s="51">
        <v>45255.0</v>
      </c>
      <c r="C132" s="11" t="s">
        <v>65</v>
      </c>
      <c r="D132" s="11" t="s">
        <v>64</v>
      </c>
      <c r="E132" s="11" t="s">
        <v>67</v>
      </c>
      <c r="F132" s="11" t="s">
        <v>68</v>
      </c>
      <c r="G132" s="12">
        <v>10000.0</v>
      </c>
      <c r="H132" s="13">
        <v>800000.0</v>
      </c>
      <c r="I132" s="14" t="s">
        <v>42</v>
      </c>
      <c r="J132" s="15">
        <v>400000.0</v>
      </c>
      <c r="K132" s="15" t="s">
        <v>42</v>
      </c>
      <c r="L132" s="63">
        <f t="shared" si="15"/>
        <v>400000</v>
      </c>
      <c r="M132" s="16">
        <v>0.0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/>
      <c r="B133" s="51">
        <v>45257.0</v>
      </c>
      <c r="C133" s="11" t="s">
        <v>65</v>
      </c>
      <c r="D133" s="11" t="s">
        <v>64</v>
      </c>
      <c r="E133" s="11" t="s">
        <v>40</v>
      </c>
      <c r="F133" s="11" t="s">
        <v>69</v>
      </c>
      <c r="G133" s="12">
        <v>9000.0</v>
      </c>
      <c r="H133" s="13">
        <v>900000.0</v>
      </c>
      <c r="I133" s="14" t="s">
        <v>42</v>
      </c>
      <c r="J133" s="15">
        <v>500000.0</v>
      </c>
      <c r="K133" s="15" t="s">
        <v>42</v>
      </c>
      <c r="L133" s="63">
        <f t="shared" si="15"/>
        <v>400000</v>
      </c>
      <c r="M133" s="16">
        <v>0.0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/>
      <c r="B134" s="51">
        <v>45258.0</v>
      </c>
      <c r="C134" s="11" t="s">
        <v>65</v>
      </c>
      <c r="D134" s="11" t="s">
        <v>64</v>
      </c>
      <c r="E134" s="11" t="s">
        <v>40</v>
      </c>
      <c r="F134" s="11" t="s">
        <v>70</v>
      </c>
      <c r="G134" s="12">
        <v>9000.0</v>
      </c>
      <c r="H134" s="13">
        <v>1200000.0</v>
      </c>
      <c r="I134" s="14" t="s">
        <v>44</v>
      </c>
      <c r="J134" s="15">
        <v>640000.0</v>
      </c>
      <c r="K134" s="15" t="s">
        <v>42</v>
      </c>
      <c r="L134" s="63">
        <f t="shared" si="15"/>
        <v>560000</v>
      </c>
      <c r="M134" s="16">
        <v>0.0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/>
      <c r="B135" s="51">
        <v>45259.0</v>
      </c>
      <c r="C135" s="11" t="s">
        <v>65</v>
      </c>
      <c r="D135" s="11" t="s">
        <v>64</v>
      </c>
      <c r="E135" s="11" t="s">
        <v>71</v>
      </c>
      <c r="F135" s="11" t="s">
        <v>72</v>
      </c>
      <c r="G135" s="12">
        <v>9000.0</v>
      </c>
      <c r="H135" s="13">
        <v>1215000.0</v>
      </c>
      <c r="I135" s="14" t="s">
        <v>44</v>
      </c>
      <c r="J135" s="15">
        <v>700000.0</v>
      </c>
      <c r="K135" s="15" t="s">
        <v>42</v>
      </c>
      <c r="L135" s="63">
        <f t="shared" si="15"/>
        <v>515000</v>
      </c>
      <c r="M135" s="16">
        <v>0.0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1"/>
      <c r="B136" s="7"/>
      <c r="C136" s="17"/>
      <c r="D136" s="17"/>
      <c r="E136" s="17"/>
      <c r="F136" s="17"/>
      <c r="G136" s="57"/>
      <c r="H136" s="58"/>
      <c r="I136" s="59"/>
      <c r="J136" s="60"/>
      <c r="K136" s="60"/>
      <c r="L136" s="52">
        <f>SUM(L124:L135)</f>
        <v>5170000</v>
      </c>
      <c r="M136" s="56">
        <f>SUM(M126:M135)</f>
        <v>280000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1"/>
      <c r="B137" s="7"/>
      <c r="C137" s="17"/>
      <c r="D137" s="17"/>
      <c r="E137" s="17"/>
      <c r="F137" s="17"/>
      <c r="G137" s="57"/>
      <c r="H137" s="58"/>
      <c r="I137" s="59"/>
      <c r="J137" s="60"/>
      <c r="K137" s="60"/>
      <c r="L137" s="33">
        <f>L136-M136</f>
        <v>4890000</v>
      </c>
      <c r="M137" s="5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1"/>
      <c r="B138" s="7"/>
      <c r="C138" s="17"/>
      <c r="D138" s="17"/>
      <c r="E138" s="17"/>
      <c r="F138" s="17"/>
      <c r="G138" s="57"/>
      <c r="H138" s="58"/>
      <c r="I138" s="59"/>
      <c r="J138" s="60"/>
      <c r="K138" s="60"/>
      <c r="L138" s="17"/>
      <c r="M138" s="61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6.25" customHeight="1">
      <c r="A139" s="1"/>
      <c r="B139" s="2" t="s">
        <v>0</v>
      </c>
      <c r="C139" s="2" t="s">
        <v>1</v>
      </c>
      <c r="D139" s="2" t="s">
        <v>2</v>
      </c>
      <c r="E139" s="3" t="s">
        <v>3</v>
      </c>
      <c r="F139" s="2" t="s">
        <v>4</v>
      </c>
      <c r="G139" s="4" t="s">
        <v>5</v>
      </c>
      <c r="H139" s="6" t="s">
        <v>6</v>
      </c>
      <c r="I139" s="6" t="s">
        <v>39</v>
      </c>
      <c r="J139" s="4" t="s">
        <v>7</v>
      </c>
      <c r="K139" s="4" t="s">
        <v>39</v>
      </c>
      <c r="L139" s="6" t="s">
        <v>8</v>
      </c>
      <c r="M139" s="6" t="s">
        <v>9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/>
      <c r="B140" s="51">
        <v>45261.0</v>
      </c>
      <c r="C140" s="11" t="s">
        <v>65</v>
      </c>
      <c r="D140" s="11" t="s">
        <v>64</v>
      </c>
      <c r="E140" s="11" t="s">
        <v>40</v>
      </c>
      <c r="F140" s="11" t="s">
        <v>73</v>
      </c>
      <c r="G140" s="12">
        <v>9000.0</v>
      </c>
      <c r="H140" s="13">
        <v>1400000.0</v>
      </c>
      <c r="I140" s="14" t="s">
        <v>44</v>
      </c>
      <c r="J140" s="15">
        <v>900000.0</v>
      </c>
      <c r="K140" s="15" t="s">
        <v>42</v>
      </c>
      <c r="L140" s="13">
        <f t="shared" ref="L140:L141" si="16">H140-J140</f>
        <v>500000</v>
      </c>
      <c r="M140" s="16">
        <v>120000.0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/>
      <c r="B141" s="51">
        <v>45262.0</v>
      </c>
      <c r="C141" s="11" t="s">
        <v>65</v>
      </c>
      <c r="D141" s="11" t="s">
        <v>64</v>
      </c>
      <c r="E141" s="11" t="s">
        <v>40</v>
      </c>
      <c r="F141" s="11" t="s">
        <v>74</v>
      </c>
      <c r="G141" s="18">
        <v>8500.0</v>
      </c>
      <c r="H141" s="13">
        <v>725000.0</v>
      </c>
      <c r="I141" s="14" t="s">
        <v>42</v>
      </c>
      <c r="J141" s="15">
        <v>640000.0</v>
      </c>
      <c r="K141" s="15" t="s">
        <v>42</v>
      </c>
      <c r="L141" s="13">
        <f t="shared" si="16"/>
        <v>85000</v>
      </c>
      <c r="M141" s="1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/>
      <c r="B142" s="51">
        <v>45265.0</v>
      </c>
      <c r="C142" s="11" t="s">
        <v>65</v>
      </c>
      <c r="D142" s="11" t="s">
        <v>64</v>
      </c>
      <c r="E142" s="11"/>
      <c r="F142" s="11"/>
      <c r="G142" s="18"/>
      <c r="H142" s="13"/>
      <c r="I142" s="14"/>
      <c r="J142" s="15"/>
      <c r="K142" s="15"/>
      <c r="L142" s="13"/>
      <c r="M142" s="16">
        <v>2280000.0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/>
      <c r="B143" s="51">
        <v>45266.0</v>
      </c>
      <c r="C143" s="11" t="s">
        <v>65</v>
      </c>
      <c r="D143" s="11" t="s">
        <v>64</v>
      </c>
      <c r="E143" s="11" t="s">
        <v>40</v>
      </c>
      <c r="F143" s="11" t="s">
        <v>75</v>
      </c>
      <c r="G143" s="12">
        <v>9000.0</v>
      </c>
      <c r="H143" s="13">
        <v>1215000.0</v>
      </c>
      <c r="I143" s="14" t="s">
        <v>44</v>
      </c>
      <c r="J143" s="15">
        <v>700000.0</v>
      </c>
      <c r="K143" s="15" t="s">
        <v>42</v>
      </c>
      <c r="L143" s="13">
        <f t="shared" ref="L143:L149" si="17">H143-J143</f>
        <v>515000</v>
      </c>
      <c r="M143" s="16">
        <v>840000.0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/>
      <c r="B144" s="51">
        <v>45267.0</v>
      </c>
      <c r="C144" s="11" t="s">
        <v>65</v>
      </c>
      <c r="D144" s="11" t="s">
        <v>64</v>
      </c>
      <c r="E144" s="11" t="s">
        <v>40</v>
      </c>
      <c r="F144" s="11" t="s">
        <v>76</v>
      </c>
      <c r="G144" s="12">
        <v>8500.0</v>
      </c>
      <c r="H144" s="13">
        <v>1300000.0</v>
      </c>
      <c r="I144" s="14" t="s">
        <v>77</v>
      </c>
      <c r="J144" s="15">
        <v>850000.0</v>
      </c>
      <c r="K144" s="15" t="s">
        <v>42</v>
      </c>
      <c r="L144" s="13">
        <f t="shared" si="17"/>
        <v>450000</v>
      </c>
      <c r="M144" s="16">
        <v>100000.0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/>
      <c r="B145" s="51">
        <v>45268.0</v>
      </c>
      <c r="C145" s="11" t="s">
        <v>65</v>
      </c>
      <c r="D145" s="11" t="s">
        <v>64</v>
      </c>
      <c r="E145" s="11"/>
      <c r="F145" s="11" t="s">
        <v>78</v>
      </c>
      <c r="G145" s="18"/>
      <c r="H145" s="13">
        <v>2500000.0</v>
      </c>
      <c r="I145" s="14" t="s">
        <v>44</v>
      </c>
      <c r="J145" s="15">
        <v>1500000.0</v>
      </c>
      <c r="K145" s="15" t="s">
        <v>42</v>
      </c>
      <c r="L145" s="13">
        <f t="shared" si="17"/>
        <v>1000000</v>
      </c>
      <c r="M145" s="16">
        <v>25000.0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/>
      <c r="B146" s="51">
        <v>45271.0</v>
      </c>
      <c r="C146" s="11" t="s">
        <v>65</v>
      </c>
      <c r="D146" s="11" t="s">
        <v>64</v>
      </c>
      <c r="E146" s="11" t="s">
        <v>40</v>
      </c>
      <c r="F146" s="11" t="s">
        <v>75</v>
      </c>
      <c r="G146" s="12">
        <v>9000.0</v>
      </c>
      <c r="H146" s="13">
        <v>1215000.0</v>
      </c>
      <c r="I146" s="14" t="s">
        <v>44</v>
      </c>
      <c r="J146" s="15">
        <v>700000.0</v>
      </c>
      <c r="K146" s="13" t="s">
        <v>77</v>
      </c>
      <c r="L146" s="13">
        <f t="shared" si="17"/>
        <v>515000</v>
      </c>
      <c r="M146" s="1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/>
      <c r="B147" s="51">
        <v>45272.0</v>
      </c>
      <c r="C147" s="11" t="s">
        <v>65</v>
      </c>
      <c r="D147" s="11" t="s">
        <v>64</v>
      </c>
      <c r="E147" s="11" t="s">
        <v>40</v>
      </c>
      <c r="F147" s="11" t="s">
        <v>79</v>
      </c>
      <c r="G147" s="12">
        <v>8500.0</v>
      </c>
      <c r="H147" s="13">
        <v>1100000.0</v>
      </c>
      <c r="I147" s="14" t="s">
        <v>77</v>
      </c>
      <c r="J147" s="15">
        <v>640000.0</v>
      </c>
      <c r="K147" s="13" t="s">
        <v>77</v>
      </c>
      <c r="L147" s="13">
        <f t="shared" si="17"/>
        <v>460000</v>
      </c>
      <c r="M147" s="1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/>
      <c r="B148" s="51">
        <v>45273.0</v>
      </c>
      <c r="C148" s="11" t="s">
        <v>65</v>
      </c>
      <c r="D148" s="11" t="s">
        <v>64</v>
      </c>
      <c r="E148" s="11" t="s">
        <v>80</v>
      </c>
      <c r="F148" s="11" t="s">
        <v>66</v>
      </c>
      <c r="G148" s="12">
        <v>9000.0</v>
      </c>
      <c r="H148" s="13">
        <v>675000.0</v>
      </c>
      <c r="I148" s="14" t="s">
        <v>42</v>
      </c>
      <c r="J148" s="15">
        <v>350000.0</v>
      </c>
      <c r="K148" s="13" t="s">
        <v>77</v>
      </c>
      <c r="L148" s="13">
        <f t="shared" si="17"/>
        <v>325000</v>
      </c>
      <c r="M148" s="16">
        <v>1075000.0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/>
      <c r="B149" s="51">
        <v>45274.0</v>
      </c>
      <c r="C149" s="11" t="s">
        <v>65</v>
      </c>
      <c r="D149" s="11" t="s">
        <v>64</v>
      </c>
      <c r="E149" s="11" t="s">
        <v>81</v>
      </c>
      <c r="F149" s="11" t="s">
        <v>76</v>
      </c>
      <c r="G149" s="12">
        <v>8500.0</v>
      </c>
      <c r="H149" s="13">
        <v>1300000.0</v>
      </c>
      <c r="I149" s="14" t="s">
        <v>44</v>
      </c>
      <c r="J149" s="15">
        <v>850000.0</v>
      </c>
      <c r="K149" s="13" t="s">
        <v>77</v>
      </c>
      <c r="L149" s="13">
        <f t="shared" si="17"/>
        <v>450000</v>
      </c>
      <c r="M149" s="16">
        <v>150000.0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/>
      <c r="B150" s="51">
        <v>45280.0</v>
      </c>
      <c r="C150" s="11" t="s">
        <v>65</v>
      </c>
      <c r="D150" s="11" t="s">
        <v>64</v>
      </c>
      <c r="E150" s="11"/>
      <c r="F150" s="11"/>
      <c r="G150" s="12"/>
      <c r="H150" s="13"/>
      <c r="I150" s="14"/>
      <c r="J150" s="15"/>
      <c r="K150" s="13"/>
      <c r="L150" s="13"/>
      <c r="M150" s="16">
        <v>145000.0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/>
      <c r="B151" s="51">
        <v>45284.0</v>
      </c>
      <c r="C151" s="11" t="s">
        <v>65</v>
      </c>
      <c r="D151" s="11" t="s">
        <v>64</v>
      </c>
      <c r="E151" s="11"/>
      <c r="F151" s="11"/>
      <c r="G151" s="12"/>
      <c r="H151" s="13"/>
      <c r="I151" s="14"/>
      <c r="J151" s="15"/>
      <c r="K151" s="13"/>
      <c r="L151" s="13"/>
      <c r="M151" s="16">
        <v>490000.0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/>
      <c r="B152" s="51">
        <v>45287.0</v>
      </c>
      <c r="C152" s="11" t="s">
        <v>65</v>
      </c>
      <c r="D152" s="11" t="s">
        <v>64</v>
      </c>
      <c r="E152" s="11" t="s">
        <v>81</v>
      </c>
      <c r="F152" s="11" t="s">
        <v>66</v>
      </c>
      <c r="G152" s="12">
        <v>9000.0</v>
      </c>
      <c r="H152" s="13">
        <v>675000.0</v>
      </c>
      <c r="I152" s="14" t="s">
        <v>42</v>
      </c>
      <c r="J152" s="15">
        <v>350000.0</v>
      </c>
      <c r="K152" s="15" t="s">
        <v>42</v>
      </c>
      <c r="L152" s="13">
        <f t="shared" ref="L152:L156" si="18">H152-J152</f>
        <v>325000</v>
      </c>
      <c r="M152" s="16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/>
      <c r="B153" s="51">
        <v>45288.0</v>
      </c>
      <c r="C153" s="11" t="s">
        <v>65</v>
      </c>
      <c r="D153" s="11" t="s">
        <v>64</v>
      </c>
      <c r="E153" s="11" t="s">
        <v>82</v>
      </c>
      <c r="F153" s="11" t="s">
        <v>73</v>
      </c>
      <c r="G153" s="12">
        <v>9000.0</v>
      </c>
      <c r="H153" s="13">
        <v>1400000.0</v>
      </c>
      <c r="I153" s="14" t="s">
        <v>44</v>
      </c>
      <c r="J153" s="15">
        <v>900000.0</v>
      </c>
      <c r="K153" s="15" t="s">
        <v>42</v>
      </c>
      <c r="L153" s="13">
        <f t="shared" si="18"/>
        <v>500000</v>
      </c>
      <c r="M153" s="16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/>
      <c r="B154" s="51">
        <v>45289.0</v>
      </c>
      <c r="C154" s="11" t="s">
        <v>65</v>
      </c>
      <c r="D154" s="11" t="s">
        <v>64</v>
      </c>
      <c r="E154" s="11" t="s">
        <v>83</v>
      </c>
      <c r="F154" s="11" t="s">
        <v>84</v>
      </c>
      <c r="G154" s="12">
        <v>9000.0</v>
      </c>
      <c r="H154" s="13">
        <v>1035000.0</v>
      </c>
      <c r="I154" s="14" t="s">
        <v>42</v>
      </c>
      <c r="J154" s="15">
        <v>550000.0</v>
      </c>
      <c r="K154" s="15" t="s">
        <v>42</v>
      </c>
      <c r="L154" s="13">
        <f t="shared" si="18"/>
        <v>485000</v>
      </c>
      <c r="M154" s="16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/>
      <c r="B155" s="51">
        <v>45290.0</v>
      </c>
      <c r="C155" s="11" t="s">
        <v>65</v>
      </c>
      <c r="D155" s="11" t="s">
        <v>64</v>
      </c>
      <c r="E155" s="11" t="s">
        <v>85</v>
      </c>
      <c r="F155" s="11" t="s">
        <v>66</v>
      </c>
      <c r="G155" s="12">
        <v>9000.0</v>
      </c>
      <c r="H155" s="13">
        <v>675000.0</v>
      </c>
      <c r="I155" s="14" t="s">
        <v>42</v>
      </c>
      <c r="J155" s="15">
        <v>350000.0</v>
      </c>
      <c r="K155" s="15" t="s">
        <v>42</v>
      </c>
      <c r="L155" s="13">
        <f t="shared" si="18"/>
        <v>325000</v>
      </c>
      <c r="M155" s="16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/>
      <c r="B156" s="51">
        <v>45290.0</v>
      </c>
      <c r="C156" s="11" t="s">
        <v>65</v>
      </c>
      <c r="D156" s="11" t="s">
        <v>64</v>
      </c>
      <c r="E156" s="11" t="s">
        <v>85</v>
      </c>
      <c r="F156" s="11" t="s">
        <v>55</v>
      </c>
      <c r="G156" s="12">
        <v>8500.0</v>
      </c>
      <c r="H156" s="13">
        <v>1230000.0</v>
      </c>
      <c r="I156" s="14" t="s">
        <v>44</v>
      </c>
      <c r="J156" s="15">
        <v>700000.0</v>
      </c>
      <c r="K156" s="15" t="s">
        <v>42</v>
      </c>
      <c r="L156" s="13">
        <f t="shared" si="18"/>
        <v>530000</v>
      </c>
      <c r="M156" s="1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1"/>
      <c r="B157" s="7"/>
      <c r="C157" s="17"/>
      <c r="D157" s="17"/>
      <c r="E157" s="17"/>
      <c r="F157" s="17"/>
      <c r="G157" s="57"/>
      <c r="H157" s="58"/>
      <c r="I157" s="59"/>
      <c r="J157" s="60"/>
      <c r="K157" s="60"/>
      <c r="L157" s="52">
        <f>SUM(L140:L156)</f>
        <v>6465000</v>
      </c>
      <c r="M157" s="52">
        <f>SUM(M140:M154)</f>
        <v>5225000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1"/>
      <c r="B158" s="7"/>
      <c r="C158" s="17"/>
      <c r="D158" s="17"/>
      <c r="E158" s="17"/>
      <c r="F158" s="17"/>
      <c r="G158" s="57"/>
      <c r="H158" s="58"/>
      <c r="I158" s="59"/>
      <c r="J158" s="60"/>
      <c r="K158" s="60"/>
      <c r="L158" s="33">
        <f>L157-M157</f>
        <v>1240000</v>
      </c>
      <c r="M158" s="5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75" customHeight="1">
      <c r="A159" s="1"/>
      <c r="B159" s="2" t="s">
        <v>0</v>
      </c>
      <c r="C159" s="2" t="s">
        <v>1</v>
      </c>
      <c r="D159" s="2" t="s">
        <v>2</v>
      </c>
      <c r="E159" s="3" t="s">
        <v>3</v>
      </c>
      <c r="F159" s="2" t="s">
        <v>4</v>
      </c>
      <c r="G159" s="4" t="s">
        <v>5</v>
      </c>
      <c r="H159" s="6" t="s">
        <v>6</v>
      </c>
      <c r="I159" s="6" t="s">
        <v>39</v>
      </c>
      <c r="J159" s="4" t="s">
        <v>7</v>
      </c>
      <c r="K159" s="4" t="s">
        <v>39</v>
      </c>
      <c r="L159" s="6" t="s">
        <v>8</v>
      </c>
      <c r="M159" s="6" t="s">
        <v>9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/>
      <c r="B160" s="51">
        <v>45294.0</v>
      </c>
      <c r="C160" s="11" t="s">
        <v>65</v>
      </c>
      <c r="D160" s="11" t="s">
        <v>64</v>
      </c>
      <c r="E160" s="11" t="s">
        <v>85</v>
      </c>
      <c r="F160" s="11" t="s">
        <v>75</v>
      </c>
      <c r="G160" s="12">
        <v>9000.0</v>
      </c>
      <c r="H160" s="13">
        <v>1215000.0</v>
      </c>
      <c r="I160" s="14" t="s">
        <v>42</v>
      </c>
      <c r="J160" s="15">
        <v>700000.0</v>
      </c>
      <c r="K160" s="15" t="s">
        <v>42</v>
      </c>
      <c r="L160" s="13">
        <f t="shared" ref="L160:L183" si="19">H160-J160</f>
        <v>515000</v>
      </c>
      <c r="M160" s="13">
        <v>425000.0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/>
      <c r="B161" s="51">
        <v>45295.0</v>
      </c>
      <c r="C161" s="11" t="s">
        <v>65</v>
      </c>
      <c r="D161" s="11" t="s">
        <v>64</v>
      </c>
      <c r="E161" s="11" t="s">
        <v>85</v>
      </c>
      <c r="F161" s="11" t="s">
        <v>66</v>
      </c>
      <c r="G161" s="12">
        <v>10000.0</v>
      </c>
      <c r="H161" s="13">
        <v>750000.0</v>
      </c>
      <c r="I161" s="14" t="s">
        <v>42</v>
      </c>
      <c r="J161" s="15">
        <v>350000.0</v>
      </c>
      <c r="K161" s="15" t="s">
        <v>42</v>
      </c>
      <c r="L161" s="13">
        <f t="shared" si="19"/>
        <v>400000</v>
      </c>
      <c r="M161" s="13">
        <v>4100000.0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/>
      <c r="B162" s="51">
        <v>45295.0</v>
      </c>
      <c r="C162" s="11" t="s">
        <v>65</v>
      </c>
      <c r="D162" s="11" t="s">
        <v>64</v>
      </c>
      <c r="E162" s="11" t="s">
        <v>40</v>
      </c>
      <c r="F162" s="11" t="s">
        <v>43</v>
      </c>
      <c r="G162" s="12">
        <v>9000.0</v>
      </c>
      <c r="H162" s="13">
        <v>1350000.0</v>
      </c>
      <c r="I162" s="14" t="s">
        <v>44</v>
      </c>
      <c r="J162" s="15">
        <v>800000.0</v>
      </c>
      <c r="K162" s="15" t="s">
        <v>42</v>
      </c>
      <c r="L162" s="13">
        <f t="shared" si="19"/>
        <v>550000</v>
      </c>
      <c r="M162" s="1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/>
      <c r="B163" s="51">
        <v>45296.0</v>
      </c>
      <c r="C163" s="11" t="s">
        <v>65</v>
      </c>
      <c r="D163" s="11" t="s">
        <v>64</v>
      </c>
      <c r="E163" s="11" t="s">
        <v>85</v>
      </c>
      <c r="F163" s="11" t="s">
        <v>75</v>
      </c>
      <c r="G163" s="12">
        <v>9000.0</v>
      </c>
      <c r="H163" s="13">
        <v>1215000.0</v>
      </c>
      <c r="I163" s="14" t="s">
        <v>42</v>
      </c>
      <c r="J163" s="15">
        <v>700000.0</v>
      </c>
      <c r="K163" s="15" t="s">
        <v>42</v>
      </c>
      <c r="L163" s="13">
        <f t="shared" si="19"/>
        <v>515000</v>
      </c>
      <c r="M163" s="1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/>
      <c r="B164" s="51">
        <v>45297.0</v>
      </c>
      <c r="C164" s="11" t="s">
        <v>65</v>
      </c>
      <c r="D164" s="11" t="s">
        <v>64</v>
      </c>
      <c r="E164" s="11" t="s">
        <v>81</v>
      </c>
      <c r="F164" s="11" t="s">
        <v>73</v>
      </c>
      <c r="G164" s="12">
        <v>9000.0</v>
      </c>
      <c r="H164" s="13">
        <v>1400000.0</v>
      </c>
      <c r="I164" s="14" t="s">
        <v>44</v>
      </c>
      <c r="J164" s="15">
        <v>900000.0</v>
      </c>
      <c r="K164" s="15" t="s">
        <v>42</v>
      </c>
      <c r="L164" s="13">
        <f t="shared" si="19"/>
        <v>500000</v>
      </c>
      <c r="M164" s="1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/>
      <c r="B165" s="51">
        <v>45300.0</v>
      </c>
      <c r="C165" s="11" t="s">
        <v>65</v>
      </c>
      <c r="D165" s="11" t="s">
        <v>64</v>
      </c>
      <c r="E165" s="11" t="s">
        <v>85</v>
      </c>
      <c r="F165" s="11" t="s">
        <v>66</v>
      </c>
      <c r="G165" s="12">
        <v>10000.0</v>
      </c>
      <c r="H165" s="13">
        <v>750000.0</v>
      </c>
      <c r="I165" s="14" t="s">
        <v>42</v>
      </c>
      <c r="J165" s="15">
        <v>375000.0</v>
      </c>
      <c r="K165" s="15" t="s">
        <v>42</v>
      </c>
      <c r="L165" s="13">
        <f t="shared" si="19"/>
        <v>375000</v>
      </c>
      <c r="M165" s="1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/>
      <c r="B166" s="51">
        <v>45301.0</v>
      </c>
      <c r="C166" s="11" t="s">
        <v>65</v>
      </c>
      <c r="D166" s="11" t="s">
        <v>64</v>
      </c>
      <c r="E166" s="11" t="s">
        <v>85</v>
      </c>
      <c r="F166" s="11" t="s">
        <v>58</v>
      </c>
      <c r="G166" s="12">
        <v>9000.0</v>
      </c>
      <c r="H166" s="13">
        <v>900000.0</v>
      </c>
      <c r="I166" s="14" t="s">
        <v>42</v>
      </c>
      <c r="J166" s="15">
        <v>500000.0</v>
      </c>
      <c r="K166" s="15" t="s">
        <v>42</v>
      </c>
      <c r="L166" s="13">
        <f t="shared" si="19"/>
        <v>400000</v>
      </c>
      <c r="M166" s="1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/>
      <c r="B167" s="51">
        <v>45302.0</v>
      </c>
      <c r="C167" s="11" t="s">
        <v>65</v>
      </c>
      <c r="D167" s="11" t="s">
        <v>64</v>
      </c>
      <c r="E167" s="11" t="s">
        <v>85</v>
      </c>
      <c r="F167" s="11" t="s">
        <v>55</v>
      </c>
      <c r="G167" s="12">
        <v>8500.0</v>
      </c>
      <c r="H167" s="13">
        <v>1235000.0</v>
      </c>
      <c r="I167" s="14" t="s">
        <v>44</v>
      </c>
      <c r="J167" s="15">
        <v>700000.0</v>
      </c>
      <c r="K167" s="15" t="s">
        <v>42</v>
      </c>
      <c r="L167" s="13">
        <f t="shared" si="19"/>
        <v>535000</v>
      </c>
      <c r="M167" s="1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/>
      <c r="B168" s="51">
        <v>45303.0</v>
      </c>
      <c r="C168" s="11" t="s">
        <v>65</v>
      </c>
      <c r="D168" s="11" t="s">
        <v>64</v>
      </c>
      <c r="E168" s="11" t="s">
        <v>37</v>
      </c>
      <c r="F168" s="11" t="s">
        <v>86</v>
      </c>
      <c r="G168" s="12">
        <v>9000.0</v>
      </c>
      <c r="H168" s="13">
        <v>975000.0</v>
      </c>
      <c r="I168" s="14" t="s">
        <v>42</v>
      </c>
      <c r="J168" s="15">
        <v>500000.0</v>
      </c>
      <c r="K168" s="15" t="s">
        <v>42</v>
      </c>
      <c r="L168" s="13">
        <f t="shared" si="19"/>
        <v>475000</v>
      </c>
      <c r="M168" s="1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/>
      <c r="B169" s="51">
        <v>45304.0</v>
      </c>
      <c r="C169" s="11" t="s">
        <v>65</v>
      </c>
      <c r="D169" s="11" t="s">
        <v>64</v>
      </c>
      <c r="E169" s="11" t="s">
        <v>37</v>
      </c>
      <c r="F169" s="11" t="s">
        <v>43</v>
      </c>
      <c r="G169" s="12">
        <v>9000.0</v>
      </c>
      <c r="H169" s="13">
        <v>1350000.0</v>
      </c>
      <c r="I169" s="14" t="s">
        <v>44</v>
      </c>
      <c r="J169" s="15">
        <v>800000.0</v>
      </c>
      <c r="K169" s="15" t="s">
        <v>42</v>
      </c>
      <c r="L169" s="13">
        <f t="shared" si="19"/>
        <v>550000</v>
      </c>
      <c r="M169" s="1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/>
      <c r="B170" s="51">
        <v>45306.0</v>
      </c>
      <c r="C170" s="11" t="s">
        <v>65</v>
      </c>
      <c r="D170" s="11" t="s">
        <v>64</v>
      </c>
      <c r="E170" s="11" t="s">
        <v>37</v>
      </c>
      <c r="F170" s="11" t="s">
        <v>43</v>
      </c>
      <c r="G170" s="12">
        <v>9000.0</v>
      </c>
      <c r="H170" s="13">
        <v>1350000.0</v>
      </c>
      <c r="I170" s="14" t="s">
        <v>44</v>
      </c>
      <c r="J170" s="15">
        <v>800000.0</v>
      </c>
      <c r="K170" s="15" t="s">
        <v>42</v>
      </c>
      <c r="L170" s="13">
        <f t="shared" si="19"/>
        <v>550000</v>
      </c>
      <c r="M170" s="13">
        <v>290000.0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/>
      <c r="B171" s="51">
        <v>45307.0</v>
      </c>
      <c r="C171" s="11" t="s">
        <v>65</v>
      </c>
      <c r="D171" s="11" t="s">
        <v>64</v>
      </c>
      <c r="E171" s="11" t="s">
        <v>85</v>
      </c>
      <c r="F171" s="11" t="s">
        <v>79</v>
      </c>
      <c r="G171" s="12">
        <v>9000.0</v>
      </c>
      <c r="H171" s="13">
        <v>1100000.0</v>
      </c>
      <c r="I171" s="14" t="s">
        <v>42</v>
      </c>
      <c r="J171" s="15">
        <v>640000.0</v>
      </c>
      <c r="K171" s="15" t="s">
        <v>42</v>
      </c>
      <c r="L171" s="13">
        <f t="shared" si="19"/>
        <v>460000</v>
      </c>
      <c r="M171" s="1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/>
      <c r="B172" s="51">
        <v>45308.0</v>
      </c>
      <c r="C172" s="11" t="s">
        <v>65</v>
      </c>
      <c r="D172" s="11" t="s">
        <v>64</v>
      </c>
      <c r="E172" s="11" t="s">
        <v>37</v>
      </c>
      <c r="F172" s="11" t="s">
        <v>54</v>
      </c>
      <c r="G172" s="12">
        <v>9000.0</v>
      </c>
      <c r="H172" s="13">
        <v>1200000.0</v>
      </c>
      <c r="I172" s="14" t="s">
        <v>42</v>
      </c>
      <c r="J172" s="15">
        <v>640000.0</v>
      </c>
      <c r="K172" s="15" t="s">
        <v>42</v>
      </c>
      <c r="L172" s="13">
        <f t="shared" si="19"/>
        <v>560000</v>
      </c>
      <c r="M172" s="1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/>
      <c r="B173" s="51">
        <v>45309.0</v>
      </c>
      <c r="C173" s="11" t="s">
        <v>65</v>
      </c>
      <c r="D173" s="11" t="s">
        <v>64</v>
      </c>
      <c r="E173" s="11" t="s">
        <v>37</v>
      </c>
      <c r="F173" s="11" t="s">
        <v>43</v>
      </c>
      <c r="G173" s="12">
        <v>9000.0</v>
      </c>
      <c r="H173" s="13">
        <v>1350000.0</v>
      </c>
      <c r="I173" s="14" t="s">
        <v>44</v>
      </c>
      <c r="J173" s="15">
        <v>800000.0</v>
      </c>
      <c r="K173" s="15" t="s">
        <v>42</v>
      </c>
      <c r="L173" s="13">
        <f t="shared" si="19"/>
        <v>550000</v>
      </c>
      <c r="M173" s="13">
        <v>45000.0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/>
      <c r="B174" s="51">
        <v>45310.0</v>
      </c>
      <c r="C174" s="11" t="s">
        <v>65</v>
      </c>
      <c r="D174" s="11" t="s">
        <v>64</v>
      </c>
      <c r="E174" s="11" t="s">
        <v>30</v>
      </c>
      <c r="F174" s="11" t="s">
        <v>87</v>
      </c>
      <c r="G174" s="12">
        <v>9000.0</v>
      </c>
      <c r="H174" s="13">
        <v>1400000.0</v>
      </c>
      <c r="I174" s="14" t="s">
        <v>42</v>
      </c>
      <c r="J174" s="15">
        <v>900000.0</v>
      </c>
      <c r="K174" s="15" t="s">
        <v>42</v>
      </c>
      <c r="L174" s="13">
        <f t="shared" si="19"/>
        <v>500000</v>
      </c>
      <c r="M174" s="13">
        <v>623000.0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/>
      <c r="B175" s="51">
        <v>45311.0</v>
      </c>
      <c r="C175" s="11" t="s">
        <v>65</v>
      </c>
      <c r="D175" s="11" t="s">
        <v>64</v>
      </c>
      <c r="E175" s="11" t="s">
        <v>30</v>
      </c>
      <c r="F175" s="11" t="s">
        <v>54</v>
      </c>
      <c r="G175" s="12">
        <v>9000.0</v>
      </c>
      <c r="H175" s="13">
        <v>1200000.0</v>
      </c>
      <c r="I175" s="14" t="s">
        <v>42</v>
      </c>
      <c r="J175" s="15">
        <v>640000.0</v>
      </c>
      <c r="K175" s="15" t="s">
        <v>42</v>
      </c>
      <c r="L175" s="13">
        <f t="shared" si="19"/>
        <v>560000</v>
      </c>
      <c r="M175" s="1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/>
      <c r="B176" s="51">
        <v>45313.0</v>
      </c>
      <c r="C176" s="11" t="s">
        <v>65</v>
      </c>
      <c r="D176" s="11" t="s">
        <v>64</v>
      </c>
      <c r="E176" s="11" t="s">
        <v>37</v>
      </c>
      <c r="F176" s="11" t="s">
        <v>43</v>
      </c>
      <c r="G176" s="12">
        <v>9000.0</v>
      </c>
      <c r="H176" s="13">
        <v>1350000.0</v>
      </c>
      <c r="I176" s="14" t="s">
        <v>44</v>
      </c>
      <c r="J176" s="15">
        <v>800000.0</v>
      </c>
      <c r="K176" s="15" t="s">
        <v>42</v>
      </c>
      <c r="L176" s="13">
        <f t="shared" si="19"/>
        <v>550000</v>
      </c>
      <c r="M176" s="13">
        <v>205000.0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/>
      <c r="B177" s="51">
        <v>45314.0</v>
      </c>
      <c r="C177" s="11" t="s">
        <v>65</v>
      </c>
      <c r="D177" s="11" t="s">
        <v>64</v>
      </c>
      <c r="E177" s="11" t="s">
        <v>88</v>
      </c>
      <c r="F177" s="11" t="s">
        <v>89</v>
      </c>
      <c r="G177" s="12">
        <v>9000.0</v>
      </c>
      <c r="H177" s="13">
        <v>990000.0</v>
      </c>
      <c r="I177" s="14" t="s">
        <v>42</v>
      </c>
      <c r="J177" s="15">
        <v>550000.0</v>
      </c>
      <c r="K177" s="15" t="s">
        <v>42</v>
      </c>
      <c r="L177" s="13">
        <f t="shared" si="19"/>
        <v>440000</v>
      </c>
      <c r="M177" s="13">
        <v>0.0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/>
      <c r="B178" s="51">
        <v>45315.0</v>
      </c>
      <c r="C178" s="11" t="s">
        <v>65</v>
      </c>
      <c r="D178" s="11" t="s">
        <v>64</v>
      </c>
      <c r="E178" s="11" t="s">
        <v>37</v>
      </c>
      <c r="F178" s="11" t="s">
        <v>43</v>
      </c>
      <c r="G178" s="12">
        <v>9000.0</v>
      </c>
      <c r="H178" s="13">
        <v>1350000.0</v>
      </c>
      <c r="I178" s="14" t="s">
        <v>44</v>
      </c>
      <c r="J178" s="15">
        <v>800000.0</v>
      </c>
      <c r="K178" s="15" t="s">
        <v>42</v>
      </c>
      <c r="L178" s="13">
        <f t="shared" si="19"/>
        <v>550000</v>
      </c>
      <c r="M178" s="1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/>
      <c r="B179" s="51">
        <v>45318.0</v>
      </c>
      <c r="C179" s="11" t="s">
        <v>65</v>
      </c>
      <c r="D179" s="11" t="s">
        <v>64</v>
      </c>
      <c r="E179" s="11" t="s">
        <v>30</v>
      </c>
      <c r="F179" s="11" t="s">
        <v>55</v>
      </c>
      <c r="G179" s="12">
        <v>8500.0</v>
      </c>
      <c r="H179" s="13">
        <v>1235000.0</v>
      </c>
      <c r="I179" s="14" t="s">
        <v>44</v>
      </c>
      <c r="J179" s="15">
        <v>700000.0</v>
      </c>
      <c r="K179" s="15" t="s">
        <v>42</v>
      </c>
      <c r="L179" s="13">
        <f t="shared" si="19"/>
        <v>535000</v>
      </c>
      <c r="M179" s="13">
        <v>310000.0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/>
      <c r="B180" s="51">
        <v>45320.0</v>
      </c>
      <c r="C180" s="11" t="s">
        <v>65</v>
      </c>
      <c r="D180" s="11" t="s">
        <v>64</v>
      </c>
      <c r="E180" s="11" t="s">
        <v>40</v>
      </c>
      <c r="F180" s="11" t="s">
        <v>89</v>
      </c>
      <c r="G180" s="12">
        <v>9000.0</v>
      </c>
      <c r="H180" s="13">
        <v>990000.0</v>
      </c>
      <c r="I180" s="14" t="s">
        <v>42</v>
      </c>
      <c r="J180" s="15">
        <v>550000.0</v>
      </c>
      <c r="K180" s="15" t="s">
        <v>42</v>
      </c>
      <c r="L180" s="13">
        <f t="shared" si="19"/>
        <v>440000</v>
      </c>
      <c r="M180" s="1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/>
      <c r="B181" s="51">
        <v>45321.0</v>
      </c>
      <c r="C181" s="11" t="s">
        <v>65</v>
      </c>
      <c r="D181" s="11" t="s">
        <v>64</v>
      </c>
      <c r="E181" s="11" t="s">
        <v>37</v>
      </c>
      <c r="F181" s="11" t="s">
        <v>66</v>
      </c>
      <c r="G181" s="12">
        <v>2500.0</v>
      </c>
      <c r="H181" s="13">
        <v>675000.0</v>
      </c>
      <c r="I181" s="14" t="s">
        <v>90</v>
      </c>
      <c r="J181" s="15">
        <v>350000.0</v>
      </c>
      <c r="K181" s="15" t="s">
        <v>42</v>
      </c>
      <c r="L181" s="13">
        <f t="shared" si="19"/>
        <v>325000</v>
      </c>
      <c r="M181" s="1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/>
      <c r="B182" s="51">
        <v>45321.0</v>
      </c>
      <c r="C182" s="11" t="s">
        <v>65</v>
      </c>
      <c r="D182" s="11" t="s">
        <v>64</v>
      </c>
      <c r="E182" s="11" t="s">
        <v>81</v>
      </c>
      <c r="F182" s="11" t="s">
        <v>75</v>
      </c>
      <c r="G182" s="12">
        <v>9000.0</v>
      </c>
      <c r="H182" s="13">
        <v>1215000.0</v>
      </c>
      <c r="I182" s="14" t="s">
        <v>44</v>
      </c>
      <c r="J182" s="15">
        <v>700000.0</v>
      </c>
      <c r="K182" s="15" t="s">
        <v>42</v>
      </c>
      <c r="L182" s="13">
        <f t="shared" si="19"/>
        <v>515000</v>
      </c>
      <c r="M182" s="13">
        <v>50000.0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/>
      <c r="B183" s="51">
        <v>45322.0</v>
      </c>
      <c r="C183" s="11" t="s">
        <v>65</v>
      </c>
      <c r="D183" s="11" t="s">
        <v>64</v>
      </c>
      <c r="E183" s="11" t="s">
        <v>30</v>
      </c>
      <c r="F183" s="11" t="s">
        <v>75</v>
      </c>
      <c r="G183" s="12">
        <v>9000.0</v>
      </c>
      <c r="H183" s="13">
        <v>1215000.0</v>
      </c>
      <c r="I183" s="14" t="s">
        <v>42</v>
      </c>
      <c r="J183" s="15">
        <v>700000.0</v>
      </c>
      <c r="K183" s="15" t="s">
        <v>42</v>
      </c>
      <c r="L183" s="13">
        <f t="shared" si="19"/>
        <v>515000</v>
      </c>
      <c r="M183" s="1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1"/>
      <c r="B184" s="7"/>
      <c r="C184" s="17"/>
      <c r="D184" s="17"/>
      <c r="E184" s="17"/>
      <c r="F184" s="17"/>
      <c r="G184" s="57"/>
      <c r="H184" s="58"/>
      <c r="I184" s="59"/>
      <c r="J184" s="60"/>
      <c r="K184" s="60"/>
      <c r="L184" s="52">
        <f t="shared" ref="L184:M184" si="20">SUM(L160:L183)</f>
        <v>11865000</v>
      </c>
      <c r="M184" s="30">
        <f t="shared" si="20"/>
        <v>6048000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1"/>
      <c r="B185" s="7"/>
      <c r="C185" s="17"/>
      <c r="D185" s="17"/>
      <c r="E185" s="17"/>
      <c r="F185" s="17"/>
      <c r="G185" s="57"/>
      <c r="H185" s="58"/>
      <c r="I185" s="59"/>
      <c r="J185" s="60"/>
      <c r="K185" s="60"/>
      <c r="L185" s="33">
        <f>L184-M184</f>
        <v>5817000</v>
      </c>
      <c r="M185" s="61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1"/>
      <c r="B186" s="2" t="s">
        <v>0</v>
      </c>
      <c r="C186" s="2" t="s">
        <v>1</v>
      </c>
      <c r="D186" s="2" t="s">
        <v>2</v>
      </c>
      <c r="E186" s="3" t="s">
        <v>3</v>
      </c>
      <c r="F186" s="2" t="s">
        <v>4</v>
      </c>
      <c r="G186" s="4" t="s">
        <v>5</v>
      </c>
      <c r="H186" s="6" t="s">
        <v>6</v>
      </c>
      <c r="I186" s="6" t="s">
        <v>39</v>
      </c>
      <c r="J186" s="4" t="s">
        <v>7</v>
      </c>
      <c r="K186" s="4" t="s">
        <v>39</v>
      </c>
      <c r="L186" s="6" t="s">
        <v>8</v>
      </c>
      <c r="M186" s="6" t="s">
        <v>9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/>
      <c r="B187" s="64">
        <v>45323.0</v>
      </c>
      <c r="C187" s="65" t="s">
        <v>65</v>
      </c>
      <c r="D187" s="65" t="s">
        <v>64</v>
      </c>
      <c r="E187" s="65" t="s">
        <v>40</v>
      </c>
      <c r="F187" s="65" t="s">
        <v>76</v>
      </c>
      <c r="G187" s="66">
        <v>9000.0</v>
      </c>
      <c r="H187" s="67">
        <v>1300000.0</v>
      </c>
      <c r="I187" s="68" t="s">
        <v>42</v>
      </c>
      <c r="J187" s="69">
        <v>850000.0</v>
      </c>
      <c r="K187" s="69" t="s">
        <v>42</v>
      </c>
      <c r="L187" s="67">
        <f t="shared" ref="L187:L202" si="21">H187-J187</f>
        <v>450000</v>
      </c>
      <c r="M187" s="70">
        <v>0.0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/>
      <c r="B188" s="64">
        <v>45324.0</v>
      </c>
      <c r="C188" s="65" t="s">
        <v>65</v>
      </c>
      <c r="D188" s="65" t="s">
        <v>64</v>
      </c>
      <c r="E188" s="65" t="s">
        <v>30</v>
      </c>
      <c r="F188" s="65" t="s">
        <v>66</v>
      </c>
      <c r="G188" s="66">
        <v>6000.0</v>
      </c>
      <c r="H188" s="67">
        <v>250000.0</v>
      </c>
      <c r="I188" s="68" t="s">
        <v>42</v>
      </c>
      <c r="J188" s="69">
        <v>350000.0</v>
      </c>
      <c r="K188" s="69" t="s">
        <v>42</v>
      </c>
      <c r="L188" s="67">
        <f t="shared" si="21"/>
        <v>-100000</v>
      </c>
      <c r="M188" s="70">
        <v>0.0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/>
      <c r="B189" s="64">
        <v>45325.0</v>
      </c>
      <c r="C189" s="65" t="s">
        <v>65</v>
      </c>
      <c r="D189" s="65" t="s">
        <v>64</v>
      </c>
      <c r="E189" s="65" t="s">
        <v>30</v>
      </c>
      <c r="F189" s="65" t="s">
        <v>91</v>
      </c>
      <c r="G189" s="66">
        <v>6000.0</v>
      </c>
      <c r="H189" s="67">
        <v>850000.0</v>
      </c>
      <c r="I189" s="68" t="s">
        <v>42</v>
      </c>
      <c r="J189" s="69">
        <v>640000.0</v>
      </c>
      <c r="K189" s="69" t="s">
        <v>42</v>
      </c>
      <c r="L189" s="67">
        <f t="shared" si="21"/>
        <v>210000</v>
      </c>
      <c r="M189" s="70">
        <v>0.0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/>
      <c r="B190" s="64">
        <v>45327.0</v>
      </c>
      <c r="C190" s="65" t="s">
        <v>65</v>
      </c>
      <c r="D190" s="65" t="s">
        <v>64</v>
      </c>
      <c r="E190" s="65" t="s">
        <v>92</v>
      </c>
      <c r="F190" s="65" t="s">
        <v>66</v>
      </c>
      <c r="G190" s="66">
        <v>9000.0</v>
      </c>
      <c r="H190" s="67">
        <v>675000.0</v>
      </c>
      <c r="I190" s="68" t="s">
        <v>42</v>
      </c>
      <c r="J190" s="69">
        <v>350000.0</v>
      </c>
      <c r="K190" s="69" t="s">
        <v>42</v>
      </c>
      <c r="L190" s="67">
        <f t="shared" si="21"/>
        <v>325000</v>
      </c>
      <c r="M190" s="70">
        <v>550000.0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/>
      <c r="B191" s="64">
        <v>45328.0</v>
      </c>
      <c r="C191" s="65" t="s">
        <v>65</v>
      </c>
      <c r="D191" s="65" t="s">
        <v>64</v>
      </c>
      <c r="E191" s="65" t="s">
        <v>40</v>
      </c>
      <c r="F191" s="65" t="s">
        <v>89</v>
      </c>
      <c r="G191" s="66">
        <v>9000.0</v>
      </c>
      <c r="H191" s="70">
        <v>990000.0</v>
      </c>
      <c r="I191" s="68" t="s">
        <v>44</v>
      </c>
      <c r="J191" s="69">
        <v>550000.0</v>
      </c>
      <c r="K191" s="69" t="s">
        <v>42</v>
      </c>
      <c r="L191" s="67">
        <f t="shared" si="21"/>
        <v>440000</v>
      </c>
      <c r="M191" s="70">
        <v>0.0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/>
      <c r="B192" s="64">
        <v>45329.0</v>
      </c>
      <c r="C192" s="65" t="s">
        <v>65</v>
      </c>
      <c r="D192" s="65" t="s">
        <v>64</v>
      </c>
      <c r="E192" s="65" t="s">
        <v>40</v>
      </c>
      <c r="F192" s="65" t="s">
        <v>59</v>
      </c>
      <c r="G192" s="66">
        <v>9000.0</v>
      </c>
      <c r="H192" s="67">
        <v>720000.0</v>
      </c>
      <c r="I192" s="68" t="s">
        <v>42</v>
      </c>
      <c r="J192" s="69">
        <v>350000.0</v>
      </c>
      <c r="K192" s="69" t="s">
        <v>42</v>
      </c>
      <c r="L192" s="67">
        <f t="shared" si="21"/>
        <v>370000</v>
      </c>
      <c r="M192" s="70">
        <v>0.0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/>
      <c r="B193" s="64">
        <v>45329.0</v>
      </c>
      <c r="C193" s="65" t="s">
        <v>65</v>
      </c>
      <c r="D193" s="65" t="s">
        <v>64</v>
      </c>
      <c r="E193" s="65" t="s">
        <v>30</v>
      </c>
      <c r="F193" s="65" t="s">
        <v>55</v>
      </c>
      <c r="G193" s="66">
        <v>8500.0</v>
      </c>
      <c r="H193" s="67">
        <v>1235000.0</v>
      </c>
      <c r="I193" s="68" t="s">
        <v>44</v>
      </c>
      <c r="J193" s="69">
        <v>700000.0</v>
      </c>
      <c r="K193" s="69" t="s">
        <v>42</v>
      </c>
      <c r="L193" s="67">
        <f t="shared" si="21"/>
        <v>535000</v>
      </c>
      <c r="M193" s="70">
        <v>0.0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/>
      <c r="B194" s="64">
        <v>45334.0</v>
      </c>
      <c r="C194" s="65" t="s">
        <v>65</v>
      </c>
      <c r="D194" s="65" t="s">
        <v>64</v>
      </c>
      <c r="E194" s="65" t="s">
        <v>30</v>
      </c>
      <c r="F194" s="65" t="s">
        <v>79</v>
      </c>
      <c r="G194" s="66">
        <v>8500.0</v>
      </c>
      <c r="H194" s="67">
        <v>1100000.0</v>
      </c>
      <c r="I194" s="68" t="s">
        <v>42</v>
      </c>
      <c r="J194" s="69">
        <v>640000.0</v>
      </c>
      <c r="K194" s="69" t="s">
        <v>42</v>
      </c>
      <c r="L194" s="67">
        <f t="shared" si="21"/>
        <v>460000</v>
      </c>
      <c r="M194" s="70">
        <v>0.0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/>
      <c r="B195" s="64">
        <v>45335.0</v>
      </c>
      <c r="C195" s="65" t="s">
        <v>65</v>
      </c>
      <c r="D195" s="65" t="s">
        <v>64</v>
      </c>
      <c r="E195" s="65" t="s">
        <v>30</v>
      </c>
      <c r="F195" s="65" t="s">
        <v>79</v>
      </c>
      <c r="G195" s="66">
        <v>8500.0</v>
      </c>
      <c r="H195" s="67">
        <v>1100000.0</v>
      </c>
      <c r="I195" s="68" t="s">
        <v>42</v>
      </c>
      <c r="J195" s="69">
        <v>640000.0</v>
      </c>
      <c r="K195" s="69" t="s">
        <v>42</v>
      </c>
      <c r="L195" s="67">
        <f t="shared" si="21"/>
        <v>460000</v>
      </c>
      <c r="M195" s="70">
        <v>0.0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/>
      <c r="B196" s="64">
        <v>45337.0</v>
      </c>
      <c r="C196" s="65" t="s">
        <v>65</v>
      </c>
      <c r="D196" s="65" t="s">
        <v>64</v>
      </c>
      <c r="E196" s="65" t="s">
        <v>30</v>
      </c>
      <c r="F196" s="65" t="s">
        <v>93</v>
      </c>
      <c r="G196" s="66">
        <v>9000.0</v>
      </c>
      <c r="H196" s="67">
        <v>1300000.0</v>
      </c>
      <c r="I196" s="68" t="s">
        <v>42</v>
      </c>
      <c r="J196" s="69">
        <v>780000.0</v>
      </c>
      <c r="K196" s="69" t="s">
        <v>42</v>
      </c>
      <c r="L196" s="67">
        <f t="shared" si="21"/>
        <v>520000</v>
      </c>
      <c r="M196" s="70">
        <v>1680000.0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/>
      <c r="B197" s="64">
        <v>45338.0</v>
      </c>
      <c r="C197" s="65" t="s">
        <v>65</v>
      </c>
      <c r="D197" s="65" t="s">
        <v>64</v>
      </c>
      <c r="E197" s="65" t="s">
        <v>85</v>
      </c>
      <c r="F197" s="65" t="s">
        <v>94</v>
      </c>
      <c r="G197" s="66">
        <v>8500.0</v>
      </c>
      <c r="H197" s="67">
        <v>1200000.0</v>
      </c>
      <c r="I197" s="68" t="s">
        <v>42</v>
      </c>
      <c r="J197" s="69">
        <v>640000.0</v>
      </c>
      <c r="K197" s="69" t="s">
        <v>42</v>
      </c>
      <c r="L197" s="67">
        <f t="shared" si="21"/>
        <v>560000</v>
      </c>
      <c r="M197" s="70">
        <v>130000.0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/>
      <c r="B198" s="64">
        <v>45339.0</v>
      </c>
      <c r="C198" s="65" t="s">
        <v>65</v>
      </c>
      <c r="D198" s="65" t="s">
        <v>64</v>
      </c>
      <c r="E198" s="65" t="s">
        <v>30</v>
      </c>
      <c r="F198" s="65" t="s">
        <v>95</v>
      </c>
      <c r="G198" s="66">
        <v>9000.0</v>
      </c>
      <c r="H198" s="67">
        <v>765000.0</v>
      </c>
      <c r="I198" s="68" t="s">
        <v>44</v>
      </c>
      <c r="J198" s="69">
        <v>450000.0</v>
      </c>
      <c r="K198" s="69" t="s">
        <v>42</v>
      </c>
      <c r="L198" s="67">
        <f t="shared" si="21"/>
        <v>315000</v>
      </c>
      <c r="M198" s="70">
        <v>0.0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/>
      <c r="B199" s="64">
        <v>45348.0</v>
      </c>
      <c r="C199" s="65" t="s">
        <v>65</v>
      </c>
      <c r="D199" s="65" t="s">
        <v>64</v>
      </c>
      <c r="E199" s="65" t="s">
        <v>37</v>
      </c>
      <c r="F199" s="65" t="s">
        <v>43</v>
      </c>
      <c r="G199" s="66">
        <v>9000.0</v>
      </c>
      <c r="H199" s="67">
        <v>1350000.0</v>
      </c>
      <c r="I199" s="68" t="s">
        <v>44</v>
      </c>
      <c r="J199" s="69">
        <v>800000.0</v>
      </c>
      <c r="K199" s="69" t="s">
        <v>42</v>
      </c>
      <c r="L199" s="67">
        <f t="shared" si="21"/>
        <v>550000</v>
      </c>
      <c r="M199" s="70">
        <v>200000.0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/>
      <c r="B200" s="64">
        <v>45349.0</v>
      </c>
      <c r="C200" s="65" t="s">
        <v>65</v>
      </c>
      <c r="D200" s="65" t="s">
        <v>64</v>
      </c>
      <c r="E200" s="65" t="s">
        <v>96</v>
      </c>
      <c r="F200" s="65" t="s">
        <v>79</v>
      </c>
      <c r="G200" s="66">
        <v>8500.0</v>
      </c>
      <c r="H200" s="67">
        <v>1100000.0</v>
      </c>
      <c r="I200" s="68" t="s">
        <v>42</v>
      </c>
      <c r="J200" s="69">
        <v>640000.0</v>
      </c>
      <c r="K200" s="69" t="s">
        <v>42</v>
      </c>
      <c r="L200" s="67">
        <f t="shared" si="21"/>
        <v>460000</v>
      </c>
      <c r="M200" s="70">
        <v>0.0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/>
      <c r="B201" s="64">
        <v>45350.0</v>
      </c>
      <c r="C201" s="65" t="s">
        <v>65</v>
      </c>
      <c r="D201" s="65" t="s">
        <v>64</v>
      </c>
      <c r="E201" s="65" t="s">
        <v>37</v>
      </c>
      <c r="F201" s="65" t="s">
        <v>89</v>
      </c>
      <c r="G201" s="66">
        <v>9000.0</v>
      </c>
      <c r="H201" s="67">
        <v>990000.0</v>
      </c>
      <c r="I201" s="68" t="s">
        <v>44</v>
      </c>
      <c r="J201" s="69">
        <v>550000.0</v>
      </c>
      <c r="K201" s="69" t="s">
        <v>42</v>
      </c>
      <c r="L201" s="67">
        <f t="shared" si="21"/>
        <v>440000</v>
      </c>
      <c r="M201" s="70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/>
      <c r="B202" s="64">
        <v>45351.0</v>
      </c>
      <c r="C202" s="65" t="s">
        <v>65</v>
      </c>
      <c r="D202" s="65" t="s">
        <v>64</v>
      </c>
      <c r="E202" s="65" t="s">
        <v>97</v>
      </c>
      <c r="F202" s="65" t="s">
        <v>75</v>
      </c>
      <c r="G202" s="66">
        <v>9000.0</v>
      </c>
      <c r="H202" s="67">
        <v>1215000.0</v>
      </c>
      <c r="I202" s="68" t="s">
        <v>98</v>
      </c>
      <c r="J202" s="69">
        <v>700000.0</v>
      </c>
      <c r="K202" s="69" t="s">
        <v>42</v>
      </c>
      <c r="L202" s="67">
        <f t="shared" si="21"/>
        <v>515000</v>
      </c>
      <c r="M202" s="70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1"/>
      <c r="B203" s="7"/>
      <c r="C203" s="17"/>
      <c r="D203" s="17"/>
      <c r="E203" s="17"/>
      <c r="F203" s="17"/>
      <c r="G203" s="57"/>
      <c r="H203" s="58"/>
      <c r="I203" s="59"/>
      <c r="J203" s="60"/>
      <c r="K203" s="60"/>
      <c r="L203" s="52">
        <f t="shared" ref="L203:M203" si="22">SUM(L187:L202)</f>
        <v>6510000</v>
      </c>
      <c r="M203" s="30">
        <f t="shared" si="22"/>
        <v>2560000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1"/>
      <c r="B204" s="7"/>
      <c r="C204" s="17"/>
      <c r="D204" s="17"/>
      <c r="E204" s="17"/>
      <c r="F204" s="17"/>
      <c r="G204" s="57"/>
      <c r="H204" s="58"/>
      <c r="I204" s="59"/>
      <c r="J204" s="60"/>
      <c r="K204" s="60"/>
      <c r="L204" s="33">
        <f>L203-M203</f>
        <v>3950000</v>
      </c>
      <c r="M204" s="61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1"/>
      <c r="B205" s="7"/>
      <c r="C205" s="17"/>
      <c r="D205" s="17"/>
      <c r="E205" s="17"/>
      <c r="F205" s="17"/>
      <c r="G205" s="57"/>
      <c r="H205" s="58"/>
      <c r="I205" s="59"/>
      <c r="J205" s="60"/>
      <c r="K205" s="60"/>
      <c r="L205" s="26"/>
      <c r="M205" s="61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1"/>
      <c r="B206" s="7"/>
      <c r="C206" s="17"/>
      <c r="D206" s="17"/>
      <c r="E206" s="17"/>
      <c r="F206" s="17"/>
      <c r="G206" s="57"/>
      <c r="H206" s="58"/>
      <c r="I206" s="59"/>
      <c r="J206" s="60"/>
      <c r="K206" s="60"/>
      <c r="L206" s="26"/>
      <c r="M206" s="61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3.25" customHeight="1">
      <c r="A207" s="1"/>
      <c r="B207" s="2" t="s">
        <v>0</v>
      </c>
      <c r="C207" s="2" t="s">
        <v>1</v>
      </c>
      <c r="D207" s="2" t="s">
        <v>2</v>
      </c>
      <c r="E207" s="3" t="s">
        <v>3</v>
      </c>
      <c r="F207" s="2" t="s">
        <v>4</v>
      </c>
      <c r="G207" s="4" t="s">
        <v>5</v>
      </c>
      <c r="H207" s="6" t="s">
        <v>6</v>
      </c>
      <c r="I207" s="6" t="s">
        <v>39</v>
      </c>
      <c r="J207" s="4" t="s">
        <v>7</v>
      </c>
      <c r="K207" s="4" t="s">
        <v>39</v>
      </c>
      <c r="L207" s="6" t="s">
        <v>8</v>
      </c>
      <c r="M207" s="6" t="s">
        <v>9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/>
      <c r="B208" s="71">
        <v>45352.0</v>
      </c>
      <c r="C208" s="72" t="s">
        <v>65</v>
      </c>
      <c r="D208" s="72" t="s">
        <v>64</v>
      </c>
      <c r="E208" s="72" t="s">
        <v>37</v>
      </c>
      <c r="F208" s="72" t="s">
        <v>66</v>
      </c>
      <c r="G208" s="66">
        <v>9000.0</v>
      </c>
      <c r="H208" s="73">
        <v>675000.0</v>
      </c>
      <c r="I208" s="74" t="s">
        <v>42</v>
      </c>
      <c r="J208" s="75">
        <v>350000.0</v>
      </c>
      <c r="K208" s="75" t="s">
        <v>42</v>
      </c>
      <c r="L208" s="73">
        <f t="shared" ref="L208:L220" si="23">H208-J208</f>
        <v>325000</v>
      </c>
      <c r="M208" s="76">
        <v>35000.0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/>
      <c r="B209" s="71">
        <v>45352.0</v>
      </c>
      <c r="C209" s="72" t="s">
        <v>65</v>
      </c>
      <c r="D209" s="72" t="s">
        <v>64</v>
      </c>
      <c r="E209" s="72" t="s">
        <v>30</v>
      </c>
      <c r="F209" s="72" t="s">
        <v>89</v>
      </c>
      <c r="G209" s="66">
        <v>9000.0</v>
      </c>
      <c r="H209" s="67">
        <v>990000.0</v>
      </c>
      <c r="I209" s="74" t="s">
        <v>42</v>
      </c>
      <c r="J209" s="75">
        <v>550000.0</v>
      </c>
      <c r="K209" s="75" t="s">
        <v>42</v>
      </c>
      <c r="L209" s="73">
        <f t="shared" si="23"/>
        <v>440000</v>
      </c>
      <c r="M209" s="7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/>
      <c r="B210" s="71">
        <v>45353.0</v>
      </c>
      <c r="C210" s="72" t="s">
        <v>65</v>
      </c>
      <c r="D210" s="72" t="s">
        <v>64</v>
      </c>
      <c r="E210" s="72" t="s">
        <v>30</v>
      </c>
      <c r="F210" s="72" t="s">
        <v>79</v>
      </c>
      <c r="G210" s="66">
        <v>8500.0</v>
      </c>
      <c r="H210" s="73">
        <v>1100000.0</v>
      </c>
      <c r="I210" s="74" t="s">
        <v>42</v>
      </c>
      <c r="J210" s="75">
        <v>640000.0</v>
      </c>
      <c r="K210" s="75" t="s">
        <v>42</v>
      </c>
      <c r="L210" s="73">
        <f t="shared" si="23"/>
        <v>460000</v>
      </c>
      <c r="M210" s="76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/>
      <c r="B211" s="71">
        <v>45357.0</v>
      </c>
      <c r="C211" s="72" t="s">
        <v>65</v>
      </c>
      <c r="D211" s="72" t="s">
        <v>64</v>
      </c>
      <c r="E211" s="72" t="s">
        <v>30</v>
      </c>
      <c r="F211" s="72" t="s">
        <v>66</v>
      </c>
      <c r="G211" s="66">
        <v>10000.0</v>
      </c>
      <c r="H211" s="73">
        <v>750000.0</v>
      </c>
      <c r="I211" s="74" t="s">
        <v>42</v>
      </c>
      <c r="J211" s="75">
        <v>375000.0</v>
      </c>
      <c r="K211" s="75" t="s">
        <v>42</v>
      </c>
      <c r="L211" s="73">
        <f t="shared" si="23"/>
        <v>375000</v>
      </c>
      <c r="M211" s="76">
        <v>385000.0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/>
      <c r="B212" s="71">
        <v>45358.0</v>
      </c>
      <c r="C212" s="72" t="s">
        <v>65</v>
      </c>
      <c r="D212" s="72" t="s">
        <v>64</v>
      </c>
      <c r="E212" s="72" t="s">
        <v>30</v>
      </c>
      <c r="F212" s="77" t="s">
        <v>66</v>
      </c>
      <c r="G212" s="66">
        <v>9000.0</v>
      </c>
      <c r="H212" s="73">
        <v>675000.0</v>
      </c>
      <c r="I212" s="74" t="s">
        <v>42</v>
      </c>
      <c r="J212" s="75">
        <v>350000.0</v>
      </c>
      <c r="K212" s="75" t="s">
        <v>42</v>
      </c>
      <c r="L212" s="73">
        <f t="shared" si="23"/>
        <v>325000</v>
      </c>
      <c r="M212" s="76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/>
      <c r="B213" s="71">
        <v>45359.0</v>
      </c>
      <c r="C213" s="72" t="s">
        <v>65</v>
      </c>
      <c r="D213" s="72" t="s">
        <v>64</v>
      </c>
      <c r="E213" s="72" t="s">
        <v>30</v>
      </c>
      <c r="F213" s="77" t="s">
        <v>66</v>
      </c>
      <c r="G213" s="66">
        <v>10000.0</v>
      </c>
      <c r="H213" s="73">
        <v>750000.0</v>
      </c>
      <c r="I213" s="74" t="s">
        <v>42</v>
      </c>
      <c r="J213" s="75">
        <v>375000.0</v>
      </c>
      <c r="K213" s="75" t="s">
        <v>42</v>
      </c>
      <c r="L213" s="73">
        <f t="shared" si="23"/>
        <v>375000</v>
      </c>
      <c r="M213" s="76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/>
      <c r="B214" s="71">
        <v>45359.0</v>
      </c>
      <c r="C214" s="72" t="s">
        <v>65</v>
      </c>
      <c r="D214" s="72" t="s">
        <v>64</v>
      </c>
      <c r="E214" s="72" t="s">
        <v>30</v>
      </c>
      <c r="F214" s="77" t="s">
        <v>66</v>
      </c>
      <c r="G214" s="66">
        <v>10000.0</v>
      </c>
      <c r="H214" s="73">
        <v>750000.0</v>
      </c>
      <c r="I214" s="74" t="s">
        <v>42</v>
      </c>
      <c r="J214" s="75">
        <v>375000.0</v>
      </c>
      <c r="K214" s="75" t="s">
        <v>42</v>
      </c>
      <c r="L214" s="73">
        <f t="shared" si="23"/>
        <v>375000</v>
      </c>
      <c r="M214" s="7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/>
      <c r="B215" s="71">
        <v>45360.0</v>
      </c>
      <c r="C215" s="72" t="s">
        <v>65</v>
      </c>
      <c r="D215" s="72" t="s">
        <v>64</v>
      </c>
      <c r="E215" s="72" t="s">
        <v>30</v>
      </c>
      <c r="F215" s="72" t="s">
        <v>54</v>
      </c>
      <c r="G215" s="66">
        <v>9000.0</v>
      </c>
      <c r="H215" s="73">
        <v>1200000.0</v>
      </c>
      <c r="I215" s="74" t="s">
        <v>44</v>
      </c>
      <c r="J215" s="75">
        <v>640000.0</v>
      </c>
      <c r="K215" s="75" t="s">
        <v>42</v>
      </c>
      <c r="L215" s="73">
        <f t="shared" si="23"/>
        <v>560000</v>
      </c>
      <c r="M215" s="7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/>
      <c r="B216" s="71">
        <v>45364.0</v>
      </c>
      <c r="C216" s="72" t="s">
        <v>65</v>
      </c>
      <c r="D216" s="72" t="s">
        <v>64</v>
      </c>
      <c r="E216" s="72" t="s">
        <v>30</v>
      </c>
      <c r="F216" s="72" t="s">
        <v>89</v>
      </c>
      <c r="G216" s="66">
        <v>9000.0</v>
      </c>
      <c r="H216" s="73">
        <v>990000.0</v>
      </c>
      <c r="I216" s="74" t="s">
        <v>42</v>
      </c>
      <c r="J216" s="75">
        <v>550000.0</v>
      </c>
      <c r="K216" s="75" t="s">
        <v>42</v>
      </c>
      <c r="L216" s="73">
        <f t="shared" si="23"/>
        <v>440000</v>
      </c>
      <c r="M216" s="7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/>
      <c r="B217" s="71">
        <v>45365.0</v>
      </c>
      <c r="C217" s="72" t="s">
        <v>65</v>
      </c>
      <c r="D217" s="72" t="s">
        <v>64</v>
      </c>
      <c r="E217" s="72" t="s">
        <v>37</v>
      </c>
      <c r="F217" s="72" t="s">
        <v>59</v>
      </c>
      <c r="G217" s="66">
        <v>9000.0</v>
      </c>
      <c r="H217" s="73">
        <v>720000.0</v>
      </c>
      <c r="I217" s="74" t="s">
        <v>44</v>
      </c>
      <c r="J217" s="75">
        <v>350000.0</v>
      </c>
      <c r="K217" s="75" t="s">
        <v>42</v>
      </c>
      <c r="L217" s="73">
        <f t="shared" si="23"/>
        <v>370000</v>
      </c>
      <c r="M217" s="76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/>
      <c r="B218" s="71">
        <v>45365.0</v>
      </c>
      <c r="C218" s="72" t="s">
        <v>65</v>
      </c>
      <c r="D218" s="72" t="s">
        <v>64</v>
      </c>
      <c r="E218" s="72" t="s">
        <v>37</v>
      </c>
      <c r="F218" s="72" t="s">
        <v>43</v>
      </c>
      <c r="G218" s="66">
        <v>9000.0</v>
      </c>
      <c r="H218" s="73">
        <v>1350000.0</v>
      </c>
      <c r="I218" s="74" t="s">
        <v>44</v>
      </c>
      <c r="J218" s="75">
        <v>800000.0</v>
      </c>
      <c r="K218" s="75" t="s">
        <v>42</v>
      </c>
      <c r="L218" s="73">
        <f t="shared" si="23"/>
        <v>550000</v>
      </c>
      <c r="M218" s="7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/>
      <c r="B219" s="71">
        <v>45366.0</v>
      </c>
      <c r="C219" s="72" t="s">
        <v>65</v>
      </c>
      <c r="D219" s="72" t="s">
        <v>64</v>
      </c>
      <c r="E219" s="72" t="s">
        <v>37</v>
      </c>
      <c r="F219" s="72" t="s">
        <v>59</v>
      </c>
      <c r="G219" s="66">
        <v>9000.0</v>
      </c>
      <c r="H219" s="73">
        <v>900000.0</v>
      </c>
      <c r="I219" s="74" t="s">
        <v>44</v>
      </c>
      <c r="J219" s="75">
        <v>350000.0</v>
      </c>
      <c r="K219" s="75" t="s">
        <v>42</v>
      </c>
      <c r="L219" s="73">
        <f t="shared" si="23"/>
        <v>550000</v>
      </c>
      <c r="M219" s="7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/>
      <c r="B220" s="71">
        <v>45367.0</v>
      </c>
      <c r="C220" s="72" t="s">
        <v>65</v>
      </c>
      <c r="D220" s="72" t="s">
        <v>64</v>
      </c>
      <c r="E220" s="72" t="s">
        <v>99</v>
      </c>
      <c r="F220" s="72" t="s">
        <v>72</v>
      </c>
      <c r="G220" s="66">
        <v>9000.0</v>
      </c>
      <c r="H220" s="73">
        <v>1215000.0</v>
      </c>
      <c r="I220" s="74" t="s">
        <v>44</v>
      </c>
      <c r="J220" s="75">
        <v>700000.0</v>
      </c>
      <c r="K220" s="75" t="s">
        <v>42</v>
      </c>
      <c r="L220" s="73">
        <f t="shared" si="23"/>
        <v>515000</v>
      </c>
      <c r="M220" s="7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/>
      <c r="B221" s="71">
        <v>45368.0</v>
      </c>
      <c r="C221" s="72"/>
      <c r="D221" s="72"/>
      <c r="E221" s="72" t="s">
        <v>100</v>
      </c>
      <c r="F221" s="72" t="s">
        <v>101</v>
      </c>
      <c r="G221" s="78"/>
      <c r="H221" s="73"/>
      <c r="I221" s="74"/>
      <c r="J221" s="75"/>
      <c r="K221" s="75"/>
      <c r="L221" s="73">
        <v>900000.0</v>
      </c>
      <c r="M221" s="7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/>
      <c r="B222" s="71">
        <v>45371.0</v>
      </c>
      <c r="C222" s="72" t="s">
        <v>65</v>
      </c>
      <c r="D222" s="72" t="s">
        <v>64</v>
      </c>
      <c r="E222" s="72" t="s">
        <v>30</v>
      </c>
      <c r="F222" s="72" t="s">
        <v>72</v>
      </c>
      <c r="G222" s="66">
        <v>9000.0</v>
      </c>
      <c r="H222" s="73">
        <v>1215000.0</v>
      </c>
      <c r="I222" s="74" t="s">
        <v>44</v>
      </c>
      <c r="J222" s="75">
        <v>700000.0</v>
      </c>
      <c r="K222" s="75" t="s">
        <v>42</v>
      </c>
      <c r="L222" s="73">
        <f t="shared" ref="L222:L230" si="24">H222-J222</f>
        <v>515000</v>
      </c>
      <c r="M222" s="7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/>
      <c r="B223" s="71">
        <v>45373.0</v>
      </c>
      <c r="C223" s="72" t="s">
        <v>65</v>
      </c>
      <c r="D223" s="72" t="s">
        <v>64</v>
      </c>
      <c r="E223" s="72" t="s">
        <v>37</v>
      </c>
      <c r="F223" s="72" t="s">
        <v>66</v>
      </c>
      <c r="G223" s="66">
        <v>9000.0</v>
      </c>
      <c r="H223" s="73">
        <v>675000.0</v>
      </c>
      <c r="I223" s="74" t="s">
        <v>42</v>
      </c>
      <c r="J223" s="75">
        <v>350000.0</v>
      </c>
      <c r="K223" s="75" t="s">
        <v>42</v>
      </c>
      <c r="L223" s="73">
        <f t="shared" si="24"/>
        <v>325000</v>
      </c>
      <c r="M223" s="76">
        <v>270000.0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/>
      <c r="B224" s="71">
        <v>45374.0</v>
      </c>
      <c r="C224" s="72" t="s">
        <v>65</v>
      </c>
      <c r="D224" s="72" t="s">
        <v>64</v>
      </c>
      <c r="E224" s="72" t="s">
        <v>37</v>
      </c>
      <c r="F224" s="72" t="s">
        <v>54</v>
      </c>
      <c r="G224" s="66">
        <v>9000.0</v>
      </c>
      <c r="H224" s="73">
        <v>1200000.0</v>
      </c>
      <c r="I224" s="74" t="s">
        <v>42</v>
      </c>
      <c r="J224" s="75">
        <v>640000.0</v>
      </c>
      <c r="K224" s="75" t="s">
        <v>42</v>
      </c>
      <c r="L224" s="73">
        <f t="shared" si="24"/>
        <v>560000</v>
      </c>
      <c r="M224" s="76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/>
      <c r="B225" s="71">
        <v>45376.0</v>
      </c>
      <c r="C225" s="72" t="s">
        <v>65</v>
      </c>
      <c r="D225" s="72" t="s">
        <v>64</v>
      </c>
      <c r="E225" s="72" t="s">
        <v>30</v>
      </c>
      <c r="F225" s="72" t="s">
        <v>55</v>
      </c>
      <c r="G225" s="66">
        <v>8500.0</v>
      </c>
      <c r="H225" s="73">
        <v>1235000.0</v>
      </c>
      <c r="I225" s="74" t="s">
        <v>44</v>
      </c>
      <c r="J225" s="75">
        <v>700000.0</v>
      </c>
      <c r="K225" s="75" t="s">
        <v>42</v>
      </c>
      <c r="L225" s="73">
        <f t="shared" si="24"/>
        <v>535000</v>
      </c>
      <c r="M225" s="7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/>
      <c r="B226" s="71">
        <v>45377.0</v>
      </c>
      <c r="C226" s="72" t="s">
        <v>65</v>
      </c>
      <c r="D226" s="72" t="s">
        <v>64</v>
      </c>
      <c r="E226" s="72" t="s">
        <v>30</v>
      </c>
      <c r="F226" s="72" t="s">
        <v>102</v>
      </c>
      <c r="G226" s="66">
        <v>9000.0</v>
      </c>
      <c r="H226" s="73">
        <v>1400000.0</v>
      </c>
      <c r="I226" s="74" t="s">
        <v>44</v>
      </c>
      <c r="J226" s="75">
        <v>900000.0</v>
      </c>
      <c r="K226" s="75" t="s">
        <v>42</v>
      </c>
      <c r="L226" s="73">
        <f t="shared" si="24"/>
        <v>500000</v>
      </c>
      <c r="M226" s="7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/>
      <c r="B227" s="71">
        <v>45378.0</v>
      </c>
      <c r="C227" s="72" t="s">
        <v>65</v>
      </c>
      <c r="D227" s="72" t="s">
        <v>64</v>
      </c>
      <c r="E227" s="72" t="s">
        <v>30</v>
      </c>
      <c r="F227" s="72" t="s">
        <v>66</v>
      </c>
      <c r="G227" s="66">
        <v>10000.0</v>
      </c>
      <c r="H227" s="73">
        <v>750000.0</v>
      </c>
      <c r="I227" s="74" t="s">
        <v>42</v>
      </c>
      <c r="J227" s="75">
        <v>375000.0</v>
      </c>
      <c r="K227" s="75" t="s">
        <v>42</v>
      </c>
      <c r="L227" s="73">
        <f t="shared" si="24"/>
        <v>375000</v>
      </c>
      <c r="M227" s="76">
        <v>45000.0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/>
      <c r="B228" s="71">
        <v>45378.0</v>
      </c>
      <c r="C228" s="72" t="s">
        <v>65</v>
      </c>
      <c r="D228" s="72" t="s">
        <v>64</v>
      </c>
      <c r="E228" s="72" t="s">
        <v>37</v>
      </c>
      <c r="F228" s="72" t="s">
        <v>103</v>
      </c>
      <c r="G228" s="66">
        <v>9000.0</v>
      </c>
      <c r="H228" s="73">
        <v>670000.0</v>
      </c>
      <c r="I228" s="74" t="s">
        <v>42</v>
      </c>
      <c r="J228" s="75">
        <v>375000.0</v>
      </c>
      <c r="K228" s="75" t="s">
        <v>42</v>
      </c>
      <c r="L228" s="73">
        <f t="shared" si="24"/>
        <v>295000</v>
      </c>
      <c r="M228" s="76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/>
      <c r="B229" s="71">
        <v>45379.0</v>
      </c>
      <c r="C229" s="72" t="s">
        <v>65</v>
      </c>
      <c r="D229" s="72" t="s">
        <v>64</v>
      </c>
      <c r="E229" s="72" t="s">
        <v>37</v>
      </c>
      <c r="F229" s="72" t="s">
        <v>43</v>
      </c>
      <c r="G229" s="66">
        <v>9000.0</v>
      </c>
      <c r="H229" s="73">
        <v>1350000.0</v>
      </c>
      <c r="I229" s="74" t="s">
        <v>44</v>
      </c>
      <c r="J229" s="75">
        <v>800000.0</v>
      </c>
      <c r="K229" s="75" t="s">
        <v>42</v>
      </c>
      <c r="L229" s="73">
        <f t="shared" si="24"/>
        <v>550000</v>
      </c>
      <c r="M229" s="76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/>
      <c r="B230" s="71">
        <v>45381.0</v>
      </c>
      <c r="C230" s="72" t="s">
        <v>65</v>
      </c>
      <c r="D230" s="72" t="s">
        <v>64</v>
      </c>
      <c r="E230" s="72" t="s">
        <v>30</v>
      </c>
      <c r="F230" s="72" t="s">
        <v>104</v>
      </c>
      <c r="G230" s="66">
        <v>9000.0</v>
      </c>
      <c r="H230" s="73">
        <v>1125000.0</v>
      </c>
      <c r="I230" s="74" t="s">
        <v>42</v>
      </c>
      <c r="J230" s="75">
        <v>640000.0</v>
      </c>
      <c r="K230" s="75" t="s">
        <v>42</v>
      </c>
      <c r="L230" s="73">
        <f t="shared" si="24"/>
        <v>485000</v>
      </c>
      <c r="M230" s="76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1"/>
      <c r="B231" s="7"/>
      <c r="C231" s="17"/>
      <c r="D231" s="17"/>
      <c r="E231" s="17"/>
      <c r="F231" s="17"/>
      <c r="G231" s="57"/>
      <c r="H231" s="58"/>
      <c r="I231" s="59"/>
      <c r="J231" s="60"/>
      <c r="K231" s="60"/>
      <c r="L231" s="52">
        <f t="shared" ref="L231:M231" si="25">SUM(L208:L230)</f>
        <v>10700000</v>
      </c>
      <c r="M231" s="30">
        <f t="shared" si="25"/>
        <v>735000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1"/>
      <c r="B232" s="7"/>
      <c r="C232" s="17"/>
      <c r="D232" s="17"/>
      <c r="E232" s="17"/>
      <c r="F232" s="17"/>
      <c r="G232" s="57"/>
      <c r="H232" s="58"/>
      <c r="I232" s="59"/>
      <c r="J232" s="60"/>
      <c r="K232" s="60"/>
      <c r="L232" s="33">
        <f>L231-M231</f>
        <v>9965000</v>
      </c>
      <c r="M232" s="61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1"/>
      <c r="B233" s="7"/>
      <c r="C233" s="17"/>
      <c r="D233" s="17"/>
      <c r="E233" s="17"/>
      <c r="F233" s="17"/>
      <c r="G233" s="57"/>
      <c r="H233" s="58"/>
      <c r="I233" s="59"/>
      <c r="J233" s="60"/>
      <c r="K233" s="60"/>
      <c r="L233" s="17"/>
      <c r="M233" s="61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1"/>
      <c r="B234" s="79" t="s">
        <v>0</v>
      </c>
      <c r="C234" s="80" t="s">
        <v>1</v>
      </c>
      <c r="D234" s="80" t="s">
        <v>2</v>
      </c>
      <c r="E234" s="81" t="s">
        <v>3</v>
      </c>
      <c r="F234" s="80" t="s">
        <v>4</v>
      </c>
      <c r="G234" s="82" t="s">
        <v>5</v>
      </c>
      <c r="H234" s="83" t="s">
        <v>6</v>
      </c>
      <c r="I234" s="83" t="s">
        <v>39</v>
      </c>
      <c r="J234" s="82" t="s">
        <v>7</v>
      </c>
      <c r="K234" s="82" t="s">
        <v>39</v>
      </c>
      <c r="L234" s="83" t="s">
        <v>8</v>
      </c>
      <c r="M234" s="84" t="s">
        <v>9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5"/>
      <c r="B235" s="86">
        <v>45385.0</v>
      </c>
      <c r="C235" s="17" t="s">
        <v>65</v>
      </c>
      <c r="D235" s="17" t="s">
        <v>64</v>
      </c>
      <c r="E235" s="17" t="s">
        <v>37</v>
      </c>
      <c r="F235" s="17" t="s">
        <v>105</v>
      </c>
      <c r="G235" s="87">
        <v>9000.0</v>
      </c>
      <c r="H235" s="58">
        <v>675000.0</v>
      </c>
      <c r="I235" s="59" t="s">
        <v>42</v>
      </c>
      <c r="J235" s="60">
        <v>350000.0</v>
      </c>
      <c r="K235" s="60" t="s">
        <v>42</v>
      </c>
      <c r="L235" s="58">
        <f t="shared" ref="L235:L238" si="26">H235-J235</f>
        <v>325000</v>
      </c>
      <c r="M235" s="61">
        <v>20000.0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5"/>
      <c r="B236" s="86">
        <v>45386.0</v>
      </c>
      <c r="C236" s="17" t="s">
        <v>65</v>
      </c>
      <c r="D236" s="17" t="s">
        <v>64</v>
      </c>
      <c r="E236" s="17" t="s">
        <v>37</v>
      </c>
      <c r="F236" s="17" t="s">
        <v>43</v>
      </c>
      <c r="G236" s="87">
        <v>9000.0</v>
      </c>
      <c r="H236" s="58">
        <v>1350000.0</v>
      </c>
      <c r="I236" s="59" t="s">
        <v>44</v>
      </c>
      <c r="J236" s="60">
        <v>800000.0</v>
      </c>
      <c r="K236" s="60" t="s">
        <v>42</v>
      </c>
      <c r="L236" s="58">
        <f t="shared" si="26"/>
        <v>550000</v>
      </c>
      <c r="M236" s="61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5"/>
      <c r="B237" s="86">
        <v>45386.0</v>
      </c>
      <c r="C237" s="17" t="s">
        <v>65</v>
      </c>
      <c r="D237" s="17" t="s">
        <v>64</v>
      </c>
      <c r="E237" s="17" t="s">
        <v>37</v>
      </c>
      <c r="F237" s="17" t="s">
        <v>103</v>
      </c>
      <c r="G237" s="87">
        <v>9000.0</v>
      </c>
      <c r="H237" s="58">
        <v>675000.0</v>
      </c>
      <c r="I237" s="59" t="s">
        <v>42</v>
      </c>
      <c r="J237" s="60">
        <v>375000.0</v>
      </c>
      <c r="K237" s="60" t="s">
        <v>42</v>
      </c>
      <c r="L237" s="58">
        <f t="shared" si="26"/>
        <v>300000</v>
      </c>
      <c r="M237" s="61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5"/>
      <c r="B238" s="86">
        <v>45387.0</v>
      </c>
      <c r="C238" s="17" t="s">
        <v>65</v>
      </c>
      <c r="D238" s="17" t="s">
        <v>64</v>
      </c>
      <c r="E238" s="17" t="s">
        <v>30</v>
      </c>
      <c r="F238" s="17" t="s">
        <v>105</v>
      </c>
      <c r="G238" s="87">
        <v>9000.0</v>
      </c>
      <c r="H238" s="58">
        <v>675000.0</v>
      </c>
      <c r="I238" s="59" t="s">
        <v>42</v>
      </c>
      <c r="J238" s="60">
        <v>350000.0</v>
      </c>
      <c r="K238" s="60" t="s">
        <v>42</v>
      </c>
      <c r="L238" s="58">
        <f t="shared" si="26"/>
        <v>325000</v>
      </c>
      <c r="M238" s="61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5"/>
      <c r="B239" s="86">
        <v>45387.0</v>
      </c>
      <c r="C239" s="17" t="s">
        <v>65</v>
      </c>
      <c r="D239" s="17" t="s">
        <v>64</v>
      </c>
      <c r="E239" s="17"/>
      <c r="F239" s="17" t="s">
        <v>106</v>
      </c>
      <c r="G239" s="87">
        <v>9000.0</v>
      </c>
      <c r="H239" s="58"/>
      <c r="I239" s="59"/>
      <c r="J239" s="60"/>
      <c r="K239" s="60"/>
      <c r="L239" s="58">
        <v>700000.0</v>
      </c>
      <c r="M239" s="61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5"/>
      <c r="B240" s="86">
        <v>45388.0</v>
      </c>
      <c r="C240" s="17" t="s">
        <v>65</v>
      </c>
      <c r="D240" s="17" t="s">
        <v>64</v>
      </c>
      <c r="E240" s="17" t="s">
        <v>30</v>
      </c>
      <c r="F240" s="17" t="s">
        <v>93</v>
      </c>
      <c r="G240" s="87">
        <v>8500.0</v>
      </c>
      <c r="H240" s="58">
        <v>1300000.0</v>
      </c>
      <c r="I240" s="59" t="s">
        <v>42</v>
      </c>
      <c r="J240" s="60">
        <v>780000.0</v>
      </c>
      <c r="K240" s="60" t="s">
        <v>42</v>
      </c>
      <c r="L240" s="58">
        <f t="shared" ref="L240:L256" si="27">H240-J240</f>
        <v>520000</v>
      </c>
      <c r="M240" s="61">
        <v>370000.0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5"/>
      <c r="B241" s="86">
        <v>45397.0</v>
      </c>
      <c r="C241" s="17" t="s">
        <v>65</v>
      </c>
      <c r="D241" s="17" t="s">
        <v>64</v>
      </c>
      <c r="E241" s="17" t="s">
        <v>37</v>
      </c>
      <c r="F241" s="17" t="s">
        <v>107</v>
      </c>
      <c r="G241" s="87">
        <v>9000.0</v>
      </c>
      <c r="H241" s="58">
        <v>1125000.0</v>
      </c>
      <c r="I241" s="59" t="s">
        <v>42</v>
      </c>
      <c r="J241" s="60">
        <v>640000.0</v>
      </c>
      <c r="K241" s="60" t="s">
        <v>42</v>
      </c>
      <c r="L241" s="58">
        <f t="shared" si="27"/>
        <v>485000</v>
      </c>
      <c r="M241" s="61">
        <v>5883000.0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5"/>
      <c r="B242" s="86">
        <v>45398.0</v>
      </c>
      <c r="C242" s="17" t="s">
        <v>65</v>
      </c>
      <c r="D242" s="17" t="s">
        <v>64</v>
      </c>
      <c r="E242" s="17" t="s">
        <v>37</v>
      </c>
      <c r="F242" s="17" t="s">
        <v>43</v>
      </c>
      <c r="G242" s="87">
        <v>9000.0</v>
      </c>
      <c r="H242" s="58">
        <v>1350000.0</v>
      </c>
      <c r="I242" s="59" t="s">
        <v>44</v>
      </c>
      <c r="J242" s="60">
        <v>800000.0</v>
      </c>
      <c r="K242" s="60" t="s">
        <v>42</v>
      </c>
      <c r="L242" s="58">
        <f t="shared" si="27"/>
        <v>550000</v>
      </c>
      <c r="M242" s="61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5"/>
      <c r="B243" s="86">
        <v>45399.0</v>
      </c>
      <c r="C243" s="17" t="s">
        <v>65</v>
      </c>
      <c r="D243" s="17" t="s">
        <v>64</v>
      </c>
      <c r="E243" s="17" t="s">
        <v>30</v>
      </c>
      <c r="F243" s="17" t="s">
        <v>105</v>
      </c>
      <c r="G243" s="87">
        <v>10000.0</v>
      </c>
      <c r="H243" s="58">
        <v>750000.0</v>
      </c>
      <c r="I243" s="59" t="s">
        <v>42</v>
      </c>
      <c r="J243" s="60">
        <v>375000.0</v>
      </c>
      <c r="K243" s="60" t="s">
        <v>42</v>
      </c>
      <c r="L243" s="58">
        <f t="shared" si="27"/>
        <v>375000</v>
      </c>
      <c r="M243" s="61">
        <v>70000.0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5"/>
      <c r="B244" s="86">
        <v>45400.0</v>
      </c>
      <c r="C244" s="17" t="s">
        <v>65</v>
      </c>
      <c r="D244" s="17" t="s">
        <v>64</v>
      </c>
      <c r="E244" s="17" t="s">
        <v>37</v>
      </c>
      <c r="F244" s="17" t="s">
        <v>43</v>
      </c>
      <c r="G244" s="87">
        <v>9000.0</v>
      </c>
      <c r="H244" s="58">
        <v>1350000.0</v>
      </c>
      <c r="I244" s="59" t="s">
        <v>44</v>
      </c>
      <c r="J244" s="60">
        <v>800000.0</v>
      </c>
      <c r="K244" s="60" t="s">
        <v>42</v>
      </c>
      <c r="L244" s="58">
        <f t="shared" si="27"/>
        <v>550000</v>
      </c>
      <c r="M244" s="61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5"/>
      <c r="B245" s="86">
        <v>45402.0</v>
      </c>
      <c r="C245" s="17" t="s">
        <v>65</v>
      </c>
      <c r="D245" s="17" t="s">
        <v>64</v>
      </c>
      <c r="E245" s="17" t="s">
        <v>37</v>
      </c>
      <c r="F245" s="17" t="s">
        <v>108</v>
      </c>
      <c r="G245" s="87">
        <v>9000.0</v>
      </c>
      <c r="H245" s="58">
        <v>810000.0</v>
      </c>
      <c r="I245" s="59" t="s">
        <v>42</v>
      </c>
      <c r="J245" s="60">
        <v>450000.0</v>
      </c>
      <c r="K245" s="60" t="s">
        <v>42</v>
      </c>
      <c r="L245" s="58">
        <f t="shared" si="27"/>
        <v>360000</v>
      </c>
      <c r="M245" s="61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5"/>
      <c r="B246" s="86">
        <v>45404.0</v>
      </c>
      <c r="C246" s="17" t="s">
        <v>65</v>
      </c>
      <c r="D246" s="17" t="s">
        <v>64</v>
      </c>
      <c r="E246" s="17" t="s">
        <v>37</v>
      </c>
      <c r="F246" s="17" t="s">
        <v>105</v>
      </c>
      <c r="G246" s="87">
        <v>11000.0</v>
      </c>
      <c r="H246" s="58">
        <v>800000.0</v>
      </c>
      <c r="I246" s="59" t="s">
        <v>42</v>
      </c>
      <c r="J246" s="60">
        <v>400000.0</v>
      </c>
      <c r="K246" s="60" t="s">
        <v>42</v>
      </c>
      <c r="L246" s="58">
        <f t="shared" si="27"/>
        <v>400000</v>
      </c>
      <c r="M246" s="61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5"/>
      <c r="B247" s="86">
        <v>45405.0</v>
      </c>
      <c r="C247" s="17" t="s">
        <v>65</v>
      </c>
      <c r="D247" s="17" t="s">
        <v>64</v>
      </c>
      <c r="E247" s="17" t="s">
        <v>96</v>
      </c>
      <c r="F247" s="17" t="s">
        <v>109</v>
      </c>
      <c r="G247" s="87">
        <v>9000.0</v>
      </c>
      <c r="H247" s="58">
        <v>720000.0</v>
      </c>
      <c r="I247" s="59" t="s">
        <v>42</v>
      </c>
      <c r="J247" s="60">
        <v>350000.0</v>
      </c>
      <c r="K247" s="60" t="s">
        <v>42</v>
      </c>
      <c r="L247" s="58">
        <f t="shared" si="27"/>
        <v>370000</v>
      </c>
      <c r="M247" s="61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5"/>
      <c r="B248" s="86">
        <v>45406.0</v>
      </c>
      <c r="C248" s="17" t="s">
        <v>65</v>
      </c>
      <c r="D248" s="17" t="s">
        <v>64</v>
      </c>
      <c r="E248" s="17" t="s">
        <v>30</v>
      </c>
      <c r="F248" s="17" t="s">
        <v>105</v>
      </c>
      <c r="G248" s="87">
        <v>11000.0</v>
      </c>
      <c r="H248" s="58">
        <v>800000.0</v>
      </c>
      <c r="I248" s="59" t="s">
        <v>42</v>
      </c>
      <c r="J248" s="60">
        <v>400000.0</v>
      </c>
      <c r="K248" s="60" t="s">
        <v>42</v>
      </c>
      <c r="L248" s="58">
        <f t="shared" si="27"/>
        <v>400000</v>
      </c>
      <c r="M248" s="61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5"/>
      <c r="B249" s="86">
        <v>45406.0</v>
      </c>
      <c r="C249" s="17" t="s">
        <v>65</v>
      </c>
      <c r="D249" s="17" t="s">
        <v>64</v>
      </c>
      <c r="E249" s="17" t="s">
        <v>96</v>
      </c>
      <c r="F249" s="17" t="s">
        <v>103</v>
      </c>
      <c r="G249" s="87">
        <v>9000.0</v>
      </c>
      <c r="H249" s="58">
        <v>675000.0</v>
      </c>
      <c r="I249" s="59" t="s">
        <v>42</v>
      </c>
      <c r="J249" s="60">
        <v>375000.0</v>
      </c>
      <c r="K249" s="60" t="s">
        <v>42</v>
      </c>
      <c r="L249" s="58">
        <f t="shared" si="27"/>
        <v>300000</v>
      </c>
      <c r="M249" s="61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5"/>
      <c r="B250" s="86">
        <v>45407.0</v>
      </c>
      <c r="C250" s="17" t="s">
        <v>65</v>
      </c>
      <c r="D250" s="17" t="s">
        <v>64</v>
      </c>
      <c r="E250" s="17" t="s">
        <v>30</v>
      </c>
      <c r="F250" s="17" t="s">
        <v>110</v>
      </c>
      <c r="G250" s="87">
        <v>9000.0</v>
      </c>
      <c r="H250" s="58">
        <v>1170000.0</v>
      </c>
      <c r="I250" s="59" t="s">
        <v>42</v>
      </c>
      <c r="J250" s="60">
        <v>640000.0</v>
      </c>
      <c r="K250" s="60" t="s">
        <v>42</v>
      </c>
      <c r="L250" s="58">
        <f t="shared" si="27"/>
        <v>530000</v>
      </c>
      <c r="M250" s="61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5"/>
      <c r="B251" s="86">
        <v>45408.0</v>
      </c>
      <c r="C251" s="17" t="s">
        <v>65</v>
      </c>
      <c r="D251" s="17" t="s">
        <v>64</v>
      </c>
      <c r="E251" s="17" t="s">
        <v>37</v>
      </c>
      <c r="F251" s="17" t="s">
        <v>43</v>
      </c>
      <c r="G251" s="87">
        <v>9000.0</v>
      </c>
      <c r="H251" s="58">
        <v>1350000.0</v>
      </c>
      <c r="I251" s="59" t="s">
        <v>44</v>
      </c>
      <c r="J251" s="60">
        <v>800000.0</v>
      </c>
      <c r="K251" s="60" t="s">
        <v>42</v>
      </c>
      <c r="L251" s="58">
        <f t="shared" si="27"/>
        <v>550000</v>
      </c>
      <c r="M251" s="61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5"/>
      <c r="B252" s="86">
        <v>45409.0</v>
      </c>
      <c r="C252" s="17" t="s">
        <v>65</v>
      </c>
      <c r="D252" s="17" t="s">
        <v>64</v>
      </c>
      <c r="E252" s="17" t="s">
        <v>37</v>
      </c>
      <c r="F252" s="17" t="s">
        <v>43</v>
      </c>
      <c r="G252" s="87">
        <v>9000.0</v>
      </c>
      <c r="H252" s="58">
        <v>1350000.0</v>
      </c>
      <c r="I252" s="59" t="s">
        <v>44</v>
      </c>
      <c r="J252" s="60">
        <v>800000.0</v>
      </c>
      <c r="K252" s="60" t="s">
        <v>42</v>
      </c>
      <c r="L252" s="58">
        <f t="shared" si="27"/>
        <v>550000</v>
      </c>
      <c r="M252" s="61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5"/>
      <c r="B253" s="86">
        <v>45411.0</v>
      </c>
      <c r="C253" s="17" t="s">
        <v>65</v>
      </c>
      <c r="D253" s="17" t="s">
        <v>64</v>
      </c>
      <c r="E253" s="17" t="s">
        <v>30</v>
      </c>
      <c r="F253" s="17" t="s">
        <v>105</v>
      </c>
      <c r="G253" s="87">
        <v>10000.0</v>
      </c>
      <c r="H253" s="58">
        <v>750000.0</v>
      </c>
      <c r="I253" s="59" t="s">
        <v>42</v>
      </c>
      <c r="J253" s="60">
        <v>375000.0</v>
      </c>
      <c r="K253" s="60" t="s">
        <v>42</v>
      </c>
      <c r="L253" s="58">
        <f t="shared" si="27"/>
        <v>375000</v>
      </c>
      <c r="M253" s="61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5"/>
      <c r="B254" s="86">
        <v>45411.0</v>
      </c>
      <c r="C254" s="17" t="s">
        <v>65</v>
      </c>
      <c r="D254" s="17" t="s">
        <v>64</v>
      </c>
      <c r="E254" s="17" t="s">
        <v>30</v>
      </c>
      <c r="F254" s="17" t="s">
        <v>111</v>
      </c>
      <c r="G254" s="87">
        <v>9000.0</v>
      </c>
      <c r="H254" s="58">
        <v>990000.0</v>
      </c>
      <c r="I254" s="59" t="s">
        <v>42</v>
      </c>
      <c r="J254" s="60">
        <v>500000.0</v>
      </c>
      <c r="K254" s="60" t="s">
        <v>42</v>
      </c>
      <c r="L254" s="58">
        <f t="shared" si="27"/>
        <v>490000</v>
      </c>
      <c r="M254" s="61">
        <v>115000.0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5"/>
      <c r="B255" s="86">
        <v>45412.0</v>
      </c>
      <c r="C255" s="17" t="s">
        <v>65</v>
      </c>
      <c r="D255" s="17" t="s">
        <v>64</v>
      </c>
      <c r="E255" s="17" t="s">
        <v>30</v>
      </c>
      <c r="F255" s="17" t="s">
        <v>59</v>
      </c>
      <c r="G255" s="87">
        <v>10000.0</v>
      </c>
      <c r="H255" s="58">
        <v>800000.0</v>
      </c>
      <c r="I255" s="59" t="s">
        <v>44</v>
      </c>
      <c r="J255" s="60">
        <v>375000.0</v>
      </c>
      <c r="K255" s="60" t="s">
        <v>42</v>
      </c>
      <c r="L255" s="58">
        <f t="shared" si="27"/>
        <v>425000</v>
      </c>
      <c r="M255" s="61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5"/>
      <c r="B256" s="86">
        <v>45412.0</v>
      </c>
      <c r="C256" s="17" t="s">
        <v>65</v>
      </c>
      <c r="D256" s="17" t="s">
        <v>64</v>
      </c>
      <c r="E256" s="17" t="s">
        <v>30</v>
      </c>
      <c r="F256" s="17" t="s">
        <v>60</v>
      </c>
      <c r="G256" s="87">
        <v>10000.0</v>
      </c>
      <c r="H256" s="58">
        <v>1500000.0</v>
      </c>
      <c r="I256" s="59" t="s">
        <v>42</v>
      </c>
      <c r="J256" s="60">
        <v>900000.0</v>
      </c>
      <c r="K256" s="60" t="s">
        <v>42</v>
      </c>
      <c r="L256" s="58">
        <f t="shared" si="27"/>
        <v>600000</v>
      </c>
      <c r="M256" s="61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5"/>
      <c r="B257" s="86"/>
      <c r="C257" s="17"/>
      <c r="D257" s="17"/>
      <c r="E257" s="17"/>
      <c r="F257" s="17"/>
      <c r="G257" s="88"/>
      <c r="H257" s="58"/>
      <c r="I257" s="59"/>
      <c r="J257" s="60"/>
      <c r="K257" s="60"/>
      <c r="L257" s="52">
        <f>SUM(L235:L256)</f>
        <v>10030000</v>
      </c>
      <c r="M257" s="30">
        <f>SUM(M235:M255)</f>
        <v>6458000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1"/>
      <c r="B258" s="7"/>
      <c r="C258" s="17"/>
      <c r="D258" s="17"/>
      <c r="E258" s="17"/>
      <c r="F258" s="17"/>
      <c r="G258" s="57"/>
      <c r="H258" s="58"/>
      <c r="I258" s="59"/>
      <c r="J258" s="60"/>
      <c r="K258" s="60"/>
      <c r="L258" s="33">
        <f>L257-M257</f>
        <v>3572000</v>
      </c>
      <c r="M258" s="61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1"/>
      <c r="B259" s="7"/>
      <c r="C259" s="17"/>
      <c r="D259" s="17"/>
      <c r="E259" s="17"/>
      <c r="F259" s="17"/>
      <c r="G259" s="57"/>
      <c r="H259" s="58"/>
      <c r="I259" s="59"/>
      <c r="J259" s="60"/>
      <c r="K259" s="60"/>
      <c r="L259" s="17"/>
      <c r="M259" s="61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1.5" customHeight="1">
      <c r="A260" s="1"/>
      <c r="B260" s="89" t="s">
        <v>0</v>
      </c>
      <c r="C260" s="89" t="s">
        <v>1</v>
      </c>
      <c r="D260" s="89" t="s">
        <v>2</v>
      </c>
      <c r="E260" s="90" t="s">
        <v>3</v>
      </c>
      <c r="F260" s="89" t="s">
        <v>4</v>
      </c>
      <c r="G260" s="91" t="s">
        <v>5</v>
      </c>
      <c r="H260" s="92" t="s">
        <v>6</v>
      </c>
      <c r="I260" s="92" t="s">
        <v>39</v>
      </c>
      <c r="J260" s="91" t="s">
        <v>7</v>
      </c>
      <c r="K260" s="91" t="s">
        <v>39</v>
      </c>
      <c r="L260" s="92" t="s">
        <v>8</v>
      </c>
      <c r="M260" s="92" t="s">
        <v>9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1"/>
      <c r="B261" s="17" t="s">
        <v>112</v>
      </c>
      <c r="C261" s="17" t="s">
        <v>65</v>
      </c>
      <c r="D261" s="17" t="s">
        <v>64</v>
      </c>
      <c r="E261" s="17" t="s">
        <v>40</v>
      </c>
      <c r="F261" s="17" t="s">
        <v>34</v>
      </c>
      <c r="G261" s="87">
        <v>9000.0</v>
      </c>
      <c r="H261" s="58">
        <v>1215000.0</v>
      </c>
      <c r="I261" s="59" t="s">
        <v>44</v>
      </c>
      <c r="J261" s="60">
        <v>700000.0</v>
      </c>
      <c r="K261" s="58" t="s">
        <v>42</v>
      </c>
      <c r="L261" s="58">
        <f t="shared" ref="L261:L278" si="28">H261-J261</f>
        <v>515000</v>
      </c>
      <c r="M261" s="61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1"/>
      <c r="B262" s="17" t="s">
        <v>113</v>
      </c>
      <c r="C262" s="17" t="s">
        <v>65</v>
      </c>
      <c r="D262" s="17" t="s">
        <v>64</v>
      </c>
      <c r="E262" s="17" t="s">
        <v>40</v>
      </c>
      <c r="F262" s="17" t="s">
        <v>60</v>
      </c>
      <c r="G262" s="87">
        <v>9000.0</v>
      </c>
      <c r="H262" s="58">
        <v>1350000.0</v>
      </c>
      <c r="I262" s="59" t="s">
        <v>42</v>
      </c>
      <c r="J262" s="60">
        <v>850000.0</v>
      </c>
      <c r="K262" s="58" t="s">
        <v>42</v>
      </c>
      <c r="L262" s="58">
        <f t="shared" si="28"/>
        <v>500000</v>
      </c>
      <c r="M262" s="61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1"/>
      <c r="B263" s="17" t="s">
        <v>114</v>
      </c>
      <c r="C263" s="17" t="s">
        <v>65</v>
      </c>
      <c r="D263" s="17" t="s">
        <v>64</v>
      </c>
      <c r="E263" s="17" t="s">
        <v>40</v>
      </c>
      <c r="F263" s="17" t="s">
        <v>59</v>
      </c>
      <c r="G263" s="87">
        <v>9000.0</v>
      </c>
      <c r="H263" s="58">
        <v>922000.0</v>
      </c>
      <c r="I263" s="59" t="s">
        <v>44</v>
      </c>
      <c r="J263" s="60">
        <v>350000.0</v>
      </c>
      <c r="K263" s="58" t="s">
        <v>42</v>
      </c>
      <c r="L263" s="58">
        <f t="shared" si="28"/>
        <v>572000</v>
      </c>
      <c r="M263" s="61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1"/>
      <c r="B264" s="17" t="s">
        <v>114</v>
      </c>
      <c r="C264" s="17" t="s">
        <v>65</v>
      </c>
      <c r="D264" s="17" t="s">
        <v>64</v>
      </c>
      <c r="E264" s="17" t="s">
        <v>37</v>
      </c>
      <c r="F264" s="17" t="s">
        <v>115</v>
      </c>
      <c r="G264" s="87">
        <v>9000.0</v>
      </c>
      <c r="H264" s="58">
        <v>765000.0</v>
      </c>
      <c r="I264" s="59" t="s">
        <v>42</v>
      </c>
      <c r="J264" s="60">
        <v>450000.0</v>
      </c>
      <c r="K264" s="58" t="s">
        <v>42</v>
      </c>
      <c r="L264" s="58">
        <f t="shared" si="28"/>
        <v>315000</v>
      </c>
      <c r="M264" s="61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1"/>
      <c r="B265" s="17" t="s">
        <v>116</v>
      </c>
      <c r="C265" s="17" t="s">
        <v>65</v>
      </c>
      <c r="D265" s="17" t="s">
        <v>64</v>
      </c>
      <c r="E265" s="17" t="s">
        <v>83</v>
      </c>
      <c r="F265" s="17" t="s">
        <v>105</v>
      </c>
      <c r="G265" s="87">
        <v>9000.0</v>
      </c>
      <c r="H265" s="58">
        <v>675000.0</v>
      </c>
      <c r="I265" s="59" t="s">
        <v>42</v>
      </c>
      <c r="J265" s="60">
        <v>350000.0</v>
      </c>
      <c r="K265" s="58" t="s">
        <v>42</v>
      </c>
      <c r="L265" s="58">
        <f t="shared" si="28"/>
        <v>325000</v>
      </c>
      <c r="M265" s="61">
        <v>500000.0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1"/>
      <c r="B266" s="17" t="s">
        <v>116</v>
      </c>
      <c r="C266" s="17" t="s">
        <v>65</v>
      </c>
      <c r="D266" s="17" t="s">
        <v>64</v>
      </c>
      <c r="E266" s="17" t="s">
        <v>37</v>
      </c>
      <c r="F266" s="17" t="s">
        <v>105</v>
      </c>
      <c r="G266" s="87">
        <v>9000.0</v>
      </c>
      <c r="H266" s="58">
        <v>675000.0</v>
      </c>
      <c r="I266" s="59" t="s">
        <v>42</v>
      </c>
      <c r="J266" s="60">
        <v>350000.0</v>
      </c>
      <c r="K266" s="58" t="s">
        <v>42</v>
      </c>
      <c r="L266" s="58">
        <f t="shared" si="28"/>
        <v>325000</v>
      </c>
      <c r="M266" s="61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1"/>
      <c r="B267" s="17" t="s">
        <v>117</v>
      </c>
      <c r="C267" s="17" t="s">
        <v>65</v>
      </c>
      <c r="D267" s="17" t="s">
        <v>64</v>
      </c>
      <c r="E267" s="17" t="s">
        <v>96</v>
      </c>
      <c r="F267" s="17" t="s">
        <v>118</v>
      </c>
      <c r="G267" s="87">
        <v>9000.0</v>
      </c>
      <c r="H267" s="58">
        <v>990000.0</v>
      </c>
      <c r="I267" s="59" t="s">
        <v>42</v>
      </c>
      <c r="J267" s="60">
        <v>550000.0</v>
      </c>
      <c r="K267" s="60" t="s">
        <v>42</v>
      </c>
      <c r="L267" s="58">
        <f t="shared" si="28"/>
        <v>440000</v>
      </c>
      <c r="M267" s="61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1"/>
      <c r="B268" s="17" t="s">
        <v>119</v>
      </c>
      <c r="C268" s="17" t="s">
        <v>65</v>
      </c>
      <c r="D268" s="17" t="s">
        <v>64</v>
      </c>
      <c r="E268" s="17" t="s">
        <v>37</v>
      </c>
      <c r="F268" s="17" t="s">
        <v>111</v>
      </c>
      <c r="G268" s="87">
        <v>9000.0</v>
      </c>
      <c r="H268" s="58">
        <v>990000.0</v>
      </c>
      <c r="I268" s="59" t="s">
        <v>44</v>
      </c>
      <c r="J268" s="60">
        <v>500000.0</v>
      </c>
      <c r="K268" s="60" t="s">
        <v>42</v>
      </c>
      <c r="L268" s="58">
        <f t="shared" si="28"/>
        <v>490000</v>
      </c>
      <c r="M268" s="61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1"/>
      <c r="B269" s="17" t="s">
        <v>120</v>
      </c>
      <c r="C269" s="17" t="s">
        <v>65</v>
      </c>
      <c r="D269" s="17" t="s">
        <v>64</v>
      </c>
      <c r="E269" s="17" t="s">
        <v>37</v>
      </c>
      <c r="F269" s="17" t="s">
        <v>121</v>
      </c>
      <c r="G269" s="87">
        <v>9000.0</v>
      </c>
      <c r="H269" s="58">
        <v>1170000.0</v>
      </c>
      <c r="I269" s="59" t="s">
        <v>42</v>
      </c>
      <c r="J269" s="60">
        <v>640000.0</v>
      </c>
      <c r="K269" s="60" t="s">
        <v>42</v>
      </c>
      <c r="L269" s="58">
        <f t="shared" si="28"/>
        <v>530000</v>
      </c>
      <c r="M269" s="61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1"/>
      <c r="B270" s="17" t="s">
        <v>122</v>
      </c>
      <c r="C270" s="17" t="s">
        <v>65</v>
      </c>
      <c r="D270" s="17" t="s">
        <v>64</v>
      </c>
      <c r="E270" s="17" t="s">
        <v>40</v>
      </c>
      <c r="F270" s="17" t="s">
        <v>105</v>
      </c>
      <c r="G270" s="87">
        <v>10000.0</v>
      </c>
      <c r="H270" s="58">
        <v>750000.0</v>
      </c>
      <c r="I270" s="59" t="s">
        <v>42</v>
      </c>
      <c r="J270" s="60">
        <v>375000.0</v>
      </c>
      <c r="K270" s="60" t="s">
        <v>42</v>
      </c>
      <c r="L270" s="58">
        <f t="shared" si="28"/>
        <v>375000</v>
      </c>
      <c r="M270" s="61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1"/>
      <c r="B271" s="17" t="s">
        <v>122</v>
      </c>
      <c r="C271" s="17" t="s">
        <v>65</v>
      </c>
      <c r="D271" s="17" t="s">
        <v>64</v>
      </c>
      <c r="E271" s="17" t="s">
        <v>123</v>
      </c>
      <c r="F271" s="17" t="s">
        <v>124</v>
      </c>
      <c r="G271" s="87">
        <v>9000.0</v>
      </c>
      <c r="H271" s="58">
        <v>1125000.0</v>
      </c>
      <c r="I271" s="59" t="s">
        <v>42</v>
      </c>
      <c r="J271" s="60">
        <v>640000.0</v>
      </c>
      <c r="K271" s="60" t="s">
        <v>42</v>
      </c>
      <c r="L271" s="58">
        <f t="shared" si="28"/>
        <v>485000</v>
      </c>
      <c r="M271" s="61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1"/>
      <c r="B272" s="17" t="s">
        <v>125</v>
      </c>
      <c r="C272" s="17" t="s">
        <v>65</v>
      </c>
      <c r="D272" s="17" t="s">
        <v>64</v>
      </c>
      <c r="E272" s="17" t="s">
        <v>37</v>
      </c>
      <c r="F272" s="17" t="s">
        <v>111</v>
      </c>
      <c r="G272" s="87">
        <v>10000.0</v>
      </c>
      <c r="H272" s="58">
        <v>1100000.0</v>
      </c>
      <c r="I272" s="59" t="s">
        <v>44</v>
      </c>
      <c r="J272" s="60">
        <v>600000.0</v>
      </c>
      <c r="K272" s="60" t="s">
        <v>42</v>
      </c>
      <c r="L272" s="58">
        <f t="shared" si="28"/>
        <v>500000</v>
      </c>
      <c r="M272" s="61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1"/>
      <c r="B273" s="17" t="s">
        <v>126</v>
      </c>
      <c r="C273" s="17" t="s">
        <v>65</v>
      </c>
      <c r="D273" s="17" t="s">
        <v>64</v>
      </c>
      <c r="E273" s="17" t="s">
        <v>40</v>
      </c>
      <c r="F273" s="17" t="s">
        <v>121</v>
      </c>
      <c r="G273" s="87">
        <v>9000.0</v>
      </c>
      <c r="H273" s="58">
        <v>1170000.0</v>
      </c>
      <c r="I273" s="59" t="s">
        <v>42</v>
      </c>
      <c r="J273" s="60">
        <v>640000.0</v>
      </c>
      <c r="K273" s="60" t="s">
        <v>42</v>
      </c>
      <c r="L273" s="58">
        <f t="shared" si="28"/>
        <v>530000</v>
      </c>
      <c r="M273" s="61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1"/>
      <c r="B274" s="17" t="s">
        <v>127</v>
      </c>
      <c r="C274" s="17" t="s">
        <v>65</v>
      </c>
      <c r="D274" s="17" t="s">
        <v>64</v>
      </c>
      <c r="E274" s="17" t="s">
        <v>123</v>
      </c>
      <c r="F274" s="17" t="s">
        <v>124</v>
      </c>
      <c r="G274" s="87">
        <v>9000.0</v>
      </c>
      <c r="H274" s="58">
        <v>1125000.0</v>
      </c>
      <c r="I274" s="59" t="s">
        <v>42</v>
      </c>
      <c r="J274" s="60">
        <v>640000.0</v>
      </c>
      <c r="K274" s="60" t="s">
        <v>42</v>
      </c>
      <c r="L274" s="58">
        <f t="shared" si="28"/>
        <v>485000</v>
      </c>
      <c r="M274" s="61">
        <v>515000.0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1"/>
      <c r="B275" s="17" t="s">
        <v>128</v>
      </c>
      <c r="C275" s="17" t="s">
        <v>65</v>
      </c>
      <c r="D275" s="17" t="s">
        <v>64</v>
      </c>
      <c r="E275" s="17" t="s">
        <v>40</v>
      </c>
      <c r="F275" s="17" t="s">
        <v>55</v>
      </c>
      <c r="G275" s="87">
        <v>9000.0</v>
      </c>
      <c r="H275" s="58">
        <v>1305000.0</v>
      </c>
      <c r="I275" s="59" t="s">
        <v>44</v>
      </c>
      <c r="J275" s="60">
        <v>725000.0</v>
      </c>
      <c r="K275" s="58" t="s">
        <v>42</v>
      </c>
      <c r="L275" s="58">
        <f t="shared" si="28"/>
        <v>580000</v>
      </c>
      <c r="M275" s="61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1"/>
      <c r="B276" s="17" t="s">
        <v>129</v>
      </c>
      <c r="C276" s="17" t="s">
        <v>65</v>
      </c>
      <c r="D276" s="17" t="s">
        <v>64</v>
      </c>
      <c r="E276" s="17" t="s">
        <v>37</v>
      </c>
      <c r="F276" s="17" t="s">
        <v>121</v>
      </c>
      <c r="G276" s="87">
        <v>9000.0</v>
      </c>
      <c r="H276" s="58">
        <v>1165000.0</v>
      </c>
      <c r="I276" s="59" t="s">
        <v>42</v>
      </c>
      <c r="J276" s="60">
        <v>640000.0</v>
      </c>
      <c r="K276" s="58" t="s">
        <v>42</v>
      </c>
      <c r="L276" s="58">
        <f t="shared" si="28"/>
        <v>525000</v>
      </c>
      <c r="M276" s="61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1"/>
      <c r="B277" s="17" t="s">
        <v>130</v>
      </c>
      <c r="C277" s="17" t="s">
        <v>65</v>
      </c>
      <c r="D277" s="17" t="s">
        <v>64</v>
      </c>
      <c r="E277" s="17" t="s">
        <v>40</v>
      </c>
      <c r="F277" s="17" t="s">
        <v>111</v>
      </c>
      <c r="G277" s="87">
        <v>10000.0</v>
      </c>
      <c r="H277" s="58">
        <v>1100000.0</v>
      </c>
      <c r="I277" s="59" t="s">
        <v>42</v>
      </c>
      <c r="J277" s="60">
        <v>600000.0</v>
      </c>
      <c r="K277" s="58" t="s">
        <v>42</v>
      </c>
      <c r="L277" s="58">
        <f t="shared" si="28"/>
        <v>500000</v>
      </c>
      <c r="M277" s="61">
        <v>307000.0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1"/>
      <c r="B278" s="17" t="s">
        <v>131</v>
      </c>
      <c r="C278" s="17" t="s">
        <v>65</v>
      </c>
      <c r="D278" s="17" t="s">
        <v>64</v>
      </c>
      <c r="E278" s="17" t="s">
        <v>83</v>
      </c>
      <c r="F278" s="17" t="s">
        <v>104</v>
      </c>
      <c r="G278" s="87">
        <v>9000.0</v>
      </c>
      <c r="H278" s="58">
        <v>1125000.0</v>
      </c>
      <c r="I278" s="59" t="s">
        <v>42</v>
      </c>
      <c r="J278" s="60">
        <v>640000.0</v>
      </c>
      <c r="K278" s="58" t="s">
        <v>42</v>
      </c>
      <c r="L278" s="58">
        <f t="shared" si="28"/>
        <v>485000</v>
      </c>
      <c r="M278" s="61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1"/>
      <c r="B279" s="7"/>
      <c r="C279" s="17"/>
      <c r="D279" s="17"/>
      <c r="E279" s="17"/>
      <c r="F279" s="17"/>
      <c r="G279" s="57"/>
      <c r="H279" s="58"/>
      <c r="I279" s="59"/>
      <c r="J279" s="60"/>
      <c r="K279" s="60"/>
      <c r="L279" s="52">
        <f t="shared" ref="L279:M279" si="29">SUM(L261:L278)</f>
        <v>8477000</v>
      </c>
      <c r="M279" s="30">
        <f t="shared" si="29"/>
        <v>1322000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1"/>
      <c r="B280" s="7"/>
      <c r="C280" s="17"/>
      <c r="D280" s="17"/>
      <c r="E280" s="17"/>
      <c r="F280" s="17"/>
      <c r="G280" s="57"/>
      <c r="H280" s="58"/>
      <c r="I280" s="59"/>
      <c r="J280" s="60"/>
      <c r="K280" s="60"/>
      <c r="L280" s="33">
        <f>L279-M279</f>
        <v>7155000</v>
      </c>
      <c r="M280" s="61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93"/>
      <c r="B281" s="94"/>
      <c r="C281" s="17"/>
      <c r="D281" s="7"/>
      <c r="E281" s="7"/>
      <c r="F281" s="7"/>
      <c r="G281" s="95"/>
      <c r="H281" s="7"/>
      <c r="I281" s="94"/>
      <c r="J281" s="7"/>
      <c r="K281" s="7"/>
      <c r="L281" s="17"/>
      <c r="M281" s="61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1"/>
      <c r="B282" s="7"/>
      <c r="C282" s="17"/>
      <c r="D282" s="7"/>
      <c r="E282" s="7"/>
      <c r="F282" s="7"/>
      <c r="G282" s="95"/>
      <c r="H282" s="7"/>
      <c r="I282" s="94"/>
      <c r="J282" s="7"/>
      <c r="K282" s="7"/>
      <c r="L282" s="17"/>
      <c r="M282" s="61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2.25" customHeight="1">
      <c r="A283" s="1"/>
      <c r="B283" s="89" t="s">
        <v>0</v>
      </c>
      <c r="C283" s="89" t="s">
        <v>1</v>
      </c>
      <c r="D283" s="89" t="s">
        <v>2</v>
      </c>
      <c r="E283" s="90" t="s">
        <v>3</v>
      </c>
      <c r="F283" s="89" t="s">
        <v>4</v>
      </c>
      <c r="G283" s="91" t="s">
        <v>5</v>
      </c>
      <c r="H283" s="92" t="s">
        <v>6</v>
      </c>
      <c r="I283" s="92" t="s">
        <v>39</v>
      </c>
      <c r="J283" s="91" t="s">
        <v>7</v>
      </c>
      <c r="K283" s="92" t="s">
        <v>39</v>
      </c>
      <c r="L283" s="92" t="s">
        <v>39</v>
      </c>
      <c r="M283" s="92" t="s">
        <v>9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5"/>
      <c r="B284" s="86">
        <v>45446.0</v>
      </c>
      <c r="C284" s="17" t="s">
        <v>65</v>
      </c>
      <c r="D284" s="17" t="s">
        <v>64</v>
      </c>
      <c r="E284" s="17" t="s">
        <v>37</v>
      </c>
      <c r="F284" s="17" t="s">
        <v>105</v>
      </c>
      <c r="G284" s="87">
        <v>10000.0</v>
      </c>
      <c r="H284" s="58">
        <v>750000.0</v>
      </c>
      <c r="I284" s="59" t="s">
        <v>42</v>
      </c>
      <c r="J284" s="60">
        <v>375000.0</v>
      </c>
      <c r="K284" s="58" t="s">
        <v>42</v>
      </c>
      <c r="L284" s="58">
        <f t="shared" ref="L284:L308" si="30">H284-J284</f>
        <v>375000</v>
      </c>
      <c r="M284" s="61">
        <v>331000.0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5"/>
      <c r="B285" s="86">
        <v>45446.0</v>
      </c>
      <c r="C285" s="17" t="s">
        <v>65</v>
      </c>
      <c r="D285" s="17" t="s">
        <v>64</v>
      </c>
      <c r="E285" s="17" t="s">
        <v>30</v>
      </c>
      <c r="F285" s="17" t="s">
        <v>55</v>
      </c>
      <c r="G285" s="87">
        <v>9000.0</v>
      </c>
      <c r="H285" s="58">
        <v>1305000.0</v>
      </c>
      <c r="I285" s="59" t="s">
        <v>44</v>
      </c>
      <c r="J285" s="60">
        <v>725000.0</v>
      </c>
      <c r="K285" s="58" t="s">
        <v>42</v>
      </c>
      <c r="L285" s="58">
        <f t="shared" si="30"/>
        <v>580000</v>
      </c>
      <c r="M285" s="61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5"/>
      <c r="B286" s="86">
        <v>45447.0</v>
      </c>
      <c r="C286" s="17" t="s">
        <v>65</v>
      </c>
      <c r="D286" s="17" t="s">
        <v>64</v>
      </c>
      <c r="E286" s="17" t="s">
        <v>37</v>
      </c>
      <c r="F286" s="17" t="s">
        <v>103</v>
      </c>
      <c r="G286" s="87">
        <v>9000.0</v>
      </c>
      <c r="H286" s="58">
        <v>675000.0</v>
      </c>
      <c r="I286" s="59" t="s">
        <v>44</v>
      </c>
      <c r="J286" s="60">
        <v>375000.0</v>
      </c>
      <c r="K286" s="58" t="s">
        <v>42</v>
      </c>
      <c r="L286" s="58">
        <f t="shared" si="30"/>
        <v>300000</v>
      </c>
      <c r="M286" s="61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5"/>
      <c r="B287" s="86">
        <v>45448.0</v>
      </c>
      <c r="C287" s="17" t="s">
        <v>65</v>
      </c>
      <c r="D287" s="17" t="s">
        <v>64</v>
      </c>
      <c r="E287" s="17" t="s">
        <v>30</v>
      </c>
      <c r="F287" s="17" t="s">
        <v>59</v>
      </c>
      <c r="G287" s="87">
        <v>9000.0</v>
      </c>
      <c r="H287" s="58">
        <v>720000.0</v>
      </c>
      <c r="I287" s="59" t="s">
        <v>44</v>
      </c>
      <c r="J287" s="60">
        <v>350000.0</v>
      </c>
      <c r="K287" s="58" t="s">
        <v>42</v>
      </c>
      <c r="L287" s="58">
        <f t="shared" si="30"/>
        <v>370000</v>
      </c>
      <c r="M287" s="61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5"/>
      <c r="B288" s="86">
        <v>45449.0</v>
      </c>
      <c r="C288" s="17" t="s">
        <v>65</v>
      </c>
      <c r="D288" s="17" t="s">
        <v>64</v>
      </c>
      <c r="E288" s="17" t="s">
        <v>37</v>
      </c>
      <c r="F288" s="17" t="s">
        <v>87</v>
      </c>
      <c r="G288" s="87">
        <v>9000.0</v>
      </c>
      <c r="H288" s="58">
        <v>1400000.0</v>
      </c>
      <c r="I288" s="59" t="s">
        <v>42</v>
      </c>
      <c r="J288" s="60">
        <v>900000.0</v>
      </c>
      <c r="K288" s="58" t="s">
        <v>42</v>
      </c>
      <c r="L288" s="58">
        <f t="shared" si="30"/>
        <v>500000</v>
      </c>
      <c r="M288" s="61">
        <v>1600000.0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5"/>
      <c r="B289" s="86">
        <v>45450.0</v>
      </c>
      <c r="C289" s="17" t="s">
        <v>65</v>
      </c>
      <c r="D289" s="17" t="s">
        <v>64</v>
      </c>
      <c r="E289" s="17" t="s">
        <v>81</v>
      </c>
      <c r="F289" s="17" t="s">
        <v>107</v>
      </c>
      <c r="G289" s="87">
        <v>9000.0</v>
      </c>
      <c r="H289" s="58">
        <v>1125000.0</v>
      </c>
      <c r="I289" s="59" t="s">
        <v>42</v>
      </c>
      <c r="J289" s="60">
        <v>640000.0</v>
      </c>
      <c r="K289" s="58" t="s">
        <v>42</v>
      </c>
      <c r="L289" s="58">
        <f t="shared" si="30"/>
        <v>485000</v>
      </c>
      <c r="M289" s="61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5"/>
      <c r="B290" s="86">
        <v>45453.0</v>
      </c>
      <c r="C290" s="17" t="s">
        <v>65</v>
      </c>
      <c r="D290" s="17" t="s">
        <v>64</v>
      </c>
      <c r="E290" s="17" t="s">
        <v>37</v>
      </c>
      <c r="F290" s="17" t="s">
        <v>105</v>
      </c>
      <c r="G290" s="87">
        <v>9000.0</v>
      </c>
      <c r="H290" s="58">
        <v>675000.0</v>
      </c>
      <c r="I290" s="59" t="s">
        <v>42</v>
      </c>
      <c r="J290" s="60">
        <v>350000.0</v>
      </c>
      <c r="K290" s="58" t="s">
        <v>42</v>
      </c>
      <c r="L290" s="58">
        <f t="shared" si="30"/>
        <v>325000</v>
      </c>
      <c r="M290" s="61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5"/>
      <c r="B291" s="86">
        <v>45455.0</v>
      </c>
      <c r="C291" s="17" t="s">
        <v>65</v>
      </c>
      <c r="D291" s="17" t="s">
        <v>64</v>
      </c>
      <c r="E291" s="17" t="s">
        <v>40</v>
      </c>
      <c r="F291" s="17" t="s">
        <v>132</v>
      </c>
      <c r="G291" s="87">
        <v>9000.0</v>
      </c>
      <c r="H291" s="58">
        <v>975000.0</v>
      </c>
      <c r="I291" s="59" t="s">
        <v>42</v>
      </c>
      <c r="J291" s="60">
        <v>500000.0</v>
      </c>
      <c r="K291" s="58" t="s">
        <v>42</v>
      </c>
      <c r="L291" s="58">
        <f t="shared" si="30"/>
        <v>475000</v>
      </c>
      <c r="M291" s="61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5"/>
      <c r="B292" s="86">
        <v>45456.0</v>
      </c>
      <c r="C292" s="17" t="s">
        <v>65</v>
      </c>
      <c r="D292" s="17" t="s">
        <v>64</v>
      </c>
      <c r="E292" s="17" t="s">
        <v>30</v>
      </c>
      <c r="F292" s="17" t="s">
        <v>105</v>
      </c>
      <c r="G292" s="87">
        <v>9000.0</v>
      </c>
      <c r="H292" s="58">
        <v>675000.0</v>
      </c>
      <c r="I292" s="59" t="s">
        <v>42</v>
      </c>
      <c r="J292" s="60">
        <v>350000.0</v>
      </c>
      <c r="K292" s="58" t="s">
        <v>42</v>
      </c>
      <c r="L292" s="58">
        <f t="shared" si="30"/>
        <v>325000</v>
      </c>
      <c r="M292" s="61">
        <v>85000.0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5"/>
      <c r="B293" s="86">
        <v>45456.0</v>
      </c>
      <c r="C293" s="17" t="s">
        <v>65</v>
      </c>
      <c r="D293" s="17" t="s">
        <v>64</v>
      </c>
      <c r="E293" s="17" t="s">
        <v>96</v>
      </c>
      <c r="F293" s="17" t="s">
        <v>133</v>
      </c>
      <c r="G293" s="87">
        <v>10000.0</v>
      </c>
      <c r="H293" s="58">
        <v>1100000.0</v>
      </c>
      <c r="I293" s="59" t="s">
        <v>44</v>
      </c>
      <c r="J293" s="60">
        <v>600000.0</v>
      </c>
      <c r="K293" s="58" t="s">
        <v>42</v>
      </c>
      <c r="L293" s="58">
        <f t="shared" si="30"/>
        <v>500000</v>
      </c>
      <c r="M293" s="61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5"/>
      <c r="B294" s="86">
        <v>45457.0</v>
      </c>
      <c r="C294" s="17" t="s">
        <v>65</v>
      </c>
      <c r="D294" s="17" t="s">
        <v>64</v>
      </c>
      <c r="E294" s="17" t="s">
        <v>37</v>
      </c>
      <c r="F294" s="17" t="s">
        <v>105</v>
      </c>
      <c r="G294" s="87">
        <v>10000.0</v>
      </c>
      <c r="H294" s="58">
        <v>750000.0</v>
      </c>
      <c r="I294" s="59" t="s">
        <v>42</v>
      </c>
      <c r="J294" s="60">
        <v>375000.0</v>
      </c>
      <c r="K294" s="58" t="s">
        <v>42</v>
      </c>
      <c r="L294" s="58">
        <f t="shared" si="30"/>
        <v>375000</v>
      </c>
      <c r="M294" s="61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85"/>
      <c r="B295" s="86">
        <v>45457.0</v>
      </c>
      <c r="C295" s="17" t="s">
        <v>134</v>
      </c>
      <c r="D295" s="17" t="s">
        <v>64</v>
      </c>
      <c r="E295" s="17" t="s">
        <v>96</v>
      </c>
      <c r="F295" s="17" t="s">
        <v>135</v>
      </c>
      <c r="G295" s="87">
        <v>9000.0</v>
      </c>
      <c r="H295" s="58">
        <v>700000.0</v>
      </c>
      <c r="I295" s="59" t="s">
        <v>42</v>
      </c>
      <c r="J295" s="60">
        <v>425000.0</v>
      </c>
      <c r="K295" s="58" t="s">
        <v>42</v>
      </c>
      <c r="L295" s="58">
        <f t="shared" si="30"/>
        <v>275000</v>
      </c>
      <c r="M295" s="61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5"/>
      <c r="B296" s="86">
        <v>45458.0</v>
      </c>
      <c r="C296" s="17" t="s">
        <v>65</v>
      </c>
      <c r="D296" s="17" t="s">
        <v>136</v>
      </c>
      <c r="E296" s="17" t="s">
        <v>40</v>
      </c>
      <c r="F296" s="17" t="s">
        <v>87</v>
      </c>
      <c r="G296" s="87">
        <v>9000.0</v>
      </c>
      <c r="H296" s="58">
        <v>1400000.0</v>
      </c>
      <c r="I296" s="59" t="s">
        <v>42</v>
      </c>
      <c r="J296" s="60">
        <v>900000.0</v>
      </c>
      <c r="K296" s="58" t="s">
        <v>42</v>
      </c>
      <c r="L296" s="58">
        <f t="shared" si="30"/>
        <v>500000</v>
      </c>
      <c r="M296" s="61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5"/>
      <c r="B297" s="86">
        <v>45461.0</v>
      </c>
      <c r="C297" s="17" t="s">
        <v>65</v>
      </c>
      <c r="D297" s="17" t="s">
        <v>64</v>
      </c>
      <c r="E297" s="17" t="s">
        <v>30</v>
      </c>
      <c r="F297" s="17" t="s">
        <v>105</v>
      </c>
      <c r="G297" s="87">
        <v>9000.0</v>
      </c>
      <c r="H297" s="58">
        <v>675000.0</v>
      </c>
      <c r="I297" s="59" t="s">
        <v>42</v>
      </c>
      <c r="J297" s="60">
        <v>350000.0</v>
      </c>
      <c r="K297" s="58" t="s">
        <v>42</v>
      </c>
      <c r="L297" s="58">
        <f t="shared" si="30"/>
        <v>325000</v>
      </c>
      <c r="M297" s="61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5"/>
      <c r="B298" s="86">
        <v>45461.0</v>
      </c>
      <c r="C298" s="17" t="s">
        <v>65</v>
      </c>
      <c r="D298" s="17" t="s">
        <v>64</v>
      </c>
      <c r="E298" s="17" t="s">
        <v>37</v>
      </c>
      <c r="F298" s="17" t="s">
        <v>43</v>
      </c>
      <c r="G298" s="87">
        <v>9000.0</v>
      </c>
      <c r="H298" s="58">
        <v>1350000.0</v>
      </c>
      <c r="I298" s="59" t="s">
        <v>44</v>
      </c>
      <c r="J298" s="60">
        <v>800000.0</v>
      </c>
      <c r="K298" s="58" t="s">
        <v>42</v>
      </c>
      <c r="L298" s="58">
        <f t="shared" si="30"/>
        <v>550000</v>
      </c>
      <c r="M298" s="61">
        <v>170000.0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5"/>
      <c r="B299" s="86">
        <v>45463.0</v>
      </c>
      <c r="C299" s="17" t="s">
        <v>65</v>
      </c>
      <c r="D299" s="17" t="s">
        <v>64</v>
      </c>
      <c r="E299" s="17" t="s">
        <v>40</v>
      </c>
      <c r="F299" s="17" t="s">
        <v>105</v>
      </c>
      <c r="G299" s="87">
        <v>10000.0</v>
      </c>
      <c r="H299" s="58">
        <v>750000.0</v>
      </c>
      <c r="I299" s="59" t="s">
        <v>42</v>
      </c>
      <c r="J299" s="60">
        <v>375000.0</v>
      </c>
      <c r="K299" s="58" t="s">
        <v>42</v>
      </c>
      <c r="L299" s="58">
        <f t="shared" si="30"/>
        <v>375000</v>
      </c>
      <c r="M299" s="61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5"/>
      <c r="B300" s="86">
        <v>45463.0</v>
      </c>
      <c r="C300" s="17" t="s">
        <v>65</v>
      </c>
      <c r="D300" s="17" t="s">
        <v>64</v>
      </c>
      <c r="E300" s="17" t="s">
        <v>96</v>
      </c>
      <c r="F300" s="17" t="s">
        <v>133</v>
      </c>
      <c r="G300" s="87">
        <v>10000.0</v>
      </c>
      <c r="H300" s="58">
        <v>1100000.0</v>
      </c>
      <c r="I300" s="59" t="s">
        <v>44</v>
      </c>
      <c r="J300" s="60">
        <v>600000.0</v>
      </c>
      <c r="K300" s="58" t="s">
        <v>42</v>
      </c>
      <c r="L300" s="58">
        <f t="shared" si="30"/>
        <v>500000</v>
      </c>
      <c r="M300" s="61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5"/>
      <c r="B301" s="86">
        <v>45464.0</v>
      </c>
      <c r="C301" s="17" t="s">
        <v>65</v>
      </c>
      <c r="D301" s="17" t="s">
        <v>64</v>
      </c>
      <c r="E301" s="17" t="s">
        <v>96</v>
      </c>
      <c r="F301" s="17" t="s">
        <v>103</v>
      </c>
      <c r="G301" s="87">
        <v>9000.0</v>
      </c>
      <c r="H301" s="58">
        <v>675000.0</v>
      </c>
      <c r="I301" s="59" t="s">
        <v>44</v>
      </c>
      <c r="J301" s="60">
        <v>375000.0</v>
      </c>
      <c r="K301" s="58" t="s">
        <v>42</v>
      </c>
      <c r="L301" s="58">
        <f t="shared" si="30"/>
        <v>300000</v>
      </c>
      <c r="M301" s="61">
        <v>250000.0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5"/>
      <c r="B302" s="86">
        <v>45465.0</v>
      </c>
      <c r="C302" s="17" t="s">
        <v>65</v>
      </c>
      <c r="D302" s="17" t="s">
        <v>64</v>
      </c>
      <c r="E302" s="17" t="s">
        <v>96</v>
      </c>
      <c r="F302" s="17" t="s">
        <v>137</v>
      </c>
      <c r="G302" s="87">
        <v>9000.0</v>
      </c>
      <c r="H302" s="58">
        <v>1035000.0</v>
      </c>
      <c r="I302" s="59" t="s">
        <v>42</v>
      </c>
      <c r="J302" s="60">
        <v>600000.0</v>
      </c>
      <c r="K302" s="58" t="s">
        <v>42</v>
      </c>
      <c r="L302" s="58">
        <f t="shared" si="30"/>
        <v>435000</v>
      </c>
      <c r="M302" s="61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5"/>
      <c r="B303" s="86">
        <v>45467.0</v>
      </c>
      <c r="C303" s="17" t="s">
        <v>65</v>
      </c>
      <c r="D303" s="17" t="s">
        <v>64</v>
      </c>
      <c r="E303" s="17" t="s">
        <v>37</v>
      </c>
      <c r="F303" s="17" t="s">
        <v>43</v>
      </c>
      <c r="G303" s="87">
        <v>10000.0</v>
      </c>
      <c r="H303" s="58">
        <v>1500000.0</v>
      </c>
      <c r="I303" s="59" t="s">
        <v>44</v>
      </c>
      <c r="J303" s="60">
        <v>850000.0</v>
      </c>
      <c r="K303" s="58" t="s">
        <v>42</v>
      </c>
      <c r="L303" s="58">
        <f t="shared" si="30"/>
        <v>650000</v>
      </c>
      <c r="M303" s="61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5"/>
      <c r="B304" s="86">
        <v>45468.0</v>
      </c>
      <c r="C304" s="17" t="s">
        <v>65</v>
      </c>
      <c r="D304" s="17" t="s">
        <v>64</v>
      </c>
      <c r="E304" s="17" t="s">
        <v>37</v>
      </c>
      <c r="F304" s="17" t="s">
        <v>87</v>
      </c>
      <c r="G304" s="87">
        <v>10000.0</v>
      </c>
      <c r="H304" s="58">
        <v>1400000.0</v>
      </c>
      <c r="I304" s="59" t="s">
        <v>42</v>
      </c>
      <c r="J304" s="60">
        <v>975000.0</v>
      </c>
      <c r="K304" s="58" t="s">
        <v>42</v>
      </c>
      <c r="L304" s="58">
        <f t="shared" si="30"/>
        <v>425000</v>
      </c>
      <c r="M304" s="61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5"/>
      <c r="B305" s="86">
        <v>45469.0</v>
      </c>
      <c r="C305" s="17" t="s">
        <v>65</v>
      </c>
      <c r="D305" s="17" t="s">
        <v>64</v>
      </c>
      <c r="E305" s="17" t="s">
        <v>37</v>
      </c>
      <c r="F305" s="17" t="s">
        <v>43</v>
      </c>
      <c r="G305" s="87">
        <v>10000.0</v>
      </c>
      <c r="H305" s="58">
        <v>1500000.0</v>
      </c>
      <c r="I305" s="59" t="s">
        <v>44</v>
      </c>
      <c r="J305" s="60">
        <v>850000.0</v>
      </c>
      <c r="K305" s="58" t="s">
        <v>42</v>
      </c>
      <c r="L305" s="58">
        <f t="shared" si="30"/>
        <v>650000</v>
      </c>
      <c r="M305" s="61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5"/>
      <c r="B306" s="86">
        <v>45470.0</v>
      </c>
      <c r="C306" s="17" t="s">
        <v>65</v>
      </c>
      <c r="D306" s="17" t="s">
        <v>64</v>
      </c>
      <c r="E306" s="17" t="s">
        <v>40</v>
      </c>
      <c r="F306" s="17" t="s">
        <v>87</v>
      </c>
      <c r="G306" s="87">
        <v>9000.0</v>
      </c>
      <c r="H306" s="58">
        <v>1400000.0</v>
      </c>
      <c r="I306" s="59" t="s">
        <v>42</v>
      </c>
      <c r="J306" s="60">
        <v>900000.0</v>
      </c>
      <c r="K306" s="58" t="s">
        <v>42</v>
      </c>
      <c r="L306" s="58">
        <f t="shared" si="30"/>
        <v>500000</v>
      </c>
      <c r="M306" s="61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5"/>
      <c r="B307" s="86">
        <v>45471.0</v>
      </c>
      <c r="C307" s="17" t="s">
        <v>65</v>
      </c>
      <c r="D307" s="17" t="s">
        <v>64</v>
      </c>
      <c r="E307" s="17" t="s">
        <v>37</v>
      </c>
      <c r="F307" s="17" t="s">
        <v>43</v>
      </c>
      <c r="G307" s="87">
        <v>10000.0</v>
      </c>
      <c r="H307" s="58">
        <v>1500000.0</v>
      </c>
      <c r="I307" s="59" t="s">
        <v>44</v>
      </c>
      <c r="J307" s="60">
        <v>850000.0</v>
      </c>
      <c r="K307" s="58" t="s">
        <v>42</v>
      </c>
      <c r="L307" s="58">
        <f t="shared" si="30"/>
        <v>650000</v>
      </c>
      <c r="M307" s="61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5"/>
      <c r="B308" s="86">
        <v>45472.0</v>
      </c>
      <c r="C308" s="17" t="s">
        <v>65</v>
      </c>
      <c r="D308" s="17" t="s">
        <v>64</v>
      </c>
      <c r="E308" s="17" t="s">
        <v>37</v>
      </c>
      <c r="F308" s="17" t="s">
        <v>138</v>
      </c>
      <c r="G308" s="87">
        <v>10000.0</v>
      </c>
      <c r="H308" s="58">
        <v>850000.0</v>
      </c>
      <c r="I308" s="59" t="s">
        <v>44</v>
      </c>
      <c r="J308" s="60">
        <v>500000.0</v>
      </c>
      <c r="K308" s="58" t="s">
        <v>42</v>
      </c>
      <c r="L308" s="58">
        <f t="shared" si="30"/>
        <v>350000</v>
      </c>
      <c r="M308" s="61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1"/>
      <c r="B309" s="7"/>
      <c r="C309" s="17"/>
      <c r="D309" s="17"/>
      <c r="E309" s="17"/>
      <c r="F309" s="17"/>
      <c r="G309" s="57"/>
      <c r="H309" s="58"/>
      <c r="I309" s="96"/>
      <c r="J309" s="60"/>
      <c r="K309" s="26"/>
      <c r="L309" s="52">
        <f t="shared" ref="L309:M309" si="31">SUM(L284:L308)</f>
        <v>11095000</v>
      </c>
      <c r="M309" s="30">
        <f t="shared" si="31"/>
        <v>2436000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1"/>
      <c r="B310" s="7"/>
      <c r="C310" s="17"/>
      <c r="D310" s="17"/>
      <c r="E310" s="17"/>
      <c r="F310" s="17"/>
      <c r="G310" s="57"/>
      <c r="H310" s="58"/>
      <c r="I310" s="96"/>
      <c r="J310" s="60"/>
      <c r="K310" s="26"/>
      <c r="L310" s="33">
        <f>L309-M309</f>
        <v>8659000</v>
      </c>
      <c r="M310" s="61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1"/>
      <c r="B311" s="7"/>
      <c r="C311" s="17"/>
      <c r="D311" s="17"/>
      <c r="E311" s="17"/>
      <c r="F311" s="17"/>
      <c r="G311" s="57"/>
      <c r="H311" s="58"/>
      <c r="I311" s="59"/>
      <c r="J311" s="60"/>
      <c r="K311" s="60"/>
      <c r="L311" s="17"/>
      <c r="M311" s="61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6.25" customHeight="1">
      <c r="A312" s="1"/>
      <c r="B312" s="89" t="s">
        <v>0</v>
      </c>
      <c r="C312" s="89" t="s">
        <v>1</v>
      </c>
      <c r="D312" s="89" t="s">
        <v>2</v>
      </c>
      <c r="E312" s="90" t="s">
        <v>3</v>
      </c>
      <c r="F312" s="89" t="s">
        <v>4</v>
      </c>
      <c r="G312" s="91" t="s">
        <v>5</v>
      </c>
      <c r="H312" s="92" t="s">
        <v>6</v>
      </c>
      <c r="I312" s="92" t="s">
        <v>39</v>
      </c>
      <c r="J312" s="91" t="s">
        <v>7</v>
      </c>
      <c r="K312" s="91" t="s">
        <v>39</v>
      </c>
      <c r="L312" s="92" t="s">
        <v>8</v>
      </c>
      <c r="M312" s="92" t="s">
        <v>9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1"/>
      <c r="B313" s="17" t="s">
        <v>139</v>
      </c>
      <c r="C313" s="17" t="s">
        <v>65</v>
      </c>
      <c r="D313" s="17" t="s">
        <v>64</v>
      </c>
      <c r="E313" s="17" t="s">
        <v>40</v>
      </c>
      <c r="F313" s="17" t="s">
        <v>66</v>
      </c>
      <c r="G313" s="87">
        <v>10000.0</v>
      </c>
      <c r="H313" s="58">
        <v>750000.0</v>
      </c>
      <c r="I313" s="59" t="s">
        <v>42</v>
      </c>
      <c r="J313" s="60">
        <v>375000.0</v>
      </c>
      <c r="K313" s="60" t="s">
        <v>42</v>
      </c>
      <c r="L313" s="58">
        <f t="shared" ref="L313:L323" si="32">H313-J313</f>
        <v>375000</v>
      </c>
      <c r="M313" s="61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1"/>
      <c r="B314" s="17" t="s">
        <v>140</v>
      </c>
      <c r="C314" s="17" t="s">
        <v>65</v>
      </c>
      <c r="D314" s="17" t="s">
        <v>64</v>
      </c>
      <c r="E314" s="17" t="s">
        <v>92</v>
      </c>
      <c r="F314" s="17" t="s">
        <v>66</v>
      </c>
      <c r="G314" s="87">
        <v>11000.0</v>
      </c>
      <c r="H314" s="58">
        <v>825000.0</v>
      </c>
      <c r="I314" s="59" t="s">
        <v>42</v>
      </c>
      <c r="J314" s="60">
        <v>400000.0</v>
      </c>
      <c r="K314" s="60" t="s">
        <v>42</v>
      </c>
      <c r="L314" s="58">
        <f t="shared" si="32"/>
        <v>425000</v>
      </c>
      <c r="M314" s="61">
        <v>260000.0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1"/>
      <c r="B315" s="17" t="s">
        <v>141</v>
      </c>
      <c r="C315" s="17" t="s">
        <v>65</v>
      </c>
      <c r="D315" s="17" t="s">
        <v>64</v>
      </c>
      <c r="E315" s="17" t="s">
        <v>106</v>
      </c>
      <c r="F315" s="17" t="s">
        <v>142</v>
      </c>
      <c r="G315" s="57"/>
      <c r="H315" s="58">
        <v>1500000.0</v>
      </c>
      <c r="I315" s="59" t="s">
        <v>42</v>
      </c>
      <c r="J315" s="60">
        <v>800000.0</v>
      </c>
      <c r="K315" s="60" t="s">
        <v>42</v>
      </c>
      <c r="L315" s="58">
        <f t="shared" si="32"/>
        <v>700000</v>
      </c>
      <c r="M315" s="61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1"/>
      <c r="B316" s="17" t="s">
        <v>143</v>
      </c>
      <c r="C316" s="17" t="s">
        <v>65</v>
      </c>
      <c r="D316" s="17" t="s">
        <v>64</v>
      </c>
      <c r="E316" s="17" t="s">
        <v>92</v>
      </c>
      <c r="F316" s="17" t="s">
        <v>43</v>
      </c>
      <c r="G316" s="87">
        <v>10000.0</v>
      </c>
      <c r="H316" s="58">
        <v>1500000.0</v>
      </c>
      <c r="I316" s="59" t="s">
        <v>44</v>
      </c>
      <c r="J316" s="60">
        <v>850000.0</v>
      </c>
      <c r="K316" s="58" t="s">
        <v>42</v>
      </c>
      <c r="L316" s="58">
        <f t="shared" si="32"/>
        <v>650000</v>
      </c>
      <c r="M316" s="61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1"/>
      <c r="B317" s="17" t="s">
        <v>144</v>
      </c>
      <c r="C317" s="17" t="s">
        <v>65</v>
      </c>
      <c r="D317" s="17" t="s">
        <v>64</v>
      </c>
      <c r="E317" s="17" t="s">
        <v>40</v>
      </c>
      <c r="F317" s="17" t="s">
        <v>145</v>
      </c>
      <c r="G317" s="87">
        <v>9000.0</v>
      </c>
      <c r="H317" s="58">
        <v>700000.0</v>
      </c>
      <c r="I317" s="59" t="s">
        <v>44</v>
      </c>
      <c r="J317" s="60">
        <v>400000.0</v>
      </c>
      <c r="K317" s="58" t="s">
        <v>42</v>
      </c>
      <c r="L317" s="58">
        <f t="shared" si="32"/>
        <v>300000</v>
      </c>
      <c r="M317" s="61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1"/>
      <c r="B318" s="17" t="s">
        <v>146</v>
      </c>
      <c r="C318" s="17" t="s">
        <v>65</v>
      </c>
      <c r="D318" s="17" t="s">
        <v>64</v>
      </c>
      <c r="E318" s="17" t="s">
        <v>40</v>
      </c>
      <c r="F318" s="17" t="s">
        <v>66</v>
      </c>
      <c r="G318" s="87">
        <v>10000.0</v>
      </c>
      <c r="H318" s="58">
        <v>750000.0</v>
      </c>
      <c r="I318" s="97" t="s">
        <v>42</v>
      </c>
      <c r="J318" s="60">
        <v>375000.0</v>
      </c>
      <c r="K318" s="58" t="s">
        <v>42</v>
      </c>
      <c r="L318" s="58">
        <f t="shared" si="32"/>
        <v>375000</v>
      </c>
      <c r="M318" s="61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1"/>
      <c r="B319" s="17" t="s">
        <v>146</v>
      </c>
      <c r="C319" s="17" t="s">
        <v>65</v>
      </c>
      <c r="D319" s="17" t="s">
        <v>64</v>
      </c>
      <c r="E319" s="17" t="s">
        <v>71</v>
      </c>
      <c r="F319" s="17" t="s">
        <v>103</v>
      </c>
      <c r="G319" s="87">
        <v>9000.0</v>
      </c>
      <c r="H319" s="58">
        <v>675000.0</v>
      </c>
      <c r="I319" s="97" t="s">
        <v>42</v>
      </c>
      <c r="J319" s="60">
        <v>375000.0</v>
      </c>
      <c r="K319" s="58" t="s">
        <v>42</v>
      </c>
      <c r="L319" s="58">
        <f t="shared" si="32"/>
        <v>300000</v>
      </c>
      <c r="M319" s="61">
        <v>400000.0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1"/>
      <c r="B320" s="17" t="s">
        <v>147</v>
      </c>
      <c r="C320" s="17" t="s">
        <v>65</v>
      </c>
      <c r="D320" s="17" t="s">
        <v>64</v>
      </c>
      <c r="E320" s="17" t="s">
        <v>92</v>
      </c>
      <c r="F320" s="17" t="s">
        <v>66</v>
      </c>
      <c r="G320" s="87">
        <v>9000.0</v>
      </c>
      <c r="H320" s="58">
        <v>675000.0</v>
      </c>
      <c r="I320" s="97" t="s">
        <v>42</v>
      </c>
      <c r="J320" s="60">
        <v>350000.0</v>
      </c>
      <c r="K320" s="58" t="s">
        <v>42</v>
      </c>
      <c r="L320" s="58">
        <f t="shared" si="32"/>
        <v>325000</v>
      </c>
      <c r="M320" s="61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1"/>
      <c r="B321" s="17" t="s">
        <v>147</v>
      </c>
      <c r="C321" s="17" t="s">
        <v>65</v>
      </c>
      <c r="D321" s="17" t="s">
        <v>64</v>
      </c>
      <c r="E321" s="17" t="s">
        <v>96</v>
      </c>
      <c r="F321" s="17" t="s">
        <v>148</v>
      </c>
      <c r="G321" s="87">
        <v>9000.0</v>
      </c>
      <c r="H321" s="58">
        <v>1300000.0</v>
      </c>
      <c r="I321" s="97" t="s">
        <v>42</v>
      </c>
      <c r="J321" s="60">
        <v>780000.0</v>
      </c>
      <c r="K321" s="58" t="s">
        <v>42</v>
      </c>
      <c r="L321" s="58">
        <f t="shared" si="32"/>
        <v>520000</v>
      </c>
      <c r="M321" s="61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1"/>
      <c r="B322" s="17" t="s">
        <v>149</v>
      </c>
      <c r="C322" s="17" t="s">
        <v>65</v>
      </c>
      <c r="D322" s="17" t="s">
        <v>64</v>
      </c>
      <c r="E322" s="17" t="s">
        <v>30</v>
      </c>
      <c r="F322" s="17" t="s">
        <v>66</v>
      </c>
      <c r="G322" s="87">
        <v>3750.0</v>
      </c>
      <c r="H322" s="58">
        <v>282000.0</v>
      </c>
      <c r="I322" s="97" t="s">
        <v>42</v>
      </c>
      <c r="J322" s="60">
        <v>142000.0</v>
      </c>
      <c r="K322" s="17" t="s">
        <v>42</v>
      </c>
      <c r="L322" s="58">
        <f t="shared" si="32"/>
        <v>140000</v>
      </c>
      <c r="M322" s="61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1"/>
      <c r="B323" s="17" t="s">
        <v>150</v>
      </c>
      <c r="C323" s="17" t="s">
        <v>65</v>
      </c>
      <c r="D323" s="17" t="s">
        <v>64</v>
      </c>
      <c r="E323" s="17" t="s">
        <v>96</v>
      </c>
      <c r="F323" s="17" t="s">
        <v>87</v>
      </c>
      <c r="G323" s="87">
        <v>9000.0</v>
      </c>
      <c r="H323" s="58">
        <v>1400000.0</v>
      </c>
      <c r="I323" s="97" t="s">
        <v>42</v>
      </c>
      <c r="J323" s="60">
        <v>900000.0</v>
      </c>
      <c r="K323" s="17" t="s">
        <v>42</v>
      </c>
      <c r="L323" s="58">
        <f t="shared" si="32"/>
        <v>500000</v>
      </c>
      <c r="M323" s="61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1"/>
      <c r="B324" s="17" t="s">
        <v>151</v>
      </c>
      <c r="C324" s="17" t="s">
        <v>65</v>
      </c>
      <c r="D324" s="17" t="s">
        <v>64</v>
      </c>
      <c r="E324" s="17" t="s">
        <v>152</v>
      </c>
      <c r="F324" s="17" t="s">
        <v>101</v>
      </c>
      <c r="G324" s="87"/>
      <c r="H324" s="58"/>
      <c r="I324" s="59"/>
      <c r="J324" s="60"/>
      <c r="K324" s="60"/>
      <c r="L324" s="58">
        <v>900000.0</v>
      </c>
      <c r="M324" s="61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1"/>
      <c r="B325" s="17" t="s">
        <v>153</v>
      </c>
      <c r="C325" s="17" t="s">
        <v>65</v>
      </c>
      <c r="D325" s="17" t="s">
        <v>64</v>
      </c>
      <c r="E325" s="17" t="s">
        <v>152</v>
      </c>
      <c r="F325" s="17" t="s">
        <v>101</v>
      </c>
      <c r="G325" s="87"/>
      <c r="H325" s="58"/>
      <c r="I325" s="59"/>
      <c r="J325" s="60"/>
      <c r="K325" s="60"/>
      <c r="L325" s="58">
        <v>900000.0</v>
      </c>
      <c r="M325" s="61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1"/>
      <c r="B326" s="17" t="s">
        <v>154</v>
      </c>
      <c r="C326" s="17" t="s">
        <v>65</v>
      </c>
      <c r="D326" s="17" t="s">
        <v>64</v>
      </c>
      <c r="E326" s="17" t="s">
        <v>40</v>
      </c>
      <c r="F326" s="17" t="s">
        <v>84</v>
      </c>
      <c r="G326" s="87">
        <v>9000.0</v>
      </c>
      <c r="H326" s="58">
        <v>1125000.0</v>
      </c>
      <c r="I326" s="97" t="s">
        <v>42</v>
      </c>
      <c r="J326" s="60">
        <v>640000.0</v>
      </c>
      <c r="K326" s="17" t="s">
        <v>42</v>
      </c>
      <c r="L326" s="58">
        <f t="shared" ref="L326:L336" si="33">H326-J326</f>
        <v>485000</v>
      </c>
      <c r="M326" s="61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1"/>
      <c r="B327" s="17" t="s">
        <v>155</v>
      </c>
      <c r="C327" s="17" t="s">
        <v>65</v>
      </c>
      <c r="D327" s="17" t="s">
        <v>64</v>
      </c>
      <c r="E327" s="17" t="s">
        <v>92</v>
      </c>
      <c r="F327" s="17" t="s">
        <v>43</v>
      </c>
      <c r="G327" s="87">
        <v>10000.0</v>
      </c>
      <c r="H327" s="58">
        <v>1500000.0</v>
      </c>
      <c r="I327" s="59" t="s">
        <v>44</v>
      </c>
      <c r="J327" s="60">
        <v>850000.0</v>
      </c>
      <c r="K327" s="17" t="s">
        <v>42</v>
      </c>
      <c r="L327" s="58">
        <f t="shared" si="33"/>
        <v>650000</v>
      </c>
      <c r="M327" s="61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1"/>
      <c r="B328" s="17" t="s">
        <v>156</v>
      </c>
      <c r="C328" s="17" t="s">
        <v>65</v>
      </c>
      <c r="D328" s="17" t="s">
        <v>64</v>
      </c>
      <c r="E328" s="17" t="s">
        <v>30</v>
      </c>
      <c r="F328" s="17" t="s">
        <v>157</v>
      </c>
      <c r="G328" s="87">
        <v>10000.0</v>
      </c>
      <c r="H328" s="58">
        <v>1100000.0</v>
      </c>
      <c r="I328" s="59" t="s">
        <v>44</v>
      </c>
      <c r="J328" s="60">
        <v>600000.0</v>
      </c>
      <c r="K328" s="17" t="s">
        <v>42</v>
      </c>
      <c r="L328" s="58">
        <f t="shared" si="33"/>
        <v>500000</v>
      </c>
      <c r="M328" s="61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1"/>
      <c r="B329" s="17" t="s">
        <v>158</v>
      </c>
      <c r="C329" s="17" t="s">
        <v>65</v>
      </c>
      <c r="D329" s="17" t="s">
        <v>64</v>
      </c>
      <c r="E329" s="17" t="s">
        <v>92</v>
      </c>
      <c r="F329" s="17" t="s">
        <v>43</v>
      </c>
      <c r="G329" s="87">
        <v>10000.0</v>
      </c>
      <c r="H329" s="58">
        <v>1500000.0</v>
      </c>
      <c r="I329" s="59" t="s">
        <v>44</v>
      </c>
      <c r="J329" s="60">
        <v>850000.0</v>
      </c>
      <c r="K329" s="17" t="s">
        <v>42</v>
      </c>
      <c r="L329" s="58">
        <f t="shared" si="33"/>
        <v>650000</v>
      </c>
      <c r="M329" s="61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1"/>
      <c r="B330" s="17" t="s">
        <v>159</v>
      </c>
      <c r="C330" s="17" t="s">
        <v>65</v>
      </c>
      <c r="D330" s="17" t="s">
        <v>64</v>
      </c>
      <c r="E330" s="17" t="s">
        <v>92</v>
      </c>
      <c r="F330" s="17" t="s">
        <v>43</v>
      </c>
      <c r="G330" s="87">
        <v>10000.0</v>
      </c>
      <c r="H330" s="58">
        <v>1500000.0</v>
      </c>
      <c r="I330" s="97" t="s">
        <v>42</v>
      </c>
      <c r="J330" s="60">
        <v>850000.0</v>
      </c>
      <c r="K330" s="17" t="s">
        <v>42</v>
      </c>
      <c r="L330" s="58">
        <f t="shared" si="33"/>
        <v>650000</v>
      </c>
      <c r="M330" s="61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1"/>
      <c r="B331" s="17" t="s">
        <v>160</v>
      </c>
      <c r="C331" s="17" t="s">
        <v>65</v>
      </c>
      <c r="D331" s="17" t="s">
        <v>64</v>
      </c>
      <c r="E331" s="17" t="s">
        <v>30</v>
      </c>
      <c r="F331" s="17" t="s">
        <v>161</v>
      </c>
      <c r="G331" s="87">
        <v>9000.0</v>
      </c>
      <c r="H331" s="58">
        <v>1215000.0</v>
      </c>
      <c r="I331" s="59" t="s">
        <v>44</v>
      </c>
      <c r="J331" s="60">
        <v>700000.0</v>
      </c>
      <c r="K331" s="17" t="s">
        <v>42</v>
      </c>
      <c r="L331" s="58">
        <f t="shared" si="33"/>
        <v>515000</v>
      </c>
      <c r="M331" s="61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1"/>
      <c r="B332" s="17" t="s">
        <v>162</v>
      </c>
      <c r="C332" s="17" t="s">
        <v>65</v>
      </c>
      <c r="D332" s="17" t="s">
        <v>64</v>
      </c>
      <c r="E332" s="17" t="s">
        <v>30</v>
      </c>
      <c r="F332" s="17" t="s">
        <v>161</v>
      </c>
      <c r="G332" s="87">
        <v>9000.0</v>
      </c>
      <c r="H332" s="58">
        <v>1215000.0</v>
      </c>
      <c r="I332" s="59" t="s">
        <v>44</v>
      </c>
      <c r="J332" s="60">
        <v>700000.0</v>
      </c>
      <c r="K332" s="17" t="s">
        <v>42</v>
      </c>
      <c r="L332" s="58">
        <f t="shared" si="33"/>
        <v>515000</v>
      </c>
      <c r="M332" s="61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1"/>
      <c r="B333" s="17" t="s">
        <v>163</v>
      </c>
      <c r="C333" s="17" t="s">
        <v>65</v>
      </c>
      <c r="D333" s="17" t="s">
        <v>64</v>
      </c>
      <c r="E333" s="17" t="s">
        <v>40</v>
      </c>
      <c r="F333" s="17" t="s">
        <v>43</v>
      </c>
      <c r="G333" s="87">
        <v>9000.0</v>
      </c>
      <c r="H333" s="58">
        <v>1350000.0</v>
      </c>
      <c r="I333" s="59" t="s">
        <v>44</v>
      </c>
      <c r="J333" s="60">
        <v>800000.0</v>
      </c>
      <c r="K333" s="17" t="s">
        <v>42</v>
      </c>
      <c r="L333" s="58">
        <f t="shared" si="33"/>
        <v>550000</v>
      </c>
      <c r="M333" s="61">
        <v>56000.0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1"/>
      <c r="B334" s="17" t="s">
        <v>164</v>
      </c>
      <c r="C334" s="17" t="s">
        <v>65</v>
      </c>
      <c r="D334" s="17" t="s">
        <v>64</v>
      </c>
      <c r="E334" s="17" t="s">
        <v>30</v>
      </c>
      <c r="F334" s="98" t="s">
        <v>165</v>
      </c>
      <c r="G334" s="87">
        <v>9000.0</v>
      </c>
      <c r="H334" s="58">
        <v>1450000.0</v>
      </c>
      <c r="I334" s="59" t="s">
        <v>44</v>
      </c>
      <c r="J334" s="60">
        <v>900000.0</v>
      </c>
      <c r="K334" s="17" t="s">
        <v>42</v>
      </c>
      <c r="L334" s="58">
        <f t="shared" si="33"/>
        <v>550000</v>
      </c>
      <c r="M334" s="61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1"/>
      <c r="B335" s="17" t="s">
        <v>166</v>
      </c>
      <c r="C335" s="17" t="s">
        <v>65</v>
      </c>
      <c r="D335" s="17" t="s">
        <v>64</v>
      </c>
      <c r="E335" s="17" t="s">
        <v>96</v>
      </c>
      <c r="F335" s="17" t="s">
        <v>167</v>
      </c>
      <c r="G335" s="87">
        <v>8500.0</v>
      </c>
      <c r="H335" s="58">
        <v>1200000.0</v>
      </c>
      <c r="I335" s="97" t="s">
        <v>42</v>
      </c>
      <c r="J335" s="60">
        <v>640000.0</v>
      </c>
      <c r="K335" s="17" t="s">
        <v>42</v>
      </c>
      <c r="L335" s="58">
        <f t="shared" si="33"/>
        <v>560000</v>
      </c>
      <c r="M335" s="61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1"/>
      <c r="B336" s="17"/>
      <c r="C336" s="17"/>
      <c r="D336" s="17"/>
      <c r="E336" s="17"/>
      <c r="F336" s="17"/>
      <c r="G336" s="57"/>
      <c r="H336" s="58"/>
      <c r="I336" s="59"/>
      <c r="J336" s="60"/>
      <c r="K336" s="60"/>
      <c r="L336" s="58">
        <f t="shared" si="33"/>
        <v>0</v>
      </c>
      <c r="M336" s="61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1"/>
      <c r="B337" s="7"/>
      <c r="C337" s="17"/>
      <c r="D337" s="17"/>
      <c r="E337" s="17"/>
      <c r="F337" s="17"/>
      <c r="G337" s="57"/>
      <c r="H337" s="58"/>
      <c r="I337" s="59"/>
      <c r="J337" s="60"/>
      <c r="K337" s="60"/>
      <c r="L337" s="52">
        <f>SUM(L312:L336)</f>
        <v>12035000</v>
      </c>
      <c r="M337" s="30">
        <f>SUM(M312:M335)</f>
        <v>716000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1"/>
      <c r="B338" s="7"/>
      <c r="C338" s="17"/>
      <c r="D338" s="17"/>
      <c r="E338" s="17"/>
      <c r="F338" s="17"/>
      <c r="G338" s="57"/>
      <c r="H338" s="58"/>
      <c r="I338" s="59"/>
      <c r="J338" s="60"/>
      <c r="K338" s="60"/>
      <c r="L338" s="33">
        <f>L337-M337</f>
        <v>11319000</v>
      </c>
      <c r="M338" s="61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1"/>
      <c r="B339" s="7"/>
      <c r="C339" s="17"/>
      <c r="D339" s="17"/>
      <c r="E339" s="17"/>
      <c r="F339" s="17"/>
      <c r="G339" s="57"/>
      <c r="H339" s="58"/>
      <c r="I339" s="59"/>
      <c r="J339" s="60"/>
      <c r="K339" s="60"/>
      <c r="L339" s="17"/>
      <c r="M339" s="61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3.25" customHeight="1">
      <c r="A340" s="1"/>
      <c r="B340" s="89" t="s">
        <v>0</v>
      </c>
      <c r="C340" s="89" t="s">
        <v>1</v>
      </c>
      <c r="D340" s="89" t="s">
        <v>2</v>
      </c>
      <c r="E340" s="90" t="s">
        <v>3</v>
      </c>
      <c r="F340" s="89" t="s">
        <v>4</v>
      </c>
      <c r="G340" s="91" t="s">
        <v>5</v>
      </c>
      <c r="H340" s="92" t="s">
        <v>6</v>
      </c>
      <c r="I340" s="92" t="s">
        <v>39</v>
      </c>
      <c r="J340" s="91" t="s">
        <v>7</v>
      </c>
      <c r="K340" s="91" t="s">
        <v>39</v>
      </c>
      <c r="L340" s="92" t="s">
        <v>8</v>
      </c>
      <c r="M340" s="92" t="s">
        <v>9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1"/>
      <c r="B341" s="17" t="s">
        <v>168</v>
      </c>
      <c r="C341" s="17" t="s">
        <v>65</v>
      </c>
      <c r="D341" s="17" t="s">
        <v>64</v>
      </c>
      <c r="E341" s="17" t="s">
        <v>37</v>
      </c>
      <c r="F341" s="17" t="s">
        <v>43</v>
      </c>
      <c r="G341" s="87">
        <v>10000.0</v>
      </c>
      <c r="H341" s="58">
        <v>1500000.0</v>
      </c>
      <c r="I341" s="59" t="s">
        <v>44</v>
      </c>
      <c r="J341" s="58">
        <v>850000.0</v>
      </c>
      <c r="K341" s="17" t="s">
        <v>42</v>
      </c>
      <c r="L341" s="58">
        <f t="shared" ref="L341:L361" si="34">H341-J341</f>
        <v>650000</v>
      </c>
      <c r="M341" s="58">
        <v>0.0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1"/>
      <c r="B342" s="17" t="s">
        <v>169</v>
      </c>
      <c r="C342" s="17" t="s">
        <v>65</v>
      </c>
      <c r="D342" s="17" t="s">
        <v>64</v>
      </c>
      <c r="E342" s="17" t="s">
        <v>96</v>
      </c>
      <c r="F342" s="17" t="s">
        <v>170</v>
      </c>
      <c r="G342" s="87">
        <v>9000.0</v>
      </c>
      <c r="H342" s="58">
        <v>1125000.0</v>
      </c>
      <c r="I342" s="97" t="s">
        <v>42</v>
      </c>
      <c r="J342" s="58">
        <v>640000.0</v>
      </c>
      <c r="K342" s="17" t="s">
        <v>42</v>
      </c>
      <c r="L342" s="58">
        <f t="shared" si="34"/>
        <v>485000</v>
      </c>
      <c r="M342" s="58">
        <v>1020000.0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1"/>
      <c r="B343" s="17" t="s">
        <v>171</v>
      </c>
      <c r="C343" s="17" t="s">
        <v>65</v>
      </c>
      <c r="D343" s="17" t="s">
        <v>64</v>
      </c>
      <c r="E343" s="17" t="s">
        <v>85</v>
      </c>
      <c r="F343" s="17" t="s">
        <v>172</v>
      </c>
      <c r="G343" s="87">
        <v>10000.0</v>
      </c>
      <c r="H343" s="58">
        <v>750000.0</v>
      </c>
      <c r="I343" s="59" t="s">
        <v>44</v>
      </c>
      <c r="J343" s="58">
        <v>425000.0</v>
      </c>
      <c r="K343" s="17" t="s">
        <v>42</v>
      </c>
      <c r="L343" s="58">
        <f t="shared" si="34"/>
        <v>325000</v>
      </c>
      <c r="M343" s="58">
        <v>0.0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1"/>
      <c r="B344" s="17" t="s">
        <v>173</v>
      </c>
      <c r="C344" s="17" t="s">
        <v>65</v>
      </c>
      <c r="D344" s="17" t="s">
        <v>64</v>
      </c>
      <c r="E344" s="17" t="s">
        <v>37</v>
      </c>
      <c r="F344" s="17" t="s">
        <v>43</v>
      </c>
      <c r="G344" s="87">
        <v>10000.0</v>
      </c>
      <c r="H344" s="58">
        <v>1500000.0</v>
      </c>
      <c r="I344" s="59" t="s">
        <v>44</v>
      </c>
      <c r="J344" s="58">
        <v>850000.0</v>
      </c>
      <c r="K344" s="17" t="s">
        <v>42</v>
      </c>
      <c r="L344" s="58">
        <f t="shared" si="34"/>
        <v>650000</v>
      </c>
      <c r="M344" s="58">
        <v>0.0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1"/>
      <c r="B345" s="17" t="s">
        <v>174</v>
      </c>
      <c r="C345" s="17" t="s">
        <v>65</v>
      </c>
      <c r="D345" s="17" t="s">
        <v>64</v>
      </c>
      <c r="E345" s="17" t="s">
        <v>96</v>
      </c>
      <c r="F345" s="17" t="s">
        <v>175</v>
      </c>
      <c r="G345" s="87">
        <v>9000.0</v>
      </c>
      <c r="H345" s="58">
        <v>1100000.0</v>
      </c>
      <c r="I345" s="97" t="s">
        <v>42</v>
      </c>
      <c r="J345" s="58">
        <v>650000.0</v>
      </c>
      <c r="K345" s="17" t="s">
        <v>42</v>
      </c>
      <c r="L345" s="58">
        <f t="shared" si="34"/>
        <v>450000</v>
      </c>
      <c r="M345" s="58">
        <v>0.0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1"/>
      <c r="B346" s="17" t="s">
        <v>176</v>
      </c>
      <c r="C346" s="17" t="s">
        <v>65</v>
      </c>
      <c r="D346" s="17" t="s">
        <v>64</v>
      </c>
      <c r="E346" s="17" t="s">
        <v>85</v>
      </c>
      <c r="F346" s="17" t="s">
        <v>55</v>
      </c>
      <c r="G346" s="87">
        <v>9000.0</v>
      </c>
      <c r="H346" s="58">
        <v>1305000.0</v>
      </c>
      <c r="I346" s="59" t="s">
        <v>44</v>
      </c>
      <c r="J346" s="58">
        <v>725000.0</v>
      </c>
      <c r="K346" s="17" t="s">
        <v>42</v>
      </c>
      <c r="L346" s="58">
        <f t="shared" si="34"/>
        <v>580000</v>
      </c>
      <c r="M346" s="58">
        <v>0.0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1"/>
      <c r="B347" s="17" t="s">
        <v>177</v>
      </c>
      <c r="C347" s="17" t="s">
        <v>65</v>
      </c>
      <c r="D347" s="17" t="s">
        <v>64</v>
      </c>
      <c r="E347" s="17" t="s">
        <v>96</v>
      </c>
      <c r="F347" s="17" t="s">
        <v>178</v>
      </c>
      <c r="G347" s="87">
        <v>9000.0</v>
      </c>
      <c r="H347" s="58">
        <v>2000000.0</v>
      </c>
      <c r="I347" s="59" t="s">
        <v>44</v>
      </c>
      <c r="J347" s="58">
        <v>850000.0</v>
      </c>
      <c r="K347" s="17" t="s">
        <v>42</v>
      </c>
      <c r="L347" s="58">
        <f t="shared" si="34"/>
        <v>1150000</v>
      </c>
      <c r="M347" s="58">
        <v>100000.0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1"/>
      <c r="B348" s="17" t="s">
        <v>179</v>
      </c>
      <c r="C348" s="17" t="s">
        <v>65</v>
      </c>
      <c r="D348" s="17" t="s">
        <v>64</v>
      </c>
      <c r="E348" s="17" t="s">
        <v>37</v>
      </c>
      <c r="F348" s="17" t="s">
        <v>66</v>
      </c>
      <c r="G348" s="87">
        <v>9000.0</v>
      </c>
      <c r="H348" s="58">
        <v>675000.0</v>
      </c>
      <c r="I348" s="97" t="s">
        <v>42</v>
      </c>
      <c r="J348" s="58">
        <v>350000.0</v>
      </c>
      <c r="K348" s="17" t="s">
        <v>42</v>
      </c>
      <c r="L348" s="58">
        <f t="shared" si="34"/>
        <v>325000</v>
      </c>
      <c r="M348" s="58">
        <v>0.0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1"/>
      <c r="B349" s="17" t="s">
        <v>180</v>
      </c>
      <c r="C349" s="17" t="s">
        <v>65</v>
      </c>
      <c r="D349" s="17" t="s">
        <v>64</v>
      </c>
      <c r="E349" s="17" t="s">
        <v>85</v>
      </c>
      <c r="F349" s="17" t="s">
        <v>41</v>
      </c>
      <c r="G349" s="87">
        <v>10000.0</v>
      </c>
      <c r="H349" s="58">
        <v>1600000.0</v>
      </c>
      <c r="I349" s="59" t="s">
        <v>44</v>
      </c>
      <c r="J349" s="58">
        <v>975000.0</v>
      </c>
      <c r="K349" s="17" t="s">
        <v>42</v>
      </c>
      <c r="L349" s="58">
        <f t="shared" si="34"/>
        <v>625000</v>
      </c>
      <c r="M349" s="58">
        <v>1395000.0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1"/>
      <c r="B350" s="17" t="s">
        <v>181</v>
      </c>
      <c r="C350" s="17" t="s">
        <v>65</v>
      </c>
      <c r="D350" s="17" t="s">
        <v>64</v>
      </c>
      <c r="E350" s="17" t="s">
        <v>96</v>
      </c>
      <c r="F350" s="17" t="s">
        <v>182</v>
      </c>
      <c r="G350" s="87">
        <v>10000.0</v>
      </c>
      <c r="H350" s="58">
        <v>1100000.0</v>
      </c>
      <c r="I350" s="97" t="s">
        <v>42</v>
      </c>
      <c r="J350" s="58">
        <v>600000.0</v>
      </c>
      <c r="K350" s="17" t="s">
        <v>42</v>
      </c>
      <c r="L350" s="58">
        <f t="shared" si="34"/>
        <v>500000</v>
      </c>
      <c r="M350" s="58">
        <v>0.0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1"/>
      <c r="B351" s="17" t="s">
        <v>183</v>
      </c>
      <c r="C351" s="17" t="s">
        <v>65</v>
      </c>
      <c r="D351" s="17" t="s">
        <v>64</v>
      </c>
      <c r="E351" s="17" t="s">
        <v>96</v>
      </c>
      <c r="F351" s="17" t="s">
        <v>184</v>
      </c>
      <c r="G351" s="87">
        <v>9000.0</v>
      </c>
      <c r="H351" s="58">
        <v>800000.0</v>
      </c>
      <c r="I351" s="97" t="s">
        <v>42</v>
      </c>
      <c r="J351" s="58">
        <v>400000.0</v>
      </c>
      <c r="K351" s="17" t="s">
        <v>42</v>
      </c>
      <c r="L351" s="58">
        <f t="shared" si="34"/>
        <v>400000</v>
      </c>
      <c r="M351" s="58">
        <v>50000.0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1"/>
      <c r="B352" s="17" t="s">
        <v>185</v>
      </c>
      <c r="C352" s="17" t="s">
        <v>65</v>
      </c>
      <c r="D352" s="17" t="s">
        <v>64</v>
      </c>
      <c r="E352" s="17" t="s">
        <v>37</v>
      </c>
      <c r="F352" s="17" t="s">
        <v>66</v>
      </c>
      <c r="G352" s="87">
        <v>10000.0</v>
      </c>
      <c r="H352" s="58">
        <v>750000.0</v>
      </c>
      <c r="I352" s="97" t="s">
        <v>42</v>
      </c>
      <c r="J352" s="58">
        <v>375000.0</v>
      </c>
      <c r="K352" s="17" t="s">
        <v>42</v>
      </c>
      <c r="L352" s="58">
        <f t="shared" si="34"/>
        <v>375000</v>
      </c>
      <c r="M352" s="58">
        <v>0.0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1"/>
      <c r="B353" s="17" t="s">
        <v>185</v>
      </c>
      <c r="C353" s="17" t="s">
        <v>65</v>
      </c>
      <c r="D353" s="17" t="s">
        <v>64</v>
      </c>
      <c r="E353" s="17" t="s">
        <v>85</v>
      </c>
      <c r="F353" s="17" t="s">
        <v>66</v>
      </c>
      <c r="G353" s="87">
        <v>10000.0</v>
      </c>
      <c r="H353" s="58">
        <v>750000.0</v>
      </c>
      <c r="I353" s="97" t="s">
        <v>42</v>
      </c>
      <c r="J353" s="58">
        <v>375000.0</v>
      </c>
      <c r="K353" s="17" t="s">
        <v>42</v>
      </c>
      <c r="L353" s="58">
        <f t="shared" si="34"/>
        <v>375000</v>
      </c>
      <c r="M353" s="58">
        <v>0.0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1"/>
      <c r="B354" s="17" t="s">
        <v>186</v>
      </c>
      <c r="C354" s="17" t="s">
        <v>65</v>
      </c>
      <c r="D354" s="17" t="s">
        <v>64</v>
      </c>
      <c r="E354" s="17" t="s">
        <v>85</v>
      </c>
      <c r="F354" s="17" t="s">
        <v>41</v>
      </c>
      <c r="G354" s="87">
        <v>9000.0</v>
      </c>
      <c r="H354" s="58">
        <v>1440000.0</v>
      </c>
      <c r="I354" s="59" t="s">
        <v>44</v>
      </c>
      <c r="J354" s="58">
        <v>900000.0</v>
      </c>
      <c r="K354" s="17" t="s">
        <v>42</v>
      </c>
      <c r="L354" s="58">
        <f t="shared" si="34"/>
        <v>540000</v>
      </c>
      <c r="M354" s="58">
        <v>0.0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1"/>
      <c r="B355" s="17" t="s">
        <v>187</v>
      </c>
      <c r="C355" s="17" t="s">
        <v>65</v>
      </c>
      <c r="D355" s="17" t="s">
        <v>64</v>
      </c>
      <c r="E355" s="17" t="s">
        <v>92</v>
      </c>
      <c r="F355" s="17" t="s">
        <v>43</v>
      </c>
      <c r="G355" s="87">
        <v>10000.0</v>
      </c>
      <c r="H355" s="58">
        <v>1500000.0</v>
      </c>
      <c r="I355" s="59" t="s">
        <v>44</v>
      </c>
      <c r="J355" s="58">
        <v>850000.0</v>
      </c>
      <c r="K355" s="17" t="s">
        <v>42</v>
      </c>
      <c r="L355" s="58">
        <f t="shared" si="34"/>
        <v>650000</v>
      </c>
      <c r="M355" s="58">
        <v>0.0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1"/>
      <c r="B356" s="17" t="s">
        <v>188</v>
      </c>
      <c r="C356" s="17" t="s">
        <v>65</v>
      </c>
      <c r="D356" s="17" t="s">
        <v>64</v>
      </c>
      <c r="E356" s="17" t="s">
        <v>92</v>
      </c>
      <c r="F356" s="17" t="s">
        <v>43</v>
      </c>
      <c r="G356" s="87">
        <v>10000.0</v>
      </c>
      <c r="H356" s="58">
        <v>1500000.0</v>
      </c>
      <c r="I356" s="59" t="s">
        <v>44</v>
      </c>
      <c r="J356" s="58">
        <v>850000.0</v>
      </c>
      <c r="K356" s="17" t="s">
        <v>42</v>
      </c>
      <c r="L356" s="58">
        <f t="shared" si="34"/>
        <v>650000</v>
      </c>
      <c r="M356" s="58">
        <v>26500.0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1"/>
      <c r="B357" s="17" t="s">
        <v>189</v>
      </c>
      <c r="C357" s="17" t="s">
        <v>65</v>
      </c>
      <c r="D357" s="17" t="s">
        <v>64</v>
      </c>
      <c r="E357" s="17" t="s">
        <v>92</v>
      </c>
      <c r="F357" s="17" t="s">
        <v>43</v>
      </c>
      <c r="G357" s="87">
        <v>10000.0</v>
      </c>
      <c r="H357" s="58">
        <v>1500000.0</v>
      </c>
      <c r="I357" s="59" t="s">
        <v>44</v>
      </c>
      <c r="J357" s="58">
        <v>850000.0</v>
      </c>
      <c r="K357" s="17" t="s">
        <v>42</v>
      </c>
      <c r="L357" s="58">
        <f t="shared" si="34"/>
        <v>650000</v>
      </c>
      <c r="M357" s="61">
        <v>2637000.0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1"/>
      <c r="B358" s="17" t="s">
        <v>190</v>
      </c>
      <c r="C358" s="17" t="s">
        <v>65</v>
      </c>
      <c r="D358" s="17" t="s">
        <v>64</v>
      </c>
      <c r="E358" s="17" t="s">
        <v>85</v>
      </c>
      <c r="F358" s="17" t="s">
        <v>191</v>
      </c>
      <c r="G358" s="87">
        <v>9000.0</v>
      </c>
      <c r="H358" s="58">
        <v>900000.0</v>
      </c>
      <c r="I358" s="97" t="s">
        <v>42</v>
      </c>
      <c r="J358" s="58">
        <v>500000.0</v>
      </c>
      <c r="K358" s="17" t="s">
        <v>42</v>
      </c>
      <c r="L358" s="58">
        <f t="shared" si="34"/>
        <v>400000</v>
      </c>
      <c r="M358" s="58">
        <v>0.0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1"/>
      <c r="B359" s="17" t="s">
        <v>192</v>
      </c>
      <c r="C359" s="17" t="s">
        <v>65</v>
      </c>
      <c r="D359" s="17" t="s">
        <v>64</v>
      </c>
      <c r="E359" s="17" t="s">
        <v>92</v>
      </c>
      <c r="F359" s="17" t="s">
        <v>66</v>
      </c>
      <c r="G359" s="87">
        <v>10000.0</v>
      </c>
      <c r="H359" s="58">
        <v>750000.0</v>
      </c>
      <c r="I359" s="97" t="s">
        <v>42</v>
      </c>
      <c r="J359" s="58">
        <v>375000.0</v>
      </c>
      <c r="K359" s="17" t="s">
        <v>42</v>
      </c>
      <c r="L359" s="58">
        <f t="shared" si="34"/>
        <v>375000</v>
      </c>
      <c r="M359" s="58">
        <v>950000.0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1"/>
      <c r="B360" s="17" t="s">
        <v>193</v>
      </c>
      <c r="C360" s="17" t="s">
        <v>65</v>
      </c>
      <c r="D360" s="17" t="s">
        <v>64</v>
      </c>
      <c r="E360" s="17" t="s">
        <v>96</v>
      </c>
      <c r="F360" s="17" t="s">
        <v>194</v>
      </c>
      <c r="G360" s="87">
        <v>9000.0</v>
      </c>
      <c r="H360" s="58">
        <v>1400000.0</v>
      </c>
      <c r="I360" s="97" t="s">
        <v>42</v>
      </c>
      <c r="J360" s="58">
        <v>850000.0</v>
      </c>
      <c r="K360" s="17" t="s">
        <v>42</v>
      </c>
      <c r="L360" s="58">
        <f t="shared" si="34"/>
        <v>550000</v>
      </c>
      <c r="M360" s="58">
        <v>0.0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1"/>
      <c r="B361" s="17" t="s">
        <v>195</v>
      </c>
      <c r="C361" s="17" t="s">
        <v>65</v>
      </c>
      <c r="D361" s="17" t="s">
        <v>64</v>
      </c>
      <c r="E361" s="17" t="s">
        <v>37</v>
      </c>
      <c r="F361" s="17" t="s">
        <v>43</v>
      </c>
      <c r="G361" s="87">
        <v>10000.0</v>
      </c>
      <c r="H361" s="58">
        <v>1500000.0</v>
      </c>
      <c r="I361" s="59" t="s">
        <v>44</v>
      </c>
      <c r="J361" s="58">
        <v>850000.0</v>
      </c>
      <c r="K361" s="17" t="s">
        <v>42</v>
      </c>
      <c r="L361" s="58">
        <f t="shared" si="34"/>
        <v>650000</v>
      </c>
      <c r="M361" s="58">
        <v>0.0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1"/>
      <c r="B362" s="7"/>
      <c r="C362" s="17"/>
      <c r="D362" s="17"/>
      <c r="E362" s="17"/>
      <c r="F362" s="17"/>
      <c r="G362" s="57"/>
      <c r="H362" s="58"/>
      <c r="I362" s="59"/>
      <c r="J362" s="60"/>
      <c r="K362" s="60"/>
      <c r="L362" s="52">
        <f t="shared" ref="L362:M362" si="35">SUM(L341:L361)</f>
        <v>11355000</v>
      </c>
      <c r="M362" s="30">
        <f t="shared" si="35"/>
        <v>6178500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1"/>
      <c r="B363" s="7"/>
      <c r="C363" s="17"/>
      <c r="D363" s="17"/>
      <c r="E363" s="17"/>
      <c r="F363" s="17"/>
      <c r="G363" s="57"/>
      <c r="H363" s="58"/>
      <c r="I363" s="59"/>
      <c r="J363" s="60"/>
      <c r="K363" s="60"/>
      <c r="L363" s="33">
        <f>L362-M362</f>
        <v>5176500</v>
      </c>
      <c r="M363" s="61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1"/>
      <c r="B364" s="7"/>
      <c r="C364" s="17"/>
      <c r="D364" s="17"/>
      <c r="E364" s="17"/>
      <c r="F364" s="17"/>
      <c r="G364" s="57"/>
      <c r="H364" s="58"/>
      <c r="I364" s="59"/>
      <c r="J364" s="60"/>
      <c r="K364" s="60"/>
      <c r="L364" s="17"/>
      <c r="M364" s="61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3.25" customHeight="1">
      <c r="A365" s="1"/>
      <c r="B365" s="89" t="s">
        <v>0</v>
      </c>
      <c r="C365" s="89" t="s">
        <v>1</v>
      </c>
      <c r="D365" s="89" t="s">
        <v>2</v>
      </c>
      <c r="E365" s="90" t="s">
        <v>3</v>
      </c>
      <c r="F365" s="89" t="s">
        <v>4</v>
      </c>
      <c r="G365" s="91" t="s">
        <v>5</v>
      </c>
      <c r="H365" s="92" t="s">
        <v>6</v>
      </c>
      <c r="I365" s="92" t="s">
        <v>39</v>
      </c>
      <c r="J365" s="91" t="s">
        <v>7</v>
      </c>
      <c r="K365" s="91" t="s">
        <v>39</v>
      </c>
      <c r="L365" s="92" t="s">
        <v>8</v>
      </c>
      <c r="M365" s="92" t="s">
        <v>9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5"/>
      <c r="B366" s="86">
        <v>45537.0</v>
      </c>
      <c r="C366" s="17" t="s">
        <v>65</v>
      </c>
      <c r="D366" s="17" t="s">
        <v>64</v>
      </c>
      <c r="E366" s="17" t="s">
        <v>96</v>
      </c>
      <c r="F366" s="17" t="s">
        <v>194</v>
      </c>
      <c r="G366" s="87">
        <v>9000.0</v>
      </c>
      <c r="H366" s="58">
        <v>1400000.0</v>
      </c>
      <c r="I366" s="59" t="s">
        <v>44</v>
      </c>
      <c r="J366" s="60">
        <v>850000.0</v>
      </c>
      <c r="K366" s="17" t="s">
        <v>42</v>
      </c>
      <c r="L366" s="58">
        <f t="shared" ref="L366:L380" si="36">H366-J366</f>
        <v>550000</v>
      </c>
      <c r="M366" s="5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85"/>
      <c r="B367" s="86">
        <v>45538.0</v>
      </c>
      <c r="C367" s="17" t="s">
        <v>65</v>
      </c>
      <c r="D367" s="17" t="s">
        <v>64</v>
      </c>
      <c r="E367" s="17" t="s">
        <v>30</v>
      </c>
      <c r="F367" s="17" t="s">
        <v>196</v>
      </c>
      <c r="G367" s="87">
        <v>10000.0</v>
      </c>
      <c r="H367" s="58">
        <v>1600000.0</v>
      </c>
      <c r="I367" s="59" t="s">
        <v>44</v>
      </c>
      <c r="J367" s="60">
        <v>975000.0</v>
      </c>
      <c r="K367" s="17" t="s">
        <v>42</v>
      </c>
      <c r="L367" s="58">
        <f t="shared" si="36"/>
        <v>625000</v>
      </c>
      <c r="M367" s="58">
        <v>395000.0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85"/>
      <c r="B368" s="86">
        <v>45540.0</v>
      </c>
      <c r="C368" s="17" t="s">
        <v>65</v>
      </c>
      <c r="D368" s="17" t="s">
        <v>64</v>
      </c>
      <c r="E368" s="17" t="s">
        <v>30</v>
      </c>
      <c r="F368" s="17" t="s">
        <v>197</v>
      </c>
      <c r="G368" s="87">
        <v>10000.0</v>
      </c>
      <c r="H368" s="58">
        <v>1500000.0</v>
      </c>
      <c r="I368" s="59" t="s">
        <v>44</v>
      </c>
      <c r="J368" s="60">
        <v>750000.0</v>
      </c>
      <c r="K368" s="17" t="s">
        <v>42</v>
      </c>
      <c r="L368" s="58">
        <f t="shared" si="36"/>
        <v>750000</v>
      </c>
      <c r="M368" s="5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85"/>
      <c r="B369" s="86">
        <v>45541.0</v>
      </c>
      <c r="C369" s="17" t="s">
        <v>65</v>
      </c>
      <c r="D369" s="17" t="s">
        <v>64</v>
      </c>
      <c r="E369" s="17" t="s">
        <v>96</v>
      </c>
      <c r="F369" s="17" t="s">
        <v>198</v>
      </c>
      <c r="G369" s="87">
        <v>9000.0</v>
      </c>
      <c r="H369" s="58">
        <v>1215000.0</v>
      </c>
      <c r="I369" s="97" t="s">
        <v>42</v>
      </c>
      <c r="J369" s="60">
        <v>700000.0</v>
      </c>
      <c r="K369" s="17" t="s">
        <v>42</v>
      </c>
      <c r="L369" s="58">
        <f t="shared" si="36"/>
        <v>515000</v>
      </c>
      <c r="M369" s="5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85"/>
      <c r="B370" s="86">
        <v>45542.0</v>
      </c>
      <c r="C370" s="17" t="s">
        <v>65</v>
      </c>
      <c r="D370" s="17" t="s">
        <v>64</v>
      </c>
      <c r="E370" s="17" t="s">
        <v>30</v>
      </c>
      <c r="F370" s="17" t="s">
        <v>199</v>
      </c>
      <c r="G370" s="87">
        <v>9000.0</v>
      </c>
      <c r="H370" s="58">
        <v>1035000.0</v>
      </c>
      <c r="I370" s="97" t="s">
        <v>42</v>
      </c>
      <c r="J370" s="60">
        <v>600000.0</v>
      </c>
      <c r="K370" s="17" t="s">
        <v>42</v>
      </c>
      <c r="L370" s="58">
        <f t="shared" si="36"/>
        <v>435000</v>
      </c>
      <c r="M370" s="5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85"/>
      <c r="B371" s="86">
        <v>45544.0</v>
      </c>
      <c r="C371" s="17" t="s">
        <v>65</v>
      </c>
      <c r="D371" s="17" t="s">
        <v>64</v>
      </c>
      <c r="E371" s="17" t="s">
        <v>96</v>
      </c>
      <c r="F371" s="17" t="s">
        <v>194</v>
      </c>
      <c r="G371" s="87">
        <v>9000.0</v>
      </c>
      <c r="H371" s="58">
        <v>1400000.0</v>
      </c>
      <c r="I371" s="59" t="s">
        <v>44</v>
      </c>
      <c r="J371" s="60">
        <v>850000.0</v>
      </c>
      <c r="K371" s="17" t="s">
        <v>42</v>
      </c>
      <c r="L371" s="58">
        <f t="shared" si="36"/>
        <v>550000</v>
      </c>
      <c r="M371" s="58">
        <v>50000.0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85"/>
      <c r="B372" s="86">
        <v>45545.0</v>
      </c>
      <c r="C372" s="17" t="s">
        <v>65</v>
      </c>
      <c r="D372" s="17" t="s">
        <v>64</v>
      </c>
      <c r="E372" s="17" t="s">
        <v>96</v>
      </c>
      <c r="F372" s="17" t="s">
        <v>197</v>
      </c>
      <c r="G372" s="87">
        <v>10000.0</v>
      </c>
      <c r="H372" s="58">
        <v>1500000.0</v>
      </c>
      <c r="I372" s="59" t="s">
        <v>44</v>
      </c>
      <c r="J372" s="60">
        <v>750000.0</v>
      </c>
      <c r="K372" s="17" t="s">
        <v>42</v>
      </c>
      <c r="L372" s="58">
        <f t="shared" si="36"/>
        <v>750000</v>
      </c>
      <c r="M372" s="5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5"/>
      <c r="B373" s="86">
        <v>45546.0</v>
      </c>
      <c r="C373" s="17" t="s">
        <v>65</v>
      </c>
      <c r="D373" s="17" t="s">
        <v>64</v>
      </c>
      <c r="E373" s="17" t="s">
        <v>96</v>
      </c>
      <c r="F373" s="17" t="s">
        <v>200</v>
      </c>
      <c r="G373" s="87">
        <v>9000.0</v>
      </c>
      <c r="H373" s="58">
        <v>1215000.0</v>
      </c>
      <c r="I373" s="59" t="s">
        <v>44</v>
      </c>
      <c r="J373" s="60">
        <v>640000.0</v>
      </c>
      <c r="K373" s="17" t="s">
        <v>42</v>
      </c>
      <c r="L373" s="58">
        <f t="shared" si="36"/>
        <v>575000</v>
      </c>
      <c r="M373" s="5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85"/>
      <c r="B374" s="86">
        <v>45547.0</v>
      </c>
      <c r="C374" s="17" t="s">
        <v>65</v>
      </c>
      <c r="D374" s="17" t="s">
        <v>64</v>
      </c>
      <c r="E374" s="17" t="s">
        <v>85</v>
      </c>
      <c r="F374" s="17" t="s">
        <v>201</v>
      </c>
      <c r="G374" s="87">
        <v>10000.0</v>
      </c>
      <c r="H374" s="58">
        <v>750000.0</v>
      </c>
      <c r="I374" s="97" t="s">
        <v>42</v>
      </c>
      <c r="J374" s="60">
        <v>375000.0</v>
      </c>
      <c r="K374" s="17" t="s">
        <v>42</v>
      </c>
      <c r="L374" s="58">
        <f t="shared" si="36"/>
        <v>375000</v>
      </c>
      <c r="M374" s="5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85"/>
      <c r="B375" s="86">
        <v>45548.0</v>
      </c>
      <c r="C375" s="17" t="s">
        <v>65</v>
      </c>
      <c r="D375" s="17" t="s">
        <v>64</v>
      </c>
      <c r="E375" s="17" t="s">
        <v>85</v>
      </c>
      <c r="F375" s="17" t="s">
        <v>197</v>
      </c>
      <c r="G375" s="87">
        <v>10000.0</v>
      </c>
      <c r="H375" s="58">
        <v>1500000.0</v>
      </c>
      <c r="I375" s="59" t="s">
        <v>44</v>
      </c>
      <c r="J375" s="60">
        <v>750000.0</v>
      </c>
      <c r="K375" s="17" t="s">
        <v>42</v>
      </c>
      <c r="L375" s="58">
        <f t="shared" si="36"/>
        <v>750000</v>
      </c>
      <c r="M375" s="5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85"/>
      <c r="B376" s="86">
        <v>45549.0</v>
      </c>
      <c r="C376" s="17" t="s">
        <v>65</v>
      </c>
      <c r="D376" s="17" t="s">
        <v>64</v>
      </c>
      <c r="E376" s="17" t="s">
        <v>85</v>
      </c>
      <c r="F376" s="17" t="s">
        <v>199</v>
      </c>
      <c r="G376" s="87">
        <v>9000.0</v>
      </c>
      <c r="H376" s="58">
        <v>1125000.0</v>
      </c>
      <c r="I376" s="59" t="s">
        <v>42</v>
      </c>
      <c r="J376" s="60">
        <v>640000.0</v>
      </c>
      <c r="K376" s="17" t="s">
        <v>42</v>
      </c>
      <c r="L376" s="58">
        <f t="shared" si="36"/>
        <v>485000</v>
      </c>
      <c r="M376" s="5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85"/>
      <c r="B377" s="86">
        <v>45552.0</v>
      </c>
      <c r="C377" s="17" t="s">
        <v>65</v>
      </c>
      <c r="D377" s="17" t="s">
        <v>64</v>
      </c>
      <c r="E377" s="17" t="s">
        <v>37</v>
      </c>
      <c r="F377" s="17" t="s">
        <v>103</v>
      </c>
      <c r="G377" s="87">
        <v>9000.0</v>
      </c>
      <c r="H377" s="58">
        <v>675000.0</v>
      </c>
      <c r="I377" s="59" t="s">
        <v>44</v>
      </c>
      <c r="J377" s="60">
        <v>375000.0</v>
      </c>
      <c r="K377" s="17" t="s">
        <v>42</v>
      </c>
      <c r="L377" s="58">
        <f t="shared" si="36"/>
        <v>300000</v>
      </c>
      <c r="M377" s="5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85"/>
      <c r="B378" s="86">
        <v>45553.0</v>
      </c>
      <c r="C378" s="17" t="s">
        <v>65</v>
      </c>
      <c r="D378" s="17" t="s">
        <v>64</v>
      </c>
      <c r="E378" s="17" t="s">
        <v>71</v>
      </c>
      <c r="F378" s="17" t="s">
        <v>94</v>
      </c>
      <c r="G378" s="87">
        <v>8500.0</v>
      </c>
      <c r="H378" s="58">
        <v>1200000.0</v>
      </c>
      <c r="I378" s="59" t="s">
        <v>42</v>
      </c>
      <c r="J378" s="60">
        <v>640000.0</v>
      </c>
      <c r="K378" s="17" t="s">
        <v>42</v>
      </c>
      <c r="L378" s="58">
        <f t="shared" si="36"/>
        <v>560000</v>
      </c>
      <c r="M378" s="5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5"/>
      <c r="B379" s="86">
        <v>45554.0</v>
      </c>
      <c r="C379" s="17" t="s">
        <v>65</v>
      </c>
      <c r="D379" s="17" t="s">
        <v>64</v>
      </c>
      <c r="E379" s="17" t="s">
        <v>96</v>
      </c>
      <c r="F379" s="17" t="s">
        <v>194</v>
      </c>
      <c r="G379" s="87">
        <v>9000.0</v>
      </c>
      <c r="H379" s="58">
        <v>1400000.0</v>
      </c>
      <c r="I379" s="59" t="s">
        <v>44</v>
      </c>
      <c r="J379" s="60">
        <v>850000.0</v>
      </c>
      <c r="K379" s="17" t="s">
        <v>42</v>
      </c>
      <c r="L379" s="58">
        <f t="shared" si="36"/>
        <v>550000</v>
      </c>
      <c r="M379" s="5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85"/>
      <c r="B380" s="86">
        <v>45555.0</v>
      </c>
      <c r="C380" s="17" t="s">
        <v>65</v>
      </c>
      <c r="D380" s="17" t="s">
        <v>64</v>
      </c>
      <c r="E380" s="17" t="s">
        <v>96</v>
      </c>
      <c r="F380" s="17" t="s">
        <v>197</v>
      </c>
      <c r="G380" s="87">
        <v>10000.0</v>
      </c>
      <c r="H380" s="58">
        <v>1500000.0</v>
      </c>
      <c r="I380" s="59" t="s">
        <v>44</v>
      </c>
      <c r="J380" s="60">
        <v>750000.0</v>
      </c>
      <c r="K380" s="17" t="s">
        <v>42</v>
      </c>
      <c r="L380" s="58">
        <f t="shared" si="36"/>
        <v>750000</v>
      </c>
      <c r="M380" s="5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85"/>
      <c r="B381" s="86"/>
      <c r="C381" s="99" t="s">
        <v>202</v>
      </c>
      <c r="G381" s="87">
        <v>0.0</v>
      </c>
      <c r="H381" s="58"/>
      <c r="I381" s="59"/>
      <c r="J381" s="7"/>
      <c r="K381" s="60"/>
      <c r="L381" s="58"/>
      <c r="M381" s="5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85"/>
      <c r="B382" s="86">
        <v>45562.0</v>
      </c>
      <c r="C382" s="17" t="s">
        <v>65</v>
      </c>
      <c r="D382" s="17" t="s">
        <v>64</v>
      </c>
      <c r="E382" s="17" t="s">
        <v>40</v>
      </c>
      <c r="F382" s="17" t="s">
        <v>194</v>
      </c>
      <c r="G382" s="87">
        <v>9000.0</v>
      </c>
      <c r="H382" s="58">
        <v>1400000.0</v>
      </c>
      <c r="I382" s="59" t="s">
        <v>44</v>
      </c>
      <c r="J382" s="60">
        <v>850000.0</v>
      </c>
      <c r="K382" s="17" t="s">
        <v>42</v>
      </c>
      <c r="L382" s="58">
        <f t="shared" ref="L382:L385" si="37">H382-J382</f>
        <v>550000</v>
      </c>
      <c r="M382" s="58">
        <v>79000.0</v>
      </c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85"/>
      <c r="B383" s="86">
        <v>45563.0</v>
      </c>
      <c r="C383" s="17" t="s">
        <v>65</v>
      </c>
      <c r="D383" s="17" t="s">
        <v>64</v>
      </c>
      <c r="E383" s="17" t="s">
        <v>37</v>
      </c>
      <c r="F383" s="17" t="s">
        <v>36</v>
      </c>
      <c r="G383" s="87">
        <v>10000.0</v>
      </c>
      <c r="H383" s="58">
        <v>1500000.0</v>
      </c>
      <c r="I383" s="59" t="s">
        <v>44</v>
      </c>
      <c r="J383" s="60">
        <v>850000.0</v>
      </c>
      <c r="K383" s="17" t="s">
        <v>42</v>
      </c>
      <c r="L383" s="58">
        <f t="shared" si="37"/>
        <v>650000</v>
      </c>
      <c r="M383" s="5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85"/>
      <c r="B384" s="86">
        <v>45565.0</v>
      </c>
      <c r="C384" s="17" t="s">
        <v>65</v>
      </c>
      <c r="D384" s="17" t="s">
        <v>64</v>
      </c>
      <c r="E384" s="17" t="s">
        <v>30</v>
      </c>
      <c r="F384" s="17" t="s">
        <v>203</v>
      </c>
      <c r="G384" s="87">
        <v>9000.0</v>
      </c>
      <c r="H384" s="58">
        <v>1440000.0</v>
      </c>
      <c r="I384" s="59" t="s">
        <v>44</v>
      </c>
      <c r="J384" s="60">
        <v>900000.0</v>
      </c>
      <c r="K384" s="17" t="s">
        <v>42</v>
      </c>
      <c r="L384" s="58">
        <f t="shared" si="37"/>
        <v>540000</v>
      </c>
      <c r="M384" s="58">
        <v>42000.0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1"/>
      <c r="B385" s="17"/>
      <c r="C385" s="17"/>
      <c r="D385" s="17"/>
      <c r="E385" s="17"/>
      <c r="F385" s="17"/>
      <c r="G385" s="87">
        <v>0.0</v>
      </c>
      <c r="H385" s="58"/>
      <c r="I385" s="59"/>
      <c r="J385" s="60"/>
      <c r="K385" s="60"/>
      <c r="L385" s="58">
        <f t="shared" si="37"/>
        <v>0</v>
      </c>
      <c r="M385" s="5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1"/>
      <c r="B386" s="17"/>
      <c r="C386" s="17"/>
      <c r="D386" s="17"/>
      <c r="E386" s="17"/>
      <c r="F386" s="17"/>
      <c r="G386" s="57"/>
      <c r="H386" s="58"/>
      <c r="I386" s="59"/>
      <c r="J386" s="60"/>
      <c r="K386" s="60"/>
      <c r="L386" s="52">
        <f t="shared" ref="L386:M386" si="38">SUM(L365:L385)</f>
        <v>10260000</v>
      </c>
      <c r="M386" s="30">
        <f t="shared" si="38"/>
        <v>566000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1"/>
      <c r="B387" s="17"/>
      <c r="C387" s="17"/>
      <c r="D387" s="17"/>
      <c r="E387" s="17"/>
      <c r="F387" s="17"/>
      <c r="G387" s="57"/>
      <c r="H387" s="58"/>
      <c r="I387" s="59"/>
      <c r="J387" s="60"/>
      <c r="K387" s="60"/>
      <c r="L387" s="33">
        <f>L386-M386</f>
        <v>9694000</v>
      </c>
      <c r="M387" s="5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1"/>
      <c r="B388" s="7"/>
      <c r="C388" s="17"/>
      <c r="D388" s="17"/>
      <c r="E388" s="17"/>
      <c r="F388" s="17"/>
      <c r="G388" s="57"/>
      <c r="H388" s="58"/>
      <c r="I388" s="59"/>
      <c r="J388" s="60"/>
      <c r="K388" s="60"/>
      <c r="L388" s="17"/>
      <c r="M388" s="61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"/>
      <c r="B389" s="89" t="s">
        <v>0</v>
      </c>
      <c r="C389" s="89" t="s">
        <v>1</v>
      </c>
      <c r="D389" s="89" t="s">
        <v>2</v>
      </c>
      <c r="E389" s="90" t="s">
        <v>3</v>
      </c>
      <c r="F389" s="89" t="s">
        <v>4</v>
      </c>
      <c r="G389" s="91" t="s">
        <v>5</v>
      </c>
      <c r="H389" s="92" t="s">
        <v>6</v>
      </c>
      <c r="I389" s="92" t="s">
        <v>39</v>
      </c>
      <c r="J389" s="91" t="s">
        <v>7</v>
      </c>
      <c r="K389" s="91" t="s">
        <v>39</v>
      </c>
      <c r="L389" s="92" t="s">
        <v>8</v>
      </c>
      <c r="M389" s="92" t="s">
        <v>9</v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85"/>
      <c r="B390" s="86">
        <v>45568.0</v>
      </c>
      <c r="C390" s="17" t="s">
        <v>65</v>
      </c>
      <c r="D390" s="17" t="s">
        <v>64</v>
      </c>
      <c r="E390" s="17" t="s">
        <v>96</v>
      </c>
      <c r="F390" s="17" t="s">
        <v>36</v>
      </c>
      <c r="G390" s="87">
        <v>10000.0</v>
      </c>
      <c r="H390" s="58">
        <v>1500000.0</v>
      </c>
      <c r="I390" s="59" t="s">
        <v>44</v>
      </c>
      <c r="J390" s="60">
        <v>850000.0</v>
      </c>
      <c r="K390" s="60" t="s">
        <v>42</v>
      </c>
      <c r="L390" s="100">
        <f t="shared" ref="L390:L405" si="39">H390-J390</f>
        <v>650000</v>
      </c>
      <c r="M390" s="61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5"/>
      <c r="B391" s="86">
        <v>45569.0</v>
      </c>
      <c r="C391" s="17" t="s">
        <v>65</v>
      </c>
      <c r="D391" s="17" t="s">
        <v>64</v>
      </c>
      <c r="E391" s="17" t="s">
        <v>96</v>
      </c>
      <c r="F391" s="17" t="s">
        <v>199</v>
      </c>
      <c r="G391" s="57">
        <v>9000.0</v>
      </c>
      <c r="H391" s="101">
        <v>1125000.0</v>
      </c>
      <c r="I391" s="96" t="s">
        <v>42</v>
      </c>
      <c r="J391" s="101">
        <v>640000.0</v>
      </c>
      <c r="K391" s="60" t="s">
        <v>42</v>
      </c>
      <c r="L391" s="100">
        <f t="shared" si="39"/>
        <v>485000</v>
      </c>
      <c r="M391" s="61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5"/>
      <c r="B392" s="86">
        <v>45572.0</v>
      </c>
      <c r="C392" s="17" t="s">
        <v>65</v>
      </c>
      <c r="D392" s="17" t="s">
        <v>64</v>
      </c>
      <c r="E392" s="17" t="s">
        <v>30</v>
      </c>
      <c r="F392" s="17" t="s">
        <v>103</v>
      </c>
      <c r="G392" s="87">
        <v>10000.0</v>
      </c>
      <c r="H392" s="58">
        <v>750000.0</v>
      </c>
      <c r="I392" s="93" t="s">
        <v>44</v>
      </c>
      <c r="J392" s="101">
        <v>425000.0</v>
      </c>
      <c r="K392" s="60" t="s">
        <v>42</v>
      </c>
      <c r="L392" s="100">
        <f t="shared" si="39"/>
        <v>325000</v>
      </c>
      <c r="M392" s="61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85"/>
      <c r="B393" s="86">
        <v>45573.0</v>
      </c>
      <c r="C393" s="17" t="s">
        <v>65</v>
      </c>
      <c r="D393" s="17" t="s">
        <v>64</v>
      </c>
      <c r="E393" s="17" t="s">
        <v>37</v>
      </c>
      <c r="F393" s="17" t="s">
        <v>36</v>
      </c>
      <c r="G393" s="87">
        <v>10000.0</v>
      </c>
      <c r="H393" s="58">
        <v>1500000.0</v>
      </c>
      <c r="I393" s="93" t="s">
        <v>44</v>
      </c>
      <c r="J393" s="60">
        <v>850000.0</v>
      </c>
      <c r="K393" s="60" t="s">
        <v>42</v>
      </c>
      <c r="L393" s="58">
        <f t="shared" si="39"/>
        <v>650000</v>
      </c>
      <c r="M393" s="61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85"/>
      <c r="B394" s="86">
        <v>45574.0</v>
      </c>
      <c r="C394" s="17" t="s">
        <v>65</v>
      </c>
      <c r="D394" s="17" t="s">
        <v>64</v>
      </c>
      <c r="E394" s="17" t="s">
        <v>204</v>
      </c>
      <c r="F394" s="17" t="s">
        <v>205</v>
      </c>
      <c r="G394" s="87">
        <v>9000.0</v>
      </c>
      <c r="H394" s="58">
        <v>1125000.0</v>
      </c>
      <c r="I394" s="59" t="s">
        <v>42</v>
      </c>
      <c r="J394" s="60">
        <v>640000.0</v>
      </c>
      <c r="K394" s="60" t="s">
        <v>42</v>
      </c>
      <c r="L394" s="58">
        <f t="shared" si="39"/>
        <v>485000</v>
      </c>
      <c r="M394" s="61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85"/>
      <c r="B395" s="86">
        <v>45575.0</v>
      </c>
      <c r="C395" s="17" t="s">
        <v>65</v>
      </c>
      <c r="D395" s="17" t="s">
        <v>64</v>
      </c>
      <c r="E395" s="17" t="s">
        <v>106</v>
      </c>
      <c r="F395" s="17" t="s">
        <v>142</v>
      </c>
      <c r="G395" s="57">
        <v>0.0</v>
      </c>
      <c r="H395" s="31">
        <v>1500000.0</v>
      </c>
      <c r="I395" s="102" t="s">
        <v>42</v>
      </c>
      <c r="J395" s="101">
        <v>800000.0</v>
      </c>
      <c r="K395" s="60" t="s">
        <v>42</v>
      </c>
      <c r="L395" s="100">
        <f t="shared" si="39"/>
        <v>700000</v>
      </c>
      <c r="M395" s="61">
        <v>600000.0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85"/>
      <c r="B396" s="86">
        <v>45579.0</v>
      </c>
      <c r="C396" s="17" t="s">
        <v>206</v>
      </c>
      <c r="D396" s="17" t="s">
        <v>64</v>
      </c>
      <c r="E396" s="17" t="s">
        <v>71</v>
      </c>
      <c r="F396" s="17" t="s">
        <v>94</v>
      </c>
      <c r="G396" s="57">
        <v>8500.0</v>
      </c>
      <c r="H396" s="58">
        <v>1200000.0</v>
      </c>
      <c r="I396" s="59" t="s">
        <v>42</v>
      </c>
      <c r="J396" s="60">
        <v>640000.0</v>
      </c>
      <c r="K396" s="60" t="s">
        <v>42</v>
      </c>
      <c r="L396" s="58">
        <f t="shared" si="39"/>
        <v>560000</v>
      </c>
      <c r="M396" s="61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85"/>
      <c r="B397" s="86">
        <v>45580.0</v>
      </c>
      <c r="C397" s="17" t="s">
        <v>206</v>
      </c>
      <c r="D397" s="17" t="s">
        <v>64</v>
      </c>
      <c r="E397" s="17" t="s">
        <v>37</v>
      </c>
      <c r="F397" s="17" t="s">
        <v>36</v>
      </c>
      <c r="G397" s="57">
        <v>10000.0</v>
      </c>
      <c r="H397" s="58">
        <v>1500000.0</v>
      </c>
      <c r="I397" s="93" t="s">
        <v>44</v>
      </c>
      <c r="J397" s="60">
        <v>850000.0</v>
      </c>
      <c r="K397" s="60" t="s">
        <v>42</v>
      </c>
      <c r="L397" s="58">
        <f t="shared" si="39"/>
        <v>650000</v>
      </c>
      <c r="M397" s="61">
        <v>4783000.0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85"/>
      <c r="B398" s="86">
        <v>45583.0</v>
      </c>
      <c r="C398" s="17" t="s">
        <v>206</v>
      </c>
      <c r="D398" s="17" t="s">
        <v>64</v>
      </c>
      <c r="E398" s="17" t="s">
        <v>96</v>
      </c>
      <c r="F398" s="17" t="s">
        <v>76</v>
      </c>
      <c r="G398" s="87">
        <v>9000.0</v>
      </c>
      <c r="H398" s="101">
        <v>1350000.0</v>
      </c>
      <c r="I398" s="103" t="s">
        <v>42</v>
      </c>
      <c r="J398" s="104">
        <v>875000.0</v>
      </c>
      <c r="K398" s="60" t="s">
        <v>42</v>
      </c>
      <c r="L398" s="100">
        <f t="shared" si="39"/>
        <v>475000</v>
      </c>
      <c r="M398" s="61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85"/>
      <c r="B399" s="86">
        <v>45588.0</v>
      </c>
      <c r="C399" s="17" t="s">
        <v>206</v>
      </c>
      <c r="D399" s="17" t="s">
        <v>64</v>
      </c>
      <c r="E399" s="17" t="s">
        <v>30</v>
      </c>
      <c r="F399" s="17" t="s">
        <v>207</v>
      </c>
      <c r="G399" s="57">
        <v>10000.0</v>
      </c>
      <c r="H399" s="58">
        <v>1600000.0</v>
      </c>
      <c r="I399" s="93" t="s">
        <v>44</v>
      </c>
      <c r="J399" s="60">
        <v>975000.0</v>
      </c>
      <c r="K399" s="60" t="s">
        <v>42</v>
      </c>
      <c r="L399" s="100">
        <f t="shared" si="39"/>
        <v>625000</v>
      </c>
      <c r="M399" s="61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85"/>
      <c r="B400" s="86">
        <v>45589.0</v>
      </c>
      <c r="C400" s="17" t="s">
        <v>206</v>
      </c>
      <c r="D400" s="17" t="s">
        <v>64</v>
      </c>
      <c r="E400" s="17" t="s">
        <v>96</v>
      </c>
      <c r="F400" s="17" t="s">
        <v>208</v>
      </c>
      <c r="G400" s="57">
        <v>10000.0</v>
      </c>
      <c r="H400" s="61">
        <v>750000.0</v>
      </c>
      <c r="I400" s="97" t="s">
        <v>42</v>
      </c>
      <c r="J400" s="101">
        <v>425000.0</v>
      </c>
      <c r="K400" s="60" t="s">
        <v>42</v>
      </c>
      <c r="L400" s="100">
        <f t="shared" si="39"/>
        <v>325000</v>
      </c>
      <c r="M400" s="61">
        <v>3560000.0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85"/>
      <c r="B401" s="86">
        <v>45590.0</v>
      </c>
      <c r="C401" s="17" t="s">
        <v>206</v>
      </c>
      <c r="D401" s="17" t="s">
        <v>64</v>
      </c>
      <c r="E401" s="17" t="s">
        <v>37</v>
      </c>
      <c r="F401" s="17" t="s">
        <v>36</v>
      </c>
      <c r="G401" s="57">
        <v>10000.0</v>
      </c>
      <c r="H401" s="58">
        <v>1500000.0</v>
      </c>
      <c r="I401" s="93" t="s">
        <v>44</v>
      </c>
      <c r="J401" s="60">
        <v>850000.0</v>
      </c>
      <c r="K401" s="60" t="s">
        <v>42</v>
      </c>
      <c r="L401" s="100">
        <f t="shared" si="39"/>
        <v>650000</v>
      </c>
      <c r="M401" s="61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85"/>
      <c r="B402" s="86">
        <v>45593.0</v>
      </c>
      <c r="C402" s="17" t="s">
        <v>206</v>
      </c>
      <c r="D402" s="17" t="s">
        <v>64</v>
      </c>
      <c r="E402" s="17" t="s">
        <v>37</v>
      </c>
      <c r="F402" s="17" t="s">
        <v>36</v>
      </c>
      <c r="G402" s="57">
        <v>10000.0</v>
      </c>
      <c r="H402" s="58">
        <v>1500000.0</v>
      </c>
      <c r="I402" s="93" t="s">
        <v>44</v>
      </c>
      <c r="J402" s="60">
        <v>850000.0</v>
      </c>
      <c r="K402" s="60" t="s">
        <v>42</v>
      </c>
      <c r="L402" s="100">
        <f t="shared" si="39"/>
        <v>650000</v>
      </c>
      <c r="M402" s="61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85"/>
      <c r="B403" s="86">
        <v>45594.0</v>
      </c>
      <c r="C403" s="17" t="s">
        <v>206</v>
      </c>
      <c r="D403" s="17" t="s">
        <v>64</v>
      </c>
      <c r="E403" s="17" t="s">
        <v>40</v>
      </c>
      <c r="F403" s="17" t="s">
        <v>197</v>
      </c>
      <c r="G403" s="87">
        <v>10000.0</v>
      </c>
      <c r="H403" s="101">
        <v>1500000.0</v>
      </c>
      <c r="I403" s="93" t="s">
        <v>44</v>
      </c>
      <c r="J403" s="105">
        <v>750000.0</v>
      </c>
      <c r="K403" s="60" t="s">
        <v>42</v>
      </c>
      <c r="L403" s="100">
        <f t="shared" si="39"/>
        <v>750000</v>
      </c>
      <c r="M403" s="61">
        <v>1100000.0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85"/>
      <c r="B404" s="86">
        <v>45595.0</v>
      </c>
      <c r="C404" s="17" t="s">
        <v>206</v>
      </c>
      <c r="D404" s="17" t="s">
        <v>64</v>
      </c>
      <c r="E404" s="17" t="s">
        <v>37</v>
      </c>
      <c r="F404" s="17" t="s">
        <v>36</v>
      </c>
      <c r="G404" s="57">
        <v>10000.0</v>
      </c>
      <c r="H404" s="58">
        <v>1500000.0</v>
      </c>
      <c r="I404" s="93" t="s">
        <v>44</v>
      </c>
      <c r="J404" s="60">
        <v>850000.0</v>
      </c>
      <c r="K404" s="60" t="s">
        <v>44</v>
      </c>
      <c r="L404" s="100">
        <f t="shared" si="39"/>
        <v>650000</v>
      </c>
      <c r="M404" s="61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85"/>
      <c r="B405" s="86"/>
      <c r="C405" s="17"/>
      <c r="D405" s="17"/>
      <c r="E405" s="17"/>
      <c r="F405" s="17"/>
      <c r="G405" s="87"/>
      <c r="H405" s="101"/>
      <c r="I405" s="93"/>
      <c r="J405" s="105"/>
      <c r="K405" s="60"/>
      <c r="L405" s="100">
        <f t="shared" si="39"/>
        <v>0</v>
      </c>
      <c r="M405" s="61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1"/>
      <c r="B406" s="7"/>
      <c r="C406" s="17"/>
      <c r="D406" s="17"/>
      <c r="E406" s="17"/>
      <c r="F406" s="17"/>
      <c r="G406" s="57"/>
      <c r="H406" s="58"/>
      <c r="I406" s="59"/>
      <c r="J406" s="60"/>
      <c r="K406" s="60"/>
      <c r="L406" s="52">
        <f t="shared" ref="L406:M406" si="40">SUM(L390:L405)</f>
        <v>8630000</v>
      </c>
      <c r="M406" s="30">
        <f t="shared" si="40"/>
        <v>10043000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1"/>
      <c r="B407" s="7"/>
      <c r="C407" s="17"/>
      <c r="D407" s="17"/>
      <c r="E407" s="17"/>
      <c r="F407" s="17"/>
      <c r="G407" s="57"/>
      <c r="H407" s="58"/>
      <c r="I407" s="59"/>
      <c r="J407" s="60"/>
      <c r="K407" s="60"/>
      <c r="L407" s="33">
        <f>L406-M406</f>
        <v>-1413000</v>
      </c>
      <c r="M407" s="5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1"/>
      <c r="B408" s="7"/>
      <c r="C408" s="17"/>
      <c r="D408" s="17"/>
      <c r="E408" s="17"/>
      <c r="F408" s="17"/>
      <c r="G408" s="57"/>
      <c r="H408" s="58"/>
      <c r="I408" s="59"/>
      <c r="J408" s="60"/>
      <c r="K408" s="60"/>
      <c r="L408" s="17"/>
      <c r="M408" s="61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" t="s">
        <v>209</v>
      </c>
      <c r="B409" s="89" t="s">
        <v>0</v>
      </c>
      <c r="C409" s="89" t="s">
        <v>1</v>
      </c>
      <c r="D409" s="89" t="s">
        <v>2</v>
      </c>
      <c r="E409" s="90" t="s">
        <v>3</v>
      </c>
      <c r="F409" s="89" t="s">
        <v>4</v>
      </c>
      <c r="G409" s="91" t="s">
        <v>5</v>
      </c>
      <c r="H409" s="92" t="s">
        <v>6</v>
      </c>
      <c r="I409" s="92" t="s">
        <v>39</v>
      </c>
      <c r="J409" s="91" t="s">
        <v>7</v>
      </c>
      <c r="K409" s="91" t="s">
        <v>39</v>
      </c>
      <c r="L409" s="92" t="s">
        <v>8</v>
      </c>
      <c r="M409" s="92" t="s">
        <v>9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1" t="s">
        <v>210</v>
      </c>
      <c r="B410" s="86">
        <v>45597.0</v>
      </c>
      <c r="C410" s="17" t="s">
        <v>206</v>
      </c>
      <c r="D410" s="17" t="s">
        <v>64</v>
      </c>
      <c r="E410" s="17" t="s">
        <v>211</v>
      </c>
      <c r="F410" s="17" t="s">
        <v>109</v>
      </c>
      <c r="G410" s="87">
        <v>9000.0</v>
      </c>
      <c r="H410" s="101">
        <v>720000.0</v>
      </c>
      <c r="I410" s="59" t="s">
        <v>212</v>
      </c>
      <c r="J410" s="101">
        <v>350000.0</v>
      </c>
      <c r="K410" s="60" t="s">
        <v>42</v>
      </c>
      <c r="L410" s="100">
        <f t="shared" ref="L410:L423" si="41">H410-J410</f>
        <v>370000</v>
      </c>
      <c r="M410" s="61">
        <v>700000.0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1" t="s">
        <v>213</v>
      </c>
      <c r="B411" s="86">
        <v>45597.0</v>
      </c>
      <c r="C411" s="17" t="s">
        <v>206</v>
      </c>
      <c r="D411" s="17" t="s">
        <v>64</v>
      </c>
      <c r="E411" s="17" t="s">
        <v>96</v>
      </c>
      <c r="F411" s="17" t="s">
        <v>214</v>
      </c>
      <c r="G411" s="87">
        <v>9000.0</v>
      </c>
      <c r="H411" s="61">
        <v>1400000.0</v>
      </c>
      <c r="I411" s="96" t="s">
        <v>44</v>
      </c>
      <c r="J411" s="101">
        <v>900000.0</v>
      </c>
      <c r="K411" s="60" t="s">
        <v>212</v>
      </c>
      <c r="L411" s="100">
        <f t="shared" si="41"/>
        <v>500000</v>
      </c>
      <c r="M411" s="61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1" t="s">
        <v>215</v>
      </c>
      <c r="B412" s="86">
        <v>45600.0</v>
      </c>
      <c r="C412" s="17" t="s">
        <v>206</v>
      </c>
      <c r="D412" s="17" t="s">
        <v>64</v>
      </c>
      <c r="E412" s="17" t="s">
        <v>96</v>
      </c>
      <c r="F412" s="17" t="s">
        <v>197</v>
      </c>
      <c r="G412" s="87">
        <v>10000.0</v>
      </c>
      <c r="H412" s="101">
        <v>1500000.0</v>
      </c>
      <c r="I412" s="93" t="s">
        <v>44</v>
      </c>
      <c r="J412" s="105">
        <v>750000.0</v>
      </c>
      <c r="K412" s="60" t="s">
        <v>212</v>
      </c>
      <c r="L412" s="100">
        <f t="shared" si="41"/>
        <v>750000</v>
      </c>
      <c r="M412" s="61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1" t="s">
        <v>216</v>
      </c>
      <c r="B413" s="86">
        <v>45601.0</v>
      </c>
      <c r="C413" s="17" t="s">
        <v>206</v>
      </c>
      <c r="D413" s="17" t="s">
        <v>64</v>
      </c>
      <c r="E413" s="17" t="s">
        <v>217</v>
      </c>
      <c r="F413" s="17" t="s">
        <v>218</v>
      </c>
      <c r="G413" s="57"/>
      <c r="H413" s="58">
        <v>1350000.0</v>
      </c>
      <c r="I413" s="59" t="s">
        <v>212</v>
      </c>
      <c r="J413" s="60">
        <v>850000.0</v>
      </c>
      <c r="K413" s="60" t="s">
        <v>212</v>
      </c>
      <c r="L413" s="100">
        <f t="shared" si="41"/>
        <v>500000</v>
      </c>
      <c r="M413" s="61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1" t="s">
        <v>219</v>
      </c>
      <c r="B414" s="86">
        <v>45603.0</v>
      </c>
      <c r="C414" s="17" t="s">
        <v>206</v>
      </c>
      <c r="D414" s="17" t="s">
        <v>64</v>
      </c>
      <c r="E414" s="17" t="s">
        <v>71</v>
      </c>
      <c r="F414" s="17" t="s">
        <v>94</v>
      </c>
      <c r="G414" s="57">
        <v>8500.0</v>
      </c>
      <c r="H414" s="58">
        <v>1200000.0</v>
      </c>
      <c r="I414" s="59" t="s">
        <v>42</v>
      </c>
      <c r="J414" s="60">
        <v>640000.0</v>
      </c>
      <c r="K414" s="60" t="s">
        <v>212</v>
      </c>
      <c r="L414" s="100">
        <f t="shared" si="41"/>
        <v>560000</v>
      </c>
      <c r="M414" s="61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1" t="s">
        <v>220</v>
      </c>
      <c r="B415" s="86">
        <v>45604.0</v>
      </c>
      <c r="C415" s="17" t="s">
        <v>206</v>
      </c>
      <c r="D415" s="17" t="s">
        <v>64</v>
      </c>
      <c r="E415" s="17" t="s">
        <v>37</v>
      </c>
      <c r="F415" s="17" t="s">
        <v>36</v>
      </c>
      <c r="G415" s="57">
        <v>10000.0</v>
      </c>
      <c r="H415" s="58">
        <v>1500000.0</v>
      </c>
      <c r="I415" s="59" t="s">
        <v>44</v>
      </c>
      <c r="J415" s="60">
        <v>850000.0</v>
      </c>
      <c r="K415" s="60" t="s">
        <v>212</v>
      </c>
      <c r="L415" s="100">
        <f t="shared" si="41"/>
        <v>650000</v>
      </c>
      <c r="M415" s="61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1" t="s">
        <v>221</v>
      </c>
      <c r="B416" s="86">
        <v>45605.0</v>
      </c>
      <c r="C416" s="17" t="s">
        <v>206</v>
      </c>
      <c r="D416" s="17" t="s">
        <v>64</v>
      </c>
      <c r="E416" s="17" t="s">
        <v>37</v>
      </c>
      <c r="F416" s="17" t="s">
        <v>222</v>
      </c>
      <c r="G416" s="57">
        <v>9000.0</v>
      </c>
      <c r="H416" s="58">
        <v>1400000.0</v>
      </c>
      <c r="I416" s="59" t="s">
        <v>44</v>
      </c>
      <c r="J416" s="60">
        <v>900000.0</v>
      </c>
      <c r="K416" s="60" t="s">
        <v>212</v>
      </c>
      <c r="L416" s="100">
        <f t="shared" si="41"/>
        <v>500000</v>
      </c>
      <c r="M416" s="61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1" t="s">
        <v>223</v>
      </c>
      <c r="B417" s="86">
        <v>45607.0</v>
      </c>
      <c r="C417" s="17" t="s">
        <v>206</v>
      </c>
      <c r="D417" s="17" t="s">
        <v>64</v>
      </c>
      <c r="E417" s="17" t="s">
        <v>37</v>
      </c>
      <c r="F417" s="17" t="s">
        <v>36</v>
      </c>
      <c r="G417" s="57">
        <v>10000.0</v>
      </c>
      <c r="H417" s="58">
        <v>1500000.0</v>
      </c>
      <c r="I417" s="59" t="s">
        <v>44</v>
      </c>
      <c r="J417" s="60">
        <v>850000.0</v>
      </c>
      <c r="K417" s="60" t="s">
        <v>212</v>
      </c>
      <c r="L417" s="100">
        <f t="shared" si="41"/>
        <v>650000</v>
      </c>
      <c r="M417" s="61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1" t="s">
        <v>224</v>
      </c>
      <c r="B418" s="86">
        <v>45608.0</v>
      </c>
      <c r="C418" s="17" t="s">
        <v>206</v>
      </c>
      <c r="D418" s="17" t="s">
        <v>64</v>
      </c>
      <c r="E418" s="17" t="s">
        <v>96</v>
      </c>
      <c r="F418" s="17" t="s">
        <v>105</v>
      </c>
      <c r="G418" s="57">
        <v>10000.0</v>
      </c>
      <c r="H418" s="61">
        <v>750000.0</v>
      </c>
      <c r="I418" s="97" t="s">
        <v>42</v>
      </c>
      <c r="J418" s="104">
        <v>375000.0</v>
      </c>
      <c r="K418" s="60" t="s">
        <v>212</v>
      </c>
      <c r="L418" s="100">
        <f t="shared" si="41"/>
        <v>375000</v>
      </c>
      <c r="M418" s="61">
        <v>493500.0</v>
      </c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1" t="s">
        <v>225</v>
      </c>
      <c r="B419" s="86">
        <v>45609.0</v>
      </c>
      <c r="C419" s="17" t="s">
        <v>206</v>
      </c>
      <c r="D419" s="17" t="s">
        <v>64</v>
      </c>
      <c r="E419" s="17" t="s">
        <v>226</v>
      </c>
      <c r="F419" s="17" t="s">
        <v>227</v>
      </c>
      <c r="G419" s="57">
        <v>9000.0</v>
      </c>
      <c r="H419" s="58">
        <v>2520000.0</v>
      </c>
      <c r="I419" s="59" t="s">
        <v>44</v>
      </c>
      <c r="J419" s="60">
        <v>1500000.0</v>
      </c>
      <c r="K419" s="60" t="s">
        <v>44</v>
      </c>
      <c r="L419" s="100">
        <f t="shared" si="41"/>
        <v>1020000</v>
      </c>
      <c r="M419" s="61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1" t="s">
        <v>228</v>
      </c>
      <c r="B420" s="86">
        <v>45615.0</v>
      </c>
      <c r="C420" s="17" t="s">
        <v>206</v>
      </c>
      <c r="D420" s="17" t="s">
        <v>64</v>
      </c>
      <c r="E420" s="17" t="s">
        <v>30</v>
      </c>
      <c r="F420" s="17" t="s">
        <v>207</v>
      </c>
      <c r="G420" s="57">
        <v>10000.0</v>
      </c>
      <c r="H420" s="58">
        <v>1600000.0</v>
      </c>
      <c r="I420" s="93" t="s">
        <v>44</v>
      </c>
      <c r="J420" s="60">
        <v>975000.0</v>
      </c>
      <c r="K420" s="60" t="s">
        <v>212</v>
      </c>
      <c r="L420" s="100">
        <f t="shared" si="41"/>
        <v>625000</v>
      </c>
      <c r="M420" s="61">
        <v>1700000.0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1" t="s">
        <v>229</v>
      </c>
      <c r="B421" s="86">
        <v>45616.0</v>
      </c>
      <c r="C421" s="17" t="s">
        <v>206</v>
      </c>
      <c r="D421" s="17" t="s">
        <v>64</v>
      </c>
      <c r="E421" s="17" t="s">
        <v>37</v>
      </c>
      <c r="F421" s="17" t="s">
        <v>36</v>
      </c>
      <c r="G421" s="57">
        <v>10000.0</v>
      </c>
      <c r="H421" s="58">
        <v>1500000.0</v>
      </c>
      <c r="I421" s="59" t="s">
        <v>44</v>
      </c>
      <c r="J421" s="60">
        <v>850000.0</v>
      </c>
      <c r="K421" s="60" t="s">
        <v>212</v>
      </c>
      <c r="L421" s="100">
        <f t="shared" si="41"/>
        <v>650000</v>
      </c>
      <c r="M421" s="61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1" t="s">
        <v>230</v>
      </c>
      <c r="B422" s="86">
        <v>45617.0</v>
      </c>
      <c r="C422" s="17" t="s">
        <v>206</v>
      </c>
      <c r="D422" s="17" t="s">
        <v>64</v>
      </c>
      <c r="E422" s="17" t="s">
        <v>30</v>
      </c>
      <c r="F422" s="17" t="s">
        <v>105</v>
      </c>
      <c r="G422" s="57">
        <v>9000.0</v>
      </c>
      <c r="H422" s="58">
        <v>675000.0</v>
      </c>
      <c r="I422" s="59" t="s">
        <v>42</v>
      </c>
      <c r="J422" s="60">
        <v>350000.0</v>
      </c>
      <c r="K422" s="60" t="s">
        <v>212</v>
      </c>
      <c r="L422" s="100">
        <f t="shared" si="41"/>
        <v>325000</v>
      </c>
      <c r="M422" s="61">
        <v>150000.0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1" t="s">
        <v>231</v>
      </c>
      <c r="B423" s="86">
        <v>45621.0</v>
      </c>
      <c r="C423" s="17" t="s">
        <v>206</v>
      </c>
      <c r="D423" s="17" t="s">
        <v>64</v>
      </c>
      <c r="E423" s="17" t="s">
        <v>96</v>
      </c>
      <c r="F423" s="17" t="s">
        <v>36</v>
      </c>
      <c r="G423" s="57">
        <v>10000.0</v>
      </c>
      <c r="H423" s="58">
        <v>1500000.0</v>
      </c>
      <c r="I423" s="59" t="s">
        <v>44</v>
      </c>
      <c r="J423" s="60">
        <v>850000.0</v>
      </c>
      <c r="K423" s="60" t="s">
        <v>44</v>
      </c>
      <c r="L423" s="100">
        <f t="shared" si="41"/>
        <v>650000</v>
      </c>
      <c r="M423" s="61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1" t="s">
        <v>232</v>
      </c>
      <c r="B424" s="86">
        <v>45622.0</v>
      </c>
      <c r="C424" s="17" t="s">
        <v>206</v>
      </c>
      <c r="D424" s="17" t="s">
        <v>64</v>
      </c>
      <c r="E424" s="17" t="s">
        <v>37</v>
      </c>
      <c r="F424" s="17" t="s">
        <v>103</v>
      </c>
      <c r="G424" s="87">
        <v>10000.0</v>
      </c>
      <c r="H424" s="58">
        <v>750000.0</v>
      </c>
      <c r="I424" s="93" t="s">
        <v>44</v>
      </c>
      <c r="J424" s="101">
        <v>425000.0</v>
      </c>
      <c r="K424" s="60" t="s">
        <v>212</v>
      </c>
      <c r="L424" s="100">
        <f>'P AGIK (S 8903 UX)'!H17-'P AGIK (S 8903 UX)'!J17</f>
        <v>375000</v>
      </c>
      <c r="M424" s="61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1" t="s">
        <v>230</v>
      </c>
      <c r="B425" s="86">
        <v>45624.0</v>
      </c>
      <c r="C425" s="17" t="s">
        <v>206</v>
      </c>
      <c r="D425" s="17" t="s">
        <v>64</v>
      </c>
      <c r="E425" s="17" t="s">
        <v>96</v>
      </c>
      <c r="F425" s="17" t="s">
        <v>233</v>
      </c>
      <c r="G425" s="57">
        <v>9000.0</v>
      </c>
      <c r="H425" s="58">
        <v>1035000.0</v>
      </c>
      <c r="I425" s="59" t="s">
        <v>42</v>
      </c>
      <c r="J425" s="60">
        <v>600000.0</v>
      </c>
      <c r="K425" s="60" t="s">
        <v>212</v>
      </c>
      <c r="L425" s="100">
        <f t="shared" ref="L425:L427" si="42">H425-J425</f>
        <v>435000</v>
      </c>
      <c r="M425" s="61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1" t="s">
        <v>231</v>
      </c>
      <c r="B426" s="86">
        <v>45625.0</v>
      </c>
      <c r="C426" s="17" t="s">
        <v>206</v>
      </c>
      <c r="D426" s="17" t="s">
        <v>64</v>
      </c>
      <c r="E426" s="17" t="s">
        <v>30</v>
      </c>
      <c r="F426" s="17" t="s">
        <v>234</v>
      </c>
      <c r="G426" s="57">
        <v>10000.0</v>
      </c>
      <c r="H426" s="58">
        <v>1500000.0</v>
      </c>
      <c r="I426" s="59" t="s">
        <v>44</v>
      </c>
      <c r="J426" s="60">
        <v>975000.0</v>
      </c>
      <c r="K426" s="60" t="s">
        <v>212</v>
      </c>
      <c r="L426" s="100">
        <f t="shared" si="42"/>
        <v>525000</v>
      </c>
      <c r="M426" s="61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1" t="s">
        <v>232</v>
      </c>
      <c r="B427" s="86">
        <v>45626.0</v>
      </c>
      <c r="C427" s="17" t="s">
        <v>206</v>
      </c>
      <c r="D427" s="17" t="s">
        <v>64</v>
      </c>
      <c r="E427" s="17" t="s">
        <v>37</v>
      </c>
      <c r="F427" s="17" t="s">
        <v>36</v>
      </c>
      <c r="G427" s="57">
        <v>10000.0</v>
      </c>
      <c r="H427" s="58">
        <v>1500000.0</v>
      </c>
      <c r="I427" s="59" t="s">
        <v>44</v>
      </c>
      <c r="J427" s="60">
        <v>850000.0</v>
      </c>
      <c r="K427" s="60" t="s">
        <v>212</v>
      </c>
      <c r="L427" s="100">
        <f t="shared" si="42"/>
        <v>650000</v>
      </c>
      <c r="M427" s="61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1"/>
      <c r="B428" s="7"/>
      <c r="C428" s="17"/>
      <c r="D428" s="17"/>
      <c r="E428" s="17"/>
      <c r="F428" s="17"/>
      <c r="G428" s="57"/>
      <c r="H428" s="58"/>
      <c r="I428" s="59"/>
      <c r="J428" s="60"/>
      <c r="K428" s="60"/>
      <c r="L428" s="52">
        <f t="shared" ref="L428:M428" si="43">SUM(L410:L427)</f>
        <v>10110000</v>
      </c>
      <c r="M428" s="30">
        <f t="shared" si="43"/>
        <v>3043500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1"/>
      <c r="B429" s="7"/>
      <c r="C429" s="17"/>
      <c r="D429" s="17"/>
      <c r="E429" s="17"/>
      <c r="F429" s="17"/>
      <c r="G429" s="57"/>
      <c r="H429" s="58"/>
      <c r="I429" s="59"/>
      <c r="J429" s="60"/>
      <c r="K429" s="60"/>
      <c r="L429" s="33">
        <f>L428-M428</f>
        <v>7066500</v>
      </c>
      <c r="M429" s="5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1"/>
      <c r="B430" s="7"/>
      <c r="C430" s="17"/>
      <c r="D430" s="17"/>
      <c r="E430" s="17"/>
      <c r="F430" s="17"/>
      <c r="G430" s="57"/>
      <c r="H430" s="58"/>
      <c r="I430" s="59"/>
      <c r="J430" s="60"/>
      <c r="K430" s="60"/>
      <c r="L430" s="17"/>
      <c r="M430" s="61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" t="s">
        <v>209</v>
      </c>
      <c r="B431" s="89" t="s">
        <v>0</v>
      </c>
      <c r="C431" s="89" t="s">
        <v>1</v>
      </c>
      <c r="D431" s="89" t="s">
        <v>2</v>
      </c>
      <c r="E431" s="90" t="s">
        <v>3</v>
      </c>
      <c r="F431" s="89" t="s">
        <v>4</v>
      </c>
      <c r="G431" s="91" t="s">
        <v>5</v>
      </c>
      <c r="H431" s="92" t="s">
        <v>6</v>
      </c>
      <c r="I431" s="92" t="s">
        <v>39</v>
      </c>
      <c r="J431" s="91" t="s">
        <v>7</v>
      </c>
      <c r="K431" s="91" t="s">
        <v>39</v>
      </c>
      <c r="L431" s="92" t="s">
        <v>8</v>
      </c>
      <c r="M431" s="92" t="s">
        <v>9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1">
        <v>1.0</v>
      </c>
      <c r="B432" s="86">
        <v>45628.0</v>
      </c>
      <c r="C432" s="17" t="s">
        <v>206</v>
      </c>
      <c r="D432" s="17" t="s">
        <v>64</v>
      </c>
      <c r="E432" s="17" t="s">
        <v>40</v>
      </c>
      <c r="F432" s="17" t="s">
        <v>36</v>
      </c>
      <c r="G432" s="57">
        <v>10000.0</v>
      </c>
      <c r="H432" s="58">
        <v>1500000.0</v>
      </c>
      <c r="I432" s="59" t="s">
        <v>44</v>
      </c>
      <c r="J432" s="60">
        <v>850000.0</v>
      </c>
      <c r="K432" s="60" t="s">
        <v>42</v>
      </c>
      <c r="L432" s="100">
        <f t="shared" ref="L432:L454" si="44">H432-J432</f>
        <v>650000</v>
      </c>
      <c r="M432" s="106">
        <v>70000.0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1">
        <v>2.0</v>
      </c>
      <c r="B433" s="86">
        <v>45630.0</v>
      </c>
      <c r="C433" s="17" t="s">
        <v>206</v>
      </c>
      <c r="D433" s="17" t="s">
        <v>64</v>
      </c>
      <c r="E433" s="17" t="s">
        <v>37</v>
      </c>
      <c r="F433" s="17" t="s">
        <v>36</v>
      </c>
      <c r="G433" s="57">
        <v>10000.0</v>
      </c>
      <c r="H433" s="58">
        <v>1500000.0</v>
      </c>
      <c r="I433" s="59" t="s">
        <v>44</v>
      </c>
      <c r="J433" s="60">
        <v>850000.0</v>
      </c>
      <c r="K433" s="60" t="s">
        <v>42</v>
      </c>
      <c r="L433" s="100">
        <f t="shared" si="44"/>
        <v>650000</v>
      </c>
      <c r="M433" s="61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1">
        <v>3.0</v>
      </c>
      <c r="B434" s="86">
        <v>45631.0</v>
      </c>
      <c r="C434" s="17" t="s">
        <v>206</v>
      </c>
      <c r="D434" s="17" t="s">
        <v>64</v>
      </c>
      <c r="E434" s="17" t="s">
        <v>235</v>
      </c>
      <c r="F434" s="17" t="s">
        <v>227</v>
      </c>
      <c r="G434" s="57">
        <v>9000.0</v>
      </c>
      <c r="H434" s="107">
        <v>2394000.0</v>
      </c>
      <c r="I434" s="108" t="s">
        <v>44</v>
      </c>
      <c r="J434" s="60">
        <v>1500000.0</v>
      </c>
      <c r="K434" s="60" t="s">
        <v>42</v>
      </c>
      <c r="L434" s="100">
        <f t="shared" si="44"/>
        <v>894000</v>
      </c>
      <c r="M434" s="61">
        <v>50000.0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1">
        <v>4.0</v>
      </c>
      <c r="B435" s="86">
        <v>45632.0</v>
      </c>
      <c r="C435" s="17" t="s">
        <v>206</v>
      </c>
      <c r="D435" s="17" t="s">
        <v>64</v>
      </c>
      <c r="E435" s="17" t="s">
        <v>30</v>
      </c>
      <c r="F435" s="17" t="s">
        <v>236</v>
      </c>
      <c r="G435" s="57">
        <v>9000.0</v>
      </c>
      <c r="H435" s="58">
        <v>675000.0</v>
      </c>
      <c r="I435" s="59" t="s">
        <v>44</v>
      </c>
      <c r="J435" s="60">
        <v>375000.0</v>
      </c>
      <c r="K435" s="60" t="s">
        <v>42</v>
      </c>
      <c r="L435" s="100">
        <f t="shared" si="44"/>
        <v>300000</v>
      </c>
      <c r="M435" s="61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1">
        <v>5.0</v>
      </c>
      <c r="B436" s="86">
        <v>45635.0</v>
      </c>
      <c r="C436" s="17" t="s">
        <v>206</v>
      </c>
      <c r="D436" s="17" t="s">
        <v>64</v>
      </c>
      <c r="E436" s="17" t="s">
        <v>37</v>
      </c>
      <c r="F436" s="17" t="s">
        <v>36</v>
      </c>
      <c r="G436" s="57">
        <v>10000.0</v>
      </c>
      <c r="H436" s="58">
        <v>1500000.0</v>
      </c>
      <c r="I436" s="59" t="s">
        <v>44</v>
      </c>
      <c r="J436" s="60">
        <v>850000.0</v>
      </c>
      <c r="K436" s="60" t="s">
        <v>42</v>
      </c>
      <c r="L436" s="100">
        <f t="shared" si="44"/>
        <v>650000</v>
      </c>
      <c r="M436" s="61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1">
        <v>6.0</v>
      </c>
      <c r="B437" s="86">
        <v>45636.0</v>
      </c>
      <c r="C437" s="17" t="s">
        <v>206</v>
      </c>
      <c r="D437" s="17" t="s">
        <v>64</v>
      </c>
      <c r="E437" s="17" t="s">
        <v>40</v>
      </c>
      <c r="F437" s="17" t="s">
        <v>237</v>
      </c>
      <c r="G437" s="57">
        <v>10000.0</v>
      </c>
      <c r="H437" s="58">
        <v>1500000.0</v>
      </c>
      <c r="I437" s="108" t="s">
        <v>238</v>
      </c>
      <c r="J437" s="60">
        <v>950000.0</v>
      </c>
      <c r="K437" s="60" t="s">
        <v>42</v>
      </c>
      <c r="L437" s="100">
        <f t="shared" si="44"/>
        <v>550000</v>
      </c>
      <c r="M437" s="61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1">
        <v>7.0</v>
      </c>
      <c r="B438" s="86">
        <v>45637.0</v>
      </c>
      <c r="C438" s="17" t="s">
        <v>206</v>
      </c>
      <c r="D438" s="17" t="s">
        <v>64</v>
      </c>
      <c r="E438" s="17" t="s">
        <v>37</v>
      </c>
      <c r="F438" s="17" t="s">
        <v>36</v>
      </c>
      <c r="G438" s="57">
        <v>10000.0</v>
      </c>
      <c r="H438" s="58">
        <v>1500000.0</v>
      </c>
      <c r="I438" s="108" t="s">
        <v>44</v>
      </c>
      <c r="J438" s="60">
        <v>850000.0</v>
      </c>
      <c r="K438" s="60" t="s">
        <v>44</v>
      </c>
      <c r="L438" s="100">
        <f t="shared" si="44"/>
        <v>650000</v>
      </c>
      <c r="M438" s="61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1">
        <v>8.0</v>
      </c>
      <c r="B439" s="86">
        <v>45638.0</v>
      </c>
      <c r="C439" s="17" t="s">
        <v>206</v>
      </c>
      <c r="D439" s="17" t="s">
        <v>64</v>
      </c>
      <c r="E439" s="17" t="s">
        <v>37</v>
      </c>
      <c r="F439" s="17" t="s">
        <v>36</v>
      </c>
      <c r="G439" s="57">
        <v>10000.0</v>
      </c>
      <c r="H439" s="58">
        <v>1500000.0</v>
      </c>
      <c r="I439" s="108" t="s">
        <v>44</v>
      </c>
      <c r="J439" s="60">
        <v>850000.0</v>
      </c>
      <c r="K439" s="109" t="s">
        <v>44</v>
      </c>
      <c r="L439" s="100">
        <f t="shared" si="44"/>
        <v>650000</v>
      </c>
      <c r="M439" s="61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1">
        <v>9.0</v>
      </c>
      <c r="B440" s="86">
        <v>45639.0</v>
      </c>
      <c r="C440" s="17" t="s">
        <v>206</v>
      </c>
      <c r="D440" s="17" t="s">
        <v>64</v>
      </c>
      <c r="E440" s="17" t="s">
        <v>37</v>
      </c>
      <c r="F440" s="98" t="s">
        <v>239</v>
      </c>
      <c r="G440" s="110">
        <v>9000.0</v>
      </c>
      <c r="H440" s="25">
        <v>1200000.0</v>
      </c>
      <c r="I440" s="111" t="s">
        <v>42</v>
      </c>
      <c r="J440" s="27">
        <v>640000.0</v>
      </c>
      <c r="K440" s="109" t="s">
        <v>42</v>
      </c>
      <c r="L440" s="100">
        <f t="shared" si="44"/>
        <v>560000</v>
      </c>
      <c r="M440" s="61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1">
        <v>10.0</v>
      </c>
      <c r="B441" s="86">
        <v>45640.0</v>
      </c>
      <c r="C441" s="17" t="s">
        <v>206</v>
      </c>
      <c r="D441" s="17" t="s">
        <v>64</v>
      </c>
      <c r="E441" s="17" t="s">
        <v>37</v>
      </c>
      <c r="F441" s="98" t="s">
        <v>36</v>
      </c>
      <c r="G441" s="110">
        <v>10000.0</v>
      </c>
      <c r="H441" s="107">
        <v>1500000.0</v>
      </c>
      <c r="I441" s="108" t="s">
        <v>44</v>
      </c>
      <c r="J441" s="109">
        <v>850000.0</v>
      </c>
      <c r="K441" s="109" t="s">
        <v>240</v>
      </c>
      <c r="L441" s="100">
        <f t="shared" si="44"/>
        <v>650000</v>
      </c>
      <c r="M441" s="61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1">
        <v>11.0</v>
      </c>
      <c r="B442" s="112">
        <v>45642.0</v>
      </c>
      <c r="C442" s="17" t="s">
        <v>206</v>
      </c>
      <c r="D442" s="17" t="s">
        <v>64</v>
      </c>
      <c r="E442" s="98" t="s">
        <v>37</v>
      </c>
      <c r="F442" s="98" t="s">
        <v>237</v>
      </c>
      <c r="G442" s="110">
        <v>10000.0</v>
      </c>
      <c r="H442" s="113">
        <v>1500000.0</v>
      </c>
      <c r="I442" s="108" t="s">
        <v>238</v>
      </c>
      <c r="J442" s="109">
        <v>950000.0</v>
      </c>
      <c r="K442" s="109" t="s">
        <v>212</v>
      </c>
      <c r="L442" s="100">
        <f t="shared" si="44"/>
        <v>550000</v>
      </c>
      <c r="M442" s="61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1">
        <v>12.0</v>
      </c>
      <c r="B443" s="112">
        <v>45643.0</v>
      </c>
      <c r="C443" s="17" t="s">
        <v>206</v>
      </c>
      <c r="D443" s="17" t="s">
        <v>64</v>
      </c>
      <c r="E443" s="98" t="s">
        <v>40</v>
      </c>
      <c r="F443" s="98" t="s">
        <v>241</v>
      </c>
      <c r="G443" s="110">
        <v>9010.0</v>
      </c>
      <c r="H443" s="58">
        <v>1035000.0</v>
      </c>
      <c r="I443" s="108" t="s">
        <v>212</v>
      </c>
      <c r="J443" s="60">
        <v>600000.0</v>
      </c>
      <c r="K443" s="109" t="s">
        <v>212</v>
      </c>
      <c r="L443" s="100">
        <f t="shared" si="44"/>
        <v>435000</v>
      </c>
      <c r="M443" s="61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1">
        <v>13.0</v>
      </c>
      <c r="B444" s="112">
        <v>45644.0</v>
      </c>
      <c r="C444" s="17" t="s">
        <v>206</v>
      </c>
      <c r="D444" s="17" t="s">
        <v>64</v>
      </c>
      <c r="E444" s="98" t="s">
        <v>40</v>
      </c>
      <c r="F444" s="98" t="s">
        <v>237</v>
      </c>
      <c r="G444" s="110">
        <v>10010.0</v>
      </c>
      <c r="H444" s="113">
        <v>1500000.0</v>
      </c>
      <c r="I444" s="108" t="s">
        <v>238</v>
      </c>
      <c r="J444" s="109">
        <v>950000.0</v>
      </c>
      <c r="K444" s="109" t="s">
        <v>212</v>
      </c>
      <c r="L444" s="100">
        <f t="shared" si="44"/>
        <v>550000</v>
      </c>
      <c r="M444" s="106">
        <v>205000.0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1">
        <v>14.0</v>
      </c>
      <c r="B445" s="112">
        <v>45645.0</v>
      </c>
      <c r="C445" s="17" t="s">
        <v>206</v>
      </c>
      <c r="D445" s="17" t="s">
        <v>64</v>
      </c>
      <c r="E445" s="98" t="s">
        <v>242</v>
      </c>
      <c r="F445" s="98" t="s">
        <v>36</v>
      </c>
      <c r="G445" s="110">
        <v>10000.0</v>
      </c>
      <c r="H445" s="107">
        <v>1500000.0</v>
      </c>
      <c r="I445" s="108" t="s">
        <v>238</v>
      </c>
      <c r="J445" s="109">
        <v>850000.0</v>
      </c>
      <c r="K445" s="109" t="s">
        <v>212</v>
      </c>
      <c r="L445" s="100">
        <f t="shared" si="44"/>
        <v>650000</v>
      </c>
      <c r="M445" s="61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1">
        <v>15.0</v>
      </c>
      <c r="B446" s="112">
        <v>45646.0</v>
      </c>
      <c r="C446" s="17" t="s">
        <v>206</v>
      </c>
      <c r="D446" s="17" t="s">
        <v>64</v>
      </c>
      <c r="E446" s="98" t="s">
        <v>243</v>
      </c>
      <c r="F446" s="98" t="s">
        <v>244</v>
      </c>
      <c r="G446" s="57">
        <v>9000.0</v>
      </c>
      <c r="H446" s="114">
        <v>800000.0</v>
      </c>
      <c r="I446" s="115" t="s">
        <v>212</v>
      </c>
      <c r="J446" s="61">
        <v>400000.0</v>
      </c>
      <c r="K446" s="109" t="s">
        <v>212</v>
      </c>
      <c r="L446" s="100">
        <f t="shared" si="44"/>
        <v>400000</v>
      </c>
      <c r="M446" s="61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1">
        <v>16.0</v>
      </c>
      <c r="B447" s="112">
        <v>45647.0</v>
      </c>
      <c r="C447" s="17" t="s">
        <v>206</v>
      </c>
      <c r="D447" s="17" t="s">
        <v>64</v>
      </c>
      <c r="E447" s="98" t="s">
        <v>242</v>
      </c>
      <c r="F447" s="98" t="s">
        <v>36</v>
      </c>
      <c r="G447" s="110">
        <v>10000.0</v>
      </c>
      <c r="H447" s="107">
        <v>1500000.0</v>
      </c>
      <c r="I447" s="108" t="s">
        <v>238</v>
      </c>
      <c r="J447" s="109">
        <v>850000.0</v>
      </c>
      <c r="K447" s="109" t="s">
        <v>212</v>
      </c>
      <c r="L447" s="100">
        <f t="shared" si="44"/>
        <v>650000</v>
      </c>
      <c r="M447" s="61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1">
        <v>17.0</v>
      </c>
      <c r="B448" s="112">
        <v>45649.0</v>
      </c>
      <c r="C448" s="17" t="s">
        <v>206</v>
      </c>
      <c r="D448" s="17" t="s">
        <v>64</v>
      </c>
      <c r="E448" s="98" t="s">
        <v>242</v>
      </c>
      <c r="F448" s="98" t="s">
        <v>245</v>
      </c>
      <c r="G448" s="110">
        <v>9000.0</v>
      </c>
      <c r="H448" s="104">
        <v>765000.0</v>
      </c>
      <c r="I448" s="115" t="s">
        <v>238</v>
      </c>
      <c r="J448" s="104">
        <v>450000.0</v>
      </c>
      <c r="K448" s="109" t="s">
        <v>212</v>
      </c>
      <c r="L448" s="100">
        <f t="shared" si="44"/>
        <v>315000</v>
      </c>
      <c r="M448" s="116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1">
        <v>18.0</v>
      </c>
      <c r="B449" s="112">
        <v>45650.0</v>
      </c>
      <c r="C449" s="17" t="s">
        <v>206</v>
      </c>
      <c r="D449" s="17" t="s">
        <v>64</v>
      </c>
      <c r="E449" s="98" t="s">
        <v>242</v>
      </c>
      <c r="F449" s="98" t="s">
        <v>246</v>
      </c>
      <c r="G449" s="110">
        <v>10000.0</v>
      </c>
      <c r="H449" s="107">
        <v>675000.0</v>
      </c>
      <c r="I449" s="115" t="s">
        <v>238</v>
      </c>
      <c r="J449" s="109">
        <v>375000.0</v>
      </c>
      <c r="K449" s="109" t="s">
        <v>212</v>
      </c>
      <c r="L449" s="100">
        <f t="shared" si="44"/>
        <v>300000</v>
      </c>
      <c r="M449" s="116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1">
        <v>19.0</v>
      </c>
      <c r="B450" s="112">
        <v>45650.0</v>
      </c>
      <c r="C450" s="17" t="s">
        <v>206</v>
      </c>
      <c r="D450" s="17" t="s">
        <v>64</v>
      </c>
      <c r="E450" s="98" t="s">
        <v>243</v>
      </c>
      <c r="F450" s="98" t="s">
        <v>237</v>
      </c>
      <c r="G450" s="110">
        <v>10000.0</v>
      </c>
      <c r="H450" s="58">
        <v>1500000.0</v>
      </c>
      <c r="I450" s="108" t="s">
        <v>238</v>
      </c>
      <c r="J450" s="60">
        <v>950000.0</v>
      </c>
      <c r="K450" s="109" t="s">
        <v>212</v>
      </c>
      <c r="L450" s="100">
        <f t="shared" si="44"/>
        <v>550000</v>
      </c>
      <c r="M450" s="61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1">
        <v>20.0</v>
      </c>
      <c r="B451" s="112">
        <v>45652.0</v>
      </c>
      <c r="C451" s="17" t="s">
        <v>206</v>
      </c>
      <c r="D451" s="17" t="s">
        <v>64</v>
      </c>
      <c r="E451" s="98" t="s">
        <v>242</v>
      </c>
      <c r="F451" s="98" t="s">
        <v>246</v>
      </c>
      <c r="G451" s="110">
        <v>10000.0</v>
      </c>
      <c r="H451" s="107">
        <v>675000.0</v>
      </c>
      <c r="I451" s="115" t="s">
        <v>238</v>
      </c>
      <c r="J451" s="109">
        <v>375000.0</v>
      </c>
      <c r="K451" s="109" t="s">
        <v>212</v>
      </c>
      <c r="L451" s="100">
        <f t="shared" si="44"/>
        <v>300000</v>
      </c>
      <c r="M451" s="61"/>
      <c r="N451" s="117" t="s">
        <v>247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1">
        <v>21.0</v>
      </c>
      <c r="B452" s="112">
        <v>45652.0</v>
      </c>
      <c r="C452" s="17" t="s">
        <v>206</v>
      </c>
      <c r="D452" s="17" t="s">
        <v>64</v>
      </c>
      <c r="E452" s="98" t="s">
        <v>248</v>
      </c>
      <c r="F452" s="98" t="s">
        <v>36</v>
      </c>
      <c r="G452" s="57"/>
      <c r="H452" s="107"/>
      <c r="I452" s="59"/>
      <c r="J452" s="109"/>
      <c r="K452" s="109"/>
      <c r="L452" s="100">
        <f t="shared" si="44"/>
        <v>0</v>
      </c>
      <c r="M452" s="106">
        <v>110000.0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1">
        <v>22.0</v>
      </c>
      <c r="B453" s="112">
        <v>45653.0</v>
      </c>
      <c r="C453" s="17" t="s">
        <v>206</v>
      </c>
      <c r="D453" s="17" t="s">
        <v>64</v>
      </c>
      <c r="E453" s="98" t="s">
        <v>243</v>
      </c>
      <c r="F453" s="98" t="s">
        <v>249</v>
      </c>
      <c r="G453" s="110">
        <v>10000.0</v>
      </c>
      <c r="H453" s="107">
        <v>1550000.0</v>
      </c>
      <c r="I453" s="115" t="s">
        <v>212</v>
      </c>
      <c r="J453" s="60">
        <v>900000.0</v>
      </c>
      <c r="K453" s="109" t="s">
        <v>212</v>
      </c>
      <c r="L453" s="100">
        <f t="shared" si="44"/>
        <v>650000</v>
      </c>
      <c r="M453" s="61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1">
        <v>23.0</v>
      </c>
      <c r="B454" s="112">
        <v>45654.0</v>
      </c>
      <c r="C454" s="17" t="s">
        <v>206</v>
      </c>
      <c r="D454" s="17" t="s">
        <v>64</v>
      </c>
      <c r="E454" s="98" t="s">
        <v>250</v>
      </c>
      <c r="F454" s="98" t="s">
        <v>251</v>
      </c>
      <c r="G454" s="110">
        <v>10000.0</v>
      </c>
      <c r="H454" s="107">
        <v>900000.0</v>
      </c>
      <c r="I454" s="108" t="s">
        <v>238</v>
      </c>
      <c r="J454" s="109">
        <v>500000.0</v>
      </c>
      <c r="K454" s="109" t="s">
        <v>212</v>
      </c>
      <c r="L454" s="100">
        <f t="shared" si="44"/>
        <v>400000</v>
      </c>
      <c r="M454" s="61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18"/>
      <c r="B455" s="7"/>
      <c r="C455" s="17"/>
      <c r="D455" s="17"/>
      <c r="E455" s="17"/>
      <c r="F455" s="17"/>
      <c r="G455" s="57"/>
      <c r="H455" s="58"/>
      <c r="I455" s="59"/>
      <c r="J455" s="60"/>
      <c r="K455" s="60"/>
      <c r="L455" s="52">
        <f>SUM(L432:L447)</f>
        <v>9439000</v>
      </c>
      <c r="M455" s="30">
        <f>SUM(M432:M454)</f>
        <v>435000</v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1"/>
      <c r="B456" s="117" t="s">
        <v>24</v>
      </c>
      <c r="C456" s="17"/>
      <c r="D456" s="17"/>
      <c r="E456" s="17"/>
      <c r="F456" s="17"/>
      <c r="G456" s="57"/>
      <c r="H456" s="58"/>
      <c r="I456" s="59"/>
      <c r="J456" s="60"/>
      <c r="K456" s="60"/>
      <c r="L456" s="33">
        <f>L455-M455</f>
        <v>9004000</v>
      </c>
      <c r="M456" s="5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1"/>
      <c r="B457" s="7"/>
      <c r="C457" s="17"/>
      <c r="D457" s="17"/>
      <c r="E457" s="17"/>
      <c r="F457" s="17"/>
      <c r="G457" s="57"/>
      <c r="H457" s="116"/>
      <c r="I457" s="59"/>
      <c r="J457" s="60"/>
      <c r="K457" s="60"/>
      <c r="L457" s="17"/>
      <c r="M457" s="61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89" t="s">
        <v>209</v>
      </c>
      <c r="B458" s="89" t="s">
        <v>0</v>
      </c>
      <c r="C458" s="89" t="s">
        <v>1</v>
      </c>
      <c r="D458" s="89" t="s">
        <v>2</v>
      </c>
      <c r="E458" s="90" t="s">
        <v>3</v>
      </c>
      <c r="F458" s="89" t="s">
        <v>4</v>
      </c>
      <c r="G458" s="91" t="s">
        <v>5</v>
      </c>
      <c r="H458" s="119" t="s">
        <v>6</v>
      </c>
      <c r="I458" s="92" t="s">
        <v>39</v>
      </c>
      <c r="J458" s="119" t="s">
        <v>7</v>
      </c>
      <c r="K458" s="91" t="s">
        <v>39</v>
      </c>
      <c r="L458" s="92" t="s">
        <v>8</v>
      </c>
      <c r="M458" s="120" t="s">
        <v>9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1">
        <v>1.0</v>
      </c>
      <c r="B459" s="112">
        <v>45659.0</v>
      </c>
      <c r="C459" s="17" t="s">
        <v>206</v>
      </c>
      <c r="D459" s="17" t="s">
        <v>64</v>
      </c>
      <c r="E459" s="98" t="s">
        <v>252</v>
      </c>
      <c r="F459" s="98" t="s">
        <v>253</v>
      </c>
      <c r="G459" s="57">
        <v>9000.0</v>
      </c>
      <c r="H459" s="107">
        <v>2870000.0</v>
      </c>
      <c r="I459" s="108" t="s">
        <v>238</v>
      </c>
      <c r="J459" s="60">
        <v>1500000.0</v>
      </c>
      <c r="K459" s="109" t="s">
        <v>212</v>
      </c>
      <c r="L459" s="58">
        <f t="shared" ref="L459:L478" si="45">H459-J459</f>
        <v>1370000</v>
      </c>
      <c r="M459" s="104"/>
      <c r="N459" s="11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18">
        <v>2.0</v>
      </c>
      <c r="B460" s="112">
        <v>45661.0</v>
      </c>
      <c r="C460" s="17" t="s">
        <v>206</v>
      </c>
      <c r="D460" s="17" t="s">
        <v>64</v>
      </c>
      <c r="E460" s="17" t="s">
        <v>37</v>
      </c>
      <c r="F460" s="98" t="s">
        <v>36</v>
      </c>
      <c r="G460" s="110">
        <v>10000.0</v>
      </c>
      <c r="H460" s="107">
        <v>1500000.0</v>
      </c>
      <c r="I460" s="108" t="s">
        <v>238</v>
      </c>
      <c r="J460" s="109">
        <v>850000.0</v>
      </c>
      <c r="K460" s="109" t="s">
        <v>212</v>
      </c>
      <c r="L460" s="58">
        <f t="shared" si="45"/>
        <v>650000</v>
      </c>
      <c r="M460" s="61"/>
      <c r="N460" s="11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18">
        <v>3.0</v>
      </c>
      <c r="B461" s="112">
        <v>45663.0</v>
      </c>
      <c r="C461" s="17" t="s">
        <v>206</v>
      </c>
      <c r="D461" s="17" t="s">
        <v>64</v>
      </c>
      <c r="E461" s="98" t="s">
        <v>254</v>
      </c>
      <c r="F461" s="98" t="s">
        <v>255</v>
      </c>
      <c r="G461" s="110">
        <v>10000.0</v>
      </c>
      <c r="H461" s="58">
        <v>1500000.0</v>
      </c>
      <c r="I461" s="108" t="s">
        <v>238</v>
      </c>
      <c r="J461" s="60">
        <v>950000.0</v>
      </c>
      <c r="K461" s="109" t="s">
        <v>212</v>
      </c>
      <c r="L461" s="58">
        <f t="shared" si="45"/>
        <v>550000</v>
      </c>
      <c r="M461" s="61"/>
      <c r="N461" s="11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18">
        <v>4.0</v>
      </c>
      <c r="B462" s="112">
        <v>45664.0</v>
      </c>
      <c r="C462" s="17" t="s">
        <v>206</v>
      </c>
      <c r="D462" s="17" t="s">
        <v>64</v>
      </c>
      <c r="E462" s="98" t="s">
        <v>256</v>
      </c>
      <c r="F462" s="98" t="s">
        <v>257</v>
      </c>
      <c r="G462" s="110">
        <v>8500.0</v>
      </c>
      <c r="H462" s="121">
        <v>1200000.0</v>
      </c>
      <c r="I462" s="115" t="s">
        <v>212</v>
      </c>
      <c r="J462" s="104">
        <f>640000+25000</f>
        <v>665000</v>
      </c>
      <c r="K462" s="109" t="s">
        <v>212</v>
      </c>
      <c r="L462" s="58">
        <f t="shared" si="45"/>
        <v>535000</v>
      </c>
      <c r="M462" s="106">
        <v>691000.0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18">
        <v>5.0</v>
      </c>
      <c r="B463" s="112">
        <v>45667.0</v>
      </c>
      <c r="C463" s="17" t="s">
        <v>206</v>
      </c>
      <c r="D463" s="17" t="s">
        <v>64</v>
      </c>
      <c r="E463" s="98" t="s">
        <v>252</v>
      </c>
      <c r="F463" s="98" t="s">
        <v>258</v>
      </c>
      <c r="G463" s="110">
        <v>10000.0</v>
      </c>
      <c r="H463" s="106">
        <v>3000000.0</v>
      </c>
      <c r="I463" s="115" t="s">
        <v>238</v>
      </c>
      <c r="J463" s="61">
        <v>1600000.0</v>
      </c>
      <c r="K463" s="109" t="s">
        <v>212</v>
      </c>
      <c r="L463" s="58">
        <f t="shared" si="45"/>
        <v>1400000</v>
      </c>
      <c r="M463" s="61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18">
        <v>6.0</v>
      </c>
      <c r="B464" s="112">
        <v>45670.0</v>
      </c>
      <c r="C464" s="17" t="s">
        <v>206</v>
      </c>
      <c r="D464" s="17" t="s">
        <v>64</v>
      </c>
      <c r="E464" s="98" t="s">
        <v>242</v>
      </c>
      <c r="F464" s="98" t="s">
        <v>259</v>
      </c>
      <c r="G464" s="110">
        <v>10000.0</v>
      </c>
      <c r="H464" s="107">
        <v>1500000.0</v>
      </c>
      <c r="I464" s="108" t="s">
        <v>238</v>
      </c>
      <c r="J464" s="109">
        <v>850000.0</v>
      </c>
      <c r="K464" s="109" t="s">
        <v>212</v>
      </c>
      <c r="L464" s="58">
        <f t="shared" si="45"/>
        <v>650000</v>
      </c>
      <c r="M464" s="61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18">
        <v>7.0</v>
      </c>
      <c r="B465" s="112">
        <v>45671.0</v>
      </c>
      <c r="C465" s="17" t="s">
        <v>206</v>
      </c>
      <c r="D465" s="17" t="s">
        <v>64</v>
      </c>
      <c r="E465" s="98" t="s">
        <v>242</v>
      </c>
      <c r="F465" s="98" t="s">
        <v>259</v>
      </c>
      <c r="G465" s="110">
        <v>10000.0</v>
      </c>
      <c r="H465" s="107">
        <v>1500000.0</v>
      </c>
      <c r="I465" s="108" t="s">
        <v>238</v>
      </c>
      <c r="J465" s="109">
        <v>850000.0</v>
      </c>
      <c r="K465" s="109" t="s">
        <v>212</v>
      </c>
      <c r="L465" s="58">
        <f t="shared" si="45"/>
        <v>650000</v>
      </c>
      <c r="M465" s="61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18">
        <v>8.0</v>
      </c>
      <c r="B466" s="112">
        <v>45672.0</v>
      </c>
      <c r="C466" s="17" t="s">
        <v>206</v>
      </c>
      <c r="D466" s="17" t="s">
        <v>64</v>
      </c>
      <c r="E466" s="98" t="s">
        <v>256</v>
      </c>
      <c r="F466" s="98" t="s">
        <v>257</v>
      </c>
      <c r="G466" s="110">
        <v>8500.0</v>
      </c>
      <c r="H466" s="121">
        <v>1200000.0</v>
      </c>
      <c r="I466" s="115" t="s">
        <v>212</v>
      </c>
      <c r="J466" s="104">
        <f>640000+25000</f>
        <v>665000</v>
      </c>
      <c r="K466" s="109" t="s">
        <v>212</v>
      </c>
      <c r="L466" s="58">
        <f t="shared" si="45"/>
        <v>535000</v>
      </c>
      <c r="M466" s="61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18">
        <v>9.0</v>
      </c>
      <c r="B467" s="112">
        <v>45675.0</v>
      </c>
      <c r="C467" s="17" t="s">
        <v>206</v>
      </c>
      <c r="D467" s="17" t="s">
        <v>64</v>
      </c>
      <c r="E467" s="98" t="s">
        <v>242</v>
      </c>
      <c r="F467" s="98" t="s">
        <v>260</v>
      </c>
      <c r="G467" s="110">
        <v>10000.0</v>
      </c>
      <c r="H467" s="58">
        <v>1500000.0</v>
      </c>
      <c r="I467" s="108" t="s">
        <v>238</v>
      </c>
      <c r="J467" s="60">
        <v>950000.0</v>
      </c>
      <c r="K467" s="109" t="s">
        <v>238</v>
      </c>
      <c r="L467" s="58">
        <f t="shared" si="45"/>
        <v>550000</v>
      </c>
      <c r="M467" s="61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18">
        <v>10.0</v>
      </c>
      <c r="B468" s="112">
        <v>45677.0</v>
      </c>
      <c r="C468" s="17" t="s">
        <v>206</v>
      </c>
      <c r="D468" s="17" t="s">
        <v>64</v>
      </c>
      <c r="E468" s="98" t="s">
        <v>261</v>
      </c>
      <c r="F468" s="98" t="s">
        <v>259</v>
      </c>
      <c r="G468" s="110">
        <v>10000.0</v>
      </c>
      <c r="H468" s="107">
        <v>1500000.0</v>
      </c>
      <c r="I468" s="108" t="s">
        <v>238</v>
      </c>
      <c r="J468" s="109">
        <v>850000.0</v>
      </c>
      <c r="K468" s="109" t="s">
        <v>238</v>
      </c>
      <c r="L468" s="58">
        <f t="shared" si="45"/>
        <v>650000</v>
      </c>
      <c r="M468" s="106">
        <v>400000.0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18">
        <v>11.0</v>
      </c>
      <c r="B469" s="112">
        <v>45677.0</v>
      </c>
      <c r="C469" s="17" t="s">
        <v>206</v>
      </c>
      <c r="D469" s="17" t="s">
        <v>64</v>
      </c>
      <c r="E469" s="98" t="s">
        <v>262</v>
      </c>
      <c r="F469" s="98" t="s">
        <v>263</v>
      </c>
      <c r="G469" s="110">
        <v>0.0</v>
      </c>
      <c r="H469" s="107">
        <v>0.0</v>
      </c>
      <c r="I469" s="108"/>
      <c r="J469" s="109">
        <v>0.0</v>
      </c>
      <c r="K469" s="116"/>
      <c r="L469" s="58">
        <f t="shared" si="45"/>
        <v>0</v>
      </c>
      <c r="M469" s="61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18">
        <v>12.0</v>
      </c>
      <c r="B470" s="112">
        <v>45678.0</v>
      </c>
      <c r="C470" s="17" t="s">
        <v>206</v>
      </c>
      <c r="D470" s="17" t="s">
        <v>64</v>
      </c>
      <c r="E470" s="98" t="s">
        <v>243</v>
      </c>
      <c r="F470" s="98" t="s">
        <v>264</v>
      </c>
      <c r="G470" s="110">
        <v>10000.0</v>
      </c>
      <c r="H470" s="107">
        <v>1500000.0</v>
      </c>
      <c r="I470" s="108" t="s">
        <v>238</v>
      </c>
      <c r="J470" s="109">
        <v>950000.0</v>
      </c>
      <c r="K470" s="109" t="s">
        <v>212</v>
      </c>
      <c r="L470" s="58">
        <f t="shared" si="45"/>
        <v>550000</v>
      </c>
      <c r="M470" s="106">
        <v>40000.0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18">
        <v>13.0</v>
      </c>
      <c r="B471" s="112">
        <v>45679.0</v>
      </c>
      <c r="C471" s="17" t="s">
        <v>206</v>
      </c>
      <c r="D471" s="17" t="s">
        <v>64</v>
      </c>
      <c r="E471" s="98" t="s">
        <v>242</v>
      </c>
      <c r="F471" s="98" t="s">
        <v>259</v>
      </c>
      <c r="G471" s="110">
        <v>10000.0</v>
      </c>
      <c r="H471" s="107">
        <v>1500000.0</v>
      </c>
      <c r="I471" s="108" t="s">
        <v>238</v>
      </c>
      <c r="J471" s="109">
        <v>850000.0</v>
      </c>
      <c r="K471" s="109" t="s">
        <v>212</v>
      </c>
      <c r="L471" s="58">
        <f t="shared" si="45"/>
        <v>650000</v>
      </c>
      <c r="M471" s="61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18">
        <v>14.0</v>
      </c>
      <c r="B472" s="112">
        <v>45680.0</v>
      </c>
      <c r="C472" s="17" t="s">
        <v>206</v>
      </c>
      <c r="D472" s="17" t="s">
        <v>64</v>
      </c>
      <c r="E472" s="17" t="s">
        <v>265</v>
      </c>
      <c r="F472" s="17" t="s">
        <v>266</v>
      </c>
      <c r="G472" s="57">
        <v>9000.0</v>
      </c>
      <c r="H472" s="121">
        <v>750000.0</v>
      </c>
      <c r="I472" s="122" t="s">
        <v>212</v>
      </c>
      <c r="J472" s="104">
        <v>400000.0</v>
      </c>
      <c r="K472" s="109" t="s">
        <v>212</v>
      </c>
      <c r="L472" s="104">
        <f t="shared" si="45"/>
        <v>350000</v>
      </c>
      <c r="M472" s="61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18">
        <v>15.0</v>
      </c>
      <c r="B473" s="112">
        <v>45681.0</v>
      </c>
      <c r="C473" s="17" t="s">
        <v>206</v>
      </c>
      <c r="D473" s="98" t="s">
        <v>267</v>
      </c>
      <c r="E473" s="98" t="s">
        <v>242</v>
      </c>
      <c r="F473" s="123" t="s">
        <v>268</v>
      </c>
      <c r="G473" s="110">
        <v>9000.0</v>
      </c>
      <c r="H473" s="121">
        <v>1404000.0</v>
      </c>
      <c r="I473" s="108" t="s">
        <v>238</v>
      </c>
      <c r="J473" s="104">
        <v>850000.0</v>
      </c>
      <c r="K473" s="109" t="s">
        <v>212</v>
      </c>
      <c r="L473" s="58">
        <f t="shared" si="45"/>
        <v>554000</v>
      </c>
      <c r="M473" s="61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18">
        <v>16.0</v>
      </c>
      <c r="B474" s="112">
        <v>45682.0</v>
      </c>
      <c r="C474" s="17" t="s">
        <v>206</v>
      </c>
      <c r="D474" s="98" t="s">
        <v>267</v>
      </c>
      <c r="E474" s="98" t="s">
        <v>242</v>
      </c>
      <c r="F474" s="98" t="s">
        <v>214</v>
      </c>
      <c r="G474" s="57">
        <v>9000.0</v>
      </c>
      <c r="H474" s="58">
        <v>1400000.0</v>
      </c>
      <c r="I474" s="108" t="s">
        <v>238</v>
      </c>
      <c r="J474" s="60">
        <v>900000.0</v>
      </c>
      <c r="K474" s="109" t="s">
        <v>238</v>
      </c>
      <c r="L474" s="100">
        <f t="shared" si="45"/>
        <v>500000</v>
      </c>
      <c r="M474" s="61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18">
        <v>17.0</v>
      </c>
      <c r="B475" s="112">
        <v>45685.0</v>
      </c>
      <c r="C475" s="17" t="s">
        <v>206</v>
      </c>
      <c r="D475" s="98" t="s">
        <v>267</v>
      </c>
      <c r="E475" s="98" t="s">
        <v>261</v>
      </c>
      <c r="F475" s="98" t="s">
        <v>259</v>
      </c>
      <c r="G475" s="110">
        <v>10000.0</v>
      </c>
      <c r="H475" s="107">
        <v>1500000.0</v>
      </c>
      <c r="I475" s="108" t="s">
        <v>238</v>
      </c>
      <c r="J475" s="109">
        <v>850000.0</v>
      </c>
      <c r="K475" s="109" t="s">
        <v>212</v>
      </c>
      <c r="L475" s="58">
        <f t="shared" si="45"/>
        <v>650000</v>
      </c>
      <c r="M475" s="61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18">
        <v>18.0</v>
      </c>
      <c r="B476" s="112">
        <v>45687.0</v>
      </c>
      <c r="C476" s="17" t="s">
        <v>206</v>
      </c>
      <c r="D476" s="98" t="s">
        <v>267</v>
      </c>
      <c r="E476" s="98" t="s">
        <v>269</v>
      </c>
      <c r="F476" s="98" t="s">
        <v>270</v>
      </c>
      <c r="G476" s="110">
        <v>6000.0</v>
      </c>
      <c r="H476" s="121">
        <v>1400000.0</v>
      </c>
      <c r="I476" s="115" t="s">
        <v>238</v>
      </c>
      <c r="J476" s="121">
        <v>640000.0</v>
      </c>
      <c r="K476" s="109" t="s">
        <v>212</v>
      </c>
      <c r="L476" s="58">
        <f t="shared" si="45"/>
        <v>760000</v>
      </c>
      <c r="M476" s="61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18">
        <v>19.0</v>
      </c>
      <c r="B477" s="112">
        <v>45687.0</v>
      </c>
      <c r="C477" s="17" t="s">
        <v>206</v>
      </c>
      <c r="D477" s="98" t="s">
        <v>267</v>
      </c>
      <c r="E477" s="98" t="s">
        <v>80</v>
      </c>
      <c r="F477" s="98" t="s">
        <v>271</v>
      </c>
      <c r="G477" s="110">
        <v>9000.0</v>
      </c>
      <c r="H477" s="58">
        <v>675000.0</v>
      </c>
      <c r="I477" s="108" t="s">
        <v>238</v>
      </c>
      <c r="J477" s="60">
        <v>375000.0</v>
      </c>
      <c r="K477" s="109" t="s">
        <v>212</v>
      </c>
      <c r="L477" s="58">
        <f t="shared" si="45"/>
        <v>300000</v>
      </c>
      <c r="M477" s="106">
        <v>46000.0</v>
      </c>
      <c r="N477" s="11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18">
        <v>20.0</v>
      </c>
      <c r="B478" s="112">
        <v>45688.0</v>
      </c>
      <c r="C478" s="17" t="s">
        <v>206</v>
      </c>
      <c r="D478" s="98" t="s">
        <v>267</v>
      </c>
      <c r="E478" s="98" t="s">
        <v>123</v>
      </c>
      <c r="F478" s="98" t="s">
        <v>272</v>
      </c>
      <c r="G478" s="110">
        <v>9000.0</v>
      </c>
      <c r="H478" s="106">
        <v>850000.0</v>
      </c>
      <c r="I478" s="108" t="s">
        <v>238</v>
      </c>
      <c r="J478" s="121">
        <v>350000.0</v>
      </c>
      <c r="K478" s="109" t="s">
        <v>238</v>
      </c>
      <c r="L478" s="58">
        <f t="shared" si="45"/>
        <v>500000</v>
      </c>
      <c r="M478" s="61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18"/>
      <c r="B479" s="7"/>
      <c r="C479" s="17"/>
      <c r="D479" s="17"/>
      <c r="E479" s="17"/>
      <c r="F479" s="17"/>
      <c r="G479" s="57"/>
      <c r="H479" s="58"/>
      <c r="I479" s="59"/>
      <c r="J479" s="59"/>
      <c r="K479" s="60"/>
      <c r="L479" s="52">
        <f t="shared" ref="L479:M479" si="46">SUM(L456:L478)</f>
        <v>21358000</v>
      </c>
      <c r="M479" s="30">
        <f t="shared" si="46"/>
        <v>1177000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1"/>
      <c r="B480" s="7"/>
      <c r="C480" s="17"/>
      <c r="D480" s="17"/>
      <c r="E480" s="17"/>
      <c r="F480" s="17"/>
      <c r="G480" s="57"/>
      <c r="H480" s="58"/>
      <c r="I480" s="59"/>
      <c r="J480" s="60"/>
      <c r="K480" s="60"/>
      <c r="L480" s="33">
        <f>L479-M479</f>
        <v>20181000</v>
      </c>
      <c r="M480" s="26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1"/>
      <c r="B481" s="7"/>
      <c r="C481" s="17"/>
      <c r="D481" s="17"/>
      <c r="E481" s="17"/>
      <c r="F481" s="17"/>
      <c r="G481" s="57"/>
      <c r="H481" s="58"/>
      <c r="I481" s="59"/>
      <c r="J481" s="60"/>
      <c r="K481" s="60"/>
      <c r="L481" s="17"/>
      <c r="M481" s="61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89" t="s">
        <v>209</v>
      </c>
      <c r="B482" s="89" t="s">
        <v>0</v>
      </c>
      <c r="C482" s="89" t="s">
        <v>1</v>
      </c>
      <c r="D482" s="89" t="s">
        <v>2</v>
      </c>
      <c r="E482" s="90" t="s">
        <v>3</v>
      </c>
      <c r="F482" s="89" t="s">
        <v>4</v>
      </c>
      <c r="G482" s="91" t="s">
        <v>5</v>
      </c>
      <c r="H482" s="119" t="s">
        <v>6</v>
      </c>
      <c r="I482" s="92" t="s">
        <v>39</v>
      </c>
      <c r="J482" s="119" t="s">
        <v>7</v>
      </c>
      <c r="K482" s="91" t="s">
        <v>39</v>
      </c>
      <c r="L482" s="92" t="s">
        <v>8</v>
      </c>
      <c r="M482" s="120" t="s">
        <v>9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1">
        <v>1.0</v>
      </c>
      <c r="B483" s="112">
        <v>45689.0</v>
      </c>
      <c r="C483" s="17" t="s">
        <v>206</v>
      </c>
      <c r="D483" s="98" t="s">
        <v>267</v>
      </c>
      <c r="E483" s="98" t="s">
        <v>273</v>
      </c>
      <c r="F483" s="98" t="s">
        <v>274</v>
      </c>
      <c r="G483" s="110">
        <v>9000.0</v>
      </c>
      <c r="H483" s="121">
        <v>900000.0</v>
      </c>
      <c r="I483" s="108" t="s">
        <v>238</v>
      </c>
      <c r="J483" s="121">
        <v>425000.0</v>
      </c>
      <c r="K483" s="109" t="s">
        <v>238</v>
      </c>
      <c r="L483" s="124">
        <f t="shared" ref="L483:L498" si="47">H483-J483</f>
        <v>475000</v>
      </c>
      <c r="M483" s="121">
        <v>250000.0</v>
      </c>
      <c r="N483" s="9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18">
        <v>2.0</v>
      </c>
      <c r="B484" s="112">
        <v>45691.0</v>
      </c>
      <c r="C484" s="17" t="s">
        <v>206</v>
      </c>
      <c r="D484" s="98" t="s">
        <v>267</v>
      </c>
      <c r="E484" s="98" t="s">
        <v>273</v>
      </c>
      <c r="F484" s="98" t="s">
        <v>275</v>
      </c>
      <c r="G484" s="57">
        <v>10000.0</v>
      </c>
      <c r="H484" s="101">
        <v>1500000.0</v>
      </c>
      <c r="I484" s="125" t="s">
        <v>238</v>
      </c>
      <c r="J484" s="126">
        <v>775000.0</v>
      </c>
      <c r="K484" s="109" t="s">
        <v>238</v>
      </c>
      <c r="L484" s="127">
        <f t="shared" si="47"/>
        <v>725000</v>
      </c>
      <c r="M484" s="106">
        <v>500000.0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18">
        <v>3.0</v>
      </c>
      <c r="B485" s="112">
        <v>45691.0</v>
      </c>
      <c r="C485" s="17" t="s">
        <v>206</v>
      </c>
      <c r="D485" s="98" t="s">
        <v>267</v>
      </c>
      <c r="E485" s="98" t="s">
        <v>276</v>
      </c>
      <c r="F485" s="98" t="s">
        <v>277</v>
      </c>
      <c r="G485" s="110">
        <v>0.0</v>
      </c>
      <c r="H485" s="107">
        <v>0.0</v>
      </c>
      <c r="I485" s="108"/>
      <c r="J485" s="109">
        <v>0.0</v>
      </c>
      <c r="K485" s="116"/>
      <c r="L485" s="127">
        <f t="shared" si="47"/>
        <v>0</v>
      </c>
      <c r="M485" s="61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18">
        <v>4.0</v>
      </c>
      <c r="B486" s="112">
        <v>45693.0</v>
      </c>
      <c r="C486" s="17" t="s">
        <v>206</v>
      </c>
      <c r="D486" s="98" t="s">
        <v>267</v>
      </c>
      <c r="E486" s="98" t="s">
        <v>243</v>
      </c>
      <c r="F486" s="98" t="s">
        <v>257</v>
      </c>
      <c r="G486" s="110">
        <v>8500.0</v>
      </c>
      <c r="H486" s="128">
        <v>1200000.0</v>
      </c>
      <c r="I486" s="122" t="s">
        <v>212</v>
      </c>
      <c r="J486" s="105">
        <v>665000.0</v>
      </c>
      <c r="K486" s="109" t="s">
        <v>238</v>
      </c>
      <c r="L486" s="127">
        <f t="shared" si="47"/>
        <v>535000</v>
      </c>
      <c r="M486" s="61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18">
        <v>5.0</v>
      </c>
      <c r="B487" s="112">
        <v>45694.0</v>
      </c>
      <c r="C487" s="17" t="s">
        <v>206</v>
      </c>
      <c r="D487" s="98" t="s">
        <v>267</v>
      </c>
      <c r="E487" s="98" t="s">
        <v>254</v>
      </c>
      <c r="F487" s="98" t="s">
        <v>278</v>
      </c>
      <c r="G487" s="110">
        <v>10000.0</v>
      </c>
      <c r="H487" s="107">
        <v>750000.0</v>
      </c>
      <c r="I487" s="122" t="s">
        <v>212</v>
      </c>
      <c r="J487" s="109">
        <v>425000.0</v>
      </c>
      <c r="K487" s="109" t="s">
        <v>212</v>
      </c>
      <c r="L487" s="127">
        <f t="shared" si="47"/>
        <v>325000</v>
      </c>
      <c r="M487" s="61"/>
      <c r="N487" s="11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18">
        <v>6.0</v>
      </c>
      <c r="B488" s="112">
        <v>45696.0</v>
      </c>
      <c r="C488" s="17" t="s">
        <v>206</v>
      </c>
      <c r="D488" s="98" t="s">
        <v>267</v>
      </c>
      <c r="E488" s="98" t="s">
        <v>279</v>
      </c>
      <c r="F488" s="98" t="s">
        <v>264</v>
      </c>
      <c r="G488" s="110">
        <v>9000.0</v>
      </c>
      <c r="H488" s="107">
        <v>1350000.0</v>
      </c>
      <c r="I488" s="108" t="s">
        <v>238</v>
      </c>
      <c r="J488" s="109">
        <v>950000.0</v>
      </c>
      <c r="K488" s="109" t="s">
        <v>212</v>
      </c>
      <c r="L488" s="127">
        <f t="shared" si="47"/>
        <v>400000</v>
      </c>
      <c r="M488" s="106">
        <v>105000.0</v>
      </c>
      <c r="N488" s="11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18">
        <v>7.0</v>
      </c>
      <c r="B489" s="112">
        <v>45698.0</v>
      </c>
      <c r="C489" s="17" t="s">
        <v>206</v>
      </c>
      <c r="D489" s="98" t="s">
        <v>267</v>
      </c>
      <c r="E489" s="98" t="s">
        <v>280</v>
      </c>
      <c r="F489" s="98" t="s">
        <v>281</v>
      </c>
      <c r="G489" s="110">
        <v>9000.0</v>
      </c>
      <c r="H489" s="107">
        <v>1440000.0</v>
      </c>
      <c r="I489" s="108" t="s">
        <v>238</v>
      </c>
      <c r="J489" s="109">
        <v>900000.0</v>
      </c>
      <c r="K489" s="109" t="s">
        <v>212</v>
      </c>
      <c r="L489" s="127">
        <f t="shared" si="47"/>
        <v>540000</v>
      </c>
      <c r="M489" s="61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18">
        <v>8.0</v>
      </c>
      <c r="B490" s="112">
        <v>45699.0</v>
      </c>
      <c r="C490" s="17" t="s">
        <v>206</v>
      </c>
      <c r="D490" s="98" t="s">
        <v>267</v>
      </c>
      <c r="E490" s="98" t="s">
        <v>273</v>
      </c>
      <c r="F490" s="98" t="s">
        <v>259</v>
      </c>
      <c r="G490" s="110">
        <v>10000.0</v>
      </c>
      <c r="H490" s="107">
        <v>1500000.0</v>
      </c>
      <c r="I490" s="125" t="s">
        <v>238</v>
      </c>
      <c r="J490" s="109">
        <v>875000.0</v>
      </c>
      <c r="K490" s="109" t="s">
        <v>238</v>
      </c>
      <c r="L490" s="127">
        <f t="shared" si="47"/>
        <v>625000</v>
      </c>
      <c r="M490" s="61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18">
        <v>9.0</v>
      </c>
      <c r="B491" s="112">
        <v>45701.0</v>
      </c>
      <c r="C491" s="17" t="s">
        <v>206</v>
      </c>
      <c r="D491" s="98" t="s">
        <v>267</v>
      </c>
      <c r="E491" s="98" t="s">
        <v>282</v>
      </c>
      <c r="F491" s="98" t="s">
        <v>283</v>
      </c>
      <c r="G491" s="110" t="s">
        <v>284</v>
      </c>
      <c r="H491" s="107">
        <v>1600000.0</v>
      </c>
      <c r="I491" s="108" t="s">
        <v>238</v>
      </c>
      <c r="J491" s="109">
        <v>665000.0</v>
      </c>
      <c r="K491" s="109" t="s">
        <v>238</v>
      </c>
      <c r="L491" s="127">
        <f t="shared" si="47"/>
        <v>935000</v>
      </c>
      <c r="M491" s="61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18">
        <v>10.0</v>
      </c>
      <c r="B492" s="112">
        <v>45703.0</v>
      </c>
      <c r="C492" s="17" t="s">
        <v>206</v>
      </c>
      <c r="D492" s="98" t="s">
        <v>267</v>
      </c>
      <c r="E492" s="98" t="s">
        <v>273</v>
      </c>
      <c r="F492" s="98" t="s">
        <v>285</v>
      </c>
      <c r="G492" s="110">
        <v>10000.0</v>
      </c>
      <c r="H492" s="107">
        <v>1500000.0</v>
      </c>
      <c r="I492" s="108" t="s">
        <v>238</v>
      </c>
      <c r="J492" s="109">
        <v>830000.0</v>
      </c>
      <c r="K492" s="109" t="s">
        <v>212</v>
      </c>
      <c r="L492" s="127">
        <f t="shared" si="47"/>
        <v>670000</v>
      </c>
      <c r="M492" s="61"/>
      <c r="N492" s="9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18">
        <v>11.0</v>
      </c>
      <c r="B493" s="112">
        <v>45706.0</v>
      </c>
      <c r="C493" s="17" t="s">
        <v>206</v>
      </c>
      <c r="D493" s="98" t="s">
        <v>267</v>
      </c>
      <c r="E493" s="98" t="s">
        <v>273</v>
      </c>
      <c r="F493" s="98" t="s">
        <v>259</v>
      </c>
      <c r="G493" s="110">
        <v>10000.0</v>
      </c>
      <c r="H493" s="107">
        <v>1500000.0</v>
      </c>
      <c r="I493" s="108" t="s">
        <v>238</v>
      </c>
      <c r="J493" s="109">
        <v>875000.0</v>
      </c>
      <c r="K493" s="109" t="s">
        <v>212</v>
      </c>
      <c r="L493" s="127">
        <f t="shared" si="47"/>
        <v>625000</v>
      </c>
      <c r="M493" s="106">
        <v>125000.0</v>
      </c>
      <c r="N493" s="129"/>
      <c r="O493" s="11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18">
        <v>12.0</v>
      </c>
      <c r="B494" s="112">
        <v>45709.0</v>
      </c>
      <c r="C494" s="17" t="s">
        <v>206</v>
      </c>
      <c r="D494" s="98" t="s">
        <v>267</v>
      </c>
      <c r="E494" s="98" t="s">
        <v>273</v>
      </c>
      <c r="F494" s="98" t="s">
        <v>286</v>
      </c>
      <c r="G494" s="110">
        <v>10000.0</v>
      </c>
      <c r="H494" s="107">
        <v>1000000.0</v>
      </c>
      <c r="I494" s="122" t="s">
        <v>238</v>
      </c>
      <c r="J494" s="109">
        <v>525000.0</v>
      </c>
      <c r="K494" s="109" t="s">
        <v>212</v>
      </c>
      <c r="L494" s="127">
        <f t="shared" si="47"/>
        <v>475000</v>
      </c>
      <c r="M494" s="106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18">
        <v>13.0</v>
      </c>
      <c r="B495" s="112">
        <v>45710.0</v>
      </c>
      <c r="C495" s="17" t="s">
        <v>206</v>
      </c>
      <c r="D495" s="98" t="s">
        <v>267</v>
      </c>
      <c r="E495" s="98" t="s">
        <v>243</v>
      </c>
      <c r="F495" s="98" t="s">
        <v>264</v>
      </c>
      <c r="G495" s="110">
        <v>10000.0</v>
      </c>
      <c r="H495" s="107">
        <v>1550000.0</v>
      </c>
      <c r="I495" s="108" t="s">
        <v>238</v>
      </c>
      <c r="J495" s="109">
        <v>950000.0</v>
      </c>
      <c r="K495" s="109" t="s">
        <v>212</v>
      </c>
      <c r="L495" s="127">
        <f t="shared" si="47"/>
        <v>600000</v>
      </c>
      <c r="M495" s="106">
        <v>1250000.0</v>
      </c>
      <c r="N495" s="11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18">
        <v>14.0</v>
      </c>
      <c r="B496" s="112">
        <v>45712.0</v>
      </c>
      <c r="C496" s="17" t="s">
        <v>206</v>
      </c>
      <c r="D496" s="98" t="s">
        <v>267</v>
      </c>
      <c r="E496" s="98" t="s">
        <v>273</v>
      </c>
      <c r="F496" s="98" t="s">
        <v>287</v>
      </c>
      <c r="G496" s="110">
        <v>9000.0</v>
      </c>
      <c r="H496" s="107">
        <v>1200000.0</v>
      </c>
      <c r="I496" s="122" t="s">
        <v>212</v>
      </c>
      <c r="J496" s="109">
        <v>715000.0</v>
      </c>
      <c r="K496" s="109" t="s">
        <v>212</v>
      </c>
      <c r="L496" s="127">
        <f t="shared" si="47"/>
        <v>485000</v>
      </c>
      <c r="M496" s="116"/>
      <c r="N496" s="11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18">
        <v>15.0</v>
      </c>
      <c r="B497" s="112">
        <v>45714.0</v>
      </c>
      <c r="C497" s="17" t="s">
        <v>206</v>
      </c>
      <c r="D497" s="98" t="s">
        <v>267</v>
      </c>
      <c r="E497" s="98" t="s">
        <v>243</v>
      </c>
      <c r="F497" s="98" t="s">
        <v>288</v>
      </c>
      <c r="G497" s="110">
        <v>9000.0</v>
      </c>
      <c r="H497" s="104">
        <v>1035000.0</v>
      </c>
      <c r="I497" s="122" t="s">
        <v>212</v>
      </c>
      <c r="J497" s="104">
        <v>600000.0</v>
      </c>
      <c r="K497" s="109" t="s">
        <v>212</v>
      </c>
      <c r="L497" s="127">
        <f t="shared" si="47"/>
        <v>435000</v>
      </c>
      <c r="M497" s="61"/>
      <c r="N497" s="11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18">
        <v>16.0</v>
      </c>
      <c r="B498" s="112">
        <v>45715.0</v>
      </c>
      <c r="C498" s="17" t="s">
        <v>206</v>
      </c>
      <c r="D498" s="98" t="s">
        <v>267</v>
      </c>
      <c r="E498" s="98" t="s">
        <v>273</v>
      </c>
      <c r="F498" s="98" t="s">
        <v>214</v>
      </c>
      <c r="G498" s="110">
        <v>9000.0</v>
      </c>
      <c r="H498" s="107">
        <v>1350000.0</v>
      </c>
      <c r="I498" s="108" t="s">
        <v>238</v>
      </c>
      <c r="J498" s="109">
        <v>925000.0</v>
      </c>
      <c r="K498" s="109" t="s">
        <v>212</v>
      </c>
      <c r="L498" s="127">
        <f t="shared" si="47"/>
        <v>425000</v>
      </c>
      <c r="M498" s="61"/>
      <c r="N498" s="11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1"/>
      <c r="B499" s="7"/>
      <c r="C499" s="17"/>
      <c r="D499" s="17"/>
      <c r="E499" s="98"/>
      <c r="F499" s="17"/>
      <c r="G499" s="57"/>
      <c r="I499" s="116"/>
      <c r="J499" s="109"/>
      <c r="K499" s="60"/>
      <c r="L499" s="52">
        <f t="shared" ref="L499:M499" si="48">SUM(L483:L498)</f>
        <v>8275000</v>
      </c>
      <c r="M499" s="30">
        <f t="shared" si="48"/>
        <v>2230000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1"/>
      <c r="B500" s="7"/>
      <c r="C500" s="17"/>
      <c r="D500" s="17"/>
      <c r="E500" s="98"/>
      <c r="F500" s="116"/>
      <c r="G500" s="57"/>
      <c r="H500" s="58"/>
      <c r="I500" s="59"/>
      <c r="J500" s="109"/>
      <c r="K500" s="60"/>
      <c r="L500" s="33">
        <f>L499-M499</f>
        <v>6045000</v>
      </c>
      <c r="M500" s="26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1"/>
      <c r="B501" s="7"/>
      <c r="C501" s="17"/>
      <c r="D501" s="17"/>
      <c r="E501" s="98"/>
      <c r="F501" s="17"/>
      <c r="G501" s="57"/>
      <c r="H501" s="58"/>
      <c r="I501" s="59"/>
      <c r="J501" s="109"/>
      <c r="K501" s="60"/>
      <c r="L501" s="17"/>
      <c r="M501" s="61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89" t="s">
        <v>209</v>
      </c>
      <c r="B502" s="89" t="s">
        <v>0</v>
      </c>
      <c r="C502" s="89" t="s">
        <v>1</v>
      </c>
      <c r="D502" s="89" t="s">
        <v>2</v>
      </c>
      <c r="E502" s="90" t="s">
        <v>3</v>
      </c>
      <c r="F502" s="89" t="s">
        <v>4</v>
      </c>
      <c r="G502" s="91" t="s">
        <v>5</v>
      </c>
      <c r="H502" s="119" t="s">
        <v>6</v>
      </c>
      <c r="I502" s="92" t="s">
        <v>39</v>
      </c>
      <c r="J502" s="119" t="s">
        <v>7</v>
      </c>
      <c r="K502" s="91" t="s">
        <v>39</v>
      </c>
      <c r="L502" s="92" t="s">
        <v>8</v>
      </c>
      <c r="M502" s="120" t="s">
        <v>9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1">
        <v>1.0</v>
      </c>
      <c r="B503" s="112">
        <v>45717.0</v>
      </c>
      <c r="C503" s="17" t="s">
        <v>206</v>
      </c>
      <c r="D503" s="98" t="s">
        <v>267</v>
      </c>
      <c r="E503" s="98" t="s">
        <v>289</v>
      </c>
      <c r="F503" s="98" t="s">
        <v>290</v>
      </c>
      <c r="G503" s="110">
        <v>10000.0</v>
      </c>
      <c r="H503" s="121">
        <v>4000000.0</v>
      </c>
      <c r="I503" s="108" t="s">
        <v>238</v>
      </c>
      <c r="J503" s="121">
        <v>1600000.0</v>
      </c>
      <c r="K503" s="109" t="s">
        <v>212</v>
      </c>
      <c r="L503" s="124">
        <f t="shared" ref="L503:L523" si="49">H503-J503</f>
        <v>2400000</v>
      </c>
      <c r="M503" s="121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18">
        <v>2.0</v>
      </c>
      <c r="B504" s="112">
        <v>45719.0</v>
      </c>
      <c r="C504" s="17" t="s">
        <v>206</v>
      </c>
      <c r="D504" s="98" t="s">
        <v>267</v>
      </c>
      <c r="E504" s="98" t="s">
        <v>291</v>
      </c>
      <c r="F504" s="98" t="s">
        <v>292</v>
      </c>
      <c r="G504" s="110">
        <v>9000.0</v>
      </c>
      <c r="H504" s="121">
        <v>1100000.0</v>
      </c>
      <c r="I504" s="122" t="s">
        <v>212</v>
      </c>
      <c r="J504" s="109">
        <v>650000.0</v>
      </c>
      <c r="K504" s="109" t="s">
        <v>212</v>
      </c>
      <c r="L504" s="124">
        <f t="shared" si="49"/>
        <v>450000</v>
      </c>
      <c r="M504" s="106">
        <v>33000.0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18">
        <v>3.0</v>
      </c>
      <c r="B505" s="112">
        <v>45720.0</v>
      </c>
      <c r="C505" s="17" t="s">
        <v>206</v>
      </c>
      <c r="D505" s="98" t="s">
        <v>267</v>
      </c>
      <c r="E505" s="98" t="s">
        <v>273</v>
      </c>
      <c r="F505" s="98" t="s">
        <v>287</v>
      </c>
      <c r="G505" s="110">
        <v>9000.0</v>
      </c>
      <c r="H505" s="121">
        <v>1200000.0</v>
      </c>
      <c r="I505" s="122" t="s">
        <v>212</v>
      </c>
      <c r="J505" s="121">
        <v>715000.0</v>
      </c>
      <c r="K505" s="109" t="s">
        <v>212</v>
      </c>
      <c r="L505" s="124">
        <f t="shared" si="49"/>
        <v>485000</v>
      </c>
      <c r="M505" s="61"/>
      <c r="N505" s="11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18">
        <v>4.0</v>
      </c>
      <c r="B506" s="112">
        <v>45722.0</v>
      </c>
      <c r="C506" s="17" t="s">
        <v>206</v>
      </c>
      <c r="D506" s="98" t="s">
        <v>267</v>
      </c>
      <c r="E506" s="98" t="s">
        <v>242</v>
      </c>
      <c r="F506" s="98" t="s">
        <v>278</v>
      </c>
      <c r="G506" s="110">
        <v>10000.0</v>
      </c>
      <c r="H506" s="121">
        <v>750000.0</v>
      </c>
      <c r="I506" s="108" t="s">
        <v>238</v>
      </c>
      <c r="J506" s="121">
        <v>425000.0</v>
      </c>
      <c r="K506" s="109" t="s">
        <v>238</v>
      </c>
      <c r="L506" s="124">
        <f t="shared" si="49"/>
        <v>325000</v>
      </c>
      <c r="M506" s="61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18">
        <v>5.0</v>
      </c>
      <c r="B507" s="112">
        <v>45723.0</v>
      </c>
      <c r="C507" s="17" t="s">
        <v>206</v>
      </c>
      <c r="D507" s="98" t="s">
        <v>267</v>
      </c>
      <c r="E507" s="98" t="s">
        <v>254</v>
      </c>
      <c r="F507" s="98" t="s">
        <v>292</v>
      </c>
      <c r="G507" s="110">
        <v>9000.0</v>
      </c>
      <c r="H507" s="121">
        <v>1100000.0</v>
      </c>
      <c r="I507" s="122" t="s">
        <v>212</v>
      </c>
      <c r="J507" s="121">
        <v>700000.0</v>
      </c>
      <c r="K507" s="109" t="s">
        <v>238</v>
      </c>
      <c r="L507" s="124">
        <f t="shared" si="49"/>
        <v>400000</v>
      </c>
      <c r="M507" s="61"/>
      <c r="N507" s="11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18">
        <v>6.0</v>
      </c>
      <c r="B508" s="112">
        <v>45724.0</v>
      </c>
      <c r="C508" s="17" t="s">
        <v>206</v>
      </c>
      <c r="D508" s="98" t="s">
        <v>267</v>
      </c>
      <c r="E508" s="98" t="s">
        <v>254</v>
      </c>
      <c r="F508" s="98" t="s">
        <v>293</v>
      </c>
      <c r="G508" s="110">
        <v>10000.0</v>
      </c>
      <c r="H508" s="121">
        <v>750000.0</v>
      </c>
      <c r="I508" s="122" t="s">
        <v>212</v>
      </c>
      <c r="J508" s="121">
        <v>425000.0</v>
      </c>
      <c r="K508" s="109" t="s">
        <v>212</v>
      </c>
      <c r="L508" s="124">
        <f t="shared" si="49"/>
        <v>325000</v>
      </c>
      <c r="M508" s="61"/>
      <c r="N508" s="11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18">
        <v>7.0</v>
      </c>
      <c r="B509" s="112">
        <v>45726.0</v>
      </c>
      <c r="C509" s="17" t="s">
        <v>206</v>
      </c>
      <c r="D509" s="98" t="s">
        <v>267</v>
      </c>
      <c r="E509" s="98" t="s">
        <v>243</v>
      </c>
      <c r="F509" s="98" t="s">
        <v>271</v>
      </c>
      <c r="G509" s="110">
        <v>9000.0</v>
      </c>
      <c r="H509" s="121">
        <v>675000.0</v>
      </c>
      <c r="I509" s="108" t="s">
        <v>238</v>
      </c>
      <c r="J509" s="121">
        <v>375000.0</v>
      </c>
      <c r="K509" s="109" t="s">
        <v>212</v>
      </c>
      <c r="L509" s="124">
        <f t="shared" si="49"/>
        <v>300000</v>
      </c>
      <c r="M509" s="61"/>
      <c r="N509" s="11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18">
        <v>8.0</v>
      </c>
      <c r="B510" s="112">
        <v>45727.0</v>
      </c>
      <c r="C510" s="17" t="s">
        <v>206</v>
      </c>
      <c r="D510" s="98" t="s">
        <v>267</v>
      </c>
      <c r="E510" s="98" t="s">
        <v>273</v>
      </c>
      <c r="F510" s="98" t="s">
        <v>281</v>
      </c>
      <c r="G510" s="110">
        <v>10000.0</v>
      </c>
      <c r="H510" s="121">
        <v>1600000.0</v>
      </c>
      <c r="I510" s="108" t="s">
        <v>238</v>
      </c>
      <c r="J510" s="121">
        <v>975000.0</v>
      </c>
      <c r="K510" s="109" t="s">
        <v>212</v>
      </c>
      <c r="L510" s="124">
        <f t="shared" si="49"/>
        <v>625000</v>
      </c>
      <c r="M510" s="106">
        <v>564000.0</v>
      </c>
      <c r="N510" s="11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18">
        <v>9.0</v>
      </c>
      <c r="B511" s="112">
        <v>45729.0</v>
      </c>
      <c r="C511" s="17" t="s">
        <v>206</v>
      </c>
      <c r="D511" s="98" t="s">
        <v>267</v>
      </c>
      <c r="E511" s="98" t="s">
        <v>273</v>
      </c>
      <c r="F511" s="98" t="s">
        <v>294</v>
      </c>
      <c r="G511" s="110">
        <v>9000.0</v>
      </c>
      <c r="H511" s="121">
        <v>765000.0</v>
      </c>
      <c r="I511" s="115" t="s">
        <v>212</v>
      </c>
      <c r="J511" s="121">
        <v>425000.0</v>
      </c>
      <c r="K511" s="109" t="s">
        <v>212</v>
      </c>
      <c r="L511" s="124">
        <f t="shared" si="49"/>
        <v>340000</v>
      </c>
      <c r="M511" s="61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18">
        <v>10.0</v>
      </c>
      <c r="B512" s="112">
        <v>45730.0</v>
      </c>
      <c r="C512" s="17" t="s">
        <v>206</v>
      </c>
      <c r="D512" s="98" t="s">
        <v>267</v>
      </c>
      <c r="E512" s="98" t="s">
        <v>273</v>
      </c>
      <c r="F512" s="98" t="s">
        <v>295</v>
      </c>
      <c r="G512" s="110">
        <v>9000.0</v>
      </c>
      <c r="H512" s="121">
        <v>1125000.0</v>
      </c>
      <c r="I512" s="115" t="s">
        <v>212</v>
      </c>
      <c r="J512" s="121">
        <v>665000.0</v>
      </c>
      <c r="K512" s="109" t="s">
        <v>212</v>
      </c>
      <c r="L512" s="124">
        <f t="shared" si="49"/>
        <v>460000</v>
      </c>
      <c r="M512" s="106">
        <v>38000.0</v>
      </c>
      <c r="N512" s="11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18">
        <v>11.0</v>
      </c>
      <c r="B513" s="112">
        <v>45731.0</v>
      </c>
      <c r="C513" s="17" t="s">
        <v>206</v>
      </c>
      <c r="D513" s="98" t="s">
        <v>267</v>
      </c>
      <c r="E513" s="98" t="s">
        <v>242</v>
      </c>
      <c r="F513" s="98" t="s">
        <v>259</v>
      </c>
      <c r="G513" s="110">
        <v>10000.0</v>
      </c>
      <c r="H513" s="121">
        <v>1500000.0</v>
      </c>
      <c r="I513" s="108" t="s">
        <v>238</v>
      </c>
      <c r="J513" s="121">
        <v>850000.0</v>
      </c>
      <c r="K513" s="109" t="s">
        <v>212</v>
      </c>
      <c r="L513" s="124">
        <f t="shared" si="49"/>
        <v>650000</v>
      </c>
      <c r="M513" s="61"/>
      <c r="N513" s="11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18">
        <v>12.0</v>
      </c>
      <c r="B514" s="112">
        <v>45733.0</v>
      </c>
      <c r="C514" s="17" t="s">
        <v>206</v>
      </c>
      <c r="D514" s="98" t="s">
        <v>267</v>
      </c>
      <c r="E514" s="98" t="s">
        <v>243</v>
      </c>
      <c r="F514" s="98" t="s">
        <v>296</v>
      </c>
      <c r="G514" s="110">
        <v>9000.0</v>
      </c>
      <c r="H514" s="121">
        <v>765000.0</v>
      </c>
      <c r="I514" s="108" t="s">
        <v>238</v>
      </c>
      <c r="J514" s="121">
        <v>450000.0</v>
      </c>
      <c r="K514" s="109" t="s">
        <v>212</v>
      </c>
      <c r="L514" s="124">
        <f t="shared" si="49"/>
        <v>315000</v>
      </c>
      <c r="M514" s="61"/>
      <c r="N514" s="11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18">
        <v>13.0</v>
      </c>
      <c r="B515" s="112">
        <v>45734.0</v>
      </c>
      <c r="C515" s="17" t="s">
        <v>206</v>
      </c>
      <c r="D515" s="98" t="s">
        <v>267</v>
      </c>
      <c r="E515" s="98" t="s">
        <v>243</v>
      </c>
      <c r="F515" s="98" t="s">
        <v>297</v>
      </c>
      <c r="G515" s="110">
        <v>10000.0</v>
      </c>
      <c r="H515" s="58">
        <v>1100000.0</v>
      </c>
      <c r="I515" s="108" t="s">
        <v>238</v>
      </c>
      <c r="J515" s="60">
        <v>600000.0</v>
      </c>
      <c r="K515" s="109" t="s">
        <v>212</v>
      </c>
      <c r="L515" s="58">
        <f t="shared" si="49"/>
        <v>500000</v>
      </c>
      <c r="M515" s="61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18">
        <v>14.0</v>
      </c>
      <c r="B516" s="112">
        <v>45735.0</v>
      </c>
      <c r="C516" s="17" t="s">
        <v>206</v>
      </c>
      <c r="D516" s="98" t="s">
        <v>267</v>
      </c>
      <c r="E516" s="98" t="s">
        <v>273</v>
      </c>
      <c r="F516" s="98" t="s">
        <v>298</v>
      </c>
      <c r="G516" s="110">
        <v>9000.0</v>
      </c>
      <c r="H516" s="121">
        <v>1350000.0</v>
      </c>
      <c r="I516" s="108" t="s">
        <v>238</v>
      </c>
      <c r="J516" s="121">
        <v>925000.0</v>
      </c>
      <c r="K516" s="109" t="s">
        <v>238</v>
      </c>
      <c r="L516" s="58">
        <f t="shared" si="49"/>
        <v>425000</v>
      </c>
      <c r="M516" s="61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18">
        <v>15.0</v>
      </c>
      <c r="B517" s="112">
        <v>45737.0</v>
      </c>
      <c r="C517" s="17" t="s">
        <v>206</v>
      </c>
      <c r="D517" s="98" t="s">
        <v>267</v>
      </c>
      <c r="E517" s="98" t="s">
        <v>299</v>
      </c>
      <c r="F517" s="98" t="s">
        <v>295</v>
      </c>
      <c r="G517" s="110">
        <v>9000.0</v>
      </c>
      <c r="H517" s="121">
        <v>1125000.0</v>
      </c>
      <c r="I517" s="115" t="s">
        <v>212</v>
      </c>
      <c r="J517" s="121">
        <v>640000.0</v>
      </c>
      <c r="K517" s="109" t="s">
        <v>212</v>
      </c>
      <c r="L517" s="58">
        <f t="shared" si="49"/>
        <v>485000</v>
      </c>
      <c r="M517" s="61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18">
        <v>16.0</v>
      </c>
      <c r="B518" s="112">
        <v>45738.0</v>
      </c>
      <c r="C518" s="17" t="s">
        <v>206</v>
      </c>
      <c r="D518" s="98" t="s">
        <v>267</v>
      </c>
      <c r="E518" s="98" t="s">
        <v>273</v>
      </c>
      <c r="F518" s="98" t="s">
        <v>214</v>
      </c>
      <c r="G518" s="110">
        <v>9000.0</v>
      </c>
      <c r="H518" s="121">
        <v>1350000.0</v>
      </c>
      <c r="I518" s="108" t="s">
        <v>238</v>
      </c>
      <c r="J518" s="121">
        <v>925000.0</v>
      </c>
      <c r="K518" s="109" t="s">
        <v>212</v>
      </c>
      <c r="L518" s="58">
        <f t="shared" si="49"/>
        <v>425000</v>
      </c>
      <c r="M518" s="61"/>
      <c r="N518" s="11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18">
        <v>17.0</v>
      </c>
      <c r="B519" s="112">
        <v>45740.0</v>
      </c>
      <c r="C519" s="17" t="s">
        <v>206</v>
      </c>
      <c r="D519" s="98" t="s">
        <v>267</v>
      </c>
      <c r="E519" s="98" t="s">
        <v>273</v>
      </c>
      <c r="F519" s="98" t="s">
        <v>298</v>
      </c>
      <c r="G519" s="110">
        <v>9000.0</v>
      </c>
      <c r="H519" s="121">
        <v>1400000.0</v>
      </c>
      <c r="I519" s="108" t="s">
        <v>238</v>
      </c>
      <c r="J519" s="121">
        <v>925000.0</v>
      </c>
      <c r="K519" s="109" t="s">
        <v>212</v>
      </c>
      <c r="L519" s="58">
        <f t="shared" si="49"/>
        <v>475000</v>
      </c>
      <c r="M519" s="61"/>
      <c r="N519" s="11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18">
        <v>18.0</v>
      </c>
      <c r="B520" s="112">
        <v>45741.0</v>
      </c>
      <c r="C520" s="17" t="s">
        <v>206</v>
      </c>
      <c r="D520" s="98" t="s">
        <v>267</v>
      </c>
      <c r="E520" s="98" t="s">
        <v>242</v>
      </c>
      <c r="F520" s="98" t="s">
        <v>259</v>
      </c>
      <c r="G520" s="110">
        <v>10000.0</v>
      </c>
      <c r="H520" s="121">
        <v>1500000.0</v>
      </c>
      <c r="I520" s="108" t="s">
        <v>238</v>
      </c>
      <c r="J520" s="121">
        <v>850000.0</v>
      </c>
      <c r="K520" s="109" t="s">
        <v>238</v>
      </c>
      <c r="L520" s="58">
        <f t="shared" si="49"/>
        <v>650000</v>
      </c>
      <c r="M520" s="61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18">
        <v>19.0</v>
      </c>
      <c r="B521" s="112">
        <v>45742.0</v>
      </c>
      <c r="C521" s="17" t="s">
        <v>206</v>
      </c>
      <c r="D521" s="98" t="s">
        <v>267</v>
      </c>
      <c r="E521" s="98" t="s">
        <v>279</v>
      </c>
      <c r="F521" s="98" t="s">
        <v>271</v>
      </c>
      <c r="G521" s="110">
        <v>9000.0</v>
      </c>
      <c r="H521" s="121">
        <v>675000.0</v>
      </c>
      <c r="I521" s="108" t="s">
        <v>238</v>
      </c>
      <c r="J521" s="121">
        <v>375000.0</v>
      </c>
      <c r="K521" s="109" t="s">
        <v>212</v>
      </c>
      <c r="L521" s="124">
        <f t="shared" si="49"/>
        <v>300000</v>
      </c>
      <c r="M521" s="61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18">
        <v>20.0</v>
      </c>
      <c r="B522" s="112">
        <v>45743.0</v>
      </c>
      <c r="C522" s="17" t="s">
        <v>206</v>
      </c>
      <c r="D522" s="98" t="s">
        <v>267</v>
      </c>
      <c r="E522" s="98" t="s">
        <v>242</v>
      </c>
      <c r="F522" s="98" t="s">
        <v>264</v>
      </c>
      <c r="G522" s="110">
        <v>10000.0</v>
      </c>
      <c r="H522" s="121">
        <v>1500000.0</v>
      </c>
      <c r="I522" s="108" t="s">
        <v>238</v>
      </c>
      <c r="J522" s="121">
        <v>950000.0</v>
      </c>
      <c r="K522" s="109" t="s">
        <v>238</v>
      </c>
      <c r="L522" s="124">
        <f t="shared" si="49"/>
        <v>550000</v>
      </c>
      <c r="M522" s="61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18">
        <v>21.0</v>
      </c>
      <c r="B523" s="112">
        <v>45744.0</v>
      </c>
      <c r="C523" s="17" t="s">
        <v>206</v>
      </c>
      <c r="D523" s="98" t="s">
        <v>267</v>
      </c>
      <c r="E523" s="98" t="s">
        <v>243</v>
      </c>
      <c r="F523" s="98" t="s">
        <v>295</v>
      </c>
      <c r="G523" s="110">
        <v>9000.0</v>
      </c>
      <c r="H523" s="121">
        <v>1125000.0</v>
      </c>
      <c r="I523" s="115" t="s">
        <v>212</v>
      </c>
      <c r="J523" s="121">
        <v>640000.0</v>
      </c>
      <c r="K523" s="109" t="s">
        <v>238</v>
      </c>
      <c r="L523" s="124">
        <f t="shared" si="49"/>
        <v>485000</v>
      </c>
      <c r="M523" s="61"/>
      <c r="N523" s="11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1"/>
      <c r="B524" s="7"/>
      <c r="C524" s="17"/>
      <c r="D524" s="17"/>
      <c r="E524" s="17"/>
      <c r="F524" s="17"/>
      <c r="G524" s="57"/>
      <c r="H524" s="58"/>
      <c r="I524" s="59"/>
      <c r="J524" s="121"/>
      <c r="K524" s="60"/>
      <c r="L524" s="52">
        <f t="shared" ref="L524:M524" si="50">SUM(L503:L523)</f>
        <v>11370000</v>
      </c>
      <c r="M524" s="30">
        <f t="shared" si="50"/>
        <v>635000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1"/>
      <c r="B525" s="7"/>
      <c r="C525" s="17"/>
      <c r="D525" s="17"/>
      <c r="E525" s="98" t="s">
        <v>24</v>
      </c>
      <c r="F525" s="17"/>
      <c r="G525" s="110" t="s">
        <v>24</v>
      </c>
      <c r="H525" s="57"/>
      <c r="I525" s="59"/>
      <c r="J525" s="121"/>
      <c r="K525" s="60"/>
      <c r="L525" s="33">
        <f>L524-M524</f>
        <v>10735000</v>
      </c>
      <c r="M525" s="26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1"/>
      <c r="B526" s="7"/>
      <c r="C526" s="17"/>
      <c r="D526" s="17"/>
      <c r="E526" s="17"/>
      <c r="F526" s="17"/>
      <c r="G526" s="57"/>
      <c r="H526" s="58"/>
      <c r="I526" s="59"/>
      <c r="J526" s="121"/>
      <c r="K526" s="60"/>
      <c r="M526" s="17"/>
      <c r="N526" s="61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89" t="s">
        <v>209</v>
      </c>
      <c r="B527" s="89" t="s">
        <v>0</v>
      </c>
      <c r="C527" s="89" t="s">
        <v>1</v>
      </c>
      <c r="D527" s="89" t="s">
        <v>2</v>
      </c>
      <c r="E527" s="90" t="s">
        <v>3</v>
      </c>
      <c r="F527" s="89" t="s">
        <v>4</v>
      </c>
      <c r="G527" s="91" t="s">
        <v>5</v>
      </c>
      <c r="H527" s="119" t="s">
        <v>6</v>
      </c>
      <c r="I527" s="92" t="s">
        <v>39</v>
      </c>
      <c r="J527" s="119" t="s">
        <v>7</v>
      </c>
      <c r="K527" s="91" t="s">
        <v>39</v>
      </c>
      <c r="L527" s="92" t="s">
        <v>8</v>
      </c>
      <c r="M527" s="120" t="s">
        <v>9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1">
        <v>1.0</v>
      </c>
      <c r="B528" s="112">
        <v>45751.0</v>
      </c>
      <c r="C528" s="17" t="s">
        <v>206</v>
      </c>
      <c r="D528" s="98" t="s">
        <v>267</v>
      </c>
      <c r="E528" s="98" t="s">
        <v>242</v>
      </c>
      <c r="F528" s="98" t="s">
        <v>259</v>
      </c>
      <c r="G528" s="110">
        <v>10000.0</v>
      </c>
      <c r="H528" s="121">
        <v>1500000.0</v>
      </c>
      <c r="I528" s="108" t="s">
        <v>238</v>
      </c>
      <c r="J528" s="121">
        <v>850000.0</v>
      </c>
      <c r="K528" s="109" t="s">
        <v>238</v>
      </c>
      <c r="L528" s="58">
        <f t="shared" ref="L528:L549" si="51">H528-J528</f>
        <v>650000</v>
      </c>
      <c r="M528" s="121"/>
      <c r="N528" s="11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18">
        <v>2.0</v>
      </c>
      <c r="B529" s="112">
        <v>45752.0</v>
      </c>
      <c r="C529" s="17" t="s">
        <v>206</v>
      </c>
      <c r="D529" s="98" t="s">
        <v>267</v>
      </c>
      <c r="E529" s="98" t="s">
        <v>242</v>
      </c>
      <c r="F529" s="98" t="s">
        <v>300</v>
      </c>
      <c r="G529" s="110">
        <v>8000.0</v>
      </c>
      <c r="H529" s="121">
        <v>700000.0</v>
      </c>
      <c r="I529" s="115" t="s">
        <v>212</v>
      </c>
      <c r="J529" s="109">
        <v>450000.0</v>
      </c>
      <c r="K529" s="109" t="s">
        <v>238</v>
      </c>
      <c r="L529" s="58">
        <f t="shared" si="51"/>
        <v>250000</v>
      </c>
      <c r="M529" s="106">
        <v>204000.0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18">
        <v>3.0</v>
      </c>
      <c r="B530" s="112">
        <v>45754.0</v>
      </c>
      <c r="C530" s="17" t="s">
        <v>206</v>
      </c>
      <c r="D530" s="98" t="s">
        <v>267</v>
      </c>
      <c r="E530" s="98" t="s">
        <v>242</v>
      </c>
      <c r="F530" s="98" t="s">
        <v>259</v>
      </c>
      <c r="G530" s="110">
        <v>10000.0</v>
      </c>
      <c r="H530" s="121">
        <v>1500000.0</v>
      </c>
      <c r="I530" s="108" t="s">
        <v>238</v>
      </c>
      <c r="J530" s="121">
        <v>850000.0</v>
      </c>
      <c r="K530" s="109" t="s">
        <v>212</v>
      </c>
      <c r="L530" s="58">
        <f t="shared" si="51"/>
        <v>650000</v>
      </c>
      <c r="M530" s="61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18">
        <v>4.0</v>
      </c>
      <c r="B531" s="112">
        <v>45755.0</v>
      </c>
      <c r="C531" s="17" t="s">
        <v>206</v>
      </c>
      <c r="D531" s="98" t="s">
        <v>267</v>
      </c>
      <c r="E531" s="98" t="s">
        <v>279</v>
      </c>
      <c r="F531" s="98" t="s">
        <v>301</v>
      </c>
      <c r="G531" s="110">
        <v>9000.0</v>
      </c>
      <c r="H531" s="121">
        <v>900000.0</v>
      </c>
      <c r="I531" s="115" t="s">
        <v>212</v>
      </c>
      <c r="J531" s="121">
        <v>500000.0</v>
      </c>
      <c r="K531" s="109" t="s">
        <v>238</v>
      </c>
      <c r="L531" s="58">
        <f t="shared" si="51"/>
        <v>400000</v>
      </c>
      <c r="M531" s="106">
        <v>97000.0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18">
        <v>5.0</v>
      </c>
      <c r="B532" s="112">
        <v>45756.0</v>
      </c>
      <c r="C532" s="17" t="s">
        <v>206</v>
      </c>
      <c r="D532" s="98" t="s">
        <v>267</v>
      </c>
      <c r="E532" s="98" t="s">
        <v>123</v>
      </c>
      <c r="F532" s="98" t="s">
        <v>259</v>
      </c>
      <c r="G532" s="110">
        <v>10000.0</v>
      </c>
      <c r="H532" s="121">
        <v>1500000.0</v>
      </c>
      <c r="I532" s="108" t="s">
        <v>238</v>
      </c>
      <c r="J532" s="121">
        <v>850000.0</v>
      </c>
      <c r="K532" s="109" t="s">
        <v>238</v>
      </c>
      <c r="L532" s="58">
        <f t="shared" si="51"/>
        <v>650000</v>
      </c>
      <c r="M532" s="61"/>
      <c r="N532" s="11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18">
        <v>6.0</v>
      </c>
      <c r="B533" s="112">
        <v>45757.0</v>
      </c>
      <c r="C533" s="17" t="s">
        <v>206</v>
      </c>
      <c r="D533" s="98" t="s">
        <v>267</v>
      </c>
      <c r="E533" s="98" t="s">
        <v>123</v>
      </c>
      <c r="F533" s="98" t="s">
        <v>302</v>
      </c>
      <c r="G533" s="110">
        <v>9000.0</v>
      </c>
      <c r="H533" s="121">
        <v>720000.0</v>
      </c>
      <c r="I533" s="122" t="s">
        <v>238</v>
      </c>
      <c r="J533" s="121">
        <v>350000.0</v>
      </c>
      <c r="K533" s="109" t="s">
        <v>238</v>
      </c>
      <c r="L533" s="58">
        <f t="shared" si="51"/>
        <v>370000</v>
      </c>
      <c r="M533" s="61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18">
        <v>7.0</v>
      </c>
      <c r="B534" s="112">
        <v>45758.0</v>
      </c>
      <c r="C534" s="17" t="s">
        <v>206</v>
      </c>
      <c r="D534" s="98" t="s">
        <v>267</v>
      </c>
      <c r="E534" s="98" t="s">
        <v>256</v>
      </c>
      <c r="F534" s="98" t="s">
        <v>303</v>
      </c>
      <c r="G534" s="110">
        <v>9000.0</v>
      </c>
      <c r="H534" s="121">
        <v>1215000.0</v>
      </c>
      <c r="I534" s="108" t="s">
        <v>238</v>
      </c>
      <c r="J534" s="121">
        <v>700000.0</v>
      </c>
      <c r="K534" s="109" t="s">
        <v>238</v>
      </c>
      <c r="L534" s="58">
        <f t="shared" si="51"/>
        <v>515000</v>
      </c>
      <c r="M534" s="61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18">
        <v>8.0</v>
      </c>
      <c r="B535" s="112">
        <v>45761.0</v>
      </c>
      <c r="C535" s="17" t="s">
        <v>206</v>
      </c>
      <c r="D535" s="98" t="s">
        <v>267</v>
      </c>
      <c r="E535" s="98" t="s">
        <v>123</v>
      </c>
      <c r="F535" s="98" t="s">
        <v>302</v>
      </c>
      <c r="G535" s="110">
        <v>9000.0</v>
      </c>
      <c r="H535" s="121">
        <v>720000.0</v>
      </c>
      <c r="I535" s="122" t="s">
        <v>238</v>
      </c>
      <c r="J535" s="121">
        <v>350000.0</v>
      </c>
      <c r="K535" s="109" t="s">
        <v>212</v>
      </c>
      <c r="L535" s="58">
        <f t="shared" si="51"/>
        <v>370000</v>
      </c>
      <c r="M535" s="106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18">
        <v>9.0</v>
      </c>
      <c r="B536" s="112">
        <v>45762.0</v>
      </c>
      <c r="C536" s="17" t="s">
        <v>206</v>
      </c>
      <c r="D536" s="98" t="s">
        <v>267</v>
      </c>
      <c r="E536" s="98" t="s">
        <v>242</v>
      </c>
      <c r="F536" s="98" t="s">
        <v>259</v>
      </c>
      <c r="G536" s="110">
        <v>10000.0</v>
      </c>
      <c r="H536" s="121">
        <v>1500000.0</v>
      </c>
      <c r="I536" s="115" t="s">
        <v>238</v>
      </c>
      <c r="J536" s="121">
        <v>850000.0</v>
      </c>
      <c r="K536" s="109" t="s">
        <v>212</v>
      </c>
      <c r="L536" s="58">
        <f t="shared" si="51"/>
        <v>650000</v>
      </c>
      <c r="M536" s="61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18">
        <v>10.0</v>
      </c>
      <c r="B537" s="112">
        <v>45763.0</v>
      </c>
      <c r="C537" s="17" t="s">
        <v>206</v>
      </c>
      <c r="D537" s="98" t="s">
        <v>267</v>
      </c>
      <c r="E537" s="98" t="s">
        <v>243</v>
      </c>
      <c r="F537" s="98" t="s">
        <v>304</v>
      </c>
      <c r="G537" s="110">
        <v>9000.0</v>
      </c>
      <c r="H537" s="121">
        <v>900000.0</v>
      </c>
      <c r="I537" s="115" t="s">
        <v>212</v>
      </c>
      <c r="J537" s="121">
        <v>425000.0</v>
      </c>
      <c r="K537" s="109" t="s">
        <v>238</v>
      </c>
      <c r="L537" s="58">
        <f t="shared" si="51"/>
        <v>475000</v>
      </c>
      <c r="M537" s="106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18">
        <v>11.0</v>
      </c>
      <c r="B538" s="112">
        <v>45764.0</v>
      </c>
      <c r="C538" s="17" t="s">
        <v>206</v>
      </c>
      <c r="D538" s="98" t="s">
        <v>267</v>
      </c>
      <c r="E538" s="98" t="s">
        <v>305</v>
      </c>
      <c r="F538" s="98" t="s">
        <v>306</v>
      </c>
      <c r="G538" s="110">
        <v>9000.0</v>
      </c>
      <c r="H538" s="121">
        <v>1035000.0</v>
      </c>
      <c r="I538" s="115" t="s">
        <v>212</v>
      </c>
      <c r="J538" s="121">
        <v>600000.0</v>
      </c>
      <c r="K538" s="109" t="s">
        <v>212</v>
      </c>
      <c r="L538" s="58">
        <f t="shared" si="51"/>
        <v>435000</v>
      </c>
      <c r="M538" s="106">
        <v>97000.0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18">
        <v>12.0</v>
      </c>
      <c r="B539" s="112">
        <v>45765.0</v>
      </c>
      <c r="C539" s="17" t="s">
        <v>206</v>
      </c>
      <c r="D539" s="98" t="s">
        <v>267</v>
      </c>
      <c r="E539" s="98" t="s">
        <v>123</v>
      </c>
      <c r="F539" s="98" t="s">
        <v>292</v>
      </c>
      <c r="G539" s="110">
        <v>9000.0</v>
      </c>
      <c r="H539" s="121">
        <v>1100000.0</v>
      </c>
      <c r="I539" s="115" t="s">
        <v>212</v>
      </c>
      <c r="J539" s="121">
        <v>650000.0</v>
      </c>
      <c r="K539" s="109" t="s">
        <v>238</v>
      </c>
      <c r="L539" s="58">
        <f t="shared" si="51"/>
        <v>450000</v>
      </c>
      <c r="M539" s="61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18">
        <v>13.0</v>
      </c>
      <c r="B540" s="112">
        <v>45766.0</v>
      </c>
      <c r="C540" s="17" t="s">
        <v>206</v>
      </c>
      <c r="D540" s="98" t="s">
        <v>267</v>
      </c>
      <c r="E540" s="98" t="s">
        <v>81</v>
      </c>
      <c r="F540" s="98" t="s">
        <v>295</v>
      </c>
      <c r="G540" s="110">
        <v>9000.0</v>
      </c>
      <c r="H540" s="121">
        <v>1125000.0</v>
      </c>
      <c r="I540" s="115" t="s">
        <v>212</v>
      </c>
      <c r="J540" s="109">
        <v>640000.0</v>
      </c>
      <c r="K540" s="109" t="s">
        <v>238</v>
      </c>
      <c r="L540" s="58">
        <f t="shared" si="51"/>
        <v>485000</v>
      </c>
      <c r="M540" s="61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18">
        <v>14.0</v>
      </c>
      <c r="B541" s="112">
        <v>45768.0</v>
      </c>
      <c r="C541" s="17" t="s">
        <v>206</v>
      </c>
      <c r="D541" s="98" t="s">
        <v>267</v>
      </c>
      <c r="E541" s="98" t="s">
        <v>307</v>
      </c>
      <c r="F541" s="98" t="s">
        <v>308</v>
      </c>
      <c r="G541" s="110">
        <v>5000.0</v>
      </c>
      <c r="H541" s="107">
        <v>1989500.0</v>
      </c>
      <c r="I541" s="108" t="s">
        <v>238</v>
      </c>
      <c r="J541" s="121">
        <v>900000.0</v>
      </c>
      <c r="K541" s="109" t="s">
        <v>238</v>
      </c>
      <c r="L541" s="58">
        <f t="shared" si="51"/>
        <v>1089500</v>
      </c>
      <c r="M541" s="61"/>
      <c r="N541" s="11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18">
        <v>15.0</v>
      </c>
      <c r="B542" s="112">
        <v>45769.0</v>
      </c>
      <c r="C542" s="17" t="s">
        <v>206</v>
      </c>
      <c r="D542" s="98" t="s">
        <v>267</v>
      </c>
      <c r="E542" s="98" t="s">
        <v>254</v>
      </c>
      <c r="F542" s="98" t="s">
        <v>309</v>
      </c>
      <c r="G542" s="110">
        <v>10000.0</v>
      </c>
      <c r="H542" s="107">
        <v>1500000.0</v>
      </c>
      <c r="I542" s="115" t="s">
        <v>212</v>
      </c>
      <c r="J542" s="121">
        <v>950000.0</v>
      </c>
      <c r="K542" s="109" t="s">
        <v>238</v>
      </c>
      <c r="L542" s="58">
        <f t="shared" si="51"/>
        <v>550000</v>
      </c>
      <c r="M542" s="61"/>
      <c r="N542" s="11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18">
        <v>16.0</v>
      </c>
      <c r="B543" s="112">
        <v>45770.0</v>
      </c>
      <c r="C543" s="17" t="s">
        <v>206</v>
      </c>
      <c r="D543" s="98" t="s">
        <v>267</v>
      </c>
      <c r="E543" s="98" t="s">
        <v>242</v>
      </c>
      <c r="F543" s="98" t="s">
        <v>259</v>
      </c>
      <c r="G543" s="110">
        <v>10000.0</v>
      </c>
      <c r="H543" s="107">
        <v>1500000.0</v>
      </c>
      <c r="I543" s="108" t="s">
        <v>238</v>
      </c>
      <c r="J543" s="121">
        <v>850000.0</v>
      </c>
      <c r="K543" s="109" t="s">
        <v>212</v>
      </c>
      <c r="L543" s="58">
        <f t="shared" si="51"/>
        <v>650000</v>
      </c>
      <c r="M543" s="106">
        <v>161000.0</v>
      </c>
      <c r="N543" s="11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18">
        <v>17.0</v>
      </c>
      <c r="B544" s="112">
        <v>45771.0</v>
      </c>
      <c r="C544" s="17" t="s">
        <v>206</v>
      </c>
      <c r="D544" s="98" t="s">
        <v>267</v>
      </c>
      <c r="E544" s="98" t="s">
        <v>123</v>
      </c>
      <c r="F544" s="98" t="s">
        <v>287</v>
      </c>
      <c r="G544" s="110">
        <v>9000.0</v>
      </c>
      <c r="H544" s="107">
        <v>1200000.0</v>
      </c>
      <c r="I544" s="115" t="s">
        <v>212</v>
      </c>
      <c r="J544" s="121">
        <v>690000.0</v>
      </c>
      <c r="K544" s="109" t="s">
        <v>212</v>
      </c>
      <c r="L544" s="58">
        <f t="shared" si="51"/>
        <v>510000</v>
      </c>
      <c r="M544" s="106">
        <v>97000.0</v>
      </c>
      <c r="N544" s="11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18">
        <v>18.0</v>
      </c>
      <c r="B545" s="112">
        <v>45772.0</v>
      </c>
      <c r="C545" s="17" t="s">
        <v>206</v>
      </c>
      <c r="D545" s="98" t="s">
        <v>267</v>
      </c>
      <c r="E545" s="98" t="s">
        <v>243</v>
      </c>
      <c r="F545" s="98" t="s">
        <v>255</v>
      </c>
      <c r="G545" s="110">
        <v>10000.0</v>
      </c>
      <c r="H545" s="107">
        <v>1500000.0</v>
      </c>
      <c r="I545" s="108" t="s">
        <v>238</v>
      </c>
      <c r="J545" s="121">
        <v>950000.0</v>
      </c>
      <c r="K545" s="109" t="s">
        <v>212</v>
      </c>
      <c r="L545" s="58">
        <f t="shared" si="51"/>
        <v>550000</v>
      </c>
      <c r="M545" s="106">
        <v>40000.0</v>
      </c>
      <c r="N545" s="11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18">
        <v>19.0</v>
      </c>
      <c r="B546" s="112">
        <v>45775.0</v>
      </c>
      <c r="C546" s="17" t="s">
        <v>206</v>
      </c>
      <c r="D546" s="98" t="s">
        <v>267</v>
      </c>
      <c r="E546" s="98" t="s">
        <v>256</v>
      </c>
      <c r="F546" s="98" t="s">
        <v>303</v>
      </c>
      <c r="G546" s="110">
        <v>9000.0</v>
      </c>
      <c r="H546" s="107">
        <v>1215000.0</v>
      </c>
      <c r="I546" s="108" t="s">
        <v>238</v>
      </c>
      <c r="J546" s="121">
        <v>700000.0</v>
      </c>
      <c r="K546" s="109" t="s">
        <v>212</v>
      </c>
      <c r="L546" s="58">
        <f t="shared" si="51"/>
        <v>515000</v>
      </c>
      <c r="M546" s="61"/>
      <c r="N546" s="11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18">
        <v>20.0</v>
      </c>
      <c r="B547" s="112">
        <v>45776.0</v>
      </c>
      <c r="C547" s="17" t="s">
        <v>206</v>
      </c>
      <c r="D547" s="98" t="s">
        <v>267</v>
      </c>
      <c r="E547" s="98" t="s">
        <v>280</v>
      </c>
      <c r="F547" s="98" t="s">
        <v>295</v>
      </c>
      <c r="G547" s="110">
        <v>9000.0</v>
      </c>
      <c r="H547" s="121">
        <v>1125000.0</v>
      </c>
      <c r="I547" s="115" t="s">
        <v>212</v>
      </c>
      <c r="J547" s="109">
        <v>640000.0</v>
      </c>
      <c r="K547" s="109" t="s">
        <v>212</v>
      </c>
      <c r="L547" s="58">
        <f t="shared" si="51"/>
        <v>485000</v>
      </c>
      <c r="M547" s="106">
        <v>40000.0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18">
        <v>21.0</v>
      </c>
      <c r="B548" s="112">
        <v>45777.0</v>
      </c>
      <c r="C548" s="17" t="s">
        <v>206</v>
      </c>
      <c r="D548" s="98" t="s">
        <v>267</v>
      </c>
      <c r="E548" s="98" t="s">
        <v>310</v>
      </c>
      <c r="F548" s="98" t="s">
        <v>311</v>
      </c>
      <c r="G548" s="110">
        <v>9000.0</v>
      </c>
      <c r="H548" s="107">
        <v>720000.0</v>
      </c>
      <c r="I548" s="115" t="s">
        <v>212</v>
      </c>
      <c r="J548" s="121">
        <v>350000.0</v>
      </c>
      <c r="K548" s="109" t="s">
        <v>212</v>
      </c>
      <c r="L548" s="58">
        <f t="shared" si="51"/>
        <v>370000</v>
      </c>
      <c r="M548" s="106">
        <v>57000.0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18">
        <v>22.0</v>
      </c>
      <c r="B549" s="112">
        <v>45777.0</v>
      </c>
      <c r="C549" s="17" t="s">
        <v>206</v>
      </c>
      <c r="D549" s="98" t="s">
        <v>267</v>
      </c>
      <c r="E549" s="98" t="s">
        <v>243</v>
      </c>
      <c r="F549" s="98" t="s">
        <v>304</v>
      </c>
      <c r="G549" s="110">
        <v>10000.0</v>
      </c>
      <c r="H549" s="107">
        <v>1000000.0</v>
      </c>
      <c r="I549" s="115" t="s">
        <v>212</v>
      </c>
      <c r="J549" s="121">
        <v>450000.0</v>
      </c>
      <c r="K549" s="109" t="s">
        <v>212</v>
      </c>
      <c r="L549" s="58">
        <f t="shared" si="51"/>
        <v>550000</v>
      </c>
      <c r="M549" s="106">
        <v>660000.0</v>
      </c>
      <c r="N549" s="11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1"/>
      <c r="B550" s="7"/>
      <c r="C550" s="17"/>
      <c r="D550" s="17"/>
      <c r="E550" s="98"/>
      <c r="F550" s="17"/>
      <c r="G550" s="110" t="s">
        <v>24</v>
      </c>
      <c r="H550" s="58"/>
      <c r="I550" s="59"/>
      <c r="J550" s="121"/>
      <c r="K550" s="60"/>
      <c r="L550" s="52">
        <f t="shared" ref="L550:M550" si="52">SUM(L528:L549)</f>
        <v>11619500</v>
      </c>
      <c r="M550" s="30">
        <f t="shared" si="52"/>
        <v>1453000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1"/>
      <c r="B551" s="7"/>
      <c r="C551" s="17"/>
      <c r="D551" s="17"/>
      <c r="E551" s="17"/>
      <c r="F551" s="17"/>
      <c r="G551" s="57"/>
      <c r="H551" s="58"/>
      <c r="I551" s="59"/>
      <c r="K551" s="60"/>
      <c r="L551" s="33">
        <f>L550-M550</f>
        <v>10166500</v>
      </c>
      <c r="M551" s="26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1"/>
      <c r="B552" s="7"/>
      <c r="C552" s="17"/>
      <c r="D552" s="17"/>
      <c r="E552" s="17"/>
      <c r="G552" s="57"/>
      <c r="H552" s="58"/>
      <c r="I552" s="59"/>
      <c r="J552" s="60"/>
      <c r="K552" s="60"/>
      <c r="L552" s="17"/>
      <c r="M552" s="61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30" t="s">
        <v>312</v>
      </c>
      <c r="B553" s="89" t="s">
        <v>0</v>
      </c>
      <c r="C553" s="89" t="s">
        <v>1</v>
      </c>
      <c r="D553" s="89" t="s">
        <v>2</v>
      </c>
      <c r="E553" s="90" t="s">
        <v>3</v>
      </c>
      <c r="F553" s="89" t="s">
        <v>4</v>
      </c>
      <c r="G553" s="91" t="s">
        <v>5</v>
      </c>
      <c r="H553" s="119" t="s">
        <v>6</v>
      </c>
      <c r="I553" s="92" t="s">
        <v>39</v>
      </c>
      <c r="J553" s="119" t="s">
        <v>7</v>
      </c>
      <c r="K553" s="91" t="s">
        <v>39</v>
      </c>
      <c r="L553" s="92" t="s">
        <v>8</v>
      </c>
      <c r="M553" s="120" t="s">
        <v>9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1">
        <v>1.0</v>
      </c>
      <c r="B554" s="112">
        <v>45779.0</v>
      </c>
      <c r="C554" s="17" t="s">
        <v>206</v>
      </c>
      <c r="D554" s="98" t="s">
        <v>267</v>
      </c>
      <c r="E554" s="98" t="s">
        <v>279</v>
      </c>
      <c r="F554" s="98" t="s">
        <v>302</v>
      </c>
      <c r="G554" s="110">
        <v>9000.0</v>
      </c>
      <c r="H554" s="121">
        <v>720000.0</v>
      </c>
      <c r="I554" s="108" t="s">
        <v>238</v>
      </c>
      <c r="J554" s="121">
        <v>350000.0</v>
      </c>
      <c r="K554" s="109" t="s">
        <v>212</v>
      </c>
      <c r="L554" s="58">
        <f t="shared" ref="L554:L575" si="53">H554-J554</f>
        <v>370000</v>
      </c>
      <c r="M554" s="121"/>
      <c r="N554" s="11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18">
        <v>2.0</v>
      </c>
      <c r="B555" s="112">
        <v>45779.0</v>
      </c>
      <c r="C555" s="17" t="s">
        <v>206</v>
      </c>
      <c r="D555" s="98" t="s">
        <v>267</v>
      </c>
      <c r="E555" s="98" t="s">
        <v>279</v>
      </c>
      <c r="F555" s="98" t="s">
        <v>313</v>
      </c>
      <c r="G555" s="110">
        <v>8500.0</v>
      </c>
      <c r="H555" s="121">
        <v>1200000.0</v>
      </c>
      <c r="I555" s="115" t="s">
        <v>212</v>
      </c>
      <c r="J555" s="109">
        <v>640000.0</v>
      </c>
      <c r="K555" s="109" t="s">
        <v>212</v>
      </c>
      <c r="L555" s="58">
        <f t="shared" si="53"/>
        <v>560000</v>
      </c>
      <c r="M555" s="106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18">
        <v>3.0</v>
      </c>
      <c r="B556" s="112">
        <v>45780.0</v>
      </c>
      <c r="C556" s="17" t="s">
        <v>206</v>
      </c>
      <c r="D556" s="98" t="s">
        <v>267</v>
      </c>
      <c r="E556" s="98" t="s">
        <v>242</v>
      </c>
      <c r="F556" s="98" t="s">
        <v>259</v>
      </c>
      <c r="G556" s="110">
        <v>10000.0</v>
      </c>
      <c r="H556" s="121">
        <v>1500000.0</v>
      </c>
      <c r="I556" s="108" t="s">
        <v>238</v>
      </c>
      <c r="J556" s="121">
        <v>850000.0</v>
      </c>
      <c r="K556" s="109" t="s">
        <v>212</v>
      </c>
      <c r="L556" s="58">
        <f t="shared" si="53"/>
        <v>650000</v>
      </c>
      <c r="M556" s="61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18">
        <v>4.0</v>
      </c>
      <c r="B557" s="112">
        <v>45782.0</v>
      </c>
      <c r="C557" s="17" t="s">
        <v>206</v>
      </c>
      <c r="D557" s="98" t="s">
        <v>267</v>
      </c>
      <c r="E557" s="98" t="s">
        <v>242</v>
      </c>
      <c r="F557" s="98" t="s">
        <v>259</v>
      </c>
      <c r="G557" s="110">
        <v>10000.0</v>
      </c>
      <c r="H557" s="121">
        <v>1500000.0</v>
      </c>
      <c r="I557" s="108" t="s">
        <v>238</v>
      </c>
      <c r="J557" s="121">
        <v>850000.0</v>
      </c>
      <c r="K557" s="109" t="s">
        <v>212</v>
      </c>
      <c r="L557" s="58">
        <f t="shared" si="53"/>
        <v>650000</v>
      </c>
      <c r="M557" s="106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18">
        <v>5.0</v>
      </c>
      <c r="B558" s="112">
        <v>45783.0</v>
      </c>
      <c r="C558" s="17" t="s">
        <v>206</v>
      </c>
      <c r="D558" s="98" t="s">
        <v>314</v>
      </c>
      <c r="E558" s="98" t="s">
        <v>123</v>
      </c>
      <c r="F558" s="131" t="s">
        <v>315</v>
      </c>
      <c r="G558" s="110">
        <v>10000.0</v>
      </c>
      <c r="H558" s="121">
        <v>750000.0</v>
      </c>
      <c r="I558" s="115" t="s">
        <v>212</v>
      </c>
      <c r="J558" s="121">
        <v>425000.0</v>
      </c>
      <c r="K558" s="109" t="s">
        <v>212</v>
      </c>
      <c r="L558" s="58">
        <f t="shared" si="53"/>
        <v>325000</v>
      </c>
      <c r="M558" s="61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18">
        <v>6.0</v>
      </c>
      <c r="B559" s="112">
        <v>45790.0</v>
      </c>
      <c r="C559" s="17" t="s">
        <v>206</v>
      </c>
      <c r="D559" s="98" t="s">
        <v>267</v>
      </c>
      <c r="E559" s="98" t="s">
        <v>123</v>
      </c>
      <c r="F559" s="98" t="s">
        <v>316</v>
      </c>
      <c r="G559" s="110">
        <v>9000.0</v>
      </c>
      <c r="H559" s="121">
        <v>720000.0</v>
      </c>
      <c r="I559" s="115" t="s">
        <v>212</v>
      </c>
      <c r="J559" s="121">
        <v>350000.0</v>
      </c>
      <c r="K559" s="109" t="s">
        <v>212</v>
      </c>
      <c r="L559" s="58">
        <f t="shared" si="53"/>
        <v>370000</v>
      </c>
      <c r="M559" s="61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18">
        <v>7.0</v>
      </c>
      <c r="B560" s="112">
        <v>45790.0</v>
      </c>
      <c r="C560" s="17" t="s">
        <v>206</v>
      </c>
      <c r="D560" s="98" t="s">
        <v>267</v>
      </c>
      <c r="E560" s="98" t="s">
        <v>123</v>
      </c>
      <c r="F560" s="98" t="s">
        <v>317</v>
      </c>
      <c r="G560" s="110">
        <v>10000.0</v>
      </c>
      <c r="H560" s="121">
        <v>750000.0</v>
      </c>
      <c r="I560" s="115" t="s">
        <v>212</v>
      </c>
      <c r="J560" s="121">
        <v>425000.0</v>
      </c>
      <c r="K560" s="109" t="s">
        <v>238</v>
      </c>
      <c r="L560" s="58">
        <f t="shared" si="53"/>
        <v>325000</v>
      </c>
      <c r="M560" s="61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18">
        <v>8.0</v>
      </c>
      <c r="B561" s="112">
        <v>45791.0</v>
      </c>
      <c r="C561" s="17" t="s">
        <v>206</v>
      </c>
      <c r="D561" s="98" t="s">
        <v>267</v>
      </c>
      <c r="E561" s="98" t="s">
        <v>242</v>
      </c>
      <c r="F561" s="98" t="s">
        <v>317</v>
      </c>
      <c r="G561" s="110">
        <v>10000.0</v>
      </c>
      <c r="H561" s="121">
        <v>750000.0</v>
      </c>
      <c r="I561" s="115" t="s">
        <v>212</v>
      </c>
      <c r="J561" s="121">
        <v>425000.0</v>
      </c>
      <c r="K561" s="109" t="s">
        <v>238</v>
      </c>
      <c r="L561" s="58">
        <f t="shared" si="53"/>
        <v>325000</v>
      </c>
      <c r="M561" s="106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18">
        <v>9.0</v>
      </c>
      <c r="B562" s="112">
        <v>45791.0</v>
      </c>
      <c r="C562" s="17" t="s">
        <v>206</v>
      </c>
      <c r="D562" s="98" t="s">
        <v>267</v>
      </c>
      <c r="E562" s="98" t="s">
        <v>279</v>
      </c>
      <c r="F562" s="98" t="s">
        <v>297</v>
      </c>
      <c r="G562" s="110">
        <v>10000.0</v>
      </c>
      <c r="H562" s="121">
        <v>1100000.0</v>
      </c>
      <c r="I562" s="115" t="s">
        <v>238</v>
      </c>
      <c r="J562" s="121">
        <v>600000.0</v>
      </c>
      <c r="K562" s="109" t="s">
        <v>238</v>
      </c>
      <c r="L562" s="58">
        <f t="shared" si="53"/>
        <v>500000</v>
      </c>
      <c r="M562" s="61"/>
      <c r="N562" s="11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18">
        <v>10.0</v>
      </c>
      <c r="B563" s="112">
        <v>45792.0</v>
      </c>
      <c r="C563" s="17" t="s">
        <v>206</v>
      </c>
      <c r="D563" s="98" t="s">
        <v>267</v>
      </c>
      <c r="E563" s="131" t="s">
        <v>242</v>
      </c>
      <c r="F563" s="131" t="s">
        <v>259</v>
      </c>
      <c r="G563" s="132">
        <v>10000.0</v>
      </c>
      <c r="H563" s="133">
        <v>1500000.0</v>
      </c>
      <c r="I563" s="115" t="s">
        <v>238</v>
      </c>
      <c r="J563" s="133">
        <v>850000.0</v>
      </c>
      <c r="K563" s="109" t="s">
        <v>238</v>
      </c>
      <c r="L563" s="58">
        <f t="shared" si="53"/>
        <v>650000</v>
      </c>
      <c r="M563" s="106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18">
        <v>11.0</v>
      </c>
      <c r="B564" s="112">
        <v>45793.0</v>
      </c>
      <c r="C564" s="17" t="s">
        <v>206</v>
      </c>
      <c r="D564" s="98" t="s">
        <v>267</v>
      </c>
      <c r="E564" s="98" t="s">
        <v>318</v>
      </c>
      <c r="F564" s="98" t="s">
        <v>319</v>
      </c>
      <c r="G564" s="110">
        <v>5000.0</v>
      </c>
      <c r="H564" s="134">
        <v>1496400.0</v>
      </c>
      <c r="I564" s="115" t="s">
        <v>238</v>
      </c>
      <c r="J564" s="121">
        <v>900000.0</v>
      </c>
      <c r="K564" s="109" t="s">
        <v>238</v>
      </c>
      <c r="L564" s="58">
        <f t="shared" si="53"/>
        <v>596400</v>
      </c>
      <c r="M564" s="106">
        <v>71000.0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18">
        <v>12.0</v>
      </c>
      <c r="B565" s="112">
        <v>45794.0</v>
      </c>
      <c r="C565" s="17" t="s">
        <v>206</v>
      </c>
      <c r="D565" s="98" t="s">
        <v>267</v>
      </c>
      <c r="E565" s="98" t="s">
        <v>242</v>
      </c>
      <c r="F565" s="98" t="s">
        <v>271</v>
      </c>
      <c r="G565" s="110">
        <v>9000.0</v>
      </c>
      <c r="H565" s="121">
        <v>675000.0</v>
      </c>
      <c r="I565" s="115" t="s">
        <v>238</v>
      </c>
      <c r="J565" s="121">
        <v>375000.0</v>
      </c>
      <c r="K565" s="109" t="s">
        <v>212</v>
      </c>
      <c r="L565" s="58">
        <f t="shared" si="53"/>
        <v>300000</v>
      </c>
      <c r="M565" s="61"/>
      <c r="N565" s="7"/>
      <c r="O565" s="11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18">
        <v>13.0</v>
      </c>
      <c r="B566" s="112">
        <v>45796.0</v>
      </c>
      <c r="C566" s="17" t="s">
        <v>206</v>
      </c>
      <c r="D566" s="98" t="s">
        <v>267</v>
      </c>
      <c r="E566" s="98" t="s">
        <v>256</v>
      </c>
      <c r="F566" s="98" t="s">
        <v>313</v>
      </c>
      <c r="G566" s="110">
        <v>8500.0</v>
      </c>
      <c r="H566" s="121">
        <v>1200000.0</v>
      </c>
      <c r="I566" s="115" t="s">
        <v>212</v>
      </c>
      <c r="J566" s="109">
        <v>640000.0</v>
      </c>
      <c r="K566" s="109" t="s">
        <v>212</v>
      </c>
      <c r="L566" s="58">
        <f t="shared" si="53"/>
        <v>560000</v>
      </c>
      <c r="M566" s="61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18">
        <v>14.0</v>
      </c>
      <c r="B567" s="112">
        <v>45797.0</v>
      </c>
      <c r="C567" s="17" t="s">
        <v>206</v>
      </c>
      <c r="D567" s="98" t="s">
        <v>267</v>
      </c>
      <c r="E567" s="98" t="s">
        <v>320</v>
      </c>
      <c r="F567" s="98" t="s">
        <v>317</v>
      </c>
      <c r="G567" s="110">
        <v>10000.0</v>
      </c>
      <c r="H567" s="107">
        <v>750000.0</v>
      </c>
      <c r="I567" s="115" t="s">
        <v>212</v>
      </c>
      <c r="J567" s="121">
        <v>475000.0</v>
      </c>
      <c r="K567" s="109" t="s">
        <v>212</v>
      </c>
      <c r="L567" s="58">
        <f t="shared" si="53"/>
        <v>275000</v>
      </c>
      <c r="M567" s="61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18">
        <v>15.0</v>
      </c>
      <c r="B568" s="112">
        <v>45797.0</v>
      </c>
      <c r="C568" s="17" t="s">
        <v>206</v>
      </c>
      <c r="D568" s="98" t="s">
        <v>267</v>
      </c>
      <c r="E568" s="98" t="s">
        <v>243</v>
      </c>
      <c r="F568" s="98" t="s">
        <v>321</v>
      </c>
      <c r="G568" s="110">
        <v>10000.0</v>
      </c>
      <c r="H568" s="107">
        <v>900000.0</v>
      </c>
      <c r="I568" s="115" t="s">
        <v>212</v>
      </c>
      <c r="J568" s="121">
        <v>425000.0</v>
      </c>
      <c r="K568" s="109" t="s">
        <v>212</v>
      </c>
      <c r="L568" s="58">
        <f t="shared" si="53"/>
        <v>475000</v>
      </c>
      <c r="M568" s="106">
        <v>37000.0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18">
        <v>16.0</v>
      </c>
      <c r="B569" s="112">
        <v>45798.0</v>
      </c>
      <c r="C569" s="17" t="s">
        <v>206</v>
      </c>
      <c r="D569" s="98" t="s">
        <v>267</v>
      </c>
      <c r="E569" s="98" t="s">
        <v>322</v>
      </c>
      <c r="F569" s="98" t="s">
        <v>287</v>
      </c>
      <c r="G569" s="110">
        <v>9000.0</v>
      </c>
      <c r="H569" s="107">
        <v>1200000.0</v>
      </c>
      <c r="I569" s="115" t="s">
        <v>212</v>
      </c>
      <c r="J569" s="121">
        <v>715000.0</v>
      </c>
      <c r="K569" s="109" t="s">
        <v>212</v>
      </c>
      <c r="L569" s="58">
        <f t="shared" si="53"/>
        <v>485000</v>
      </c>
      <c r="M569" s="106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18">
        <v>17.0</v>
      </c>
      <c r="B570" s="112">
        <v>45799.0</v>
      </c>
      <c r="C570" s="17" t="s">
        <v>206</v>
      </c>
      <c r="D570" s="98" t="s">
        <v>267</v>
      </c>
      <c r="E570" s="98" t="s">
        <v>269</v>
      </c>
      <c r="F570" s="98" t="s">
        <v>270</v>
      </c>
      <c r="G570" s="110">
        <v>6000.0</v>
      </c>
      <c r="H570" s="121">
        <v>1400000.0</v>
      </c>
      <c r="I570" s="115" t="s">
        <v>238</v>
      </c>
      <c r="J570" s="121">
        <v>640000.0</v>
      </c>
      <c r="K570" s="109" t="s">
        <v>212</v>
      </c>
      <c r="L570" s="58">
        <f t="shared" si="53"/>
        <v>760000</v>
      </c>
      <c r="M570" s="106">
        <v>167000.0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18">
        <v>18.0</v>
      </c>
      <c r="B571" s="112">
        <v>45800.0</v>
      </c>
      <c r="C571" s="17" t="s">
        <v>206</v>
      </c>
      <c r="D571" s="98" t="s">
        <v>267</v>
      </c>
      <c r="E571" s="98" t="s">
        <v>243</v>
      </c>
      <c r="F571" s="98" t="s">
        <v>323</v>
      </c>
      <c r="G571" s="110">
        <v>9000.0</v>
      </c>
      <c r="H571" s="107">
        <v>1350000.0</v>
      </c>
      <c r="I571" s="108" t="s">
        <v>238</v>
      </c>
      <c r="J571" s="121">
        <v>780000.0</v>
      </c>
      <c r="K571" s="109" t="s">
        <v>212</v>
      </c>
      <c r="L571" s="58">
        <f t="shared" si="53"/>
        <v>570000</v>
      </c>
      <c r="M571" s="106">
        <v>55000.0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18">
        <v>19.0</v>
      </c>
      <c r="B572" s="112">
        <v>45801.0</v>
      </c>
      <c r="C572" s="17" t="s">
        <v>206</v>
      </c>
      <c r="D572" s="98" t="s">
        <v>267</v>
      </c>
      <c r="E572" s="98" t="s">
        <v>318</v>
      </c>
      <c r="F572" s="98" t="s">
        <v>308</v>
      </c>
      <c r="G572" s="110">
        <v>5000.0</v>
      </c>
      <c r="H572" s="135">
        <v>1493550.0</v>
      </c>
      <c r="I572" s="115" t="s">
        <v>238</v>
      </c>
      <c r="J572" s="121">
        <v>900000.0</v>
      </c>
      <c r="K572" s="109" t="s">
        <v>238</v>
      </c>
      <c r="L572" s="58">
        <f t="shared" si="53"/>
        <v>593550</v>
      </c>
      <c r="M572" s="61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18">
        <v>20.0</v>
      </c>
      <c r="B573" s="112">
        <v>45803.0</v>
      </c>
      <c r="C573" s="17" t="s">
        <v>206</v>
      </c>
      <c r="D573" s="98" t="s">
        <v>267</v>
      </c>
      <c r="E573" s="98" t="s">
        <v>243</v>
      </c>
      <c r="F573" s="98" t="s">
        <v>324</v>
      </c>
      <c r="G573" s="110">
        <v>9000.0</v>
      </c>
      <c r="H573" s="121">
        <v>675000.0</v>
      </c>
      <c r="I573" s="115" t="s">
        <v>212</v>
      </c>
      <c r="J573" s="109">
        <v>350000.0</v>
      </c>
      <c r="K573" s="109" t="s">
        <v>212</v>
      </c>
      <c r="L573" s="58">
        <f t="shared" si="53"/>
        <v>325000</v>
      </c>
      <c r="M573" s="106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18">
        <v>21.0</v>
      </c>
      <c r="B574" s="112">
        <v>45804.0</v>
      </c>
      <c r="C574" s="17" t="s">
        <v>206</v>
      </c>
      <c r="D574" s="98" t="s">
        <v>267</v>
      </c>
      <c r="E574" s="98" t="s">
        <v>242</v>
      </c>
      <c r="F574" s="98" t="s">
        <v>325</v>
      </c>
      <c r="G574" s="110">
        <v>10000.0</v>
      </c>
      <c r="H574" s="107">
        <v>1200000.0</v>
      </c>
      <c r="I574" s="108" t="s">
        <v>238</v>
      </c>
      <c r="J574" s="121">
        <v>690000.0</v>
      </c>
      <c r="K574" s="109" t="s">
        <v>238</v>
      </c>
      <c r="L574" s="58">
        <f t="shared" si="53"/>
        <v>510000</v>
      </c>
      <c r="M574" s="106"/>
      <c r="N574" s="11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18">
        <v>22.0</v>
      </c>
      <c r="B575" s="112">
        <v>45805.0</v>
      </c>
      <c r="C575" s="17" t="s">
        <v>206</v>
      </c>
      <c r="D575" s="98" t="s">
        <v>267</v>
      </c>
      <c r="E575" s="98" t="s">
        <v>269</v>
      </c>
      <c r="F575" s="98" t="s">
        <v>270</v>
      </c>
      <c r="G575" s="110">
        <v>6000.0</v>
      </c>
      <c r="H575" s="121">
        <v>1400000.0</v>
      </c>
      <c r="I575" s="108" t="s">
        <v>238</v>
      </c>
      <c r="J575" s="121">
        <v>640000.0</v>
      </c>
      <c r="K575" s="109" t="s">
        <v>238</v>
      </c>
      <c r="L575" s="58">
        <f t="shared" si="53"/>
        <v>760000</v>
      </c>
      <c r="M575" s="106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18"/>
      <c r="B576" s="112"/>
      <c r="C576" s="17"/>
      <c r="D576" s="98"/>
      <c r="E576" s="98"/>
      <c r="F576" s="98"/>
      <c r="G576" s="110"/>
      <c r="H576" s="121"/>
      <c r="I576" s="108"/>
      <c r="J576" s="121"/>
      <c r="K576" s="109"/>
      <c r="L576" s="58"/>
      <c r="M576" s="106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18">
        <v>23.0</v>
      </c>
      <c r="B577" s="112">
        <v>45805.0</v>
      </c>
      <c r="C577" s="17" t="s">
        <v>206</v>
      </c>
      <c r="D577" s="98" t="s">
        <v>267</v>
      </c>
      <c r="E577" s="98" t="s">
        <v>318</v>
      </c>
      <c r="F577" s="98" t="s">
        <v>308</v>
      </c>
      <c r="G577" s="110">
        <v>5000.0</v>
      </c>
      <c r="H577" s="135">
        <v>2332350.0</v>
      </c>
      <c r="I577" s="115" t="s">
        <v>238</v>
      </c>
      <c r="J577" s="121">
        <v>900000.0</v>
      </c>
      <c r="K577" s="109" t="s">
        <v>238</v>
      </c>
      <c r="L577" s="58">
        <f t="shared" ref="L577:L579" si="54">H577-J577</f>
        <v>1432350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18">
        <v>24.0</v>
      </c>
      <c r="B578" s="112">
        <v>45807.0</v>
      </c>
      <c r="C578" s="17" t="s">
        <v>206</v>
      </c>
      <c r="D578" s="98" t="s">
        <v>267</v>
      </c>
      <c r="E578" s="98" t="s">
        <v>242</v>
      </c>
      <c r="F578" s="98" t="s">
        <v>302</v>
      </c>
      <c r="G578" s="110">
        <v>9000.0</v>
      </c>
      <c r="H578" s="107">
        <v>900000.0</v>
      </c>
      <c r="I578" s="108" t="s">
        <v>238</v>
      </c>
      <c r="J578" s="121">
        <v>350000.0</v>
      </c>
      <c r="K578" s="109" t="s">
        <v>238</v>
      </c>
      <c r="L578" s="58">
        <f t="shared" si="54"/>
        <v>550000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18">
        <v>25.0</v>
      </c>
      <c r="B579" s="112">
        <v>45808.0</v>
      </c>
      <c r="C579" s="17" t="s">
        <v>206</v>
      </c>
      <c r="D579" s="98" t="s">
        <v>267</v>
      </c>
      <c r="E579" s="98" t="s">
        <v>242</v>
      </c>
      <c r="F579" s="98" t="s">
        <v>259</v>
      </c>
      <c r="G579" s="110">
        <v>10000.0</v>
      </c>
      <c r="H579" s="107">
        <v>1500000.0</v>
      </c>
      <c r="I579" s="108" t="s">
        <v>238</v>
      </c>
      <c r="J579" s="109">
        <v>850000.0</v>
      </c>
      <c r="K579" s="109" t="s">
        <v>238</v>
      </c>
      <c r="L579" s="58">
        <f t="shared" si="54"/>
        <v>650000</v>
      </c>
      <c r="M579" s="61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1"/>
      <c r="B580" s="7"/>
      <c r="C580" s="17"/>
      <c r="D580" s="17"/>
      <c r="E580" s="17"/>
      <c r="F580" s="17"/>
      <c r="G580" s="57"/>
      <c r="H580" s="58"/>
      <c r="I580" s="59"/>
      <c r="J580" s="60"/>
      <c r="K580" s="60"/>
      <c r="L580" s="52">
        <f>SUM(L554:L579)</f>
        <v>13567300</v>
      </c>
      <c r="M580" s="30">
        <f>SUM(M554:M575)</f>
        <v>330000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1"/>
      <c r="B581" s="7"/>
      <c r="C581" s="17"/>
      <c r="D581" s="17"/>
      <c r="E581" s="17"/>
      <c r="F581" s="17"/>
      <c r="G581" s="57"/>
      <c r="H581" s="58"/>
      <c r="I581" s="59"/>
      <c r="J581" s="60"/>
      <c r="K581" s="60"/>
      <c r="L581" s="33">
        <f>L580-M580</f>
        <v>13237300</v>
      </c>
      <c r="M581" s="26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1"/>
      <c r="B582" s="7"/>
      <c r="C582" s="17"/>
      <c r="D582" s="17"/>
      <c r="E582" s="17"/>
      <c r="F582" s="98"/>
      <c r="G582" s="57"/>
      <c r="H582" s="58"/>
      <c r="I582" s="59"/>
      <c r="J582" s="60"/>
      <c r="K582" s="60"/>
      <c r="L582" s="17"/>
      <c r="M582" s="61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36" t="s">
        <v>209</v>
      </c>
      <c r="B583" s="136" t="s">
        <v>0</v>
      </c>
      <c r="C583" s="136" t="s">
        <v>1</v>
      </c>
      <c r="D583" s="136" t="s">
        <v>2</v>
      </c>
      <c r="E583" s="137" t="s">
        <v>3</v>
      </c>
      <c r="F583" s="136" t="s">
        <v>4</v>
      </c>
      <c r="G583" s="138" t="s">
        <v>5</v>
      </c>
      <c r="H583" s="139" t="s">
        <v>6</v>
      </c>
      <c r="I583" s="140" t="s">
        <v>39</v>
      </c>
      <c r="J583" s="139" t="s">
        <v>7</v>
      </c>
      <c r="K583" s="138" t="s">
        <v>39</v>
      </c>
      <c r="L583" s="140" t="s">
        <v>8</v>
      </c>
      <c r="M583" s="141" t="s">
        <v>9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7">
        <v>1.0</v>
      </c>
      <c r="B584" s="142">
        <v>45810.0</v>
      </c>
      <c r="C584" s="143" t="s">
        <v>206</v>
      </c>
      <c r="D584" s="143" t="s">
        <v>267</v>
      </c>
      <c r="E584" s="144" t="s">
        <v>242</v>
      </c>
      <c r="F584" s="144" t="s">
        <v>326</v>
      </c>
      <c r="G584" s="132">
        <v>9000.0</v>
      </c>
      <c r="H584" s="134">
        <v>1350000.0</v>
      </c>
      <c r="I584" s="145" t="s">
        <v>238</v>
      </c>
      <c r="J584" s="134">
        <v>925000.0</v>
      </c>
      <c r="K584" s="109" t="s">
        <v>238</v>
      </c>
      <c r="L584" s="146">
        <f t="shared" ref="L584:L602" si="55">H584-J584</f>
        <v>425000</v>
      </c>
      <c r="M584" s="147">
        <v>595000.0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18">
        <v>2.0</v>
      </c>
      <c r="B585" s="142">
        <v>45811.0</v>
      </c>
      <c r="C585" s="143" t="s">
        <v>206</v>
      </c>
      <c r="D585" s="143" t="s">
        <v>267</v>
      </c>
      <c r="E585" s="98" t="s">
        <v>327</v>
      </c>
      <c r="F585" s="144" t="s">
        <v>328</v>
      </c>
      <c r="G585" s="110">
        <v>9000.0</v>
      </c>
      <c r="H585" s="107">
        <v>1500000.0</v>
      </c>
      <c r="I585" s="108" t="s">
        <v>238</v>
      </c>
      <c r="J585" s="109">
        <v>900000.0</v>
      </c>
      <c r="K585" s="109" t="s">
        <v>238</v>
      </c>
      <c r="L585" s="146">
        <f t="shared" si="55"/>
        <v>600000</v>
      </c>
      <c r="M585" s="106">
        <v>208000.0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18">
        <v>3.0</v>
      </c>
      <c r="B586" s="142">
        <v>45812.0</v>
      </c>
      <c r="C586" s="143" t="s">
        <v>206</v>
      </c>
      <c r="D586" s="143" t="s">
        <v>267</v>
      </c>
      <c r="E586" s="98" t="s">
        <v>320</v>
      </c>
      <c r="F586" s="144" t="s">
        <v>329</v>
      </c>
      <c r="G586" s="110">
        <v>10000.0</v>
      </c>
      <c r="H586" s="107">
        <v>1100000.0</v>
      </c>
      <c r="I586" s="108" t="s">
        <v>238</v>
      </c>
      <c r="J586" s="109">
        <v>600000.0</v>
      </c>
      <c r="K586" s="109" t="s">
        <v>238</v>
      </c>
      <c r="L586" s="146">
        <f t="shared" si="55"/>
        <v>500000</v>
      </c>
      <c r="M586" s="61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18">
        <v>4.0</v>
      </c>
      <c r="B587" s="142">
        <v>45813.0</v>
      </c>
      <c r="C587" s="143" t="s">
        <v>206</v>
      </c>
      <c r="D587" s="143" t="s">
        <v>267</v>
      </c>
      <c r="E587" s="98" t="s">
        <v>318</v>
      </c>
      <c r="F587" s="144" t="s">
        <v>319</v>
      </c>
      <c r="G587" s="110">
        <v>5000.0</v>
      </c>
      <c r="H587" s="135">
        <v>1494150.0</v>
      </c>
      <c r="I587" s="115" t="s">
        <v>238</v>
      </c>
      <c r="J587" s="121">
        <v>900000.0</v>
      </c>
      <c r="K587" s="109" t="s">
        <v>212</v>
      </c>
      <c r="L587" s="146">
        <f t="shared" si="55"/>
        <v>594150</v>
      </c>
      <c r="M587" s="61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18">
        <v>5.0</v>
      </c>
      <c r="B588" s="142">
        <v>45815.0</v>
      </c>
      <c r="C588" s="143" t="s">
        <v>206</v>
      </c>
      <c r="D588" s="143" t="s">
        <v>267</v>
      </c>
      <c r="E588" s="98" t="s">
        <v>242</v>
      </c>
      <c r="F588" s="144" t="s">
        <v>325</v>
      </c>
      <c r="G588" s="110">
        <v>10000.0</v>
      </c>
      <c r="H588" s="107">
        <v>1200000.0</v>
      </c>
      <c r="I588" s="115" t="s">
        <v>212</v>
      </c>
      <c r="J588" s="109">
        <v>690000.0</v>
      </c>
      <c r="K588" s="109" t="s">
        <v>212</v>
      </c>
      <c r="L588" s="146">
        <f t="shared" si="55"/>
        <v>510000</v>
      </c>
      <c r="M588" s="61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18">
        <v>6.0</v>
      </c>
      <c r="B589" s="142">
        <v>45817.0</v>
      </c>
      <c r="C589" s="143" t="s">
        <v>206</v>
      </c>
      <c r="D589" s="143" t="s">
        <v>267</v>
      </c>
      <c r="E589" s="98" t="s">
        <v>320</v>
      </c>
      <c r="F589" s="144" t="s">
        <v>330</v>
      </c>
      <c r="G589" s="110">
        <v>9000.0</v>
      </c>
      <c r="H589" s="107">
        <v>1200000.0</v>
      </c>
      <c r="I589" s="115" t="s">
        <v>212</v>
      </c>
      <c r="J589" s="109">
        <v>715000.0</v>
      </c>
      <c r="K589" s="109" t="s">
        <v>212</v>
      </c>
      <c r="L589" s="146">
        <f t="shared" si="55"/>
        <v>485000</v>
      </c>
      <c r="M589" s="61"/>
      <c r="N589" s="11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18">
        <v>7.0</v>
      </c>
      <c r="B590" s="142">
        <v>45818.0</v>
      </c>
      <c r="C590" s="143" t="s">
        <v>206</v>
      </c>
      <c r="D590" s="143" t="s">
        <v>267</v>
      </c>
      <c r="E590" s="98" t="s">
        <v>320</v>
      </c>
      <c r="F590" s="144" t="s">
        <v>328</v>
      </c>
      <c r="G590" s="110">
        <v>10000.0</v>
      </c>
      <c r="H590" s="107">
        <v>1600000.0</v>
      </c>
      <c r="I590" s="108" t="s">
        <v>238</v>
      </c>
      <c r="J590" s="109">
        <v>1000000.0</v>
      </c>
      <c r="K590" s="109" t="s">
        <v>212</v>
      </c>
      <c r="L590" s="146">
        <f t="shared" si="55"/>
        <v>600000</v>
      </c>
      <c r="M590" s="106">
        <v>65000.0</v>
      </c>
      <c r="N590" s="11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18">
        <v>8.0</v>
      </c>
      <c r="B591" s="142">
        <v>45819.0</v>
      </c>
      <c r="C591" s="143" t="s">
        <v>206</v>
      </c>
      <c r="D591" s="143" t="s">
        <v>267</v>
      </c>
      <c r="E591" s="98" t="s">
        <v>279</v>
      </c>
      <c r="F591" s="144" t="s">
        <v>331</v>
      </c>
      <c r="G591" s="110">
        <v>9000.0</v>
      </c>
      <c r="H591" s="107">
        <v>1305000.0</v>
      </c>
      <c r="I591" s="108" t="s">
        <v>238</v>
      </c>
      <c r="J591" s="109">
        <v>725000.0</v>
      </c>
      <c r="K591" s="109" t="s">
        <v>212</v>
      </c>
      <c r="L591" s="146">
        <f t="shared" si="55"/>
        <v>580000</v>
      </c>
      <c r="M591" s="106">
        <v>97000.0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18">
        <v>9.0</v>
      </c>
      <c r="B592" s="142">
        <v>45820.0</v>
      </c>
      <c r="C592" s="143" t="s">
        <v>206</v>
      </c>
      <c r="D592" s="143" t="s">
        <v>267</v>
      </c>
      <c r="E592" s="98" t="s">
        <v>327</v>
      </c>
      <c r="F592" s="144" t="s">
        <v>332</v>
      </c>
      <c r="G592" s="110">
        <v>9000.0</v>
      </c>
      <c r="H592" s="107">
        <v>765000.0</v>
      </c>
      <c r="I592" s="108" t="s">
        <v>238</v>
      </c>
      <c r="J592" s="121">
        <v>450000.0</v>
      </c>
      <c r="K592" s="109" t="s">
        <v>238</v>
      </c>
      <c r="L592" s="146">
        <f t="shared" si="55"/>
        <v>315000</v>
      </c>
      <c r="M592" s="106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18">
        <v>10.0</v>
      </c>
      <c r="B593" s="142">
        <v>45821.0</v>
      </c>
      <c r="C593" s="143" t="s">
        <v>206</v>
      </c>
      <c r="D593" s="143" t="s">
        <v>267</v>
      </c>
      <c r="E593" s="98" t="s">
        <v>242</v>
      </c>
      <c r="F593" s="144" t="s">
        <v>259</v>
      </c>
      <c r="G593" s="110">
        <v>10000.0</v>
      </c>
      <c r="H593" s="107">
        <v>1500000.0</v>
      </c>
      <c r="I593" s="108" t="s">
        <v>238</v>
      </c>
      <c r="J593" s="109">
        <v>850000.0</v>
      </c>
      <c r="K593" s="109" t="s">
        <v>238</v>
      </c>
      <c r="L593" s="146">
        <f t="shared" si="55"/>
        <v>650000</v>
      </c>
      <c r="M593" s="61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18">
        <v>11.0</v>
      </c>
      <c r="B594" s="142">
        <v>45822.0</v>
      </c>
      <c r="C594" s="143" t="s">
        <v>206</v>
      </c>
      <c r="D594" s="143" t="s">
        <v>267</v>
      </c>
      <c r="E594" s="98" t="s">
        <v>327</v>
      </c>
      <c r="F594" s="144" t="s">
        <v>333</v>
      </c>
      <c r="G594" s="110">
        <v>9000.0</v>
      </c>
      <c r="H594" s="107">
        <v>1350000.0</v>
      </c>
      <c r="I594" s="108" t="s">
        <v>238</v>
      </c>
      <c r="J594" s="109">
        <v>850000.0</v>
      </c>
      <c r="K594" s="109" t="s">
        <v>238</v>
      </c>
      <c r="L594" s="146">
        <f t="shared" si="55"/>
        <v>500000</v>
      </c>
      <c r="M594" s="106">
        <v>97000.0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18">
        <v>12.0</v>
      </c>
      <c r="B595" s="142">
        <v>45824.0</v>
      </c>
      <c r="C595" s="143" t="s">
        <v>206</v>
      </c>
      <c r="D595" s="143" t="s">
        <v>267</v>
      </c>
      <c r="E595" s="98" t="s">
        <v>327</v>
      </c>
      <c r="F595" s="144" t="s">
        <v>329</v>
      </c>
      <c r="G595" s="110">
        <v>9000.0</v>
      </c>
      <c r="H595" s="107">
        <v>990000.0</v>
      </c>
      <c r="I595" s="108" t="s">
        <v>238</v>
      </c>
      <c r="J595" s="109">
        <v>550000.0</v>
      </c>
      <c r="K595" s="109" t="s">
        <v>212</v>
      </c>
      <c r="L595" s="146">
        <f t="shared" si="55"/>
        <v>440000</v>
      </c>
      <c r="M595" s="61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18">
        <v>13.0</v>
      </c>
      <c r="B596" s="142">
        <v>45825.0</v>
      </c>
      <c r="C596" s="143" t="s">
        <v>206</v>
      </c>
      <c r="D596" s="143" t="s">
        <v>267</v>
      </c>
      <c r="E596" s="98" t="s">
        <v>243</v>
      </c>
      <c r="F596" s="98" t="s">
        <v>268</v>
      </c>
      <c r="G596" s="110">
        <v>9000.0</v>
      </c>
      <c r="H596" s="107">
        <v>1400000.0</v>
      </c>
      <c r="I596" s="108" t="s">
        <v>238</v>
      </c>
      <c r="J596" s="109">
        <v>850000.0</v>
      </c>
      <c r="K596" s="109" t="s">
        <v>238</v>
      </c>
      <c r="L596" s="146">
        <f t="shared" si="55"/>
        <v>550000</v>
      </c>
      <c r="M596" s="61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18">
        <v>14.0</v>
      </c>
      <c r="B597" s="142">
        <v>45826.0</v>
      </c>
      <c r="C597" s="143" t="s">
        <v>206</v>
      </c>
      <c r="D597" s="143" t="s">
        <v>267</v>
      </c>
      <c r="E597" s="98" t="s">
        <v>242</v>
      </c>
      <c r="F597" s="144" t="s">
        <v>259</v>
      </c>
      <c r="G597" s="110">
        <v>10000.0</v>
      </c>
      <c r="H597" s="107">
        <v>1500000.0</v>
      </c>
      <c r="I597" s="108" t="s">
        <v>238</v>
      </c>
      <c r="J597" s="109">
        <v>850000.0</v>
      </c>
      <c r="K597" s="109" t="s">
        <v>238</v>
      </c>
      <c r="L597" s="146">
        <f t="shared" si="55"/>
        <v>650000</v>
      </c>
      <c r="M597" s="106">
        <v>1955000.0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18">
        <v>15.0</v>
      </c>
      <c r="B598" s="142">
        <v>45831.0</v>
      </c>
      <c r="C598" s="143" t="s">
        <v>206</v>
      </c>
      <c r="D598" s="143" t="s">
        <v>267</v>
      </c>
      <c r="E598" s="98" t="s">
        <v>242</v>
      </c>
      <c r="F598" s="144" t="s">
        <v>259</v>
      </c>
      <c r="G598" s="110">
        <v>10000.0</v>
      </c>
      <c r="H598" s="107">
        <v>1500000.0</v>
      </c>
      <c r="I598" s="108" t="s">
        <v>238</v>
      </c>
      <c r="J598" s="109">
        <v>850000.0</v>
      </c>
      <c r="K598" s="109" t="s">
        <v>212</v>
      </c>
      <c r="L598" s="146">
        <f t="shared" si="55"/>
        <v>650000</v>
      </c>
      <c r="M598" s="106">
        <v>298000.0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18">
        <v>16.0</v>
      </c>
      <c r="B599" s="142">
        <v>45833.0</v>
      </c>
      <c r="C599" s="143" t="s">
        <v>206</v>
      </c>
      <c r="D599" s="143" t="s">
        <v>267</v>
      </c>
      <c r="E599" s="98" t="s">
        <v>322</v>
      </c>
      <c r="F599" s="98" t="s">
        <v>295</v>
      </c>
      <c r="G599" s="110">
        <v>9000.0</v>
      </c>
      <c r="H599" s="107">
        <v>1125000.0</v>
      </c>
      <c r="I599" s="115" t="s">
        <v>212</v>
      </c>
      <c r="J599" s="109">
        <v>665000.0</v>
      </c>
      <c r="K599" s="109" t="s">
        <v>238</v>
      </c>
      <c r="L599" s="146">
        <f t="shared" si="55"/>
        <v>460000</v>
      </c>
      <c r="M599" s="61"/>
      <c r="N599" s="11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18">
        <v>17.0</v>
      </c>
      <c r="B600" s="142">
        <v>45834.0</v>
      </c>
      <c r="C600" s="143" t="s">
        <v>206</v>
      </c>
      <c r="D600" s="143" t="s">
        <v>267</v>
      </c>
      <c r="E600" s="98" t="s">
        <v>322</v>
      </c>
      <c r="F600" s="98" t="s">
        <v>271</v>
      </c>
      <c r="G600" s="110">
        <v>9000.0</v>
      </c>
      <c r="H600" s="107">
        <v>675000.0</v>
      </c>
      <c r="I600" s="108" t="s">
        <v>238</v>
      </c>
      <c r="J600" s="109">
        <v>400000.0</v>
      </c>
      <c r="K600" s="109" t="s">
        <v>238</v>
      </c>
      <c r="L600" s="146">
        <f t="shared" si="55"/>
        <v>275000</v>
      </c>
      <c r="M600" s="61"/>
      <c r="N600" s="11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18">
        <v>18.0</v>
      </c>
      <c r="B601" s="142">
        <v>45836.0</v>
      </c>
      <c r="C601" s="143" t="s">
        <v>206</v>
      </c>
      <c r="D601" s="143" t="s">
        <v>267</v>
      </c>
      <c r="E601" s="98" t="s">
        <v>334</v>
      </c>
      <c r="F601" s="98" t="s">
        <v>292</v>
      </c>
      <c r="G601" s="110">
        <v>10000.0</v>
      </c>
      <c r="H601" s="107">
        <v>1100000.0</v>
      </c>
      <c r="I601" s="115" t="s">
        <v>212</v>
      </c>
      <c r="J601" s="109">
        <v>700000.0</v>
      </c>
      <c r="K601" s="109" t="s">
        <v>238</v>
      </c>
      <c r="L601" s="146">
        <f t="shared" si="55"/>
        <v>400000</v>
      </c>
      <c r="M601" s="61"/>
      <c r="N601" s="11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18">
        <v>19.0</v>
      </c>
      <c r="B602" s="142">
        <v>45838.0</v>
      </c>
      <c r="C602" s="143" t="s">
        <v>206</v>
      </c>
      <c r="D602" s="143" t="s">
        <v>267</v>
      </c>
      <c r="E602" s="98" t="s">
        <v>327</v>
      </c>
      <c r="F602" s="98" t="s">
        <v>329</v>
      </c>
      <c r="G602" s="110">
        <v>10000.0</v>
      </c>
      <c r="H602" s="107">
        <v>1100000.0</v>
      </c>
      <c r="I602" s="108" t="s">
        <v>238</v>
      </c>
      <c r="J602" s="109">
        <v>600000.0</v>
      </c>
      <c r="K602" s="109" t="s">
        <v>238</v>
      </c>
      <c r="L602" s="146">
        <f t="shared" si="55"/>
        <v>500000</v>
      </c>
      <c r="M602" s="61"/>
      <c r="N602" s="11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1"/>
      <c r="B603" s="7"/>
      <c r="C603" s="17"/>
      <c r="D603" s="17"/>
      <c r="E603" s="17"/>
      <c r="F603" s="17"/>
      <c r="G603" s="57"/>
      <c r="H603" s="58"/>
      <c r="I603" s="59"/>
      <c r="J603" s="60"/>
      <c r="K603" s="109"/>
      <c r="L603" s="52">
        <f>SUM(L584:L602)</f>
        <v>9684150</v>
      </c>
      <c r="M603" s="30">
        <f>SUM(M584:M600)</f>
        <v>3315000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1"/>
      <c r="B604" s="7"/>
      <c r="C604" s="17"/>
      <c r="D604" s="17"/>
      <c r="E604" s="17"/>
      <c r="F604" s="17"/>
      <c r="G604" s="57"/>
      <c r="H604" s="58"/>
      <c r="I604" s="59"/>
      <c r="J604" s="60"/>
      <c r="K604" s="60"/>
      <c r="L604" s="33">
        <f>L603-M603</f>
        <v>6369150</v>
      </c>
      <c r="M604" s="26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1"/>
      <c r="B605" s="7"/>
      <c r="C605" s="17"/>
      <c r="D605" s="17"/>
      <c r="E605" s="17"/>
      <c r="F605" s="17"/>
      <c r="G605" s="57"/>
      <c r="H605" s="58"/>
      <c r="I605" s="59"/>
      <c r="J605" s="60"/>
      <c r="K605" s="60"/>
      <c r="L605" s="17"/>
      <c r="M605" s="61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36" t="s">
        <v>209</v>
      </c>
      <c r="B606" s="136" t="s">
        <v>0</v>
      </c>
      <c r="C606" s="136" t="s">
        <v>1</v>
      </c>
      <c r="D606" s="136" t="s">
        <v>2</v>
      </c>
      <c r="E606" s="137" t="s">
        <v>3</v>
      </c>
      <c r="F606" s="136" t="s">
        <v>4</v>
      </c>
      <c r="G606" s="138" t="s">
        <v>5</v>
      </c>
      <c r="H606" s="139" t="s">
        <v>6</v>
      </c>
      <c r="I606" s="140" t="s">
        <v>39</v>
      </c>
      <c r="J606" s="139" t="s">
        <v>7</v>
      </c>
      <c r="K606" s="138" t="s">
        <v>39</v>
      </c>
      <c r="L606" s="140" t="s">
        <v>8</v>
      </c>
      <c r="M606" s="141" t="s">
        <v>9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7">
        <v>1.0</v>
      </c>
      <c r="B607" s="142">
        <v>45839.0</v>
      </c>
      <c r="C607" s="143" t="s">
        <v>206</v>
      </c>
      <c r="D607" s="143" t="s">
        <v>267</v>
      </c>
      <c r="E607" s="144" t="s">
        <v>335</v>
      </c>
      <c r="F607" s="144" t="s">
        <v>336</v>
      </c>
      <c r="G607" s="148">
        <v>8000.0</v>
      </c>
      <c r="H607" s="134">
        <v>1771432.0</v>
      </c>
      <c r="I607" s="108" t="s">
        <v>238</v>
      </c>
      <c r="J607" s="134">
        <v>800000.0</v>
      </c>
      <c r="K607" s="109" t="s">
        <v>238</v>
      </c>
      <c r="L607" s="146">
        <f t="shared" ref="L607:L628" si="56">H607-J607</f>
        <v>971432</v>
      </c>
      <c r="M607" s="14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18">
        <v>2.0</v>
      </c>
      <c r="B608" s="142">
        <v>45840.0</v>
      </c>
      <c r="C608" s="143" t="s">
        <v>206</v>
      </c>
      <c r="D608" s="143" t="s">
        <v>267</v>
      </c>
      <c r="E608" s="144" t="s">
        <v>335</v>
      </c>
      <c r="F608" s="144" t="s">
        <v>336</v>
      </c>
      <c r="G608" s="148">
        <v>8000.0</v>
      </c>
      <c r="H608" s="134">
        <v>1771432.0</v>
      </c>
      <c r="I608" s="108" t="s">
        <v>238</v>
      </c>
      <c r="J608" s="134">
        <v>800000.0</v>
      </c>
      <c r="K608" s="109" t="s">
        <v>238</v>
      </c>
      <c r="L608" s="146">
        <f t="shared" si="56"/>
        <v>971432</v>
      </c>
      <c r="M608" s="106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18">
        <v>3.0</v>
      </c>
      <c r="B609" s="142">
        <v>45841.0</v>
      </c>
      <c r="C609" s="143" t="s">
        <v>206</v>
      </c>
      <c r="D609" s="143" t="s">
        <v>267</v>
      </c>
      <c r="E609" s="144" t="s">
        <v>335</v>
      </c>
      <c r="F609" s="144" t="s">
        <v>337</v>
      </c>
      <c r="G609" s="110">
        <v>8000.0</v>
      </c>
      <c r="H609" s="134">
        <v>1771432.0</v>
      </c>
      <c r="I609" s="108" t="s">
        <v>238</v>
      </c>
      <c r="J609" s="109">
        <v>750000.0</v>
      </c>
      <c r="K609" s="109" t="s">
        <v>238</v>
      </c>
      <c r="L609" s="146">
        <f t="shared" si="56"/>
        <v>1021432</v>
      </c>
      <c r="M609" s="61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18">
        <v>4.0</v>
      </c>
      <c r="B610" s="142">
        <v>45842.0</v>
      </c>
      <c r="C610" s="143" t="s">
        <v>206</v>
      </c>
      <c r="D610" s="143" t="s">
        <v>267</v>
      </c>
      <c r="E610" s="98" t="s">
        <v>322</v>
      </c>
      <c r="F610" s="144" t="s">
        <v>214</v>
      </c>
      <c r="G610" s="110">
        <v>9000.0</v>
      </c>
      <c r="H610" s="135">
        <v>1350000.0</v>
      </c>
      <c r="I610" s="115" t="s">
        <v>238</v>
      </c>
      <c r="J610" s="121">
        <v>925000.0</v>
      </c>
      <c r="K610" s="109" t="s">
        <v>238</v>
      </c>
      <c r="L610" s="146">
        <f t="shared" si="56"/>
        <v>425000</v>
      </c>
      <c r="M610" s="61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18">
        <v>5.0</v>
      </c>
      <c r="B611" s="142">
        <v>45845.0</v>
      </c>
      <c r="C611" s="143" t="s">
        <v>206</v>
      </c>
      <c r="D611" s="143" t="s">
        <v>267</v>
      </c>
      <c r="E611" s="98" t="s">
        <v>279</v>
      </c>
      <c r="F611" s="144" t="s">
        <v>325</v>
      </c>
      <c r="G611" s="87">
        <v>9000.0</v>
      </c>
      <c r="H611" s="61">
        <v>1200000.0</v>
      </c>
      <c r="I611" s="115" t="s">
        <v>212</v>
      </c>
      <c r="J611" s="101">
        <v>640000.0</v>
      </c>
      <c r="K611" s="109" t="s">
        <v>238</v>
      </c>
      <c r="L611" s="146">
        <f t="shared" si="56"/>
        <v>560000</v>
      </c>
      <c r="M611" s="61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18">
        <v>6.0</v>
      </c>
      <c r="B612" s="142">
        <v>45847.0</v>
      </c>
      <c r="C612" s="143" t="s">
        <v>206</v>
      </c>
      <c r="D612" s="143" t="s">
        <v>267</v>
      </c>
      <c r="E612" s="98" t="s">
        <v>243</v>
      </c>
      <c r="F612" s="144" t="s">
        <v>255</v>
      </c>
      <c r="G612" s="110">
        <v>10000.0</v>
      </c>
      <c r="H612" s="107">
        <v>1500000.0</v>
      </c>
      <c r="I612" s="115" t="s">
        <v>238</v>
      </c>
      <c r="J612" s="109">
        <v>950000.0</v>
      </c>
      <c r="K612" s="109" t="s">
        <v>238</v>
      </c>
      <c r="L612" s="146">
        <f t="shared" si="56"/>
        <v>550000</v>
      </c>
      <c r="M612" s="106">
        <v>70000.0</v>
      </c>
      <c r="N612" s="11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18">
        <v>7.0</v>
      </c>
      <c r="B613" s="142">
        <v>45848.0</v>
      </c>
      <c r="C613" s="143" t="s">
        <v>206</v>
      </c>
      <c r="D613" s="143" t="s">
        <v>267</v>
      </c>
      <c r="E613" s="98" t="s">
        <v>322</v>
      </c>
      <c r="F613" s="144" t="s">
        <v>303</v>
      </c>
      <c r="G613" s="110">
        <v>9000.0</v>
      </c>
      <c r="H613" s="107">
        <v>1215000.0</v>
      </c>
      <c r="I613" s="108" t="s">
        <v>238</v>
      </c>
      <c r="J613" s="109">
        <v>725000.0</v>
      </c>
      <c r="K613" s="109" t="s">
        <v>238</v>
      </c>
      <c r="L613" s="146">
        <f t="shared" si="56"/>
        <v>490000</v>
      </c>
      <c r="M613" s="106">
        <v>25000.0</v>
      </c>
      <c r="N613" s="11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18">
        <v>8.0</v>
      </c>
      <c r="B614" s="142">
        <v>45849.0</v>
      </c>
      <c r="C614" s="143" t="s">
        <v>206</v>
      </c>
      <c r="D614" s="143" t="s">
        <v>267</v>
      </c>
      <c r="E614" s="98" t="s">
        <v>242</v>
      </c>
      <c r="F614" s="144" t="s">
        <v>264</v>
      </c>
      <c r="G614" s="110">
        <v>10000.0</v>
      </c>
      <c r="H614" s="107">
        <v>1500000.0</v>
      </c>
      <c r="I614" s="108" t="s">
        <v>238</v>
      </c>
      <c r="J614" s="109">
        <v>950000.0</v>
      </c>
      <c r="K614" s="109" t="s">
        <v>238</v>
      </c>
      <c r="L614" s="146">
        <f t="shared" si="56"/>
        <v>550000</v>
      </c>
      <c r="M614" s="106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18">
        <v>9.0</v>
      </c>
      <c r="B615" s="142">
        <v>45850.0</v>
      </c>
      <c r="C615" s="143" t="s">
        <v>206</v>
      </c>
      <c r="D615" s="143" t="s">
        <v>267</v>
      </c>
      <c r="E615" s="98" t="s">
        <v>243</v>
      </c>
      <c r="F615" s="144" t="s">
        <v>303</v>
      </c>
      <c r="G615" s="110">
        <v>9000.0</v>
      </c>
      <c r="H615" s="107">
        <v>1215000.0</v>
      </c>
      <c r="I615" s="108" t="s">
        <v>238</v>
      </c>
      <c r="J615" s="121">
        <v>700000.0</v>
      </c>
      <c r="K615" s="109" t="s">
        <v>238</v>
      </c>
      <c r="L615" s="146">
        <f t="shared" si="56"/>
        <v>515000</v>
      </c>
      <c r="M615" s="106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18">
        <v>10.0</v>
      </c>
      <c r="B616" s="142">
        <v>45852.0</v>
      </c>
      <c r="C616" s="143" t="s">
        <v>206</v>
      </c>
      <c r="D616" s="143" t="s">
        <v>267</v>
      </c>
      <c r="E616" s="98" t="s">
        <v>335</v>
      </c>
      <c r="F616" s="144" t="s">
        <v>336</v>
      </c>
      <c r="G616" s="110">
        <v>6600.0</v>
      </c>
      <c r="H616" s="134">
        <v>1550003.0</v>
      </c>
      <c r="I616" s="108" t="s">
        <v>238</v>
      </c>
      <c r="J616" s="109">
        <v>750000.0</v>
      </c>
      <c r="K616" s="109" t="s">
        <v>238</v>
      </c>
      <c r="L616" s="146">
        <f t="shared" si="56"/>
        <v>800003</v>
      </c>
      <c r="M616" s="61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18">
        <v>11.0</v>
      </c>
      <c r="B617" s="142">
        <v>45853.0</v>
      </c>
      <c r="C617" s="143" t="s">
        <v>206</v>
      </c>
      <c r="D617" s="143" t="s">
        <v>267</v>
      </c>
      <c r="E617" s="98" t="s">
        <v>269</v>
      </c>
      <c r="F617" s="144" t="s">
        <v>338</v>
      </c>
      <c r="G617" s="110">
        <v>8000.0</v>
      </c>
      <c r="H617" s="107">
        <v>1400000.0</v>
      </c>
      <c r="I617" s="108" t="s">
        <v>238</v>
      </c>
      <c r="J617" s="109">
        <v>640000.0</v>
      </c>
      <c r="K617" s="109" t="s">
        <v>238</v>
      </c>
      <c r="L617" s="146">
        <f t="shared" si="56"/>
        <v>760000</v>
      </c>
      <c r="M617" s="106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18">
        <v>12.0</v>
      </c>
      <c r="B618" s="142">
        <v>45854.0</v>
      </c>
      <c r="C618" s="143" t="s">
        <v>206</v>
      </c>
      <c r="D618" s="143" t="s">
        <v>267</v>
      </c>
      <c r="E618" s="98" t="s">
        <v>243</v>
      </c>
      <c r="F618" s="144" t="s">
        <v>333</v>
      </c>
      <c r="G618" s="110">
        <v>9000.0</v>
      </c>
      <c r="H618" s="107">
        <v>1350000.0</v>
      </c>
      <c r="I618" s="108" t="s">
        <v>238</v>
      </c>
      <c r="J618" s="109">
        <v>850000.0</v>
      </c>
      <c r="K618" s="109" t="s">
        <v>238</v>
      </c>
      <c r="L618" s="146">
        <f t="shared" si="56"/>
        <v>500000</v>
      </c>
      <c r="M618" s="106">
        <v>80000.0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18">
        <v>13.0</v>
      </c>
      <c r="B619" s="142">
        <v>45856.0</v>
      </c>
      <c r="C619" s="143" t="s">
        <v>206</v>
      </c>
      <c r="D619" s="143" t="s">
        <v>267</v>
      </c>
      <c r="E619" s="98" t="s">
        <v>307</v>
      </c>
      <c r="F619" s="98" t="s">
        <v>319</v>
      </c>
      <c r="G619" s="110">
        <v>5000.0</v>
      </c>
      <c r="H619" s="135">
        <v>1494000.0</v>
      </c>
      <c r="I619" s="108" t="s">
        <v>238</v>
      </c>
      <c r="J619" s="109">
        <v>900000.0</v>
      </c>
      <c r="K619" s="109" t="s">
        <v>212</v>
      </c>
      <c r="L619" s="146">
        <f t="shared" si="56"/>
        <v>594000</v>
      </c>
      <c r="M619" s="61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18">
        <v>14.0</v>
      </c>
      <c r="B620" s="142">
        <v>45857.0</v>
      </c>
      <c r="C620" s="143" t="s">
        <v>206</v>
      </c>
      <c r="D620" s="143" t="s">
        <v>267</v>
      </c>
      <c r="E620" s="98" t="s">
        <v>322</v>
      </c>
      <c r="F620" s="144" t="s">
        <v>339</v>
      </c>
      <c r="G620" s="110">
        <v>9000.0</v>
      </c>
      <c r="H620" s="107">
        <v>975000.0</v>
      </c>
      <c r="I620" s="108" t="s">
        <v>212</v>
      </c>
      <c r="J620" s="109">
        <v>525000.0</v>
      </c>
      <c r="K620" s="109" t="s">
        <v>238</v>
      </c>
      <c r="L620" s="146">
        <f t="shared" si="56"/>
        <v>450000</v>
      </c>
      <c r="M620" s="106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18">
        <v>15.0</v>
      </c>
      <c r="B621" s="142">
        <v>45859.0</v>
      </c>
      <c r="C621" s="143" t="s">
        <v>206</v>
      </c>
      <c r="D621" s="143" t="s">
        <v>267</v>
      </c>
      <c r="E621" s="98" t="s">
        <v>335</v>
      </c>
      <c r="F621" s="144" t="s">
        <v>340</v>
      </c>
      <c r="G621" s="110">
        <v>7500.0</v>
      </c>
      <c r="H621" s="107">
        <v>1660717.0</v>
      </c>
      <c r="I621" s="108" t="s">
        <v>238</v>
      </c>
      <c r="J621" s="109">
        <v>850000.0</v>
      </c>
      <c r="K621" s="109" t="s">
        <v>238</v>
      </c>
      <c r="L621" s="146">
        <f t="shared" si="56"/>
        <v>810717</v>
      </c>
      <c r="M621" s="106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18">
        <v>16.0</v>
      </c>
      <c r="B622" s="142">
        <v>45860.0</v>
      </c>
      <c r="C622" s="143" t="s">
        <v>206</v>
      </c>
      <c r="D622" s="143" t="s">
        <v>267</v>
      </c>
      <c r="E622" s="98" t="s">
        <v>335</v>
      </c>
      <c r="F622" s="98" t="s">
        <v>341</v>
      </c>
      <c r="G622" s="110">
        <v>7000.0</v>
      </c>
      <c r="H622" s="107">
        <v>1550003.0</v>
      </c>
      <c r="I622" s="108" t="s">
        <v>238</v>
      </c>
      <c r="J622" s="109">
        <v>700000.0</v>
      </c>
      <c r="K622" s="109" t="s">
        <v>238</v>
      </c>
      <c r="L622" s="146">
        <f t="shared" si="56"/>
        <v>850003</v>
      </c>
      <c r="M622" s="106">
        <v>90000.0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18">
        <v>17.0</v>
      </c>
      <c r="B623" s="142">
        <v>45861.0</v>
      </c>
      <c r="C623" s="143" t="s">
        <v>206</v>
      </c>
      <c r="D623" s="143" t="s">
        <v>267</v>
      </c>
      <c r="E623" s="98" t="s">
        <v>243</v>
      </c>
      <c r="F623" s="98" t="s">
        <v>255</v>
      </c>
      <c r="G623" s="110">
        <v>10000.0</v>
      </c>
      <c r="H623" s="107">
        <v>1500000.0</v>
      </c>
      <c r="I623" s="108" t="s">
        <v>238</v>
      </c>
      <c r="J623" s="109">
        <v>700000.0</v>
      </c>
      <c r="K623" s="109" t="s">
        <v>238</v>
      </c>
      <c r="L623" s="146">
        <f t="shared" si="56"/>
        <v>800000</v>
      </c>
      <c r="M623" s="106">
        <v>6450000.0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18">
        <v>18.0</v>
      </c>
      <c r="B624" s="142">
        <v>45863.0</v>
      </c>
      <c r="C624" s="143" t="s">
        <v>206</v>
      </c>
      <c r="D624" s="143" t="s">
        <v>267</v>
      </c>
      <c r="E624" s="98" t="s">
        <v>307</v>
      </c>
      <c r="F624" s="98" t="s">
        <v>319</v>
      </c>
      <c r="G624" s="110">
        <v>5000.0</v>
      </c>
      <c r="H624" s="135">
        <v>1240350.0</v>
      </c>
      <c r="I624" s="108" t="s">
        <v>238</v>
      </c>
      <c r="J624" s="109">
        <v>900000.0</v>
      </c>
      <c r="K624" s="109" t="s">
        <v>238</v>
      </c>
      <c r="L624" s="146">
        <f t="shared" si="56"/>
        <v>340350</v>
      </c>
      <c r="M624" s="106">
        <v>103000.0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18">
        <v>19.0</v>
      </c>
      <c r="B625" s="142">
        <v>45866.0</v>
      </c>
      <c r="C625" s="143" t="s">
        <v>206</v>
      </c>
      <c r="D625" s="143" t="s">
        <v>267</v>
      </c>
      <c r="E625" s="98" t="s">
        <v>123</v>
      </c>
      <c r="F625" s="98" t="s">
        <v>324</v>
      </c>
      <c r="G625" s="110">
        <v>10000.0</v>
      </c>
      <c r="H625" s="107">
        <v>750000.0</v>
      </c>
      <c r="I625" s="108" t="s">
        <v>212</v>
      </c>
      <c r="J625" s="109">
        <v>375000.0</v>
      </c>
      <c r="K625" s="109" t="s">
        <v>212</v>
      </c>
      <c r="L625" s="146">
        <f t="shared" si="56"/>
        <v>375000</v>
      </c>
      <c r="M625" s="61"/>
      <c r="N625" s="117"/>
      <c r="O625" s="11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18">
        <v>20.0</v>
      </c>
      <c r="B626" s="142">
        <v>45866.0</v>
      </c>
      <c r="C626" s="143" t="s">
        <v>206</v>
      </c>
      <c r="D626" s="143" t="s">
        <v>267</v>
      </c>
      <c r="E626" s="98" t="s">
        <v>243</v>
      </c>
      <c r="F626" s="98" t="s">
        <v>264</v>
      </c>
      <c r="G626" s="110">
        <v>10000.0</v>
      </c>
      <c r="H626" s="107">
        <v>1500000.0</v>
      </c>
      <c r="I626" s="108" t="s">
        <v>238</v>
      </c>
      <c r="J626" s="109">
        <v>950000.0</v>
      </c>
      <c r="K626" s="109" t="s">
        <v>212</v>
      </c>
      <c r="L626" s="146">
        <f t="shared" si="56"/>
        <v>550000</v>
      </c>
      <c r="N626" s="117"/>
      <c r="O626" s="11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18">
        <v>21.0</v>
      </c>
      <c r="B627" s="142">
        <v>45867.0</v>
      </c>
      <c r="C627" s="143" t="s">
        <v>206</v>
      </c>
      <c r="D627" s="143" t="s">
        <v>267</v>
      </c>
      <c r="E627" s="98" t="s">
        <v>243</v>
      </c>
      <c r="F627" s="98" t="s">
        <v>342</v>
      </c>
      <c r="G627" s="110">
        <v>10000.0</v>
      </c>
      <c r="H627" s="107">
        <v>1500000.0</v>
      </c>
      <c r="I627" s="108" t="s">
        <v>238</v>
      </c>
      <c r="J627" s="109">
        <v>950000.0</v>
      </c>
      <c r="K627" s="109" t="s">
        <v>238</v>
      </c>
      <c r="L627" s="146">
        <f t="shared" si="56"/>
        <v>550000</v>
      </c>
      <c r="N627" s="11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18">
        <v>22.0</v>
      </c>
      <c r="B628" s="142">
        <v>45869.0</v>
      </c>
      <c r="C628" s="143" t="s">
        <v>206</v>
      </c>
      <c r="D628" s="143" t="s">
        <v>267</v>
      </c>
      <c r="E628" s="98" t="s">
        <v>307</v>
      </c>
      <c r="F628" s="144" t="s">
        <v>319</v>
      </c>
      <c r="G628" s="110">
        <v>5000.0</v>
      </c>
      <c r="H628" s="135">
        <v>1241300.0</v>
      </c>
      <c r="I628" s="108" t="s">
        <v>238</v>
      </c>
      <c r="J628" s="109">
        <v>900000.0</v>
      </c>
      <c r="K628" s="109" t="s">
        <v>238</v>
      </c>
      <c r="L628" s="146">
        <f t="shared" si="56"/>
        <v>341300</v>
      </c>
      <c r="M628" s="106">
        <v>221000.0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1"/>
      <c r="B629" s="7"/>
      <c r="C629" s="17"/>
      <c r="D629" s="17"/>
      <c r="E629" s="17"/>
      <c r="F629" s="17"/>
      <c r="G629" s="57"/>
      <c r="H629" s="58"/>
      <c r="I629" s="59"/>
      <c r="J629" s="60"/>
      <c r="K629" s="60"/>
      <c r="L629" s="52">
        <f t="shared" ref="L629:M629" si="57">SUM(L607:L625)</f>
        <v>12334369</v>
      </c>
      <c r="M629" s="30">
        <f t="shared" si="57"/>
        <v>6818000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1"/>
      <c r="B630" s="7"/>
      <c r="C630" s="17"/>
      <c r="D630" s="17"/>
      <c r="E630" s="17"/>
      <c r="F630" s="17"/>
      <c r="G630" s="57"/>
      <c r="I630" s="59"/>
      <c r="J630" s="60"/>
      <c r="K630" s="60"/>
      <c r="L630" s="33">
        <f>L629-M629</f>
        <v>5516369</v>
      </c>
      <c r="M630" s="26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1"/>
      <c r="B631" s="7"/>
      <c r="C631" s="17"/>
      <c r="D631" s="17"/>
      <c r="E631" s="17"/>
      <c r="F631" s="17"/>
      <c r="G631" s="57"/>
      <c r="H631" s="58"/>
      <c r="I631" s="59"/>
      <c r="J631" s="60"/>
      <c r="K631" s="60"/>
      <c r="L631" s="17"/>
      <c r="M631" s="61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36" t="s">
        <v>209</v>
      </c>
      <c r="B632" s="136" t="s">
        <v>0</v>
      </c>
      <c r="C632" s="136" t="s">
        <v>1</v>
      </c>
      <c r="D632" s="136" t="s">
        <v>2</v>
      </c>
      <c r="E632" s="137" t="s">
        <v>3</v>
      </c>
      <c r="F632" s="136" t="s">
        <v>4</v>
      </c>
      <c r="G632" s="138" t="s">
        <v>5</v>
      </c>
      <c r="H632" s="139" t="s">
        <v>6</v>
      </c>
      <c r="I632" s="140" t="s">
        <v>39</v>
      </c>
      <c r="J632" s="139" t="s">
        <v>7</v>
      </c>
      <c r="K632" s="138" t="s">
        <v>39</v>
      </c>
      <c r="L632" s="140" t="s">
        <v>8</v>
      </c>
      <c r="M632" s="141" t="s">
        <v>9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7">
        <v>1.0</v>
      </c>
      <c r="B633" s="142">
        <v>45871.0</v>
      </c>
      <c r="C633" s="143" t="s">
        <v>206</v>
      </c>
      <c r="D633" s="143" t="s">
        <v>267</v>
      </c>
      <c r="E633" s="144" t="s">
        <v>322</v>
      </c>
      <c r="F633" s="144" t="s">
        <v>343</v>
      </c>
      <c r="G633" s="148">
        <v>9000.0</v>
      </c>
      <c r="H633" s="107">
        <v>900000.0</v>
      </c>
      <c r="I633" s="108" t="s">
        <v>212</v>
      </c>
      <c r="J633" s="109">
        <v>550000.0</v>
      </c>
      <c r="K633" s="109" t="s">
        <v>212</v>
      </c>
      <c r="L633" s="58">
        <f t="shared" ref="L633:L657" si="58">H633-J633</f>
        <v>350000</v>
      </c>
      <c r="M633" s="14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18">
        <v>2.0</v>
      </c>
      <c r="B634" s="142">
        <v>45873.0</v>
      </c>
      <c r="C634" s="143" t="s">
        <v>206</v>
      </c>
      <c r="D634" s="143" t="s">
        <v>267</v>
      </c>
      <c r="E634" s="144" t="s">
        <v>344</v>
      </c>
      <c r="F634" s="144" t="s">
        <v>345</v>
      </c>
      <c r="G634" s="148">
        <v>9000.0</v>
      </c>
      <c r="H634" s="107">
        <v>2700000.0</v>
      </c>
      <c r="I634" s="108" t="s">
        <v>238</v>
      </c>
      <c r="J634" s="107">
        <v>1500000.0</v>
      </c>
      <c r="K634" s="109" t="s">
        <v>238</v>
      </c>
      <c r="L634" s="58">
        <f t="shared" si="58"/>
        <v>1200000</v>
      </c>
      <c r="M634" s="149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18">
        <v>3.0</v>
      </c>
      <c r="B635" s="142">
        <v>45875.0</v>
      </c>
      <c r="C635" s="143" t="s">
        <v>206</v>
      </c>
      <c r="D635" s="143" t="s">
        <v>267</v>
      </c>
      <c r="E635" s="98" t="s">
        <v>322</v>
      </c>
      <c r="F635" s="144" t="s">
        <v>328</v>
      </c>
      <c r="G635" s="110">
        <v>10000.0</v>
      </c>
      <c r="H635" s="134">
        <v>1600000.0</v>
      </c>
      <c r="I635" s="115" t="s">
        <v>238</v>
      </c>
      <c r="J635" s="134">
        <v>975000.0</v>
      </c>
      <c r="K635" s="109" t="s">
        <v>238</v>
      </c>
      <c r="L635" s="58">
        <f t="shared" si="58"/>
        <v>625000</v>
      </c>
      <c r="M635" s="150">
        <v>110000.0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18">
        <v>4.0</v>
      </c>
      <c r="B636" s="142">
        <v>45876.0</v>
      </c>
      <c r="C636" s="143" t="s">
        <v>206</v>
      </c>
      <c r="D636" s="143" t="s">
        <v>267</v>
      </c>
      <c r="E636" s="98" t="s">
        <v>242</v>
      </c>
      <c r="F636" s="144" t="s">
        <v>259</v>
      </c>
      <c r="G636" s="151">
        <v>10000.0</v>
      </c>
      <c r="H636" s="134">
        <v>1500000.0</v>
      </c>
      <c r="I636" s="115" t="s">
        <v>238</v>
      </c>
      <c r="J636" s="134">
        <v>850000.0</v>
      </c>
      <c r="K636" s="109" t="s">
        <v>212</v>
      </c>
      <c r="L636" s="58">
        <f t="shared" si="58"/>
        <v>650000</v>
      </c>
      <c r="M636" s="150">
        <v>204000.0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18">
        <v>5.0</v>
      </c>
      <c r="B637" s="142">
        <v>45878.0</v>
      </c>
      <c r="C637" s="143" t="s">
        <v>206</v>
      </c>
      <c r="D637" s="143" t="s">
        <v>267</v>
      </c>
      <c r="E637" s="98" t="s">
        <v>242</v>
      </c>
      <c r="F637" s="144" t="s">
        <v>271</v>
      </c>
      <c r="G637" s="151">
        <v>10000.0</v>
      </c>
      <c r="H637" s="134">
        <v>750000.0</v>
      </c>
      <c r="I637" s="115" t="s">
        <v>238</v>
      </c>
      <c r="J637" s="134">
        <v>400000.0</v>
      </c>
      <c r="K637" s="109" t="s">
        <v>238</v>
      </c>
      <c r="L637" s="58">
        <f t="shared" si="58"/>
        <v>350000</v>
      </c>
      <c r="M637" s="150">
        <v>275000.0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18">
        <v>6.0</v>
      </c>
      <c r="B638" s="142">
        <v>45878.0</v>
      </c>
      <c r="C638" s="143" t="s">
        <v>206</v>
      </c>
      <c r="D638" s="143" t="s">
        <v>267</v>
      </c>
      <c r="E638" s="98" t="s">
        <v>242</v>
      </c>
      <c r="F638" s="144" t="s">
        <v>303</v>
      </c>
      <c r="G638" s="151">
        <v>10000.0</v>
      </c>
      <c r="H638" s="134">
        <v>1350000.0</v>
      </c>
      <c r="I638" s="115" t="s">
        <v>238</v>
      </c>
      <c r="J638" s="134">
        <v>750000.0</v>
      </c>
      <c r="K638" s="109" t="s">
        <v>238</v>
      </c>
      <c r="L638" s="58">
        <f t="shared" si="58"/>
        <v>600000</v>
      </c>
      <c r="M638" s="149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18">
        <v>7.0</v>
      </c>
      <c r="B639" s="142">
        <v>45880.0</v>
      </c>
      <c r="C639" s="143" t="s">
        <v>206</v>
      </c>
      <c r="D639" s="143" t="s">
        <v>267</v>
      </c>
      <c r="E639" s="98" t="s">
        <v>322</v>
      </c>
      <c r="F639" s="144" t="s">
        <v>271</v>
      </c>
      <c r="G639" s="151">
        <v>9000.0</v>
      </c>
      <c r="H639" s="134">
        <v>675000.0</v>
      </c>
      <c r="I639" s="152" t="s">
        <v>238</v>
      </c>
      <c r="J639" s="134">
        <v>425000.0</v>
      </c>
      <c r="K639" s="109" t="s">
        <v>238</v>
      </c>
      <c r="L639" s="58">
        <f t="shared" si="58"/>
        <v>250000</v>
      </c>
      <c r="M639" s="149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18">
        <v>8.0</v>
      </c>
      <c r="B640" s="142">
        <v>45881.0</v>
      </c>
      <c r="C640" s="143" t="s">
        <v>206</v>
      </c>
      <c r="D640" s="143" t="s">
        <v>267</v>
      </c>
      <c r="E640" s="98" t="s">
        <v>243</v>
      </c>
      <c r="F640" s="144" t="s">
        <v>264</v>
      </c>
      <c r="G640" s="151">
        <v>10000.0</v>
      </c>
      <c r="H640" s="134">
        <v>1500000.0</v>
      </c>
      <c r="I640" s="152" t="s">
        <v>238</v>
      </c>
      <c r="J640" s="134">
        <v>950000.0</v>
      </c>
      <c r="K640" s="109" t="s">
        <v>238</v>
      </c>
      <c r="L640" s="58">
        <f t="shared" si="58"/>
        <v>550000</v>
      </c>
      <c r="M640" s="149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18">
        <v>9.0</v>
      </c>
      <c r="B641" s="142">
        <v>45882.0</v>
      </c>
      <c r="C641" s="143" t="s">
        <v>206</v>
      </c>
      <c r="D641" s="143" t="s">
        <v>267</v>
      </c>
      <c r="E641" s="98" t="s">
        <v>344</v>
      </c>
      <c r="F641" s="144" t="s">
        <v>319</v>
      </c>
      <c r="G641" s="151">
        <v>10000.0</v>
      </c>
      <c r="H641" s="135">
        <v>1494000.0</v>
      </c>
      <c r="I641" s="152"/>
      <c r="J641" s="134">
        <v>1000000.0</v>
      </c>
      <c r="K641" s="109" t="s">
        <v>238</v>
      </c>
      <c r="L641" s="58">
        <f t="shared" si="58"/>
        <v>494000</v>
      </c>
      <c r="M641" s="150">
        <v>26000.0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18">
        <v>10.0</v>
      </c>
      <c r="B642" s="142">
        <v>45883.0</v>
      </c>
      <c r="C642" s="143" t="s">
        <v>206</v>
      </c>
      <c r="D642" s="143" t="s">
        <v>267</v>
      </c>
      <c r="E642" s="98" t="s">
        <v>322</v>
      </c>
      <c r="F642" s="144" t="s">
        <v>346</v>
      </c>
      <c r="G642" s="110">
        <v>9000.0</v>
      </c>
      <c r="H642" s="134">
        <v>990000.0</v>
      </c>
      <c r="I642" s="152" t="s">
        <v>238</v>
      </c>
      <c r="J642" s="134">
        <v>575000.0</v>
      </c>
      <c r="K642" s="109" t="s">
        <v>238</v>
      </c>
      <c r="L642" s="58">
        <f t="shared" si="58"/>
        <v>415000</v>
      </c>
      <c r="M642" s="150"/>
      <c r="N642" s="11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18">
        <v>11.0</v>
      </c>
      <c r="B643" s="142">
        <v>45884.0</v>
      </c>
      <c r="C643" s="143" t="s">
        <v>206</v>
      </c>
      <c r="D643" s="143" t="s">
        <v>267</v>
      </c>
      <c r="E643" s="98" t="s">
        <v>327</v>
      </c>
      <c r="F643" s="144" t="s">
        <v>303</v>
      </c>
      <c r="G643" s="151">
        <v>9000.0</v>
      </c>
      <c r="H643" s="134">
        <v>1215000.0</v>
      </c>
      <c r="I643" s="152" t="s">
        <v>238</v>
      </c>
      <c r="J643" s="134">
        <v>700000.0</v>
      </c>
      <c r="K643" s="109" t="s">
        <v>238</v>
      </c>
      <c r="L643" s="58">
        <f t="shared" si="58"/>
        <v>515000</v>
      </c>
      <c r="M643" s="149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18">
        <v>12.0</v>
      </c>
      <c r="B644" s="142">
        <v>45885.0</v>
      </c>
      <c r="C644" s="143" t="s">
        <v>206</v>
      </c>
      <c r="D644" s="143" t="s">
        <v>267</v>
      </c>
      <c r="E644" s="98" t="s">
        <v>322</v>
      </c>
      <c r="F644" s="144" t="s">
        <v>287</v>
      </c>
      <c r="G644" s="151">
        <v>9000.0</v>
      </c>
      <c r="H644" s="134">
        <v>1200000.0</v>
      </c>
      <c r="I644" s="108" t="s">
        <v>212</v>
      </c>
      <c r="J644" s="134">
        <v>690000.0</v>
      </c>
      <c r="K644" s="109" t="s">
        <v>212</v>
      </c>
      <c r="L644" s="58">
        <f t="shared" si="58"/>
        <v>510000</v>
      </c>
      <c r="M644" s="149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18">
        <v>13.0</v>
      </c>
      <c r="B645" s="142">
        <v>45887.0</v>
      </c>
      <c r="C645" s="143" t="s">
        <v>206</v>
      </c>
      <c r="D645" s="143" t="s">
        <v>267</v>
      </c>
      <c r="E645" s="98" t="s">
        <v>327</v>
      </c>
      <c r="F645" s="144" t="s">
        <v>274</v>
      </c>
      <c r="G645" s="151">
        <v>9000.0</v>
      </c>
      <c r="H645" s="134">
        <v>750000.0</v>
      </c>
      <c r="I645" s="152" t="s">
        <v>238</v>
      </c>
      <c r="J645" s="134">
        <v>425000.0</v>
      </c>
      <c r="K645" s="109" t="s">
        <v>238</v>
      </c>
      <c r="L645" s="58">
        <f t="shared" si="58"/>
        <v>325000</v>
      </c>
      <c r="M645" s="149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18">
        <v>14.0</v>
      </c>
      <c r="B646" s="142">
        <v>45887.0</v>
      </c>
      <c r="C646" s="143" t="s">
        <v>206</v>
      </c>
      <c r="D646" s="143" t="s">
        <v>267</v>
      </c>
      <c r="E646" s="98" t="s">
        <v>347</v>
      </c>
      <c r="F646" s="144" t="s">
        <v>319</v>
      </c>
      <c r="G646" s="151"/>
      <c r="H646" s="134">
        <v>1494000.0</v>
      </c>
      <c r="J646" s="134">
        <v>900000.0</v>
      </c>
      <c r="K646" s="109" t="s">
        <v>238</v>
      </c>
      <c r="L646" s="58">
        <f t="shared" si="58"/>
        <v>594000</v>
      </c>
      <c r="M646" s="149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18">
        <v>15.0</v>
      </c>
      <c r="B647" s="142">
        <v>45888.0</v>
      </c>
      <c r="C647" s="143" t="s">
        <v>206</v>
      </c>
      <c r="D647" s="143" t="s">
        <v>267</v>
      </c>
      <c r="E647" s="98" t="s">
        <v>242</v>
      </c>
      <c r="F647" s="144" t="s">
        <v>259</v>
      </c>
      <c r="G647" s="151">
        <v>10000.0</v>
      </c>
      <c r="H647" s="134">
        <v>1500000.0</v>
      </c>
      <c r="I647" s="115" t="s">
        <v>238</v>
      </c>
      <c r="J647" s="134">
        <v>850000.0</v>
      </c>
      <c r="K647" s="109" t="s">
        <v>238</v>
      </c>
      <c r="L647" s="58">
        <f t="shared" si="58"/>
        <v>650000</v>
      </c>
      <c r="M647" s="149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18">
        <v>16.0</v>
      </c>
      <c r="B648" s="142">
        <v>45889.0</v>
      </c>
      <c r="C648" s="143" t="s">
        <v>206</v>
      </c>
      <c r="D648" s="143" t="s">
        <v>267</v>
      </c>
      <c r="E648" s="98" t="s">
        <v>242</v>
      </c>
      <c r="F648" s="144" t="s">
        <v>348</v>
      </c>
      <c r="G648" s="151">
        <v>10000.0</v>
      </c>
      <c r="H648" s="134">
        <v>1000000.0</v>
      </c>
      <c r="I648" s="152"/>
      <c r="J648" s="134">
        <v>500000.0</v>
      </c>
      <c r="K648" s="109" t="s">
        <v>238</v>
      </c>
      <c r="L648" s="58">
        <f t="shared" si="58"/>
        <v>500000</v>
      </c>
      <c r="M648" s="150">
        <v>302000.0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18">
        <v>17.0</v>
      </c>
      <c r="B649" s="142">
        <v>45890.0</v>
      </c>
      <c r="C649" s="143" t="s">
        <v>206</v>
      </c>
      <c r="D649" s="143" t="s">
        <v>267</v>
      </c>
      <c r="E649" s="98" t="s">
        <v>344</v>
      </c>
      <c r="F649" s="144" t="s">
        <v>349</v>
      </c>
      <c r="G649" s="151">
        <v>10000.0</v>
      </c>
      <c r="H649" s="150">
        <v>1500000.0</v>
      </c>
      <c r="I649" s="152" t="s">
        <v>238</v>
      </c>
      <c r="J649" s="121">
        <v>700000.0</v>
      </c>
      <c r="K649" s="109" t="s">
        <v>238</v>
      </c>
      <c r="L649" s="58">
        <f t="shared" si="58"/>
        <v>800000</v>
      </c>
      <c r="M649" s="149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18">
        <v>18.0</v>
      </c>
      <c r="B650" s="142">
        <v>45891.0</v>
      </c>
      <c r="C650" s="143" t="s">
        <v>206</v>
      </c>
      <c r="D650" s="143" t="s">
        <v>267</v>
      </c>
      <c r="E650" s="98" t="s">
        <v>242</v>
      </c>
      <c r="F650" s="144" t="s">
        <v>324</v>
      </c>
      <c r="G650" s="110">
        <v>10000.0</v>
      </c>
      <c r="H650" s="134">
        <v>750000.0</v>
      </c>
      <c r="I650" s="108" t="s">
        <v>212</v>
      </c>
      <c r="J650" s="134">
        <v>375000.0</v>
      </c>
      <c r="K650" s="109" t="s">
        <v>212</v>
      </c>
      <c r="L650" s="58">
        <f t="shared" si="58"/>
        <v>375000</v>
      </c>
      <c r="M650" s="150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18">
        <v>19.0</v>
      </c>
      <c r="B651" s="142">
        <v>45892.0</v>
      </c>
      <c r="C651" s="143" t="s">
        <v>206</v>
      </c>
      <c r="D651" s="143" t="s">
        <v>267</v>
      </c>
      <c r="E651" s="98" t="s">
        <v>350</v>
      </c>
      <c r="F651" s="144" t="s">
        <v>295</v>
      </c>
      <c r="G651" s="151" t="s">
        <v>351</v>
      </c>
      <c r="H651" s="134">
        <v>1300000.0</v>
      </c>
      <c r="I651" s="108" t="s">
        <v>212</v>
      </c>
      <c r="J651" s="134">
        <v>665000.0</v>
      </c>
      <c r="K651" s="109" t="s">
        <v>212</v>
      </c>
      <c r="L651" s="58">
        <f t="shared" si="58"/>
        <v>635000</v>
      </c>
      <c r="M651" s="150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18">
        <v>20.0</v>
      </c>
      <c r="B652" s="142">
        <v>45894.0</v>
      </c>
      <c r="C652" s="143" t="s">
        <v>206</v>
      </c>
      <c r="D652" s="143" t="s">
        <v>267</v>
      </c>
      <c r="E652" s="98" t="s">
        <v>344</v>
      </c>
      <c r="F652" s="144" t="s">
        <v>349</v>
      </c>
      <c r="G652" s="151">
        <v>10000.0</v>
      </c>
      <c r="H652" s="150">
        <v>1500000.0</v>
      </c>
      <c r="I652" s="152" t="s">
        <v>238</v>
      </c>
      <c r="J652" s="121">
        <v>700000.0</v>
      </c>
      <c r="K652" s="109" t="s">
        <v>238</v>
      </c>
      <c r="L652" s="58">
        <f t="shared" si="58"/>
        <v>800000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18">
        <v>21.0</v>
      </c>
      <c r="B653" s="142">
        <v>45895.0</v>
      </c>
      <c r="C653" s="143" t="s">
        <v>206</v>
      </c>
      <c r="D653" s="143" t="s">
        <v>267</v>
      </c>
      <c r="E653" s="98" t="s">
        <v>350</v>
      </c>
      <c r="F653" s="144" t="s">
        <v>295</v>
      </c>
      <c r="G653" s="151" t="s">
        <v>351</v>
      </c>
      <c r="H653" s="134">
        <v>1300000.0</v>
      </c>
      <c r="I653" s="108" t="s">
        <v>212</v>
      </c>
      <c r="J653" s="134">
        <v>715000.0</v>
      </c>
      <c r="K653" s="109" t="s">
        <v>238</v>
      </c>
      <c r="L653" s="58">
        <f t="shared" si="58"/>
        <v>585000</v>
      </c>
      <c r="N653" s="11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18">
        <v>22.0</v>
      </c>
      <c r="B654" s="142">
        <v>45896.0</v>
      </c>
      <c r="C654" s="143" t="s">
        <v>206</v>
      </c>
      <c r="D654" s="143" t="s">
        <v>267</v>
      </c>
      <c r="E654" s="98" t="s">
        <v>344</v>
      </c>
      <c r="F654" s="144" t="s">
        <v>349</v>
      </c>
      <c r="G654" s="151">
        <v>10000.0</v>
      </c>
      <c r="H654" s="150">
        <v>1500000.0</v>
      </c>
      <c r="I654" s="152" t="s">
        <v>238</v>
      </c>
      <c r="J654" s="121">
        <v>700000.0</v>
      </c>
      <c r="K654" s="109" t="s">
        <v>238</v>
      </c>
      <c r="L654" s="58">
        <f t="shared" si="58"/>
        <v>800000</v>
      </c>
      <c r="N654" s="117">
        <v>470000.0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18">
        <v>23.0</v>
      </c>
      <c r="B655" s="142">
        <v>45897.0</v>
      </c>
      <c r="C655" s="143" t="s">
        <v>206</v>
      </c>
      <c r="D655" s="143" t="s">
        <v>267</v>
      </c>
      <c r="E655" s="98" t="s">
        <v>327</v>
      </c>
      <c r="F655" s="144" t="s">
        <v>329</v>
      </c>
      <c r="G655" s="151">
        <v>10000.0</v>
      </c>
      <c r="H655" s="150">
        <v>1100000.0</v>
      </c>
      <c r="I655" s="150"/>
      <c r="J655" s="150">
        <v>600000.0</v>
      </c>
      <c r="K655" s="109" t="s">
        <v>238</v>
      </c>
      <c r="L655" s="58">
        <f t="shared" si="58"/>
        <v>500000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18">
        <v>24.0</v>
      </c>
      <c r="B656" s="142">
        <v>45898.0</v>
      </c>
      <c r="C656" s="143" t="s">
        <v>206</v>
      </c>
      <c r="D656" s="143" t="s">
        <v>267</v>
      </c>
      <c r="E656" s="98" t="s">
        <v>242</v>
      </c>
      <c r="F656" s="144" t="s">
        <v>324</v>
      </c>
      <c r="G656" s="110">
        <v>9000.0</v>
      </c>
      <c r="H656" s="134">
        <v>675000.0</v>
      </c>
      <c r="I656" s="108" t="s">
        <v>212</v>
      </c>
      <c r="J656" s="134">
        <v>375000.0</v>
      </c>
      <c r="K656" s="109" t="s">
        <v>212</v>
      </c>
      <c r="L656" s="58">
        <f t="shared" si="58"/>
        <v>300000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18">
        <v>25.0</v>
      </c>
      <c r="B657" s="142">
        <v>45899.0</v>
      </c>
      <c r="C657" s="143" t="s">
        <v>206</v>
      </c>
      <c r="D657" s="143" t="s">
        <v>267</v>
      </c>
      <c r="E657" s="98" t="s">
        <v>322</v>
      </c>
      <c r="F657" s="144" t="s">
        <v>271</v>
      </c>
      <c r="G657" s="151">
        <v>9000.0</v>
      </c>
      <c r="H657" s="134">
        <v>675000.0</v>
      </c>
      <c r="I657" s="152" t="s">
        <v>238</v>
      </c>
      <c r="J657" s="134">
        <v>400000.0</v>
      </c>
      <c r="K657" s="109" t="s">
        <v>212</v>
      </c>
      <c r="L657" s="58">
        <f t="shared" si="58"/>
        <v>275000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1"/>
      <c r="B658" s="7"/>
      <c r="C658" s="7"/>
      <c r="D658" s="7"/>
      <c r="E658" s="7"/>
      <c r="F658" s="7"/>
      <c r="G658" s="7"/>
      <c r="H658" s="150"/>
      <c r="I658" s="150"/>
      <c r="J658" s="150"/>
      <c r="K658" s="150"/>
      <c r="L658" s="52">
        <f>SUM(L633:L657)</f>
        <v>13648000</v>
      </c>
      <c r="M658" s="30">
        <f>SUM(M633:M651)</f>
        <v>917000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33">
        <f>L658-M658</f>
        <v>12731000</v>
      </c>
      <c r="M659" s="26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36" t="s">
        <v>209</v>
      </c>
      <c r="B661" s="136" t="s">
        <v>0</v>
      </c>
      <c r="C661" s="136" t="s">
        <v>1</v>
      </c>
      <c r="D661" s="136" t="s">
        <v>2</v>
      </c>
      <c r="E661" s="137" t="s">
        <v>3</v>
      </c>
      <c r="F661" s="136" t="s">
        <v>4</v>
      </c>
      <c r="G661" s="138" t="s">
        <v>5</v>
      </c>
      <c r="H661" s="139" t="s">
        <v>6</v>
      </c>
      <c r="I661" s="140" t="s">
        <v>39</v>
      </c>
      <c r="J661" s="139" t="s">
        <v>7</v>
      </c>
      <c r="K661" s="138" t="s">
        <v>39</v>
      </c>
      <c r="L661" s="140" t="s">
        <v>8</v>
      </c>
      <c r="M661" s="141" t="s">
        <v>9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7">
        <v>1.0</v>
      </c>
      <c r="B662" s="142">
        <v>45901.0</v>
      </c>
      <c r="C662" s="143" t="s">
        <v>206</v>
      </c>
      <c r="D662" s="143" t="s">
        <v>267</v>
      </c>
      <c r="E662" s="144" t="s">
        <v>243</v>
      </c>
      <c r="F662" s="144" t="s">
        <v>323</v>
      </c>
      <c r="G662" s="148">
        <v>9000.0</v>
      </c>
      <c r="H662" s="107">
        <v>1350000.0</v>
      </c>
      <c r="I662" s="153"/>
      <c r="J662" s="109">
        <v>780000.0</v>
      </c>
      <c r="K662" s="109" t="s">
        <v>238</v>
      </c>
      <c r="L662" s="58">
        <f>H662-J662</f>
        <v>570000</v>
      </c>
      <c r="M662" s="14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1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1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1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21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1">
    <mergeCell ref="C381:F381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86"/>
    <col customWidth="1" min="3" max="3" width="15.14"/>
    <col customWidth="1" min="4" max="4" width="14.57"/>
    <col customWidth="1" min="5" max="5" width="29.0"/>
    <col customWidth="1" min="6" max="6" width="28.14"/>
    <col customWidth="1" min="7" max="7" width="16.14"/>
    <col customWidth="1" min="8" max="8" width="14.57"/>
    <col customWidth="1" min="9" max="9" width="13.29"/>
    <col customWidth="1" min="10" max="10" width="14.57"/>
    <col customWidth="1" min="11" max="11" width="11.14"/>
    <col customWidth="1" min="12" max="12" width="14.57"/>
    <col customWidth="1" min="13" max="13" width="15.86"/>
    <col customWidth="1" min="14" max="14" width="13.14"/>
    <col customWidth="1" min="15" max="16" width="8.71"/>
  </cols>
  <sheetData>
    <row r="1" ht="33.75" customHeight="1">
      <c r="A1" s="89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154" t="s">
        <v>6</v>
      </c>
      <c r="I1" s="5"/>
      <c r="J1" s="154" t="s">
        <v>7</v>
      </c>
      <c r="K1" s="5"/>
      <c r="L1" s="5" t="s">
        <v>8</v>
      </c>
      <c r="M1" s="154" t="s">
        <v>9</v>
      </c>
    </row>
    <row r="2">
      <c r="A2" s="155"/>
      <c r="B2" s="51">
        <v>45079.0</v>
      </c>
      <c r="C2" s="10" t="s">
        <v>352</v>
      </c>
      <c r="D2" s="11" t="s">
        <v>353</v>
      </c>
      <c r="E2" s="11" t="s">
        <v>354</v>
      </c>
      <c r="F2" s="11" t="s">
        <v>19</v>
      </c>
      <c r="G2" s="12">
        <v>9000.0</v>
      </c>
      <c r="H2" s="156">
        <v>1350000.0</v>
      </c>
      <c r="I2" s="14"/>
      <c r="J2" s="156">
        <v>800000.0</v>
      </c>
      <c r="K2" s="13"/>
      <c r="L2" s="13">
        <f t="shared" ref="L2:L21" si="1">H2-J2</f>
        <v>550000</v>
      </c>
      <c r="M2" s="156">
        <v>357500.0</v>
      </c>
    </row>
    <row r="3">
      <c r="A3" s="155"/>
      <c r="B3" s="51">
        <v>45080.0</v>
      </c>
      <c r="C3" s="10" t="s">
        <v>352</v>
      </c>
      <c r="D3" s="11" t="s">
        <v>353</v>
      </c>
      <c r="E3" s="11" t="s">
        <v>355</v>
      </c>
      <c r="F3" s="11" t="s">
        <v>16</v>
      </c>
      <c r="G3" s="12">
        <v>9000.0</v>
      </c>
      <c r="H3" s="156">
        <v>1215000.0</v>
      </c>
      <c r="I3" s="14"/>
      <c r="J3" s="156">
        <v>700000.0</v>
      </c>
      <c r="K3" s="13"/>
      <c r="L3" s="13">
        <f t="shared" si="1"/>
        <v>515000</v>
      </c>
      <c r="M3" s="156"/>
    </row>
    <row r="4">
      <c r="A4" s="155"/>
      <c r="B4" s="51">
        <v>45082.0</v>
      </c>
      <c r="C4" s="10" t="s">
        <v>352</v>
      </c>
      <c r="D4" s="11" t="s">
        <v>353</v>
      </c>
      <c r="E4" s="11" t="s">
        <v>355</v>
      </c>
      <c r="F4" s="11" t="s">
        <v>356</v>
      </c>
      <c r="G4" s="12">
        <v>9000.0</v>
      </c>
      <c r="H4" s="156">
        <v>1450000.0</v>
      </c>
      <c r="I4" s="14"/>
      <c r="J4" s="156">
        <v>900000.0</v>
      </c>
      <c r="K4" s="13"/>
      <c r="L4" s="13">
        <f t="shared" si="1"/>
        <v>550000</v>
      </c>
      <c r="M4" s="156"/>
    </row>
    <row r="5">
      <c r="A5" s="155"/>
      <c r="B5" s="51">
        <v>45084.0</v>
      </c>
      <c r="C5" s="10" t="s">
        <v>352</v>
      </c>
      <c r="D5" s="11" t="s">
        <v>353</v>
      </c>
      <c r="E5" s="11" t="s">
        <v>15</v>
      </c>
      <c r="F5" s="12" t="s">
        <v>356</v>
      </c>
      <c r="G5" s="12">
        <v>9000.0</v>
      </c>
      <c r="H5" s="156">
        <v>1450000.0</v>
      </c>
      <c r="I5" s="14"/>
      <c r="J5" s="156">
        <v>900000.0</v>
      </c>
      <c r="K5" s="13"/>
      <c r="L5" s="13">
        <f t="shared" si="1"/>
        <v>550000</v>
      </c>
      <c r="M5" s="156">
        <v>109000.0</v>
      </c>
    </row>
    <row r="6">
      <c r="A6" s="155"/>
      <c r="B6" s="51">
        <v>45085.0</v>
      </c>
      <c r="C6" s="10" t="s">
        <v>352</v>
      </c>
      <c r="D6" s="11" t="s">
        <v>353</v>
      </c>
      <c r="E6" s="11" t="s">
        <v>15</v>
      </c>
      <c r="F6" s="12" t="s">
        <v>16</v>
      </c>
      <c r="G6" s="12">
        <v>9000.0</v>
      </c>
      <c r="H6" s="156">
        <v>1215000.0</v>
      </c>
      <c r="I6" s="14"/>
      <c r="J6" s="156">
        <v>700000.0</v>
      </c>
      <c r="K6" s="13"/>
      <c r="L6" s="13">
        <f t="shared" si="1"/>
        <v>515000</v>
      </c>
      <c r="M6" s="156">
        <v>1425000.0</v>
      </c>
    </row>
    <row r="7">
      <c r="A7" s="155"/>
      <c r="B7" s="51">
        <v>45086.0</v>
      </c>
      <c r="C7" s="10" t="s">
        <v>352</v>
      </c>
      <c r="D7" s="11" t="s">
        <v>353</v>
      </c>
      <c r="E7" s="11" t="s">
        <v>355</v>
      </c>
      <c r="F7" s="12" t="s">
        <v>357</v>
      </c>
      <c r="G7" s="12">
        <v>9000.0</v>
      </c>
      <c r="H7" s="156">
        <v>975000.0</v>
      </c>
      <c r="I7" s="14"/>
      <c r="J7" s="156">
        <v>500000.0</v>
      </c>
      <c r="K7" s="13"/>
      <c r="L7" s="13">
        <f t="shared" si="1"/>
        <v>475000</v>
      </c>
      <c r="M7" s="156"/>
    </row>
    <row r="8">
      <c r="A8" s="155"/>
      <c r="B8" s="51">
        <v>45087.0</v>
      </c>
      <c r="C8" s="10" t="s">
        <v>352</v>
      </c>
      <c r="D8" s="11" t="s">
        <v>353</v>
      </c>
      <c r="E8" s="11" t="s">
        <v>354</v>
      </c>
      <c r="F8" s="12" t="s">
        <v>19</v>
      </c>
      <c r="G8" s="12">
        <v>9000.0</v>
      </c>
      <c r="H8" s="156">
        <v>1350000.0</v>
      </c>
      <c r="I8" s="14"/>
      <c r="J8" s="156">
        <v>800000.0</v>
      </c>
      <c r="K8" s="13"/>
      <c r="L8" s="13">
        <f t="shared" si="1"/>
        <v>550000</v>
      </c>
      <c r="M8" s="156"/>
    </row>
    <row r="9">
      <c r="A9" s="155"/>
      <c r="B9" s="51">
        <v>45089.0</v>
      </c>
      <c r="C9" s="10" t="s">
        <v>352</v>
      </c>
      <c r="D9" s="11" t="s">
        <v>353</v>
      </c>
      <c r="E9" s="11" t="s">
        <v>12</v>
      </c>
      <c r="F9" s="12" t="s">
        <v>358</v>
      </c>
      <c r="G9" s="12">
        <v>9000.0</v>
      </c>
      <c r="H9" s="156">
        <v>1400000.0</v>
      </c>
      <c r="I9" s="14"/>
      <c r="J9" s="156">
        <v>900000.0</v>
      </c>
      <c r="K9" s="13"/>
      <c r="L9" s="13">
        <f t="shared" si="1"/>
        <v>500000</v>
      </c>
      <c r="M9" s="156">
        <v>353000.0</v>
      </c>
    </row>
    <row r="10">
      <c r="A10" s="155"/>
      <c r="B10" s="51">
        <v>45090.0</v>
      </c>
      <c r="C10" s="10" t="s">
        <v>352</v>
      </c>
      <c r="D10" s="11" t="s">
        <v>353</v>
      </c>
      <c r="E10" s="11" t="s">
        <v>15</v>
      </c>
      <c r="F10" s="12" t="s">
        <v>356</v>
      </c>
      <c r="G10" s="12">
        <v>9000.0</v>
      </c>
      <c r="H10" s="156">
        <v>1450000.0</v>
      </c>
      <c r="I10" s="14"/>
      <c r="J10" s="156">
        <v>900000.0</v>
      </c>
      <c r="K10" s="13"/>
      <c r="L10" s="13">
        <f t="shared" si="1"/>
        <v>550000</v>
      </c>
      <c r="M10" s="156">
        <v>635000.0</v>
      </c>
    </row>
    <row r="11">
      <c r="A11" s="155"/>
      <c r="B11" s="51">
        <v>45091.0</v>
      </c>
      <c r="C11" s="11" t="s">
        <v>352</v>
      </c>
      <c r="D11" s="11" t="s">
        <v>353</v>
      </c>
      <c r="E11" s="11" t="s">
        <v>12</v>
      </c>
      <c r="F11" s="12" t="s">
        <v>356</v>
      </c>
      <c r="G11" s="12">
        <v>9000.0</v>
      </c>
      <c r="H11" s="156">
        <v>1450000.0</v>
      </c>
      <c r="I11" s="14"/>
      <c r="J11" s="156">
        <v>900000.0</v>
      </c>
      <c r="K11" s="13"/>
      <c r="L11" s="13">
        <f t="shared" si="1"/>
        <v>550000</v>
      </c>
      <c r="M11" s="156"/>
    </row>
    <row r="12">
      <c r="A12" s="155"/>
      <c r="B12" s="51">
        <v>45092.0</v>
      </c>
      <c r="C12" s="11" t="s">
        <v>352</v>
      </c>
      <c r="D12" s="11" t="s">
        <v>353</v>
      </c>
      <c r="E12" s="11" t="s">
        <v>12</v>
      </c>
      <c r="F12" s="12" t="s">
        <v>19</v>
      </c>
      <c r="G12" s="12">
        <v>9000.0</v>
      </c>
      <c r="H12" s="156">
        <v>1350000.0</v>
      </c>
      <c r="I12" s="14"/>
      <c r="J12" s="156">
        <v>800000.0</v>
      </c>
      <c r="K12" s="13"/>
      <c r="L12" s="13">
        <f t="shared" si="1"/>
        <v>550000</v>
      </c>
      <c r="M12" s="156"/>
    </row>
    <row r="13">
      <c r="A13" s="155"/>
      <c r="B13" s="51">
        <v>45094.0</v>
      </c>
      <c r="C13" s="11" t="s">
        <v>352</v>
      </c>
      <c r="D13" s="11" t="s">
        <v>353</v>
      </c>
      <c r="E13" s="11" t="s">
        <v>12</v>
      </c>
      <c r="F13" s="12" t="s">
        <v>359</v>
      </c>
      <c r="G13" s="12">
        <v>8500.0</v>
      </c>
      <c r="H13" s="156">
        <v>1300000.0</v>
      </c>
      <c r="I13" s="14"/>
      <c r="J13" s="156">
        <v>850000.0</v>
      </c>
      <c r="K13" s="13"/>
      <c r="L13" s="13">
        <f t="shared" si="1"/>
        <v>450000</v>
      </c>
      <c r="M13" s="156"/>
    </row>
    <row r="14">
      <c r="A14" s="155"/>
      <c r="B14" s="51">
        <v>45096.0</v>
      </c>
      <c r="C14" s="11" t="s">
        <v>352</v>
      </c>
      <c r="D14" s="11" t="s">
        <v>353</v>
      </c>
      <c r="E14" s="11" t="s">
        <v>15</v>
      </c>
      <c r="F14" s="12" t="s">
        <v>356</v>
      </c>
      <c r="G14" s="12">
        <v>9000.0</v>
      </c>
      <c r="H14" s="156">
        <v>1450000.0</v>
      </c>
      <c r="I14" s="14"/>
      <c r="J14" s="156">
        <v>900000.0</v>
      </c>
      <c r="K14" s="13"/>
      <c r="L14" s="13">
        <f t="shared" si="1"/>
        <v>550000</v>
      </c>
      <c r="M14" s="156">
        <v>415000.0</v>
      </c>
    </row>
    <row r="15">
      <c r="A15" s="155"/>
      <c r="B15" s="51">
        <v>45097.0</v>
      </c>
      <c r="C15" s="11" t="s">
        <v>352</v>
      </c>
      <c r="D15" s="11" t="s">
        <v>353</v>
      </c>
      <c r="E15" s="11" t="s">
        <v>12</v>
      </c>
      <c r="F15" s="12" t="s">
        <v>17</v>
      </c>
      <c r="G15" s="12">
        <v>9000.0</v>
      </c>
      <c r="H15" s="156">
        <v>1400000.0</v>
      </c>
      <c r="I15" s="14"/>
      <c r="J15" s="156">
        <v>900000.0</v>
      </c>
      <c r="K15" s="13"/>
      <c r="L15" s="13">
        <f t="shared" si="1"/>
        <v>500000</v>
      </c>
      <c r="M15" s="156"/>
    </row>
    <row r="16">
      <c r="A16" s="155"/>
      <c r="B16" s="51">
        <v>45097.0</v>
      </c>
      <c r="C16" s="11" t="s">
        <v>352</v>
      </c>
      <c r="D16" s="11" t="s">
        <v>353</v>
      </c>
      <c r="E16" s="11" t="s">
        <v>15</v>
      </c>
      <c r="F16" s="12" t="s">
        <v>360</v>
      </c>
      <c r="G16" s="12">
        <v>9000.0</v>
      </c>
      <c r="H16" s="156">
        <v>720000.0</v>
      </c>
      <c r="I16" s="14"/>
      <c r="J16" s="156">
        <v>350000.0</v>
      </c>
      <c r="K16" s="13"/>
      <c r="L16" s="13">
        <f t="shared" si="1"/>
        <v>370000</v>
      </c>
      <c r="M16" s="156"/>
    </row>
    <row r="17">
      <c r="A17" s="155"/>
      <c r="B17" s="51">
        <v>45098.0</v>
      </c>
      <c r="C17" s="11" t="s">
        <v>352</v>
      </c>
      <c r="D17" s="11" t="s">
        <v>353</v>
      </c>
      <c r="E17" s="11" t="s">
        <v>12</v>
      </c>
      <c r="F17" s="12" t="s">
        <v>19</v>
      </c>
      <c r="G17" s="12">
        <v>9000.0</v>
      </c>
      <c r="H17" s="156">
        <v>1350000.0</v>
      </c>
      <c r="I17" s="14"/>
      <c r="J17" s="156">
        <v>800000.0</v>
      </c>
      <c r="K17" s="13"/>
      <c r="L17" s="13">
        <f t="shared" si="1"/>
        <v>550000</v>
      </c>
      <c r="M17" s="156"/>
    </row>
    <row r="18">
      <c r="A18" s="155"/>
      <c r="B18" s="51">
        <v>45099.0</v>
      </c>
      <c r="C18" s="11" t="s">
        <v>352</v>
      </c>
      <c r="D18" s="11" t="s">
        <v>353</v>
      </c>
      <c r="E18" s="11" t="s">
        <v>12</v>
      </c>
      <c r="F18" s="12" t="s">
        <v>358</v>
      </c>
      <c r="G18" s="12">
        <v>9000.0</v>
      </c>
      <c r="H18" s="156">
        <v>1400000.0</v>
      </c>
      <c r="I18" s="14"/>
      <c r="J18" s="156">
        <v>900000.0</v>
      </c>
      <c r="K18" s="13"/>
      <c r="L18" s="13">
        <f t="shared" si="1"/>
        <v>500000</v>
      </c>
      <c r="M18" s="156">
        <v>3176000.0</v>
      </c>
    </row>
    <row r="19">
      <c r="A19" s="155"/>
      <c r="B19" s="51">
        <v>45100.0</v>
      </c>
      <c r="C19" s="11" t="s">
        <v>352</v>
      </c>
      <c r="D19" s="11" t="s">
        <v>353</v>
      </c>
      <c r="E19" s="11" t="s">
        <v>15</v>
      </c>
      <c r="F19" s="12" t="s">
        <v>356</v>
      </c>
      <c r="G19" s="12">
        <v>9000.0</v>
      </c>
      <c r="H19" s="156">
        <v>1450000.0</v>
      </c>
      <c r="I19" s="14"/>
      <c r="J19" s="156">
        <v>900000.0</v>
      </c>
      <c r="K19" s="13"/>
      <c r="L19" s="13">
        <f t="shared" si="1"/>
        <v>550000</v>
      </c>
      <c r="M19" s="156">
        <v>150000.0</v>
      </c>
    </row>
    <row r="20">
      <c r="A20" s="155"/>
      <c r="B20" s="51">
        <v>45104.0</v>
      </c>
      <c r="C20" s="11" t="s">
        <v>352</v>
      </c>
      <c r="D20" s="11" t="s">
        <v>353</v>
      </c>
      <c r="E20" s="11" t="s">
        <v>15</v>
      </c>
      <c r="F20" s="12" t="s">
        <v>16</v>
      </c>
      <c r="G20" s="12">
        <v>9000.0</v>
      </c>
      <c r="H20" s="156">
        <v>1215000.0</v>
      </c>
      <c r="I20" s="14"/>
      <c r="J20" s="156">
        <v>700000.0</v>
      </c>
      <c r="K20" s="13"/>
      <c r="L20" s="13">
        <f t="shared" si="1"/>
        <v>515000</v>
      </c>
      <c r="M20" s="156">
        <v>1407000.0</v>
      </c>
    </row>
    <row r="21" ht="15.75" customHeight="1">
      <c r="A21" s="155"/>
      <c r="B21" s="51">
        <v>45105.0</v>
      </c>
      <c r="C21" s="11" t="s">
        <v>352</v>
      </c>
      <c r="D21" s="11" t="s">
        <v>353</v>
      </c>
      <c r="E21" s="11" t="s">
        <v>12</v>
      </c>
      <c r="F21" s="12" t="s">
        <v>361</v>
      </c>
      <c r="G21" s="12">
        <v>9000.0</v>
      </c>
      <c r="H21" s="156">
        <v>1400000.0</v>
      </c>
      <c r="I21" s="14"/>
      <c r="J21" s="156">
        <v>900000.0</v>
      </c>
      <c r="K21" s="13"/>
      <c r="L21" s="13">
        <f t="shared" si="1"/>
        <v>500000</v>
      </c>
      <c r="M21" s="156"/>
    </row>
    <row r="22" ht="15.75" customHeight="1">
      <c r="A22" s="23"/>
      <c r="B22" s="23"/>
      <c r="C22" s="23"/>
      <c r="D22" s="23"/>
      <c r="E22" s="23"/>
      <c r="F22" s="23"/>
      <c r="G22" s="24"/>
      <c r="H22" s="157"/>
      <c r="I22" s="26"/>
      <c r="J22" s="157"/>
      <c r="K22" s="25"/>
      <c r="L22" s="28">
        <f t="shared" ref="L22:M22" si="2">SUM(L1:L20)</f>
        <v>9840000</v>
      </c>
      <c r="M22" s="158">
        <f t="shared" si="2"/>
        <v>8027500</v>
      </c>
    </row>
    <row r="23" ht="15.75" customHeight="1">
      <c r="A23" s="23"/>
      <c r="B23" s="23"/>
      <c r="C23" s="23"/>
      <c r="D23" s="23"/>
      <c r="E23" s="23"/>
      <c r="F23" s="23"/>
      <c r="G23" s="24"/>
      <c r="H23" s="157"/>
      <c r="I23" s="26"/>
      <c r="J23" s="157"/>
      <c r="K23" s="25"/>
      <c r="L23" s="30">
        <f>L22-M22</f>
        <v>1812500</v>
      </c>
      <c r="M23" s="159"/>
    </row>
    <row r="24" ht="15.75" customHeight="1">
      <c r="A24" s="23"/>
      <c r="B24" s="23"/>
      <c r="C24" s="23"/>
      <c r="D24" s="23"/>
      <c r="E24" s="23"/>
      <c r="F24" s="23"/>
      <c r="G24" s="24"/>
      <c r="H24" s="157"/>
      <c r="I24" s="26"/>
      <c r="J24" s="157"/>
      <c r="K24" s="25"/>
      <c r="L24" s="25"/>
      <c r="M24" s="157"/>
    </row>
    <row r="25" ht="15.75" customHeight="1">
      <c r="A25" s="89"/>
      <c r="B25" s="2" t="s">
        <v>0</v>
      </c>
      <c r="C25" s="2" t="s">
        <v>1</v>
      </c>
      <c r="D25" s="2" t="s">
        <v>2</v>
      </c>
      <c r="E25" s="3" t="s">
        <v>3</v>
      </c>
      <c r="F25" s="2" t="s">
        <v>4</v>
      </c>
      <c r="G25" s="4" t="s">
        <v>5</v>
      </c>
      <c r="H25" s="154" t="s">
        <v>6</v>
      </c>
      <c r="I25" s="5"/>
      <c r="J25" s="154" t="s">
        <v>7</v>
      </c>
      <c r="K25" s="5"/>
      <c r="L25" s="5" t="s">
        <v>8</v>
      </c>
      <c r="M25" s="154" t="s">
        <v>9</v>
      </c>
    </row>
    <row r="26" ht="15.75" customHeight="1">
      <c r="A26" s="155"/>
      <c r="B26" s="51">
        <v>45111.0</v>
      </c>
      <c r="C26" s="10" t="s">
        <v>352</v>
      </c>
      <c r="D26" s="11" t="s">
        <v>362</v>
      </c>
      <c r="E26" s="11" t="s">
        <v>30</v>
      </c>
      <c r="F26" s="11" t="s">
        <v>28</v>
      </c>
      <c r="G26" s="12">
        <v>8500.0</v>
      </c>
      <c r="H26" s="156">
        <v>1100000.0</v>
      </c>
      <c r="I26" s="14"/>
      <c r="J26" s="156">
        <v>640000.0</v>
      </c>
      <c r="K26" s="13"/>
      <c r="L26" s="13">
        <f t="shared" ref="L26:L45" si="3">H26-J26</f>
        <v>460000</v>
      </c>
      <c r="M26" s="156"/>
    </row>
    <row r="27" ht="15.75" customHeight="1">
      <c r="A27" s="155"/>
      <c r="B27" s="51">
        <v>45112.0</v>
      </c>
      <c r="C27" s="10" t="s">
        <v>352</v>
      </c>
      <c r="D27" s="11" t="s">
        <v>362</v>
      </c>
      <c r="E27" s="11" t="s">
        <v>30</v>
      </c>
      <c r="F27" s="11" t="s">
        <v>363</v>
      </c>
      <c r="G27" s="12">
        <v>9000.0</v>
      </c>
      <c r="H27" s="156">
        <v>810000.0</v>
      </c>
      <c r="I27" s="14"/>
      <c r="J27" s="156">
        <v>500000.0</v>
      </c>
      <c r="K27" s="13"/>
      <c r="L27" s="13">
        <f t="shared" si="3"/>
        <v>310000</v>
      </c>
      <c r="M27" s="156"/>
    </row>
    <row r="28" ht="15.75" customHeight="1">
      <c r="A28" s="155"/>
      <c r="B28" s="51">
        <v>45113.0</v>
      </c>
      <c r="C28" s="10"/>
      <c r="D28" s="11"/>
      <c r="E28" s="11"/>
      <c r="F28" s="11"/>
      <c r="G28" s="12"/>
      <c r="H28" s="156"/>
      <c r="I28" s="14"/>
      <c r="J28" s="156"/>
      <c r="K28" s="13"/>
      <c r="L28" s="13">
        <f t="shared" si="3"/>
        <v>0</v>
      </c>
      <c r="M28" s="156">
        <v>1319000.0</v>
      </c>
    </row>
    <row r="29" ht="15.75" customHeight="1">
      <c r="A29" s="155"/>
      <c r="B29" s="51">
        <v>45114.0</v>
      </c>
      <c r="C29" s="10"/>
      <c r="D29" s="11"/>
      <c r="E29" s="11"/>
      <c r="F29" s="11"/>
      <c r="G29" s="12"/>
      <c r="H29" s="156"/>
      <c r="I29" s="14"/>
      <c r="J29" s="156"/>
      <c r="K29" s="13"/>
      <c r="L29" s="13">
        <f t="shared" si="3"/>
        <v>0</v>
      </c>
      <c r="M29" s="156">
        <v>1.27E7</v>
      </c>
    </row>
    <row r="30" ht="15.75" customHeight="1">
      <c r="A30" s="155"/>
      <c r="B30" s="51">
        <v>45115.0</v>
      </c>
      <c r="C30" s="10" t="s">
        <v>352</v>
      </c>
      <c r="D30" s="11" t="s">
        <v>362</v>
      </c>
      <c r="E30" s="11" t="s">
        <v>37</v>
      </c>
      <c r="F30" s="11" t="s">
        <v>364</v>
      </c>
      <c r="G30" s="12">
        <v>9000.0</v>
      </c>
      <c r="H30" s="156">
        <v>765000.0</v>
      </c>
      <c r="I30" s="14"/>
      <c r="J30" s="156">
        <v>450000.0</v>
      </c>
      <c r="K30" s="13"/>
      <c r="L30" s="13">
        <f t="shared" si="3"/>
        <v>315000</v>
      </c>
      <c r="M30" s="156"/>
    </row>
    <row r="31" ht="15.75" customHeight="1">
      <c r="A31" s="155"/>
      <c r="B31" s="51">
        <v>45118.0</v>
      </c>
      <c r="C31" s="10" t="s">
        <v>352</v>
      </c>
      <c r="D31" s="11" t="s">
        <v>362</v>
      </c>
      <c r="E31" s="11" t="s">
        <v>365</v>
      </c>
      <c r="F31" s="11" t="s">
        <v>132</v>
      </c>
      <c r="G31" s="12">
        <v>9000.0</v>
      </c>
      <c r="H31" s="156">
        <v>975000.0</v>
      </c>
      <c r="I31" s="14"/>
      <c r="J31" s="156">
        <v>500000.0</v>
      </c>
      <c r="K31" s="13"/>
      <c r="L31" s="13">
        <f t="shared" si="3"/>
        <v>475000</v>
      </c>
      <c r="M31" s="156">
        <v>1550000.0</v>
      </c>
    </row>
    <row r="32" ht="15.75" customHeight="1">
      <c r="A32" s="155"/>
      <c r="B32" s="51">
        <v>45119.0</v>
      </c>
      <c r="C32" s="10" t="s">
        <v>352</v>
      </c>
      <c r="D32" s="11" t="s">
        <v>362</v>
      </c>
      <c r="E32" s="11" t="s">
        <v>365</v>
      </c>
      <c r="F32" s="11" t="s">
        <v>259</v>
      </c>
      <c r="G32" s="12">
        <v>9000.0</v>
      </c>
      <c r="H32" s="156">
        <v>1350000.0</v>
      </c>
      <c r="I32" s="14"/>
      <c r="J32" s="156">
        <v>800000.0</v>
      </c>
      <c r="K32" s="13"/>
      <c r="L32" s="13">
        <f t="shared" si="3"/>
        <v>550000</v>
      </c>
      <c r="M32" s="156"/>
    </row>
    <row r="33" ht="15.75" customHeight="1">
      <c r="A33" s="155"/>
      <c r="B33" s="51">
        <v>45120.0</v>
      </c>
      <c r="C33" s="10" t="s">
        <v>352</v>
      </c>
      <c r="D33" s="11" t="s">
        <v>362</v>
      </c>
      <c r="E33" s="11" t="s">
        <v>365</v>
      </c>
      <c r="F33" s="11" t="s">
        <v>366</v>
      </c>
      <c r="G33" s="12">
        <v>9000.0</v>
      </c>
      <c r="H33" s="156">
        <v>1400000.0</v>
      </c>
      <c r="I33" s="14"/>
      <c r="J33" s="156">
        <v>900000.0</v>
      </c>
      <c r="K33" s="13"/>
      <c r="L33" s="13">
        <f t="shared" si="3"/>
        <v>500000</v>
      </c>
      <c r="M33" s="156"/>
    </row>
    <row r="34" ht="15.75" customHeight="1">
      <c r="A34" s="155"/>
      <c r="B34" s="51">
        <v>45121.0</v>
      </c>
      <c r="C34" s="10" t="s">
        <v>352</v>
      </c>
      <c r="D34" s="11" t="s">
        <v>362</v>
      </c>
      <c r="E34" s="11" t="s">
        <v>37</v>
      </c>
      <c r="F34" s="11" t="s">
        <v>259</v>
      </c>
      <c r="G34" s="12">
        <v>9000.0</v>
      </c>
      <c r="H34" s="156">
        <v>1350000.0</v>
      </c>
      <c r="I34" s="14"/>
      <c r="J34" s="156">
        <v>800000.0</v>
      </c>
      <c r="K34" s="13"/>
      <c r="L34" s="13">
        <f t="shared" si="3"/>
        <v>550000</v>
      </c>
      <c r="M34" s="156"/>
    </row>
    <row r="35" ht="15.75" customHeight="1">
      <c r="A35" s="155"/>
      <c r="B35" s="51">
        <v>45122.0</v>
      </c>
      <c r="C35" s="10" t="s">
        <v>352</v>
      </c>
      <c r="D35" s="11" t="s">
        <v>362</v>
      </c>
      <c r="E35" s="11" t="s">
        <v>30</v>
      </c>
      <c r="F35" s="11" t="s">
        <v>103</v>
      </c>
      <c r="G35" s="12">
        <v>9000.0</v>
      </c>
      <c r="H35" s="156">
        <v>675000.0</v>
      </c>
      <c r="I35" s="14"/>
      <c r="J35" s="156">
        <v>375000.0</v>
      </c>
      <c r="K35" s="13"/>
      <c r="L35" s="13">
        <f t="shared" si="3"/>
        <v>300000</v>
      </c>
      <c r="M35" s="156"/>
    </row>
    <row r="36" ht="15.75" customHeight="1">
      <c r="A36" s="155"/>
      <c r="B36" s="51">
        <v>45127.0</v>
      </c>
      <c r="C36" s="11" t="s">
        <v>352</v>
      </c>
      <c r="D36" s="11" t="s">
        <v>362</v>
      </c>
      <c r="E36" s="11" t="s">
        <v>37</v>
      </c>
      <c r="F36" s="11" t="s">
        <v>259</v>
      </c>
      <c r="G36" s="12">
        <v>9000.0</v>
      </c>
      <c r="H36" s="156">
        <v>1350000.0</v>
      </c>
      <c r="I36" s="14"/>
      <c r="J36" s="156">
        <v>800000.0</v>
      </c>
      <c r="K36" s="13"/>
      <c r="L36" s="13">
        <f t="shared" si="3"/>
        <v>550000</v>
      </c>
      <c r="M36" s="156"/>
    </row>
    <row r="37" ht="15.75" customHeight="1">
      <c r="A37" s="155"/>
      <c r="B37" s="51">
        <v>45128.0</v>
      </c>
      <c r="C37" s="10" t="s">
        <v>352</v>
      </c>
      <c r="D37" s="11" t="s">
        <v>362</v>
      </c>
      <c r="E37" s="11" t="s">
        <v>30</v>
      </c>
      <c r="F37" s="11" t="s">
        <v>367</v>
      </c>
      <c r="G37" s="12">
        <v>9000.0</v>
      </c>
      <c r="H37" s="156">
        <v>1215000.0</v>
      </c>
      <c r="I37" s="14"/>
      <c r="J37" s="156">
        <v>700000.0</v>
      </c>
      <c r="K37" s="13"/>
      <c r="L37" s="13">
        <f t="shared" si="3"/>
        <v>515000</v>
      </c>
      <c r="M37" s="156"/>
    </row>
    <row r="38" ht="15.75" customHeight="1">
      <c r="A38" s="155"/>
      <c r="B38" s="51">
        <v>45129.0</v>
      </c>
      <c r="C38" s="10" t="s">
        <v>352</v>
      </c>
      <c r="D38" s="11" t="s">
        <v>362</v>
      </c>
      <c r="E38" s="11" t="s">
        <v>30</v>
      </c>
      <c r="F38" s="11" t="s">
        <v>367</v>
      </c>
      <c r="G38" s="12">
        <v>9000.0</v>
      </c>
      <c r="H38" s="156">
        <v>1215000.0</v>
      </c>
      <c r="I38" s="14"/>
      <c r="J38" s="156">
        <v>700000.0</v>
      </c>
      <c r="K38" s="13"/>
      <c r="L38" s="13">
        <f t="shared" si="3"/>
        <v>515000</v>
      </c>
      <c r="M38" s="156">
        <v>981000.0</v>
      </c>
    </row>
    <row r="39" ht="15.75" customHeight="1">
      <c r="A39" s="155"/>
      <c r="B39" s="51">
        <v>45131.0</v>
      </c>
      <c r="C39" s="10" t="s">
        <v>352</v>
      </c>
      <c r="D39" s="11" t="s">
        <v>362</v>
      </c>
      <c r="E39" s="11" t="s">
        <v>30</v>
      </c>
      <c r="F39" s="11" t="s">
        <v>54</v>
      </c>
      <c r="G39" s="12">
        <v>9000.0</v>
      </c>
      <c r="H39" s="156">
        <v>1200000.0</v>
      </c>
      <c r="I39" s="14"/>
      <c r="J39" s="156">
        <v>640000.0</v>
      </c>
      <c r="K39" s="13"/>
      <c r="L39" s="13">
        <f t="shared" si="3"/>
        <v>560000</v>
      </c>
      <c r="M39" s="156"/>
    </row>
    <row r="40" ht="15.75" customHeight="1">
      <c r="A40" s="155"/>
      <c r="B40" s="51">
        <v>45132.0</v>
      </c>
      <c r="C40" s="10" t="s">
        <v>352</v>
      </c>
      <c r="D40" s="11" t="s">
        <v>362</v>
      </c>
      <c r="E40" s="11" t="s">
        <v>365</v>
      </c>
      <c r="F40" s="11" t="s">
        <v>259</v>
      </c>
      <c r="G40" s="12">
        <v>9000.0</v>
      </c>
      <c r="H40" s="156">
        <v>1350000.0</v>
      </c>
      <c r="I40" s="14"/>
      <c r="J40" s="156">
        <v>800000.0</v>
      </c>
      <c r="K40" s="13"/>
      <c r="L40" s="13">
        <f t="shared" si="3"/>
        <v>550000</v>
      </c>
      <c r="M40" s="156"/>
    </row>
    <row r="41" ht="15.75" customHeight="1">
      <c r="A41" s="155"/>
      <c r="B41" s="51">
        <v>45133.0</v>
      </c>
      <c r="C41" s="10" t="s">
        <v>352</v>
      </c>
      <c r="D41" s="11" t="s">
        <v>362</v>
      </c>
      <c r="E41" s="11"/>
      <c r="F41" s="11"/>
      <c r="G41" s="12"/>
      <c r="H41" s="156"/>
      <c r="I41" s="14"/>
      <c r="J41" s="156"/>
      <c r="K41" s="13"/>
      <c r="L41" s="13">
        <f t="shared" si="3"/>
        <v>0</v>
      </c>
      <c r="M41" s="156">
        <v>387000.0</v>
      </c>
    </row>
    <row r="42" ht="15.75" customHeight="1">
      <c r="A42" s="155"/>
      <c r="B42" s="51">
        <v>45134.0</v>
      </c>
      <c r="C42" s="10" t="s">
        <v>352</v>
      </c>
      <c r="D42" s="11" t="s">
        <v>362</v>
      </c>
      <c r="E42" s="11" t="s">
        <v>30</v>
      </c>
      <c r="F42" s="11" t="s">
        <v>368</v>
      </c>
      <c r="G42" s="12">
        <v>9000.0</v>
      </c>
      <c r="H42" s="156">
        <v>990000.0</v>
      </c>
      <c r="I42" s="14"/>
      <c r="J42" s="156">
        <v>550000.0</v>
      </c>
      <c r="K42" s="13"/>
      <c r="L42" s="13">
        <f t="shared" si="3"/>
        <v>440000</v>
      </c>
      <c r="M42" s="156"/>
    </row>
    <row r="43" ht="15.75" customHeight="1">
      <c r="A43" s="155"/>
      <c r="B43" s="51">
        <v>45135.0</v>
      </c>
      <c r="C43" s="10" t="s">
        <v>352</v>
      </c>
      <c r="D43" s="11" t="s">
        <v>362</v>
      </c>
      <c r="E43" s="11" t="s">
        <v>30</v>
      </c>
      <c r="F43" s="11" t="s">
        <v>368</v>
      </c>
      <c r="G43" s="12">
        <v>9000.0</v>
      </c>
      <c r="H43" s="156">
        <v>990000.0</v>
      </c>
      <c r="I43" s="14"/>
      <c r="J43" s="156">
        <v>550000.0</v>
      </c>
      <c r="K43" s="13"/>
      <c r="L43" s="13">
        <f t="shared" si="3"/>
        <v>440000</v>
      </c>
      <c r="M43" s="156"/>
    </row>
    <row r="44" ht="15.75" customHeight="1">
      <c r="A44" s="155"/>
      <c r="B44" s="51">
        <v>45136.0</v>
      </c>
      <c r="C44" s="10" t="s">
        <v>352</v>
      </c>
      <c r="D44" s="11" t="s">
        <v>362</v>
      </c>
      <c r="E44" s="11" t="s">
        <v>30</v>
      </c>
      <c r="F44" s="11" t="s">
        <v>41</v>
      </c>
      <c r="G44" s="12">
        <v>9000.0</v>
      </c>
      <c r="H44" s="156">
        <v>1450000.0</v>
      </c>
      <c r="I44" s="14"/>
      <c r="J44" s="156">
        <v>900000.0</v>
      </c>
      <c r="K44" s="13"/>
      <c r="L44" s="13">
        <f t="shared" si="3"/>
        <v>550000</v>
      </c>
      <c r="M44" s="156"/>
    </row>
    <row r="45" ht="15.75" customHeight="1">
      <c r="A45" s="155"/>
      <c r="B45" s="51">
        <v>45138.0</v>
      </c>
      <c r="C45" s="10" t="s">
        <v>352</v>
      </c>
      <c r="D45" s="11" t="s">
        <v>362</v>
      </c>
      <c r="E45" s="11" t="s">
        <v>45</v>
      </c>
      <c r="F45" s="11" t="s">
        <v>369</v>
      </c>
      <c r="G45" s="12">
        <v>9000.0</v>
      </c>
      <c r="H45" s="156">
        <v>1080000.0</v>
      </c>
      <c r="I45" s="14"/>
      <c r="J45" s="156">
        <v>640000.0</v>
      </c>
      <c r="K45" s="13"/>
      <c r="L45" s="13">
        <f t="shared" si="3"/>
        <v>440000</v>
      </c>
      <c r="M45" s="156"/>
    </row>
    <row r="46" ht="15.75" customHeight="1">
      <c r="A46" s="23"/>
      <c r="B46" s="23"/>
      <c r="C46" s="23"/>
      <c r="D46" s="23"/>
      <c r="E46" s="23"/>
      <c r="F46" s="23"/>
      <c r="G46" s="24"/>
      <c r="H46" s="157"/>
      <c r="I46" s="26"/>
      <c r="J46" s="157"/>
      <c r="K46" s="25"/>
      <c r="L46" s="28">
        <f t="shared" ref="L46:M46" si="4">SUM(L26:L45)</f>
        <v>8020000</v>
      </c>
      <c r="M46" s="160">
        <f t="shared" si="4"/>
        <v>16937000</v>
      </c>
    </row>
    <row r="47" ht="15.75" customHeight="1">
      <c r="A47" s="23"/>
      <c r="B47" s="23"/>
      <c r="C47" s="23"/>
      <c r="D47" s="23"/>
      <c r="E47" s="23"/>
      <c r="F47" s="23"/>
      <c r="G47" s="24"/>
      <c r="H47" s="157"/>
      <c r="I47" s="26"/>
      <c r="J47" s="157"/>
      <c r="K47" s="25"/>
      <c r="L47" s="33">
        <f>L46-M46</f>
        <v>-8917000</v>
      </c>
      <c r="M47" s="157"/>
    </row>
    <row r="48" ht="15.75" customHeight="1">
      <c r="A48" s="23"/>
      <c r="B48" s="23"/>
      <c r="C48" s="23"/>
      <c r="D48" s="23"/>
      <c r="E48" s="23"/>
      <c r="F48" s="23"/>
      <c r="G48" s="24"/>
      <c r="H48" s="157"/>
      <c r="I48" s="26"/>
      <c r="J48" s="157"/>
      <c r="K48" s="25"/>
      <c r="L48" s="25"/>
      <c r="M48" s="157"/>
    </row>
    <row r="49" ht="33.75" customHeight="1">
      <c r="A49" s="89"/>
      <c r="B49" s="161" t="s">
        <v>0</v>
      </c>
      <c r="C49" s="161" t="s">
        <v>1</v>
      </c>
      <c r="D49" s="161" t="s">
        <v>2</v>
      </c>
      <c r="E49" s="162" t="s">
        <v>3</v>
      </c>
      <c r="F49" s="161" t="s">
        <v>4</v>
      </c>
      <c r="G49" s="163" t="s">
        <v>5</v>
      </c>
      <c r="H49" s="164" t="s">
        <v>6</v>
      </c>
      <c r="I49" s="165" t="s">
        <v>39</v>
      </c>
      <c r="J49" s="164" t="s">
        <v>7</v>
      </c>
      <c r="K49" s="165" t="s">
        <v>39</v>
      </c>
      <c r="L49" s="165" t="s">
        <v>8</v>
      </c>
      <c r="M49" s="164" t="s">
        <v>9</v>
      </c>
    </row>
    <row r="50" ht="15.75" customHeight="1">
      <c r="A50" s="155"/>
      <c r="B50" s="41">
        <v>45139.0</v>
      </c>
      <c r="C50" s="42" t="s">
        <v>352</v>
      </c>
      <c r="D50" s="42" t="s">
        <v>370</v>
      </c>
      <c r="E50" s="42" t="s">
        <v>30</v>
      </c>
      <c r="F50" s="42" t="s">
        <v>46</v>
      </c>
      <c r="G50" s="45">
        <v>9000.0</v>
      </c>
      <c r="H50" s="166">
        <v>1215000.0</v>
      </c>
      <c r="I50" s="50" t="s">
        <v>44</v>
      </c>
      <c r="J50" s="166">
        <v>700000.0</v>
      </c>
      <c r="K50" s="49" t="s">
        <v>42</v>
      </c>
      <c r="L50" s="49">
        <f t="shared" ref="L50:L59" si="5">H50-J50</f>
        <v>515000</v>
      </c>
      <c r="M50" s="166">
        <v>204000.0</v>
      </c>
    </row>
    <row r="51" ht="15.75" customHeight="1">
      <c r="A51" s="155"/>
      <c r="B51" s="51">
        <v>45140.0</v>
      </c>
      <c r="C51" s="11" t="s">
        <v>352</v>
      </c>
      <c r="D51" s="42" t="s">
        <v>370</v>
      </c>
      <c r="E51" s="11" t="s">
        <v>40</v>
      </c>
      <c r="F51" s="11" t="s">
        <v>371</v>
      </c>
      <c r="G51" s="12">
        <v>9000.0</v>
      </c>
      <c r="H51" s="156">
        <v>1350000.0</v>
      </c>
      <c r="I51" s="14" t="s">
        <v>44</v>
      </c>
      <c r="J51" s="156">
        <v>800000.0</v>
      </c>
      <c r="K51" s="13" t="s">
        <v>42</v>
      </c>
      <c r="L51" s="13">
        <f t="shared" si="5"/>
        <v>550000</v>
      </c>
      <c r="M51" s="156">
        <v>0.0</v>
      </c>
    </row>
    <row r="52" ht="15.75" customHeight="1">
      <c r="A52" s="155"/>
      <c r="B52" s="51">
        <v>45141.0</v>
      </c>
      <c r="C52" s="11" t="s">
        <v>352</v>
      </c>
      <c r="D52" s="42" t="s">
        <v>370</v>
      </c>
      <c r="E52" s="11" t="s">
        <v>372</v>
      </c>
      <c r="F52" s="11"/>
      <c r="G52" s="18"/>
      <c r="H52" s="156">
        <f t="shared" ref="H52:H55" si="6">F52-G52</f>
        <v>0</v>
      </c>
      <c r="I52" s="14"/>
      <c r="J52" s="156">
        <f t="shared" ref="J52:J55" si="7">G52-H52</f>
        <v>0</v>
      </c>
      <c r="K52" s="13"/>
      <c r="L52" s="13">
        <f t="shared" si="5"/>
        <v>0</v>
      </c>
      <c r="M52" s="156">
        <v>285000.0</v>
      </c>
    </row>
    <row r="53" ht="15.75" customHeight="1">
      <c r="A53" s="155"/>
      <c r="B53" s="51">
        <v>45142.0</v>
      </c>
      <c r="C53" s="11" t="s">
        <v>352</v>
      </c>
      <c r="D53" s="42" t="s">
        <v>370</v>
      </c>
      <c r="E53" s="11" t="s">
        <v>372</v>
      </c>
      <c r="F53" s="11"/>
      <c r="G53" s="18"/>
      <c r="H53" s="156">
        <f t="shared" si="6"/>
        <v>0</v>
      </c>
      <c r="I53" s="14"/>
      <c r="J53" s="156">
        <f t="shared" si="7"/>
        <v>0</v>
      </c>
      <c r="K53" s="13"/>
      <c r="L53" s="13">
        <f t="shared" si="5"/>
        <v>0</v>
      </c>
      <c r="M53" s="156">
        <v>65000.0</v>
      </c>
    </row>
    <row r="54" ht="15.75" customHeight="1">
      <c r="A54" s="155"/>
      <c r="B54" s="51">
        <v>45143.0</v>
      </c>
      <c r="C54" s="11" t="s">
        <v>352</v>
      </c>
      <c r="D54" s="42" t="s">
        <v>370</v>
      </c>
      <c r="E54" s="11" t="s">
        <v>372</v>
      </c>
      <c r="F54" s="11"/>
      <c r="G54" s="18"/>
      <c r="H54" s="156">
        <f t="shared" si="6"/>
        <v>0</v>
      </c>
      <c r="I54" s="14"/>
      <c r="J54" s="156">
        <f t="shared" si="7"/>
        <v>0</v>
      </c>
      <c r="K54" s="13"/>
      <c r="L54" s="13">
        <f t="shared" si="5"/>
        <v>0</v>
      </c>
      <c r="M54" s="156">
        <v>150000.0</v>
      </c>
    </row>
    <row r="55" ht="15.75" customHeight="1">
      <c r="A55" s="155"/>
      <c r="B55" s="51">
        <v>45145.0</v>
      </c>
      <c r="C55" s="11" t="s">
        <v>352</v>
      </c>
      <c r="D55" s="42" t="s">
        <v>370</v>
      </c>
      <c r="E55" s="11" t="s">
        <v>372</v>
      </c>
      <c r="F55" s="11"/>
      <c r="G55" s="18"/>
      <c r="H55" s="156">
        <f t="shared" si="6"/>
        <v>0</v>
      </c>
      <c r="I55" s="14"/>
      <c r="J55" s="156">
        <f t="shared" si="7"/>
        <v>0</v>
      </c>
      <c r="K55" s="13"/>
      <c r="L55" s="13">
        <f t="shared" si="5"/>
        <v>0</v>
      </c>
      <c r="M55" s="156">
        <v>10000.0</v>
      </c>
    </row>
    <row r="56" ht="15.75" customHeight="1">
      <c r="A56" s="155"/>
      <c r="B56" s="51">
        <v>45146.0</v>
      </c>
      <c r="C56" s="11" t="s">
        <v>352</v>
      </c>
      <c r="D56" s="42" t="s">
        <v>370</v>
      </c>
      <c r="E56" s="11" t="s">
        <v>45</v>
      </c>
      <c r="F56" s="11" t="s">
        <v>46</v>
      </c>
      <c r="G56" s="12">
        <v>9000.0</v>
      </c>
      <c r="H56" s="156">
        <v>1215000.0</v>
      </c>
      <c r="I56" s="14" t="s">
        <v>44</v>
      </c>
      <c r="J56" s="156">
        <v>700000.0</v>
      </c>
      <c r="K56" s="13" t="s">
        <v>42</v>
      </c>
      <c r="L56" s="13">
        <f t="shared" si="5"/>
        <v>515000</v>
      </c>
      <c r="M56" s="156">
        <v>50000.0</v>
      </c>
    </row>
    <row r="57" ht="15.75" customHeight="1">
      <c r="A57" s="155"/>
      <c r="B57" s="51">
        <v>45147.0</v>
      </c>
      <c r="C57" s="11" t="s">
        <v>352</v>
      </c>
      <c r="D57" s="42" t="s">
        <v>370</v>
      </c>
      <c r="E57" s="11" t="s">
        <v>40</v>
      </c>
      <c r="F57" s="11" t="s">
        <v>373</v>
      </c>
      <c r="G57" s="12">
        <v>9000.0</v>
      </c>
      <c r="H57" s="156">
        <v>1400000.0</v>
      </c>
      <c r="I57" s="14" t="s">
        <v>42</v>
      </c>
      <c r="J57" s="156">
        <v>900000.0</v>
      </c>
      <c r="K57" s="13" t="s">
        <v>42</v>
      </c>
      <c r="L57" s="13">
        <f t="shared" si="5"/>
        <v>500000</v>
      </c>
      <c r="M57" s="156">
        <v>0.0</v>
      </c>
    </row>
    <row r="58" ht="15.75" customHeight="1">
      <c r="A58" s="155"/>
      <c r="B58" s="51">
        <v>45149.0</v>
      </c>
      <c r="C58" s="11" t="s">
        <v>352</v>
      </c>
      <c r="D58" s="42" t="s">
        <v>370</v>
      </c>
      <c r="E58" s="11" t="s">
        <v>40</v>
      </c>
      <c r="F58" s="11" t="s">
        <v>374</v>
      </c>
      <c r="G58" s="12">
        <v>9000.0</v>
      </c>
      <c r="H58" s="156">
        <v>1080000.0</v>
      </c>
      <c r="I58" s="14" t="s">
        <v>42</v>
      </c>
      <c r="J58" s="156">
        <v>640000.0</v>
      </c>
      <c r="K58" s="13" t="s">
        <v>42</v>
      </c>
      <c r="L58" s="13">
        <f t="shared" si="5"/>
        <v>440000</v>
      </c>
      <c r="M58" s="156">
        <v>0.0</v>
      </c>
    </row>
    <row r="59" ht="15.75" customHeight="1">
      <c r="A59" s="155"/>
      <c r="B59" s="51">
        <v>45150.0</v>
      </c>
      <c r="C59" s="11" t="s">
        <v>352</v>
      </c>
      <c r="D59" s="42" t="s">
        <v>370</v>
      </c>
      <c r="E59" s="11" t="s">
        <v>30</v>
      </c>
      <c r="F59" s="11" t="s">
        <v>46</v>
      </c>
      <c r="G59" s="12">
        <v>7500.0</v>
      </c>
      <c r="H59" s="156">
        <v>1215000.0</v>
      </c>
      <c r="I59" s="14" t="s">
        <v>44</v>
      </c>
      <c r="J59" s="156">
        <v>700000.0</v>
      </c>
      <c r="K59" s="13" t="s">
        <v>42</v>
      </c>
      <c r="L59" s="13">
        <f t="shared" si="5"/>
        <v>515000</v>
      </c>
      <c r="M59" s="156">
        <v>0.0</v>
      </c>
    </row>
    <row r="60" ht="15.75" customHeight="1">
      <c r="A60" s="155"/>
      <c r="B60" s="51">
        <v>45151.0</v>
      </c>
      <c r="C60" s="11" t="s">
        <v>352</v>
      </c>
      <c r="D60" s="42" t="s">
        <v>370</v>
      </c>
      <c r="E60" s="11"/>
      <c r="F60" s="11"/>
      <c r="G60" s="12"/>
      <c r="H60" s="156"/>
      <c r="I60" s="14"/>
      <c r="J60" s="156"/>
      <c r="K60" s="13"/>
      <c r="L60" s="13"/>
      <c r="M60" s="156">
        <v>75000.0</v>
      </c>
    </row>
    <row r="61" ht="15.75" customHeight="1">
      <c r="A61" s="155"/>
      <c r="B61" s="51">
        <v>45152.0</v>
      </c>
      <c r="C61" s="11" t="s">
        <v>352</v>
      </c>
      <c r="D61" s="42" t="s">
        <v>370</v>
      </c>
      <c r="E61" s="11" t="s">
        <v>30</v>
      </c>
      <c r="F61" s="11" t="s">
        <v>375</v>
      </c>
      <c r="G61" s="12">
        <v>9000.0</v>
      </c>
      <c r="H61" s="156">
        <v>1450000.0</v>
      </c>
      <c r="I61" s="14" t="s">
        <v>42</v>
      </c>
      <c r="J61" s="156">
        <v>900000.0</v>
      </c>
      <c r="K61" s="13" t="s">
        <v>42</v>
      </c>
      <c r="L61" s="13">
        <f t="shared" ref="L61:L67" si="8">H61-J61</f>
        <v>550000</v>
      </c>
      <c r="M61" s="156">
        <v>0.0</v>
      </c>
    </row>
    <row r="62" ht="15.75" customHeight="1">
      <c r="A62" s="155"/>
      <c r="B62" s="51">
        <v>45153.0</v>
      </c>
      <c r="C62" s="11" t="s">
        <v>352</v>
      </c>
      <c r="D62" s="42" t="s">
        <v>370</v>
      </c>
      <c r="E62" s="11" t="s">
        <v>30</v>
      </c>
      <c r="F62" s="11" t="s">
        <v>376</v>
      </c>
      <c r="G62" s="12">
        <v>9000.0</v>
      </c>
      <c r="H62" s="156">
        <v>810000.0</v>
      </c>
      <c r="I62" s="14" t="s">
        <v>44</v>
      </c>
      <c r="J62" s="156">
        <v>500000.0</v>
      </c>
      <c r="K62" s="13" t="s">
        <v>42</v>
      </c>
      <c r="L62" s="13">
        <f t="shared" si="8"/>
        <v>310000</v>
      </c>
      <c r="M62" s="156">
        <v>0.0</v>
      </c>
    </row>
    <row r="63" ht="15.75" customHeight="1">
      <c r="A63" s="155"/>
      <c r="B63" s="51">
        <v>45154.0</v>
      </c>
      <c r="C63" s="11" t="s">
        <v>352</v>
      </c>
      <c r="D63" s="42" t="s">
        <v>370</v>
      </c>
      <c r="E63" s="11" t="s">
        <v>30</v>
      </c>
      <c r="F63" s="11" t="s">
        <v>377</v>
      </c>
      <c r="G63" s="12">
        <v>9000.0</v>
      </c>
      <c r="H63" s="156">
        <v>820000.0</v>
      </c>
      <c r="I63" s="14" t="s">
        <v>44</v>
      </c>
      <c r="J63" s="156">
        <v>350000.0</v>
      </c>
      <c r="K63" s="13" t="s">
        <v>42</v>
      </c>
      <c r="L63" s="13">
        <f t="shared" si="8"/>
        <v>470000</v>
      </c>
      <c r="M63" s="156">
        <v>0.0</v>
      </c>
    </row>
    <row r="64" ht="15.75" customHeight="1">
      <c r="A64" s="155"/>
      <c r="B64" s="51">
        <v>45156.0</v>
      </c>
      <c r="C64" s="11" t="s">
        <v>352</v>
      </c>
      <c r="D64" s="42" t="s">
        <v>370</v>
      </c>
      <c r="E64" s="11" t="s">
        <v>30</v>
      </c>
      <c r="F64" s="11" t="s">
        <v>70</v>
      </c>
      <c r="G64" s="12">
        <v>9000.0</v>
      </c>
      <c r="H64" s="156">
        <v>1200000.0</v>
      </c>
      <c r="I64" s="14" t="s">
        <v>42</v>
      </c>
      <c r="J64" s="156">
        <v>640000.0</v>
      </c>
      <c r="K64" s="13" t="s">
        <v>42</v>
      </c>
      <c r="L64" s="13">
        <f t="shared" si="8"/>
        <v>560000</v>
      </c>
      <c r="M64" s="156">
        <v>150000.0</v>
      </c>
    </row>
    <row r="65" ht="15.75" customHeight="1">
      <c r="A65" s="155"/>
      <c r="B65" s="51">
        <v>45157.0</v>
      </c>
      <c r="C65" s="11" t="s">
        <v>352</v>
      </c>
      <c r="D65" s="42" t="s">
        <v>370</v>
      </c>
      <c r="E65" s="11" t="s">
        <v>30</v>
      </c>
      <c r="F65" s="11" t="s">
        <v>41</v>
      </c>
      <c r="G65" s="12">
        <v>9000.0</v>
      </c>
      <c r="H65" s="156">
        <v>1450000.0</v>
      </c>
      <c r="I65" s="14" t="s">
        <v>42</v>
      </c>
      <c r="J65" s="156">
        <v>900000.0</v>
      </c>
      <c r="K65" s="13" t="s">
        <v>42</v>
      </c>
      <c r="L65" s="13">
        <f t="shared" si="8"/>
        <v>550000</v>
      </c>
      <c r="M65" s="156">
        <v>0.0</v>
      </c>
    </row>
    <row r="66" ht="15.75" customHeight="1">
      <c r="A66" s="155"/>
      <c r="B66" s="51">
        <v>45159.0</v>
      </c>
      <c r="C66" s="11" t="s">
        <v>352</v>
      </c>
      <c r="D66" s="42" t="s">
        <v>370</v>
      </c>
      <c r="E66" s="11" t="s">
        <v>40</v>
      </c>
      <c r="F66" s="11" t="s">
        <v>371</v>
      </c>
      <c r="G66" s="12">
        <v>9000.0</v>
      </c>
      <c r="H66" s="156">
        <v>1350000.0</v>
      </c>
      <c r="I66" s="14" t="s">
        <v>44</v>
      </c>
      <c r="J66" s="156">
        <v>800000.0</v>
      </c>
      <c r="K66" s="13" t="s">
        <v>42</v>
      </c>
      <c r="L66" s="13">
        <f t="shared" si="8"/>
        <v>550000</v>
      </c>
      <c r="M66" s="156">
        <v>0.0</v>
      </c>
    </row>
    <row r="67" ht="15.75" customHeight="1">
      <c r="A67" s="155"/>
      <c r="B67" s="51">
        <v>45160.0</v>
      </c>
      <c r="C67" s="11" t="s">
        <v>352</v>
      </c>
      <c r="D67" s="42" t="s">
        <v>370</v>
      </c>
      <c r="E67" s="11" t="s">
        <v>37</v>
      </c>
      <c r="F67" s="11" t="s">
        <v>371</v>
      </c>
      <c r="G67" s="12">
        <v>9000.0</v>
      </c>
      <c r="H67" s="156">
        <v>1350000.0</v>
      </c>
      <c r="I67" s="14" t="s">
        <v>44</v>
      </c>
      <c r="J67" s="156">
        <v>800000.0</v>
      </c>
      <c r="K67" s="13" t="s">
        <v>42</v>
      </c>
      <c r="L67" s="13">
        <f t="shared" si="8"/>
        <v>550000</v>
      </c>
      <c r="M67" s="156">
        <v>50000.0</v>
      </c>
    </row>
    <row r="68" ht="15.75" customHeight="1">
      <c r="A68" s="155"/>
      <c r="B68" s="51">
        <v>45161.0</v>
      </c>
      <c r="C68" s="11" t="s">
        <v>352</v>
      </c>
      <c r="D68" s="42" t="s">
        <v>370</v>
      </c>
      <c r="E68" s="11"/>
      <c r="F68" s="11"/>
      <c r="G68" s="12"/>
      <c r="H68" s="156"/>
      <c r="I68" s="14"/>
      <c r="J68" s="156"/>
      <c r="K68" s="13"/>
      <c r="L68" s="13"/>
      <c r="M68" s="156">
        <v>50000.0</v>
      </c>
    </row>
    <row r="69" ht="15.75" customHeight="1">
      <c r="A69" s="155"/>
      <c r="B69" s="51">
        <v>45163.0</v>
      </c>
      <c r="C69" s="11" t="s">
        <v>352</v>
      </c>
      <c r="D69" s="42" t="s">
        <v>370</v>
      </c>
      <c r="E69" s="11" t="s">
        <v>40</v>
      </c>
      <c r="F69" s="11" t="s">
        <v>371</v>
      </c>
      <c r="G69" s="12">
        <v>9000.0</v>
      </c>
      <c r="H69" s="156">
        <v>1350000.0</v>
      </c>
      <c r="I69" s="14" t="s">
        <v>44</v>
      </c>
      <c r="J69" s="156">
        <v>800000.0</v>
      </c>
      <c r="K69" s="13" t="s">
        <v>42</v>
      </c>
      <c r="L69" s="13">
        <f t="shared" ref="L69:L72" si="9">H69-J69</f>
        <v>550000</v>
      </c>
      <c r="M69" s="156">
        <v>0.0</v>
      </c>
    </row>
    <row r="70" ht="15.75" customHeight="1">
      <c r="A70" s="155"/>
      <c r="B70" s="51">
        <v>45167.0</v>
      </c>
      <c r="C70" s="11" t="s">
        <v>352</v>
      </c>
      <c r="D70" s="42" t="s">
        <v>370</v>
      </c>
      <c r="E70" s="11" t="s">
        <v>40</v>
      </c>
      <c r="F70" s="11" t="s">
        <v>378</v>
      </c>
      <c r="G70" s="12">
        <v>8500.0</v>
      </c>
      <c r="H70" s="156">
        <v>1100000.0</v>
      </c>
      <c r="I70" s="14" t="s">
        <v>42</v>
      </c>
      <c r="J70" s="156">
        <v>640000.0</v>
      </c>
      <c r="K70" s="13" t="s">
        <v>42</v>
      </c>
      <c r="L70" s="13">
        <f t="shared" si="9"/>
        <v>460000</v>
      </c>
      <c r="M70" s="156">
        <v>0.0</v>
      </c>
    </row>
    <row r="71" ht="15.75" customHeight="1">
      <c r="A71" s="155"/>
      <c r="B71" s="51">
        <v>45168.0</v>
      </c>
      <c r="C71" s="11" t="s">
        <v>352</v>
      </c>
      <c r="D71" s="42" t="s">
        <v>370</v>
      </c>
      <c r="E71" s="11" t="s">
        <v>40</v>
      </c>
      <c r="F71" s="11" t="s">
        <v>41</v>
      </c>
      <c r="G71" s="12">
        <v>9000.0</v>
      </c>
      <c r="H71" s="156">
        <v>1450000.0</v>
      </c>
      <c r="I71" s="14" t="s">
        <v>42</v>
      </c>
      <c r="J71" s="156">
        <v>900000.0</v>
      </c>
      <c r="K71" s="13" t="s">
        <v>42</v>
      </c>
      <c r="L71" s="13">
        <f t="shared" si="9"/>
        <v>550000</v>
      </c>
      <c r="M71" s="156">
        <v>0.0</v>
      </c>
    </row>
    <row r="72" ht="15.75" customHeight="1">
      <c r="A72" s="155"/>
      <c r="B72" s="51">
        <v>45169.0</v>
      </c>
      <c r="C72" s="11" t="s">
        <v>352</v>
      </c>
      <c r="D72" s="42" t="s">
        <v>370</v>
      </c>
      <c r="E72" s="11" t="s">
        <v>379</v>
      </c>
      <c r="F72" s="11" t="s">
        <v>380</v>
      </c>
      <c r="G72" s="12">
        <v>9000.0</v>
      </c>
      <c r="H72" s="156">
        <v>1035000.0</v>
      </c>
      <c r="I72" s="14" t="s">
        <v>42</v>
      </c>
      <c r="J72" s="156">
        <v>600000.0</v>
      </c>
      <c r="K72" s="13" t="s">
        <v>42</v>
      </c>
      <c r="L72" s="13">
        <f t="shared" si="9"/>
        <v>435000</v>
      </c>
      <c r="M72" s="156">
        <v>0.0</v>
      </c>
    </row>
    <row r="73" ht="15.75" customHeight="1">
      <c r="A73" s="23"/>
      <c r="B73" s="23"/>
      <c r="C73" s="23"/>
      <c r="D73" s="23"/>
      <c r="E73" s="23"/>
      <c r="F73" s="23"/>
      <c r="G73" s="24"/>
      <c r="H73" s="157"/>
      <c r="I73" s="26"/>
      <c r="J73" s="157"/>
      <c r="K73" s="25"/>
      <c r="L73" s="52">
        <f t="shared" ref="L73:M73" si="10">SUM(L50:L72)</f>
        <v>8570000</v>
      </c>
      <c r="M73" s="167">
        <f t="shared" si="10"/>
        <v>1089000</v>
      </c>
    </row>
    <row r="74" ht="15.75" customHeight="1">
      <c r="A74" s="23"/>
      <c r="B74" s="23"/>
      <c r="C74" s="23"/>
      <c r="D74" s="23"/>
      <c r="E74" s="23"/>
      <c r="F74" s="23"/>
      <c r="G74" s="24"/>
      <c r="H74" s="157"/>
      <c r="I74" s="26"/>
      <c r="J74" s="157"/>
      <c r="K74" s="25"/>
      <c r="L74" s="33">
        <f>L73-M73</f>
        <v>7481000</v>
      </c>
      <c r="M74" s="157"/>
    </row>
    <row r="75" ht="15.75" customHeight="1">
      <c r="A75" s="23"/>
      <c r="B75" s="23"/>
      <c r="C75" s="23"/>
      <c r="D75" s="23"/>
      <c r="E75" s="23"/>
      <c r="F75" s="23"/>
      <c r="G75" s="24"/>
      <c r="H75" s="157"/>
      <c r="I75" s="26"/>
      <c r="J75" s="157"/>
      <c r="K75" s="25"/>
      <c r="L75" s="26"/>
      <c r="M75" s="157"/>
    </row>
    <row r="76" ht="33.0" customHeight="1">
      <c r="A76" s="89"/>
      <c r="B76" s="2" t="s">
        <v>0</v>
      </c>
      <c r="C76" s="2" t="s">
        <v>1</v>
      </c>
      <c r="D76" s="2" t="s">
        <v>2</v>
      </c>
      <c r="E76" s="3" t="s">
        <v>3</v>
      </c>
      <c r="F76" s="2" t="s">
        <v>4</v>
      </c>
      <c r="G76" s="4" t="s">
        <v>5</v>
      </c>
      <c r="H76" s="154" t="s">
        <v>6</v>
      </c>
      <c r="I76" s="5" t="s">
        <v>39</v>
      </c>
      <c r="J76" s="154" t="s">
        <v>7</v>
      </c>
      <c r="K76" s="5" t="s">
        <v>39</v>
      </c>
      <c r="L76" s="5" t="s">
        <v>8</v>
      </c>
      <c r="M76" s="154" t="s">
        <v>9</v>
      </c>
    </row>
    <row r="77" ht="15.75" customHeight="1">
      <c r="A77" s="155"/>
      <c r="B77" s="51">
        <v>45170.0</v>
      </c>
      <c r="C77" s="11" t="s">
        <v>352</v>
      </c>
      <c r="D77" s="11" t="s">
        <v>370</v>
      </c>
      <c r="E77" s="11" t="s">
        <v>30</v>
      </c>
      <c r="F77" s="11" t="s">
        <v>381</v>
      </c>
      <c r="G77" s="12">
        <v>9000.0</v>
      </c>
      <c r="H77" s="156">
        <v>720000.0</v>
      </c>
      <c r="I77" s="14" t="s">
        <v>44</v>
      </c>
      <c r="J77" s="156">
        <v>350000.0</v>
      </c>
      <c r="K77" s="13" t="s">
        <v>42</v>
      </c>
      <c r="L77" s="13">
        <f t="shared" ref="L77:L85" si="11">H77-J77</f>
        <v>370000</v>
      </c>
      <c r="M77" s="156">
        <v>85000.0</v>
      </c>
    </row>
    <row r="78" ht="15.75" customHeight="1">
      <c r="A78" s="155"/>
      <c r="B78" s="51">
        <v>45173.0</v>
      </c>
      <c r="C78" s="11" t="s">
        <v>352</v>
      </c>
      <c r="D78" s="11" t="s">
        <v>370</v>
      </c>
      <c r="E78" s="11" t="s">
        <v>37</v>
      </c>
      <c r="F78" s="11" t="s">
        <v>56</v>
      </c>
      <c r="G78" s="12">
        <v>9000.0</v>
      </c>
      <c r="H78" s="156">
        <v>1350000.0</v>
      </c>
      <c r="I78" s="14" t="s">
        <v>44</v>
      </c>
      <c r="J78" s="156">
        <v>800000.0</v>
      </c>
      <c r="K78" s="13" t="s">
        <v>42</v>
      </c>
      <c r="L78" s="13">
        <f t="shared" si="11"/>
        <v>550000</v>
      </c>
      <c r="M78" s="156">
        <v>0.0</v>
      </c>
    </row>
    <row r="79" ht="15.75" customHeight="1">
      <c r="A79" s="155"/>
      <c r="B79" s="51">
        <v>45174.0</v>
      </c>
      <c r="C79" s="11" t="s">
        <v>352</v>
      </c>
      <c r="D79" s="11" t="s">
        <v>370</v>
      </c>
      <c r="E79" s="11" t="s">
        <v>40</v>
      </c>
      <c r="F79" s="11" t="s">
        <v>382</v>
      </c>
      <c r="G79" s="12">
        <v>9000.0</v>
      </c>
      <c r="H79" s="156">
        <v>1450000.0</v>
      </c>
      <c r="I79" s="14" t="s">
        <v>44</v>
      </c>
      <c r="J79" s="156">
        <v>900000.0</v>
      </c>
      <c r="K79" s="13" t="s">
        <v>44</v>
      </c>
      <c r="L79" s="13">
        <f t="shared" si="11"/>
        <v>550000</v>
      </c>
      <c r="M79" s="156">
        <v>0.0</v>
      </c>
    </row>
    <row r="80" ht="15.75" customHeight="1">
      <c r="A80" s="155"/>
      <c r="B80" s="51">
        <v>45178.0</v>
      </c>
      <c r="C80" s="11" t="s">
        <v>352</v>
      </c>
      <c r="D80" s="11" t="s">
        <v>370</v>
      </c>
      <c r="E80" s="11" t="s">
        <v>383</v>
      </c>
      <c r="F80" s="11" t="s">
        <v>384</v>
      </c>
      <c r="G80" s="12">
        <v>9000.0</v>
      </c>
      <c r="H80" s="156">
        <v>1125000.0</v>
      </c>
      <c r="I80" s="14" t="s">
        <v>44</v>
      </c>
      <c r="J80" s="156">
        <v>640000.0</v>
      </c>
      <c r="K80" s="13" t="s">
        <v>44</v>
      </c>
      <c r="L80" s="13">
        <f t="shared" si="11"/>
        <v>485000</v>
      </c>
      <c r="M80" s="156">
        <v>0.0</v>
      </c>
    </row>
    <row r="81" ht="15.75" customHeight="1">
      <c r="A81" s="155"/>
      <c r="B81" s="51">
        <v>45180.0</v>
      </c>
      <c r="C81" s="11" t="s">
        <v>352</v>
      </c>
      <c r="D81" s="11" t="s">
        <v>370</v>
      </c>
      <c r="E81" s="11" t="s">
        <v>385</v>
      </c>
      <c r="F81" s="11" t="s">
        <v>386</v>
      </c>
      <c r="G81" s="12">
        <v>10000.0</v>
      </c>
      <c r="H81" s="156">
        <v>1000000.0</v>
      </c>
      <c r="I81" s="14" t="s">
        <v>44</v>
      </c>
      <c r="J81" s="156">
        <v>550000.0</v>
      </c>
      <c r="K81" s="13" t="s">
        <v>44</v>
      </c>
      <c r="L81" s="13">
        <f t="shared" si="11"/>
        <v>450000</v>
      </c>
      <c r="M81" s="156">
        <v>0.0</v>
      </c>
    </row>
    <row r="82" ht="15.75" customHeight="1">
      <c r="A82" s="155"/>
      <c r="B82" s="51">
        <v>45182.0</v>
      </c>
      <c r="C82" s="11" t="s">
        <v>352</v>
      </c>
      <c r="D82" s="11" t="s">
        <v>370</v>
      </c>
      <c r="E82" s="11" t="s">
        <v>37</v>
      </c>
      <c r="F82" s="11" t="s">
        <v>56</v>
      </c>
      <c r="G82" s="12">
        <v>9000.0</v>
      </c>
      <c r="H82" s="156">
        <v>1350000.0</v>
      </c>
      <c r="I82" s="14" t="s">
        <v>44</v>
      </c>
      <c r="J82" s="156">
        <v>800000.0</v>
      </c>
      <c r="K82" s="13" t="s">
        <v>44</v>
      </c>
      <c r="L82" s="13">
        <f t="shared" si="11"/>
        <v>550000</v>
      </c>
      <c r="M82" s="156">
        <v>0.0</v>
      </c>
    </row>
    <row r="83" ht="15.75" customHeight="1">
      <c r="A83" s="155"/>
      <c r="B83" s="51">
        <v>45183.0</v>
      </c>
      <c r="C83" s="11" t="s">
        <v>352</v>
      </c>
      <c r="D83" s="11" t="s">
        <v>370</v>
      </c>
      <c r="E83" s="11" t="s">
        <v>30</v>
      </c>
      <c r="F83" s="11" t="s">
        <v>34</v>
      </c>
      <c r="G83" s="12">
        <v>9000.0</v>
      </c>
      <c r="H83" s="156">
        <v>1215000.0</v>
      </c>
      <c r="I83" s="14" t="s">
        <v>44</v>
      </c>
      <c r="J83" s="156">
        <v>700000.0</v>
      </c>
      <c r="K83" s="13" t="s">
        <v>44</v>
      </c>
      <c r="L83" s="13">
        <f t="shared" si="11"/>
        <v>515000</v>
      </c>
      <c r="M83" s="156">
        <v>440000.0</v>
      </c>
    </row>
    <row r="84" ht="15.75" customHeight="1">
      <c r="A84" s="155"/>
      <c r="B84" s="51">
        <v>45184.0</v>
      </c>
      <c r="C84" s="11" t="s">
        <v>352</v>
      </c>
      <c r="D84" s="11" t="s">
        <v>370</v>
      </c>
      <c r="E84" s="11" t="s">
        <v>30</v>
      </c>
      <c r="F84" s="11" t="s">
        <v>55</v>
      </c>
      <c r="G84" s="12">
        <v>8500.0</v>
      </c>
      <c r="H84" s="156">
        <v>1230000.0</v>
      </c>
      <c r="I84" s="14" t="s">
        <v>44</v>
      </c>
      <c r="J84" s="156">
        <v>700000.0</v>
      </c>
      <c r="K84" s="13" t="s">
        <v>42</v>
      </c>
      <c r="L84" s="13">
        <f t="shared" si="11"/>
        <v>530000</v>
      </c>
      <c r="M84" s="156">
        <v>0.0</v>
      </c>
    </row>
    <row r="85" ht="15.75" customHeight="1">
      <c r="A85" s="155"/>
      <c r="B85" s="51">
        <v>45185.0</v>
      </c>
      <c r="C85" s="11" t="s">
        <v>352</v>
      </c>
      <c r="D85" s="11" t="s">
        <v>370</v>
      </c>
      <c r="E85" s="11" t="s">
        <v>37</v>
      </c>
      <c r="F85" s="11" t="s">
        <v>56</v>
      </c>
      <c r="G85" s="12">
        <v>9000.0</v>
      </c>
      <c r="H85" s="156">
        <v>1350000.0</v>
      </c>
      <c r="I85" s="14" t="s">
        <v>44</v>
      </c>
      <c r="J85" s="156">
        <v>800000.0</v>
      </c>
      <c r="K85" s="13" t="s">
        <v>42</v>
      </c>
      <c r="L85" s="13">
        <f t="shared" si="11"/>
        <v>550000</v>
      </c>
      <c r="M85" s="156">
        <v>0.0</v>
      </c>
    </row>
    <row r="86" ht="15.75" customHeight="1">
      <c r="A86" s="155"/>
      <c r="B86" s="51">
        <v>45187.0</v>
      </c>
      <c r="C86" s="11" t="s">
        <v>352</v>
      </c>
      <c r="D86" s="11" t="s">
        <v>370</v>
      </c>
      <c r="E86" s="11"/>
      <c r="F86" s="11"/>
      <c r="G86" s="18"/>
      <c r="H86" s="156"/>
      <c r="I86" s="14"/>
      <c r="J86" s="156"/>
      <c r="K86" s="13"/>
      <c r="L86" s="13"/>
      <c r="M86" s="156">
        <v>675000.0</v>
      </c>
    </row>
    <row r="87" ht="15.75" customHeight="1">
      <c r="A87" s="155"/>
      <c r="B87" s="51">
        <v>45188.0</v>
      </c>
      <c r="C87" s="11" t="s">
        <v>352</v>
      </c>
      <c r="D87" s="11" t="s">
        <v>370</v>
      </c>
      <c r="E87" s="11" t="s">
        <v>30</v>
      </c>
      <c r="F87" s="11" t="s">
        <v>41</v>
      </c>
      <c r="G87" s="12">
        <v>9000.0</v>
      </c>
      <c r="H87" s="156">
        <v>1450000.0</v>
      </c>
      <c r="I87" s="14" t="s">
        <v>42</v>
      </c>
      <c r="J87" s="156">
        <v>900000.0</v>
      </c>
      <c r="K87" s="13" t="s">
        <v>42</v>
      </c>
      <c r="L87" s="13">
        <f t="shared" ref="L87:L88" si="12">H87-J87</f>
        <v>550000</v>
      </c>
      <c r="M87" s="156">
        <v>0.0</v>
      </c>
    </row>
    <row r="88" ht="15.75" customHeight="1">
      <c r="A88" s="155"/>
      <c r="B88" s="51">
        <v>45189.0</v>
      </c>
      <c r="C88" s="11" t="s">
        <v>352</v>
      </c>
      <c r="D88" s="11" t="s">
        <v>370</v>
      </c>
      <c r="E88" s="11" t="s">
        <v>37</v>
      </c>
      <c r="F88" s="11" t="s">
        <v>56</v>
      </c>
      <c r="G88" s="12">
        <v>9000.0</v>
      </c>
      <c r="H88" s="156">
        <v>1350000.0</v>
      </c>
      <c r="I88" s="14" t="s">
        <v>44</v>
      </c>
      <c r="J88" s="156">
        <v>800000.0</v>
      </c>
      <c r="K88" s="13" t="s">
        <v>42</v>
      </c>
      <c r="L88" s="13">
        <f t="shared" si="12"/>
        <v>550000</v>
      </c>
      <c r="M88" s="156">
        <v>0.0</v>
      </c>
    </row>
    <row r="89" ht="15.75" customHeight="1">
      <c r="A89" s="155"/>
      <c r="B89" s="51">
        <v>45190.0</v>
      </c>
      <c r="C89" s="11" t="s">
        <v>352</v>
      </c>
      <c r="D89" s="11" t="s">
        <v>370</v>
      </c>
      <c r="E89" s="11"/>
      <c r="F89" s="11"/>
      <c r="G89" s="12"/>
      <c r="H89" s="156"/>
      <c r="I89" s="14"/>
      <c r="J89" s="156"/>
      <c r="K89" s="13"/>
      <c r="L89" s="13"/>
      <c r="M89" s="156">
        <v>50000.0</v>
      </c>
    </row>
    <row r="90" ht="15.75" customHeight="1">
      <c r="A90" s="155"/>
      <c r="B90" s="51">
        <v>45192.0</v>
      </c>
      <c r="C90" s="11" t="s">
        <v>352</v>
      </c>
      <c r="D90" s="11" t="s">
        <v>370</v>
      </c>
      <c r="E90" s="11" t="s">
        <v>30</v>
      </c>
      <c r="F90" s="11" t="s">
        <v>55</v>
      </c>
      <c r="G90" s="12">
        <v>8500.0</v>
      </c>
      <c r="H90" s="156">
        <v>1230000.0</v>
      </c>
      <c r="I90" s="14" t="s">
        <v>44</v>
      </c>
      <c r="J90" s="156">
        <v>700000.0</v>
      </c>
      <c r="K90" s="13" t="s">
        <v>42</v>
      </c>
      <c r="L90" s="13">
        <f t="shared" ref="L90:L93" si="13">H90-J90</f>
        <v>530000</v>
      </c>
      <c r="M90" s="156">
        <v>0.0</v>
      </c>
    </row>
    <row r="91" ht="15.75" customHeight="1">
      <c r="A91" s="155"/>
      <c r="B91" s="51">
        <v>45194.0</v>
      </c>
      <c r="C91" s="11" t="s">
        <v>352</v>
      </c>
      <c r="D91" s="11" t="s">
        <v>370</v>
      </c>
      <c r="E91" s="11" t="s">
        <v>30</v>
      </c>
      <c r="F91" s="11" t="s">
        <v>34</v>
      </c>
      <c r="G91" s="12">
        <v>9000.0</v>
      </c>
      <c r="H91" s="156">
        <v>1215000.0</v>
      </c>
      <c r="I91" s="14" t="s">
        <v>44</v>
      </c>
      <c r="J91" s="156">
        <v>700000.0</v>
      </c>
      <c r="K91" s="13" t="s">
        <v>42</v>
      </c>
      <c r="L91" s="13">
        <f t="shared" si="13"/>
        <v>515000</v>
      </c>
      <c r="M91" s="156">
        <v>0.0</v>
      </c>
    </row>
    <row r="92" ht="15.75" customHeight="1">
      <c r="A92" s="155"/>
      <c r="B92" s="51">
        <v>45195.0</v>
      </c>
      <c r="C92" s="11" t="s">
        <v>352</v>
      </c>
      <c r="D92" s="11" t="s">
        <v>370</v>
      </c>
      <c r="E92" s="11" t="s">
        <v>37</v>
      </c>
      <c r="F92" s="11" t="s">
        <v>56</v>
      </c>
      <c r="G92" s="12">
        <v>9000.0</v>
      </c>
      <c r="H92" s="156">
        <v>1350000.0</v>
      </c>
      <c r="I92" s="14" t="s">
        <v>44</v>
      </c>
      <c r="J92" s="156">
        <v>800000.0</v>
      </c>
      <c r="K92" s="13" t="s">
        <v>42</v>
      </c>
      <c r="L92" s="13">
        <f t="shared" si="13"/>
        <v>550000</v>
      </c>
      <c r="M92" s="156">
        <v>0.0</v>
      </c>
    </row>
    <row r="93" ht="15.75" customHeight="1">
      <c r="A93" s="155"/>
      <c r="B93" s="51">
        <v>45196.0</v>
      </c>
      <c r="C93" s="11" t="s">
        <v>352</v>
      </c>
      <c r="D93" s="11" t="s">
        <v>370</v>
      </c>
      <c r="E93" s="11" t="s">
        <v>30</v>
      </c>
      <c r="F93" s="11" t="s">
        <v>70</v>
      </c>
      <c r="G93" s="12">
        <v>9000.0</v>
      </c>
      <c r="H93" s="156">
        <v>1200000.0</v>
      </c>
      <c r="I93" s="14" t="s">
        <v>42</v>
      </c>
      <c r="J93" s="156">
        <v>640000.0</v>
      </c>
      <c r="K93" s="13" t="s">
        <v>42</v>
      </c>
      <c r="L93" s="13">
        <f t="shared" si="13"/>
        <v>560000</v>
      </c>
      <c r="M93" s="156">
        <v>0.0</v>
      </c>
    </row>
    <row r="94" ht="15.75" customHeight="1">
      <c r="A94" s="155"/>
      <c r="B94" s="51">
        <v>45197.0</v>
      </c>
      <c r="C94" s="11" t="s">
        <v>352</v>
      </c>
      <c r="D94" s="11" t="s">
        <v>370</v>
      </c>
      <c r="E94" s="11"/>
      <c r="F94" s="11"/>
      <c r="G94" s="12"/>
      <c r="H94" s="156"/>
      <c r="I94" s="14"/>
      <c r="J94" s="156"/>
      <c r="K94" s="13"/>
      <c r="L94" s="13"/>
      <c r="M94" s="156">
        <v>234000.0</v>
      </c>
    </row>
    <row r="95" ht="15.75" customHeight="1">
      <c r="A95" s="155"/>
      <c r="B95" s="51">
        <v>45198.0</v>
      </c>
      <c r="C95" s="11" t="s">
        <v>352</v>
      </c>
      <c r="D95" s="11" t="s">
        <v>370</v>
      </c>
      <c r="E95" s="11" t="s">
        <v>37</v>
      </c>
      <c r="F95" s="11" t="s">
        <v>56</v>
      </c>
      <c r="G95" s="12">
        <v>9000.0</v>
      </c>
      <c r="H95" s="156">
        <v>1350000.0</v>
      </c>
      <c r="I95" s="14" t="s">
        <v>44</v>
      </c>
      <c r="J95" s="156">
        <v>800000.0</v>
      </c>
      <c r="K95" s="13" t="s">
        <v>42</v>
      </c>
      <c r="L95" s="13">
        <f t="shared" ref="L95:L97" si="14">H95-J95</f>
        <v>550000</v>
      </c>
      <c r="M95" s="156">
        <v>0.0</v>
      </c>
    </row>
    <row r="96" ht="15.75" customHeight="1">
      <c r="A96" s="155"/>
      <c r="B96" s="51">
        <v>45199.0</v>
      </c>
      <c r="C96" s="11" t="s">
        <v>352</v>
      </c>
      <c r="D96" s="11" t="s">
        <v>370</v>
      </c>
      <c r="E96" s="11" t="s">
        <v>30</v>
      </c>
      <c r="F96" s="11" t="s">
        <v>381</v>
      </c>
      <c r="G96" s="12">
        <v>9000.0</v>
      </c>
      <c r="H96" s="156">
        <v>720000.0</v>
      </c>
      <c r="I96" s="14" t="s">
        <v>44</v>
      </c>
      <c r="J96" s="156">
        <v>350000.0</v>
      </c>
      <c r="K96" s="13" t="s">
        <v>42</v>
      </c>
      <c r="L96" s="13">
        <f t="shared" si="14"/>
        <v>370000</v>
      </c>
      <c r="M96" s="156">
        <v>0.0</v>
      </c>
    </row>
    <row r="97" ht="15.75" customHeight="1">
      <c r="A97" s="155"/>
      <c r="B97" s="51">
        <v>45199.0</v>
      </c>
      <c r="C97" s="11" t="s">
        <v>352</v>
      </c>
      <c r="D97" s="11" t="s">
        <v>370</v>
      </c>
      <c r="E97" s="11" t="s">
        <v>30</v>
      </c>
      <c r="F97" s="11" t="s">
        <v>387</v>
      </c>
      <c r="G97" s="12">
        <v>9000.0</v>
      </c>
      <c r="H97" s="156">
        <v>1400000.0</v>
      </c>
      <c r="I97" s="14" t="s">
        <v>44</v>
      </c>
      <c r="J97" s="156">
        <v>900000.0</v>
      </c>
      <c r="K97" s="13" t="s">
        <v>42</v>
      </c>
      <c r="L97" s="13">
        <f t="shared" si="14"/>
        <v>500000</v>
      </c>
      <c r="M97" s="156">
        <v>0.0</v>
      </c>
    </row>
    <row r="98" ht="15.75" customHeight="1">
      <c r="A98" s="23"/>
      <c r="B98" s="23"/>
      <c r="C98" s="23"/>
      <c r="D98" s="23"/>
      <c r="E98" s="23"/>
      <c r="F98" s="23"/>
      <c r="G98" s="24"/>
      <c r="H98" s="157"/>
      <c r="I98" s="26"/>
      <c r="J98" s="157"/>
      <c r="K98" s="25"/>
      <c r="L98" s="52">
        <f>SUM(L77:L97)</f>
        <v>9225000</v>
      </c>
      <c r="M98" s="167">
        <f>SUM(M77:M93)</f>
        <v>1250000</v>
      </c>
    </row>
    <row r="99" ht="15.75" customHeight="1">
      <c r="A99" s="23"/>
      <c r="B99" s="23"/>
      <c r="C99" s="23"/>
      <c r="D99" s="23"/>
      <c r="E99" s="23"/>
      <c r="F99" s="23"/>
      <c r="G99" s="24"/>
      <c r="H99" s="157"/>
      <c r="I99" s="26"/>
      <c r="J99" s="157"/>
      <c r="K99" s="25"/>
      <c r="L99" s="33">
        <f>L98-M98</f>
        <v>7975000</v>
      </c>
      <c r="M99" s="157"/>
    </row>
    <row r="100" ht="15.75" customHeight="1">
      <c r="A100" s="23"/>
      <c r="B100" s="23"/>
      <c r="C100" s="23"/>
      <c r="D100" s="23"/>
      <c r="E100" s="23"/>
      <c r="F100" s="23"/>
      <c r="G100" s="24"/>
      <c r="H100" s="157"/>
      <c r="I100" s="26"/>
      <c r="J100" s="157"/>
      <c r="K100" s="25"/>
      <c r="L100" s="26"/>
      <c r="M100" s="157"/>
    </row>
    <row r="101" ht="41.25" customHeight="1">
      <c r="A101" s="89"/>
      <c r="B101" s="2" t="s">
        <v>0</v>
      </c>
      <c r="C101" s="2" t="s">
        <v>1</v>
      </c>
      <c r="D101" s="2" t="s">
        <v>2</v>
      </c>
      <c r="E101" s="3" t="s">
        <v>3</v>
      </c>
      <c r="F101" s="2" t="s">
        <v>4</v>
      </c>
      <c r="G101" s="4" t="s">
        <v>5</v>
      </c>
      <c r="H101" s="154" t="s">
        <v>6</v>
      </c>
      <c r="I101" s="5" t="s">
        <v>39</v>
      </c>
      <c r="J101" s="154" t="s">
        <v>7</v>
      </c>
      <c r="K101" s="5" t="s">
        <v>39</v>
      </c>
      <c r="L101" s="5" t="s">
        <v>8</v>
      </c>
      <c r="M101" s="154" t="s">
        <v>9</v>
      </c>
    </row>
    <row r="102" ht="15.75" customHeight="1">
      <c r="A102" s="155"/>
      <c r="B102" s="51">
        <v>45201.0</v>
      </c>
      <c r="C102" s="11" t="s">
        <v>352</v>
      </c>
      <c r="D102" s="11" t="s">
        <v>370</v>
      </c>
      <c r="E102" s="11" t="s">
        <v>37</v>
      </c>
      <c r="F102" s="11" t="s">
        <v>60</v>
      </c>
      <c r="G102" s="12">
        <v>8500.0</v>
      </c>
      <c r="H102" s="156">
        <v>1300000.0</v>
      </c>
      <c r="I102" s="14" t="s">
        <v>42</v>
      </c>
      <c r="J102" s="156">
        <v>850000.0</v>
      </c>
      <c r="K102" s="13" t="s">
        <v>42</v>
      </c>
      <c r="L102" s="13">
        <f t="shared" ref="L102:L120" si="15">H102-J102</f>
        <v>450000</v>
      </c>
      <c r="M102" s="156">
        <v>0.0</v>
      </c>
    </row>
    <row r="103" ht="15.75" customHeight="1">
      <c r="A103" s="155"/>
      <c r="B103" s="51">
        <v>45202.0</v>
      </c>
      <c r="C103" s="11" t="s">
        <v>352</v>
      </c>
      <c r="D103" s="11" t="s">
        <v>370</v>
      </c>
      <c r="E103" s="11" t="s">
        <v>40</v>
      </c>
      <c r="F103" s="11" t="s">
        <v>73</v>
      </c>
      <c r="G103" s="12">
        <v>9000.0</v>
      </c>
      <c r="H103" s="156">
        <v>1400000.0</v>
      </c>
      <c r="I103" s="14" t="s">
        <v>44</v>
      </c>
      <c r="J103" s="156">
        <v>900000.0</v>
      </c>
      <c r="K103" s="13" t="s">
        <v>42</v>
      </c>
      <c r="L103" s="13">
        <f t="shared" si="15"/>
        <v>500000</v>
      </c>
      <c r="M103" s="156">
        <v>0.0</v>
      </c>
    </row>
    <row r="104" ht="15.75" customHeight="1">
      <c r="A104" s="155"/>
      <c r="B104" s="51">
        <v>45203.0</v>
      </c>
      <c r="C104" s="11"/>
      <c r="D104" s="11" t="s">
        <v>370</v>
      </c>
      <c r="E104" s="11"/>
      <c r="F104" s="11"/>
      <c r="G104" s="18"/>
      <c r="H104" s="156"/>
      <c r="I104" s="14"/>
      <c r="J104" s="156"/>
      <c r="K104" s="13"/>
      <c r="L104" s="13">
        <f t="shared" si="15"/>
        <v>0</v>
      </c>
      <c r="M104" s="156">
        <v>65000.0</v>
      </c>
    </row>
    <row r="105" ht="15.75" customHeight="1">
      <c r="A105" s="155"/>
      <c r="B105" s="51">
        <v>45205.0</v>
      </c>
      <c r="C105" s="11"/>
      <c r="D105" s="11" t="s">
        <v>370</v>
      </c>
      <c r="E105" s="11"/>
      <c r="F105" s="11"/>
      <c r="G105" s="18"/>
      <c r="H105" s="156"/>
      <c r="I105" s="14"/>
      <c r="J105" s="156"/>
      <c r="K105" s="13"/>
      <c r="L105" s="13">
        <f t="shared" si="15"/>
        <v>0</v>
      </c>
      <c r="M105" s="156">
        <v>121000.0</v>
      </c>
    </row>
    <row r="106" ht="15.75" customHeight="1">
      <c r="A106" s="155"/>
      <c r="B106" s="51">
        <v>45206.0</v>
      </c>
      <c r="C106" s="11" t="s">
        <v>352</v>
      </c>
      <c r="D106" s="11" t="s">
        <v>370</v>
      </c>
      <c r="E106" s="11" t="s">
        <v>388</v>
      </c>
      <c r="F106" s="11" t="s">
        <v>34</v>
      </c>
      <c r="G106" s="12">
        <v>10000.0</v>
      </c>
      <c r="H106" s="156">
        <v>1215000.0</v>
      </c>
      <c r="I106" s="14" t="s">
        <v>44</v>
      </c>
      <c r="J106" s="156">
        <v>700000.0</v>
      </c>
      <c r="K106" s="13" t="s">
        <v>42</v>
      </c>
      <c r="L106" s="13">
        <f t="shared" si="15"/>
        <v>515000</v>
      </c>
      <c r="M106" s="156">
        <v>0.0</v>
      </c>
    </row>
    <row r="107" ht="15.75" customHeight="1">
      <c r="A107" s="155"/>
      <c r="B107" s="51">
        <v>45208.0</v>
      </c>
      <c r="C107" s="11" t="s">
        <v>352</v>
      </c>
      <c r="D107" s="11" t="s">
        <v>370</v>
      </c>
      <c r="E107" s="11" t="s">
        <v>30</v>
      </c>
      <c r="F107" s="11" t="s">
        <v>34</v>
      </c>
      <c r="G107" s="12">
        <v>9000.0</v>
      </c>
      <c r="H107" s="156">
        <v>1215000.0</v>
      </c>
      <c r="I107" s="14" t="s">
        <v>44</v>
      </c>
      <c r="J107" s="156">
        <v>700000.0</v>
      </c>
      <c r="K107" s="13" t="s">
        <v>42</v>
      </c>
      <c r="L107" s="13">
        <f t="shared" si="15"/>
        <v>515000</v>
      </c>
      <c r="M107" s="156">
        <v>180000.0</v>
      </c>
    </row>
    <row r="108" ht="15.75" customHeight="1">
      <c r="A108" s="155"/>
      <c r="B108" s="51">
        <v>45209.0</v>
      </c>
      <c r="C108" s="11" t="s">
        <v>352</v>
      </c>
      <c r="D108" s="11" t="s">
        <v>370</v>
      </c>
      <c r="E108" s="11" t="s">
        <v>37</v>
      </c>
      <c r="F108" s="11" t="s">
        <v>43</v>
      </c>
      <c r="G108" s="12">
        <v>9000.0</v>
      </c>
      <c r="H108" s="156">
        <v>1350000.0</v>
      </c>
      <c r="I108" s="14" t="s">
        <v>44</v>
      </c>
      <c r="J108" s="156">
        <v>800000.0</v>
      </c>
      <c r="K108" s="13" t="s">
        <v>42</v>
      </c>
      <c r="L108" s="13">
        <f t="shared" si="15"/>
        <v>550000</v>
      </c>
      <c r="M108" s="156">
        <v>0.0</v>
      </c>
    </row>
    <row r="109" ht="15.75" customHeight="1">
      <c r="A109" s="155"/>
      <c r="B109" s="51">
        <v>45212.0</v>
      </c>
      <c r="C109" s="11" t="s">
        <v>352</v>
      </c>
      <c r="D109" s="11" t="s">
        <v>370</v>
      </c>
      <c r="E109" s="11" t="s">
        <v>30</v>
      </c>
      <c r="F109" s="11" t="s">
        <v>61</v>
      </c>
      <c r="G109" s="12">
        <v>9000.0</v>
      </c>
      <c r="H109" s="156">
        <v>675000.0</v>
      </c>
      <c r="I109" s="14" t="s">
        <v>44</v>
      </c>
      <c r="J109" s="156">
        <v>350000.0</v>
      </c>
      <c r="K109" s="13" t="s">
        <v>42</v>
      </c>
      <c r="L109" s="13">
        <f t="shared" si="15"/>
        <v>325000</v>
      </c>
      <c r="M109" s="156">
        <v>0.0</v>
      </c>
    </row>
    <row r="110" ht="15.75" customHeight="1">
      <c r="A110" s="155"/>
      <c r="B110" s="51">
        <v>45212.0</v>
      </c>
      <c r="C110" s="11" t="s">
        <v>389</v>
      </c>
      <c r="D110" s="11" t="s">
        <v>370</v>
      </c>
      <c r="E110" s="11" t="s">
        <v>30</v>
      </c>
      <c r="F110" s="11" t="s">
        <v>61</v>
      </c>
      <c r="G110" s="12">
        <v>10000.0</v>
      </c>
      <c r="H110" s="156">
        <v>750000.0</v>
      </c>
      <c r="I110" s="14" t="s">
        <v>44</v>
      </c>
      <c r="J110" s="156">
        <v>350000.0</v>
      </c>
      <c r="K110" s="13" t="s">
        <v>42</v>
      </c>
      <c r="L110" s="13">
        <f t="shared" si="15"/>
        <v>400000</v>
      </c>
      <c r="M110" s="156">
        <v>0.0</v>
      </c>
    </row>
    <row r="111" ht="15.75" customHeight="1">
      <c r="A111" s="155"/>
      <c r="B111" s="51">
        <v>45213.0</v>
      </c>
      <c r="C111" s="11" t="s">
        <v>352</v>
      </c>
      <c r="D111" s="11" t="s">
        <v>370</v>
      </c>
      <c r="E111" s="11" t="s">
        <v>30</v>
      </c>
      <c r="F111" s="11" t="s">
        <v>107</v>
      </c>
      <c r="G111" s="12">
        <v>9000.0</v>
      </c>
      <c r="H111" s="156">
        <v>1125000.0</v>
      </c>
      <c r="I111" s="14" t="s">
        <v>42</v>
      </c>
      <c r="J111" s="156">
        <v>640000.0</v>
      </c>
      <c r="K111" s="13" t="s">
        <v>44</v>
      </c>
      <c r="L111" s="13">
        <f t="shared" si="15"/>
        <v>485000</v>
      </c>
      <c r="M111" s="156">
        <v>122500.0</v>
      </c>
    </row>
    <row r="112" ht="15.75" customHeight="1">
      <c r="A112" s="155"/>
      <c r="B112" s="51">
        <v>45215.0</v>
      </c>
      <c r="C112" s="11" t="s">
        <v>352</v>
      </c>
      <c r="D112" s="11" t="s">
        <v>370</v>
      </c>
      <c r="E112" s="11" t="s">
        <v>30</v>
      </c>
      <c r="F112" s="11" t="s">
        <v>70</v>
      </c>
      <c r="G112" s="12">
        <v>9000.0</v>
      </c>
      <c r="H112" s="156">
        <v>1200000.0</v>
      </c>
      <c r="I112" s="14" t="s">
        <v>42</v>
      </c>
      <c r="J112" s="156">
        <v>640000.0</v>
      </c>
      <c r="K112" s="13" t="s">
        <v>42</v>
      </c>
      <c r="L112" s="13">
        <f t="shared" si="15"/>
        <v>560000</v>
      </c>
      <c r="M112" s="156">
        <v>0.0</v>
      </c>
    </row>
    <row r="113" ht="15.75" customHeight="1">
      <c r="A113" s="155"/>
      <c r="B113" s="51">
        <v>45216.0</v>
      </c>
      <c r="C113" s="11" t="s">
        <v>352</v>
      </c>
      <c r="D113" s="11" t="s">
        <v>370</v>
      </c>
      <c r="E113" s="11" t="s">
        <v>30</v>
      </c>
      <c r="F113" s="11" t="s">
        <v>61</v>
      </c>
      <c r="G113" s="12">
        <v>9000.0</v>
      </c>
      <c r="H113" s="156">
        <v>675000.0</v>
      </c>
      <c r="I113" s="14" t="s">
        <v>44</v>
      </c>
      <c r="J113" s="156">
        <v>350000.0</v>
      </c>
      <c r="K113" s="13" t="s">
        <v>42</v>
      </c>
      <c r="L113" s="13">
        <f t="shared" si="15"/>
        <v>325000</v>
      </c>
      <c r="M113" s="156">
        <v>0.0</v>
      </c>
    </row>
    <row r="114" ht="15.75" customHeight="1">
      <c r="A114" s="155"/>
      <c r="B114" s="51">
        <v>45216.0</v>
      </c>
      <c r="C114" s="11" t="s">
        <v>352</v>
      </c>
      <c r="D114" s="11" t="s">
        <v>370</v>
      </c>
      <c r="E114" s="11" t="s">
        <v>30</v>
      </c>
      <c r="F114" s="11" t="s">
        <v>34</v>
      </c>
      <c r="G114" s="12">
        <v>9000.0</v>
      </c>
      <c r="H114" s="156">
        <v>1215000.0</v>
      </c>
      <c r="I114" s="14" t="s">
        <v>44</v>
      </c>
      <c r="J114" s="156">
        <v>700000.0</v>
      </c>
      <c r="K114" s="13" t="s">
        <v>42</v>
      </c>
      <c r="L114" s="13">
        <f t="shared" si="15"/>
        <v>515000</v>
      </c>
      <c r="M114" s="156">
        <v>0.0</v>
      </c>
    </row>
    <row r="115" ht="15.75" customHeight="1">
      <c r="A115" s="155"/>
      <c r="B115" s="51">
        <v>45217.0</v>
      </c>
      <c r="C115" s="11" t="s">
        <v>352</v>
      </c>
      <c r="D115" s="11" t="s">
        <v>370</v>
      </c>
      <c r="E115" s="11" t="s">
        <v>30</v>
      </c>
      <c r="F115" s="11" t="s">
        <v>61</v>
      </c>
      <c r="G115" s="12">
        <v>9000.0</v>
      </c>
      <c r="H115" s="156">
        <v>675000.0</v>
      </c>
      <c r="I115" s="14" t="s">
        <v>44</v>
      </c>
      <c r="J115" s="156">
        <v>350000.0</v>
      </c>
      <c r="K115" s="13" t="s">
        <v>42</v>
      </c>
      <c r="L115" s="13">
        <f t="shared" si="15"/>
        <v>325000</v>
      </c>
      <c r="M115" s="156">
        <v>0.0</v>
      </c>
    </row>
    <row r="116" ht="15.75" customHeight="1">
      <c r="A116" s="155"/>
      <c r="B116" s="51">
        <v>45217.0</v>
      </c>
      <c r="C116" s="11" t="s">
        <v>390</v>
      </c>
      <c r="D116" s="11" t="s">
        <v>370</v>
      </c>
      <c r="E116" s="11" t="s">
        <v>30</v>
      </c>
      <c r="F116" s="11" t="s">
        <v>61</v>
      </c>
      <c r="G116" s="12">
        <v>9000.0</v>
      </c>
      <c r="H116" s="156">
        <v>675000.0</v>
      </c>
      <c r="I116" s="14" t="s">
        <v>44</v>
      </c>
      <c r="J116" s="156">
        <v>350000.0</v>
      </c>
      <c r="K116" s="13" t="s">
        <v>42</v>
      </c>
      <c r="L116" s="13">
        <f t="shared" si="15"/>
        <v>325000</v>
      </c>
      <c r="M116" s="156">
        <v>0.0</v>
      </c>
    </row>
    <row r="117" ht="15.75" customHeight="1">
      <c r="A117" s="155"/>
      <c r="B117" s="51">
        <v>45218.0</v>
      </c>
      <c r="C117" s="11" t="s">
        <v>352</v>
      </c>
      <c r="D117" s="11" t="s">
        <v>370</v>
      </c>
      <c r="E117" s="11" t="s">
        <v>30</v>
      </c>
      <c r="F117" s="11" t="s">
        <v>391</v>
      </c>
      <c r="G117" s="12">
        <v>9000.0</v>
      </c>
      <c r="H117" s="156">
        <v>1400000.0</v>
      </c>
      <c r="I117" s="14" t="s">
        <v>42</v>
      </c>
      <c r="J117" s="156">
        <v>900000.0</v>
      </c>
      <c r="K117" s="13" t="s">
        <v>42</v>
      </c>
      <c r="L117" s="13">
        <f t="shared" si="15"/>
        <v>500000</v>
      </c>
      <c r="M117" s="156">
        <v>0.0</v>
      </c>
      <c r="N117" s="168"/>
    </row>
    <row r="118" ht="15.75" customHeight="1">
      <c r="A118" s="155"/>
      <c r="B118" s="51">
        <v>45219.0</v>
      </c>
      <c r="C118" s="11" t="s">
        <v>352</v>
      </c>
      <c r="D118" s="11" t="s">
        <v>370</v>
      </c>
      <c r="E118" s="11" t="s">
        <v>37</v>
      </c>
      <c r="F118" s="11" t="s">
        <v>43</v>
      </c>
      <c r="G118" s="12">
        <v>9000.0</v>
      </c>
      <c r="H118" s="156">
        <v>1350000.0</v>
      </c>
      <c r="I118" s="14" t="s">
        <v>44</v>
      </c>
      <c r="J118" s="156">
        <v>800000.0</v>
      </c>
      <c r="K118" s="13" t="s">
        <v>42</v>
      </c>
      <c r="L118" s="13">
        <f t="shared" si="15"/>
        <v>550000</v>
      </c>
      <c r="M118" s="156">
        <v>0.0</v>
      </c>
    </row>
    <row r="119" ht="15.75" customHeight="1">
      <c r="A119" s="155"/>
      <c r="B119" s="51">
        <v>45223.0</v>
      </c>
      <c r="C119" s="11" t="s">
        <v>352</v>
      </c>
      <c r="D119" s="11" t="s">
        <v>370</v>
      </c>
      <c r="E119" s="11"/>
      <c r="F119" s="11"/>
      <c r="G119" s="12"/>
      <c r="H119" s="156"/>
      <c r="I119" s="14"/>
      <c r="J119" s="156"/>
      <c r="K119" s="13"/>
      <c r="L119" s="13">
        <f t="shared" si="15"/>
        <v>0</v>
      </c>
      <c r="M119" s="156">
        <v>168000.0</v>
      </c>
    </row>
    <row r="120" ht="15.75" customHeight="1">
      <c r="A120" s="155"/>
      <c r="B120" s="51">
        <v>45229.0</v>
      </c>
      <c r="C120" s="11" t="s">
        <v>352</v>
      </c>
      <c r="D120" s="11" t="s">
        <v>370</v>
      </c>
      <c r="E120" s="11" t="s">
        <v>30</v>
      </c>
      <c r="F120" s="11" t="s">
        <v>70</v>
      </c>
      <c r="G120" s="12">
        <v>9000.0</v>
      </c>
      <c r="H120" s="156">
        <v>1200000.0</v>
      </c>
      <c r="I120" s="14" t="s">
        <v>42</v>
      </c>
      <c r="J120" s="156">
        <v>640000.0</v>
      </c>
      <c r="K120" s="13" t="s">
        <v>42</v>
      </c>
      <c r="L120" s="13">
        <f t="shared" si="15"/>
        <v>560000</v>
      </c>
      <c r="M120" s="156">
        <v>0.0</v>
      </c>
    </row>
    <row r="121" ht="15.75" customHeight="1">
      <c r="A121" s="23"/>
      <c r="B121" s="23"/>
      <c r="C121" s="23"/>
      <c r="D121" s="23"/>
      <c r="E121" s="23"/>
      <c r="F121" s="23"/>
      <c r="G121" s="24"/>
      <c r="H121" s="157"/>
      <c r="I121" s="26"/>
      <c r="J121" s="157"/>
      <c r="K121" s="25"/>
      <c r="L121" s="52">
        <f t="shared" ref="L121:M121" si="16">SUM(L102:L120)</f>
        <v>7400000</v>
      </c>
      <c r="M121" s="167">
        <f t="shared" si="16"/>
        <v>656500</v>
      </c>
    </row>
    <row r="122" ht="15.75" customHeight="1">
      <c r="A122" s="23"/>
      <c r="B122" s="23"/>
      <c r="C122" s="23"/>
      <c r="D122" s="23"/>
      <c r="E122" s="23"/>
      <c r="F122" s="23"/>
      <c r="G122" s="24"/>
      <c r="H122" s="157"/>
      <c r="I122" s="26"/>
      <c r="J122" s="157"/>
      <c r="K122" s="25"/>
      <c r="L122" s="33">
        <f>L121-M121</f>
        <v>6743500</v>
      </c>
      <c r="M122" s="159"/>
    </row>
    <row r="123" ht="15.75" customHeight="1">
      <c r="A123" s="169"/>
      <c r="B123" s="169"/>
      <c r="C123" s="169"/>
      <c r="D123" s="169"/>
      <c r="E123" s="169"/>
      <c r="F123" s="169"/>
      <c r="G123" s="170"/>
      <c r="H123" s="101"/>
      <c r="I123" s="171"/>
      <c r="J123" s="172"/>
      <c r="K123" s="173"/>
      <c r="L123" s="173"/>
      <c r="M123" s="172"/>
    </row>
    <row r="124" ht="30.75" customHeight="1">
      <c r="A124" s="89"/>
      <c r="B124" s="2" t="s">
        <v>0</v>
      </c>
      <c r="C124" s="2" t="s">
        <v>1</v>
      </c>
      <c r="D124" s="2" t="s">
        <v>2</v>
      </c>
      <c r="E124" s="3" t="s">
        <v>3</v>
      </c>
      <c r="F124" s="2" t="s">
        <v>4</v>
      </c>
      <c r="G124" s="4" t="s">
        <v>5</v>
      </c>
      <c r="H124" s="154" t="s">
        <v>6</v>
      </c>
      <c r="I124" s="5" t="s">
        <v>39</v>
      </c>
      <c r="J124" s="154" t="s">
        <v>7</v>
      </c>
      <c r="K124" s="5" t="s">
        <v>39</v>
      </c>
      <c r="L124" s="5" t="s">
        <v>8</v>
      </c>
      <c r="M124" s="154" t="s">
        <v>9</v>
      </c>
    </row>
    <row r="125" ht="15.75" customHeight="1">
      <c r="A125" s="155"/>
      <c r="B125" s="51">
        <v>45231.0</v>
      </c>
      <c r="C125" s="11" t="s">
        <v>352</v>
      </c>
      <c r="D125" s="11" t="s">
        <v>370</v>
      </c>
      <c r="E125" s="11" t="s">
        <v>85</v>
      </c>
      <c r="F125" s="11" t="s">
        <v>34</v>
      </c>
      <c r="G125" s="12">
        <v>5000.0</v>
      </c>
      <c r="H125" s="156">
        <v>1215000.0</v>
      </c>
      <c r="I125" s="14" t="s">
        <v>44</v>
      </c>
      <c r="J125" s="156">
        <v>700000.0</v>
      </c>
      <c r="K125" s="13" t="s">
        <v>42</v>
      </c>
      <c r="L125" s="13">
        <f t="shared" ref="L125:L126" si="17">H125-J125</f>
        <v>515000</v>
      </c>
      <c r="M125" s="156">
        <v>0.0</v>
      </c>
      <c r="N125" s="168"/>
      <c r="O125" s="168"/>
      <c r="P125" s="168"/>
    </row>
    <row r="126" ht="15.75" customHeight="1">
      <c r="A126" s="155"/>
      <c r="B126" s="51">
        <v>45233.0</v>
      </c>
      <c r="C126" s="11" t="s">
        <v>352</v>
      </c>
      <c r="D126" s="11" t="s">
        <v>370</v>
      </c>
      <c r="E126" s="11" t="s">
        <v>392</v>
      </c>
      <c r="F126" s="11" t="s">
        <v>393</v>
      </c>
      <c r="G126" s="12">
        <v>9000.0</v>
      </c>
      <c r="H126" s="156">
        <v>900000.0</v>
      </c>
      <c r="I126" s="14"/>
      <c r="J126" s="156">
        <v>640000.0</v>
      </c>
      <c r="K126" s="13" t="s">
        <v>42</v>
      </c>
      <c r="L126" s="13">
        <f t="shared" si="17"/>
        <v>260000</v>
      </c>
      <c r="M126" s="156">
        <v>180000.0</v>
      </c>
      <c r="N126" s="168"/>
      <c r="O126" s="168"/>
      <c r="P126" s="168"/>
    </row>
    <row r="127" ht="15.75" customHeight="1">
      <c r="A127" s="169"/>
      <c r="B127" s="169"/>
      <c r="C127" s="169"/>
      <c r="D127" s="169"/>
      <c r="E127" s="169"/>
      <c r="F127" s="169"/>
      <c r="G127" s="170"/>
      <c r="H127" s="101"/>
      <c r="I127" s="171"/>
      <c r="J127" s="172"/>
      <c r="K127" s="173"/>
      <c r="L127" s="52">
        <f t="shared" ref="L127:M127" si="18">SUM(L125:L126)</f>
        <v>775000</v>
      </c>
      <c r="M127" s="167">
        <f t="shared" si="18"/>
        <v>180000</v>
      </c>
    </row>
    <row r="128" ht="15.75" customHeight="1">
      <c r="A128" s="169"/>
      <c r="B128" s="169"/>
      <c r="C128" s="169"/>
      <c r="D128" s="169"/>
      <c r="E128" s="169"/>
      <c r="F128" s="169"/>
      <c r="G128" s="170"/>
      <c r="H128" s="101"/>
      <c r="I128" s="171"/>
      <c r="J128" s="172"/>
      <c r="K128" s="173"/>
      <c r="L128" s="33">
        <f>L127-M127</f>
        <v>595000</v>
      </c>
      <c r="M128" s="159"/>
    </row>
    <row r="129" ht="23.25" customHeight="1">
      <c r="A129" s="89"/>
      <c r="B129" s="2" t="s">
        <v>0</v>
      </c>
      <c r="C129" s="2" t="s">
        <v>1</v>
      </c>
      <c r="D129" s="2" t="s">
        <v>2</v>
      </c>
      <c r="E129" s="3" t="s">
        <v>3</v>
      </c>
      <c r="F129" s="2" t="s">
        <v>4</v>
      </c>
      <c r="G129" s="4" t="s">
        <v>5</v>
      </c>
      <c r="H129" s="154" t="s">
        <v>6</v>
      </c>
      <c r="I129" s="5" t="s">
        <v>39</v>
      </c>
      <c r="J129" s="154" t="s">
        <v>7</v>
      </c>
      <c r="K129" s="5" t="s">
        <v>39</v>
      </c>
      <c r="L129" s="5" t="s">
        <v>8</v>
      </c>
      <c r="M129" s="154" t="s">
        <v>9</v>
      </c>
    </row>
    <row r="130" ht="15.75" customHeight="1">
      <c r="A130" s="155"/>
      <c r="B130" s="51">
        <v>45301.0</v>
      </c>
      <c r="C130" s="11" t="s">
        <v>394</v>
      </c>
      <c r="D130" s="11" t="s">
        <v>370</v>
      </c>
      <c r="E130" s="11" t="s">
        <v>383</v>
      </c>
      <c r="F130" s="11" t="s">
        <v>59</v>
      </c>
      <c r="G130" s="12">
        <v>9000.0</v>
      </c>
      <c r="H130" s="156">
        <v>720000.0</v>
      </c>
      <c r="I130" s="14" t="s">
        <v>44</v>
      </c>
      <c r="J130" s="156">
        <v>350000.0</v>
      </c>
      <c r="K130" s="13" t="s">
        <v>42</v>
      </c>
      <c r="L130" s="13">
        <f t="shared" ref="L130:L141" si="19">H130-J130</f>
        <v>370000</v>
      </c>
      <c r="M130" s="156">
        <v>660000.0</v>
      </c>
    </row>
    <row r="131" ht="15.75" customHeight="1">
      <c r="A131" s="155"/>
      <c r="B131" s="51">
        <v>45302.0</v>
      </c>
      <c r="C131" s="11" t="s">
        <v>394</v>
      </c>
      <c r="D131" s="11" t="s">
        <v>370</v>
      </c>
      <c r="E131" s="11" t="s">
        <v>85</v>
      </c>
      <c r="F131" s="11" t="s">
        <v>34</v>
      </c>
      <c r="G131" s="12">
        <v>9000.0</v>
      </c>
      <c r="H131" s="156">
        <v>1215000.0</v>
      </c>
      <c r="I131" s="14" t="s">
        <v>42</v>
      </c>
      <c r="J131" s="156">
        <v>700000.0</v>
      </c>
      <c r="K131" s="13" t="s">
        <v>42</v>
      </c>
      <c r="L131" s="13">
        <f t="shared" si="19"/>
        <v>515000</v>
      </c>
      <c r="M131" s="156">
        <v>0.0</v>
      </c>
    </row>
    <row r="132" ht="15.75" customHeight="1">
      <c r="A132" s="155"/>
      <c r="B132" s="51">
        <v>45303.0</v>
      </c>
      <c r="C132" s="11" t="s">
        <v>394</v>
      </c>
      <c r="D132" s="11" t="s">
        <v>370</v>
      </c>
      <c r="E132" s="11" t="s">
        <v>383</v>
      </c>
      <c r="F132" s="11" t="s">
        <v>107</v>
      </c>
      <c r="G132" s="12">
        <v>9000.0</v>
      </c>
      <c r="H132" s="156">
        <v>1125000.0</v>
      </c>
      <c r="I132" s="14" t="s">
        <v>42</v>
      </c>
      <c r="J132" s="156">
        <v>640000.0</v>
      </c>
      <c r="K132" s="13" t="s">
        <v>42</v>
      </c>
      <c r="L132" s="13">
        <f t="shared" si="19"/>
        <v>485000</v>
      </c>
      <c r="M132" s="156">
        <v>46000.0</v>
      </c>
    </row>
    <row r="133" ht="15.75" customHeight="1">
      <c r="A133" s="155"/>
      <c r="B133" s="51">
        <v>45304.0</v>
      </c>
      <c r="C133" s="11" t="s">
        <v>394</v>
      </c>
      <c r="D133" s="11" t="s">
        <v>370</v>
      </c>
      <c r="E133" s="11" t="s">
        <v>383</v>
      </c>
      <c r="F133" s="11" t="s">
        <v>395</v>
      </c>
      <c r="G133" s="12">
        <v>9000.0</v>
      </c>
      <c r="H133" s="156">
        <v>990000.0</v>
      </c>
      <c r="I133" s="14" t="s">
        <v>42</v>
      </c>
      <c r="J133" s="156">
        <v>550000.0</v>
      </c>
      <c r="K133" s="13" t="s">
        <v>42</v>
      </c>
      <c r="L133" s="13">
        <f t="shared" si="19"/>
        <v>440000</v>
      </c>
      <c r="M133" s="156">
        <v>35000.0</v>
      </c>
    </row>
    <row r="134" ht="15.75" customHeight="1">
      <c r="A134" s="155"/>
      <c r="B134" s="51">
        <v>45306.0</v>
      </c>
      <c r="C134" s="11" t="s">
        <v>394</v>
      </c>
      <c r="D134" s="11" t="s">
        <v>370</v>
      </c>
      <c r="E134" s="11" t="s">
        <v>85</v>
      </c>
      <c r="F134" s="11" t="s">
        <v>32</v>
      </c>
      <c r="G134" s="12">
        <v>9000.0</v>
      </c>
      <c r="H134" s="156">
        <v>675000.0</v>
      </c>
      <c r="I134" s="14" t="s">
        <v>42</v>
      </c>
      <c r="J134" s="156">
        <v>350000.0</v>
      </c>
      <c r="K134" s="13" t="s">
        <v>42</v>
      </c>
      <c r="L134" s="13">
        <f t="shared" si="19"/>
        <v>325000</v>
      </c>
      <c r="M134" s="156">
        <v>378000.0</v>
      </c>
      <c r="N134" s="16"/>
    </row>
    <row r="135" ht="15.75" customHeight="1">
      <c r="A135" s="155"/>
      <c r="B135" s="51">
        <v>45306.0</v>
      </c>
      <c r="C135" s="11" t="s">
        <v>394</v>
      </c>
      <c r="D135" s="11" t="s">
        <v>370</v>
      </c>
      <c r="E135" s="11" t="s">
        <v>85</v>
      </c>
      <c r="F135" s="11" t="s">
        <v>34</v>
      </c>
      <c r="G135" s="12">
        <v>9000.0</v>
      </c>
      <c r="H135" s="156">
        <v>1215000.0</v>
      </c>
      <c r="I135" s="14" t="s">
        <v>44</v>
      </c>
      <c r="J135" s="156">
        <v>700000.0</v>
      </c>
      <c r="K135" s="13" t="s">
        <v>42</v>
      </c>
      <c r="L135" s="13">
        <f t="shared" si="19"/>
        <v>515000</v>
      </c>
      <c r="M135" s="156">
        <v>0.0</v>
      </c>
    </row>
    <row r="136" ht="15.75" customHeight="1">
      <c r="A136" s="155"/>
      <c r="B136" s="51">
        <v>45307.0</v>
      </c>
      <c r="C136" s="11" t="s">
        <v>394</v>
      </c>
      <c r="D136" s="11" t="s">
        <v>370</v>
      </c>
      <c r="E136" s="11" t="s">
        <v>383</v>
      </c>
      <c r="F136" s="11" t="s">
        <v>34</v>
      </c>
      <c r="G136" s="12">
        <v>9000.0</v>
      </c>
      <c r="H136" s="156">
        <v>1215000.0</v>
      </c>
      <c r="I136" s="14" t="s">
        <v>44</v>
      </c>
      <c r="J136" s="156">
        <v>700000.0</v>
      </c>
      <c r="K136" s="13" t="s">
        <v>42</v>
      </c>
      <c r="L136" s="13">
        <f t="shared" si="19"/>
        <v>515000</v>
      </c>
      <c r="M136" s="156">
        <v>0.0</v>
      </c>
      <c r="N136" s="174"/>
      <c r="O136" s="174"/>
    </row>
    <row r="137" ht="15.75" customHeight="1">
      <c r="A137" s="155"/>
      <c r="B137" s="51">
        <v>45308.0</v>
      </c>
      <c r="C137" s="11" t="s">
        <v>394</v>
      </c>
      <c r="D137" s="11" t="s">
        <v>370</v>
      </c>
      <c r="E137" s="11" t="s">
        <v>383</v>
      </c>
      <c r="F137" s="11" t="s">
        <v>396</v>
      </c>
      <c r="G137" s="12">
        <v>9000.0</v>
      </c>
      <c r="H137" s="156">
        <v>1035000.0</v>
      </c>
      <c r="I137" s="14" t="s">
        <v>42</v>
      </c>
      <c r="J137" s="156">
        <v>600000.0</v>
      </c>
      <c r="K137" s="13" t="s">
        <v>42</v>
      </c>
      <c r="L137" s="13">
        <f t="shared" si="19"/>
        <v>435000</v>
      </c>
      <c r="M137" s="156">
        <v>0.0</v>
      </c>
    </row>
    <row r="138" ht="15.75" customHeight="1">
      <c r="A138" s="155"/>
      <c r="B138" s="51">
        <v>45309.0</v>
      </c>
      <c r="C138" s="11" t="s">
        <v>394</v>
      </c>
      <c r="D138" s="11" t="s">
        <v>370</v>
      </c>
      <c r="E138" s="11" t="s">
        <v>383</v>
      </c>
      <c r="F138" s="11" t="s">
        <v>397</v>
      </c>
      <c r="G138" s="12">
        <v>9000.0</v>
      </c>
      <c r="H138" s="156">
        <v>765000.0</v>
      </c>
      <c r="I138" s="14" t="s">
        <v>44</v>
      </c>
      <c r="J138" s="156">
        <v>450000.0</v>
      </c>
      <c r="K138" s="13" t="s">
        <v>42</v>
      </c>
      <c r="L138" s="13">
        <f t="shared" si="19"/>
        <v>315000</v>
      </c>
      <c r="M138" s="156">
        <v>69000.0</v>
      </c>
    </row>
    <row r="139" ht="15.75" customHeight="1">
      <c r="A139" s="155"/>
      <c r="B139" s="51">
        <v>45310.0</v>
      </c>
      <c r="C139" s="11" t="s">
        <v>394</v>
      </c>
      <c r="D139" s="11" t="s">
        <v>370</v>
      </c>
      <c r="E139" s="11" t="s">
        <v>88</v>
      </c>
      <c r="F139" s="11" t="s">
        <v>89</v>
      </c>
      <c r="G139" s="12">
        <v>9000.0</v>
      </c>
      <c r="H139" s="156">
        <v>1000000.0</v>
      </c>
      <c r="I139" s="14" t="s">
        <v>42</v>
      </c>
      <c r="J139" s="175">
        <v>550000.0</v>
      </c>
      <c r="K139" s="15" t="s">
        <v>42</v>
      </c>
      <c r="L139" s="13">
        <f t="shared" si="19"/>
        <v>450000</v>
      </c>
      <c r="M139" s="156">
        <v>1000000.0</v>
      </c>
    </row>
    <row r="140" ht="15.75" customHeight="1">
      <c r="A140" s="155"/>
      <c r="B140" s="51">
        <v>45315.0</v>
      </c>
      <c r="C140" s="11"/>
      <c r="D140" s="11"/>
      <c r="E140" s="11"/>
      <c r="F140" s="11"/>
      <c r="G140" s="18"/>
      <c r="H140" s="156"/>
      <c r="I140" s="14"/>
      <c r="J140" s="156"/>
      <c r="K140" s="13"/>
      <c r="L140" s="13">
        <f t="shared" si="19"/>
        <v>0</v>
      </c>
      <c r="M140" s="156">
        <v>1.5E7</v>
      </c>
    </row>
    <row r="141" ht="15.75" customHeight="1">
      <c r="A141" s="155"/>
      <c r="B141" s="51">
        <v>45318.0</v>
      </c>
      <c r="C141" s="11"/>
      <c r="D141" s="11"/>
      <c r="E141" s="11"/>
      <c r="F141" s="11"/>
      <c r="G141" s="18"/>
      <c r="H141" s="156"/>
      <c r="I141" s="14"/>
      <c r="J141" s="156"/>
      <c r="K141" s="13"/>
      <c r="L141" s="13">
        <f t="shared" si="19"/>
        <v>0</v>
      </c>
      <c r="M141" s="156">
        <v>5500000.0</v>
      </c>
    </row>
    <row r="142" ht="15.75" customHeight="1">
      <c r="A142" s="169"/>
      <c r="B142" s="169"/>
      <c r="C142" s="169"/>
      <c r="D142" s="169"/>
      <c r="E142" s="169"/>
      <c r="F142" s="169"/>
      <c r="G142" s="170"/>
      <c r="H142" s="101"/>
      <c r="I142" s="171"/>
      <c r="J142" s="172"/>
      <c r="K142" s="173"/>
      <c r="L142" s="52">
        <f t="shared" ref="L142:M142" si="20">SUM(L130:L141)</f>
        <v>4365000</v>
      </c>
      <c r="M142" s="167">
        <f t="shared" si="20"/>
        <v>22688000</v>
      </c>
    </row>
    <row r="143" ht="15.75" customHeight="1">
      <c r="A143" s="169"/>
      <c r="B143" s="169"/>
      <c r="C143" s="169"/>
      <c r="D143" s="169"/>
      <c r="E143" s="169"/>
      <c r="F143" s="169"/>
      <c r="G143" s="170"/>
      <c r="H143" s="101"/>
      <c r="I143" s="171"/>
      <c r="J143" s="172"/>
      <c r="K143" s="173"/>
      <c r="L143" s="33">
        <f>L142-M142</f>
        <v>-18323000</v>
      </c>
      <c r="M143" s="172"/>
    </row>
    <row r="144" ht="24.0" customHeight="1">
      <c r="A144" s="89"/>
      <c r="B144" s="2" t="s">
        <v>0</v>
      </c>
      <c r="C144" s="2" t="s">
        <v>1</v>
      </c>
      <c r="D144" s="2" t="s">
        <v>2</v>
      </c>
      <c r="E144" s="3" t="s">
        <v>3</v>
      </c>
      <c r="F144" s="2" t="s">
        <v>4</v>
      </c>
      <c r="G144" s="4" t="s">
        <v>5</v>
      </c>
      <c r="H144" s="154" t="s">
        <v>6</v>
      </c>
      <c r="I144" s="5" t="s">
        <v>39</v>
      </c>
      <c r="J144" s="154" t="s">
        <v>7</v>
      </c>
      <c r="K144" s="5" t="s">
        <v>39</v>
      </c>
      <c r="L144" s="5" t="s">
        <v>8</v>
      </c>
      <c r="M144" s="154" t="s">
        <v>9</v>
      </c>
    </row>
    <row r="145" ht="15.75" customHeight="1">
      <c r="A145" s="176"/>
      <c r="B145" s="64">
        <v>45324.0</v>
      </c>
      <c r="C145" s="65" t="s">
        <v>394</v>
      </c>
      <c r="D145" s="65" t="s">
        <v>370</v>
      </c>
      <c r="E145" s="65" t="s">
        <v>40</v>
      </c>
      <c r="F145" s="65" t="s">
        <v>43</v>
      </c>
      <c r="G145" s="66">
        <v>9000.0</v>
      </c>
      <c r="H145" s="177">
        <v>1350000.0</v>
      </c>
      <c r="I145" s="68" t="s">
        <v>44</v>
      </c>
      <c r="J145" s="177">
        <v>800000.0</v>
      </c>
      <c r="K145" s="67" t="s">
        <v>42</v>
      </c>
      <c r="L145" s="67">
        <f t="shared" ref="L145:L151" si="21">H145-J145</f>
        <v>550000</v>
      </c>
      <c r="M145" s="177">
        <v>9095000.0</v>
      </c>
    </row>
    <row r="146" ht="15.75" customHeight="1">
      <c r="A146" s="176"/>
      <c r="B146" s="64">
        <v>45327.0</v>
      </c>
      <c r="C146" s="65" t="s">
        <v>394</v>
      </c>
      <c r="D146" s="65" t="s">
        <v>370</v>
      </c>
      <c r="E146" s="65" t="s">
        <v>30</v>
      </c>
      <c r="F146" s="65" t="s">
        <v>59</v>
      </c>
      <c r="G146" s="66">
        <v>9000.0</v>
      </c>
      <c r="H146" s="177">
        <v>720000.0</v>
      </c>
      <c r="I146" s="68" t="s">
        <v>42</v>
      </c>
      <c r="J146" s="177">
        <v>350000.0</v>
      </c>
      <c r="K146" s="67" t="s">
        <v>44</v>
      </c>
      <c r="L146" s="67">
        <f t="shared" si="21"/>
        <v>370000</v>
      </c>
      <c r="M146" s="177">
        <v>0.0</v>
      </c>
    </row>
    <row r="147" ht="15.75" customHeight="1">
      <c r="A147" s="176"/>
      <c r="B147" s="64">
        <v>45327.0</v>
      </c>
      <c r="C147" s="65" t="s">
        <v>394</v>
      </c>
      <c r="D147" s="65" t="s">
        <v>370</v>
      </c>
      <c r="E147" s="65" t="s">
        <v>96</v>
      </c>
      <c r="F147" s="65" t="s">
        <v>398</v>
      </c>
      <c r="G147" s="66">
        <v>8500.0</v>
      </c>
      <c r="H147" s="177">
        <v>1100000.0</v>
      </c>
      <c r="I147" s="68" t="s">
        <v>42</v>
      </c>
      <c r="J147" s="177">
        <v>640000.0</v>
      </c>
      <c r="K147" s="67" t="s">
        <v>42</v>
      </c>
      <c r="L147" s="67">
        <f t="shared" si="21"/>
        <v>460000</v>
      </c>
      <c r="M147" s="177">
        <v>0.0</v>
      </c>
    </row>
    <row r="148" ht="15.75" customHeight="1">
      <c r="A148" s="176"/>
      <c r="B148" s="64">
        <v>45328.0</v>
      </c>
      <c r="C148" s="65" t="s">
        <v>394</v>
      </c>
      <c r="D148" s="65" t="s">
        <v>370</v>
      </c>
      <c r="E148" s="65" t="s">
        <v>399</v>
      </c>
      <c r="F148" s="65" t="s">
        <v>400</v>
      </c>
      <c r="G148" s="66">
        <v>9000.0</v>
      </c>
      <c r="H148" s="177">
        <v>720000.0</v>
      </c>
      <c r="I148" s="68" t="s">
        <v>42</v>
      </c>
      <c r="J148" s="177">
        <v>350000.0</v>
      </c>
      <c r="K148" s="67" t="s">
        <v>42</v>
      </c>
      <c r="L148" s="67">
        <f t="shared" si="21"/>
        <v>370000</v>
      </c>
      <c r="M148" s="177">
        <v>0.0</v>
      </c>
    </row>
    <row r="149" ht="15.75" customHeight="1">
      <c r="A149" s="176"/>
      <c r="B149" s="64">
        <v>45329.0</v>
      </c>
      <c r="C149" s="65" t="s">
        <v>394</v>
      </c>
      <c r="D149" s="65" t="s">
        <v>370</v>
      </c>
      <c r="E149" s="65" t="s">
        <v>40</v>
      </c>
      <c r="F149" s="65" t="s">
        <v>34</v>
      </c>
      <c r="G149" s="66">
        <v>9000.0</v>
      </c>
      <c r="H149" s="177">
        <v>1215000.0</v>
      </c>
      <c r="I149" s="68" t="s">
        <v>44</v>
      </c>
      <c r="J149" s="177">
        <v>700000.0</v>
      </c>
      <c r="K149" s="67" t="s">
        <v>42</v>
      </c>
      <c r="L149" s="67">
        <f t="shared" si="21"/>
        <v>515000</v>
      </c>
      <c r="M149" s="177">
        <v>0.0</v>
      </c>
    </row>
    <row r="150" ht="15.75" customHeight="1">
      <c r="A150" s="176"/>
      <c r="B150" s="64">
        <v>45331.0</v>
      </c>
      <c r="C150" s="65" t="s">
        <v>394</v>
      </c>
      <c r="D150" s="65" t="s">
        <v>370</v>
      </c>
      <c r="E150" s="65" t="s">
        <v>30</v>
      </c>
      <c r="F150" s="65" t="s">
        <v>103</v>
      </c>
      <c r="G150" s="66">
        <v>9000.0</v>
      </c>
      <c r="H150" s="177">
        <v>675000.0</v>
      </c>
      <c r="I150" s="68" t="s">
        <v>42</v>
      </c>
      <c r="J150" s="177">
        <v>375000.0</v>
      </c>
      <c r="K150" s="67" t="s">
        <v>42</v>
      </c>
      <c r="L150" s="67">
        <f t="shared" si="21"/>
        <v>300000</v>
      </c>
      <c r="M150" s="177">
        <v>0.0</v>
      </c>
    </row>
    <row r="151" ht="15.75" customHeight="1">
      <c r="A151" s="176"/>
      <c r="B151" s="64">
        <v>45331.0</v>
      </c>
      <c r="C151" s="65" t="s">
        <v>394</v>
      </c>
      <c r="D151" s="65" t="s">
        <v>370</v>
      </c>
      <c r="E151" s="65" t="s">
        <v>30</v>
      </c>
      <c r="F151" s="65" t="s">
        <v>401</v>
      </c>
      <c r="G151" s="66">
        <v>9000.0</v>
      </c>
      <c r="H151" s="177">
        <v>675000.0</v>
      </c>
      <c r="I151" s="68" t="s">
        <v>42</v>
      </c>
      <c r="J151" s="177">
        <v>375000.0</v>
      </c>
      <c r="K151" s="67" t="s">
        <v>42</v>
      </c>
      <c r="L151" s="67">
        <f t="shared" si="21"/>
        <v>300000</v>
      </c>
      <c r="M151" s="177">
        <v>0.0</v>
      </c>
    </row>
    <row r="152" ht="15.75" customHeight="1">
      <c r="A152" s="176"/>
      <c r="B152" s="64">
        <v>45333.0</v>
      </c>
      <c r="C152" s="65" t="s">
        <v>394</v>
      </c>
      <c r="D152" s="65" t="s">
        <v>370</v>
      </c>
      <c r="E152" s="65"/>
      <c r="F152" s="65"/>
      <c r="G152" s="66"/>
      <c r="H152" s="177"/>
      <c r="I152" s="68"/>
      <c r="J152" s="177"/>
      <c r="K152" s="67"/>
      <c r="L152" s="67"/>
      <c r="M152" s="177">
        <v>547000.0</v>
      </c>
    </row>
    <row r="153" ht="15.75" customHeight="1">
      <c r="A153" s="176"/>
      <c r="B153" s="64">
        <v>45334.0</v>
      </c>
      <c r="C153" s="65" t="s">
        <v>394</v>
      </c>
      <c r="D153" s="65" t="s">
        <v>370</v>
      </c>
      <c r="E153" s="65" t="s">
        <v>40</v>
      </c>
      <c r="F153" s="65" t="s">
        <v>34</v>
      </c>
      <c r="G153" s="66">
        <v>9000.0</v>
      </c>
      <c r="H153" s="177">
        <v>1215000.0</v>
      </c>
      <c r="I153" s="68" t="s">
        <v>44</v>
      </c>
      <c r="J153" s="177">
        <v>700000.0</v>
      </c>
      <c r="K153" s="67" t="s">
        <v>44</v>
      </c>
      <c r="L153" s="67">
        <f t="shared" ref="L153:L166" si="22">H153-J153</f>
        <v>515000</v>
      </c>
      <c r="M153" s="177">
        <v>0.0</v>
      </c>
    </row>
    <row r="154" ht="15.75" customHeight="1">
      <c r="A154" s="176"/>
      <c r="B154" s="64">
        <v>45335.0</v>
      </c>
      <c r="C154" s="65" t="s">
        <v>394</v>
      </c>
      <c r="D154" s="65" t="s">
        <v>370</v>
      </c>
      <c r="E154" s="65" t="s">
        <v>37</v>
      </c>
      <c r="F154" s="65" t="s">
        <v>43</v>
      </c>
      <c r="G154" s="66">
        <v>9000.0</v>
      </c>
      <c r="H154" s="177">
        <v>1350000.0</v>
      </c>
      <c r="I154" s="68" t="s">
        <v>44</v>
      </c>
      <c r="J154" s="177">
        <v>800000.0</v>
      </c>
      <c r="K154" s="67" t="s">
        <v>44</v>
      </c>
      <c r="L154" s="67">
        <f t="shared" si="22"/>
        <v>550000</v>
      </c>
      <c r="M154" s="177">
        <v>0.0</v>
      </c>
    </row>
    <row r="155" ht="15.75" customHeight="1">
      <c r="A155" s="176"/>
      <c r="B155" s="64">
        <v>45337.0</v>
      </c>
      <c r="C155" s="65" t="s">
        <v>394</v>
      </c>
      <c r="D155" s="65" t="s">
        <v>370</v>
      </c>
      <c r="E155" s="65" t="s">
        <v>30</v>
      </c>
      <c r="F155" s="65" t="s">
        <v>34</v>
      </c>
      <c r="G155" s="66">
        <v>9000.0</v>
      </c>
      <c r="H155" s="177">
        <v>1215000.0</v>
      </c>
      <c r="I155" s="68" t="s">
        <v>44</v>
      </c>
      <c r="J155" s="177">
        <v>700000.0</v>
      </c>
      <c r="K155" s="67" t="s">
        <v>42</v>
      </c>
      <c r="L155" s="67">
        <f t="shared" si="22"/>
        <v>515000</v>
      </c>
      <c r="M155" s="177">
        <v>1723000.0</v>
      </c>
    </row>
    <row r="156" ht="15.75" customHeight="1">
      <c r="A156" s="176"/>
      <c r="B156" s="64">
        <v>45338.0</v>
      </c>
      <c r="C156" s="65" t="s">
        <v>394</v>
      </c>
      <c r="D156" s="65" t="s">
        <v>370</v>
      </c>
      <c r="E156" s="65" t="s">
        <v>30</v>
      </c>
      <c r="F156" s="65" t="s">
        <v>66</v>
      </c>
      <c r="G156" s="66">
        <v>9000.0</v>
      </c>
      <c r="H156" s="177">
        <v>675000.0</v>
      </c>
      <c r="I156" s="68" t="s">
        <v>42</v>
      </c>
      <c r="J156" s="177">
        <v>350000.0</v>
      </c>
      <c r="K156" s="67" t="s">
        <v>42</v>
      </c>
      <c r="L156" s="67">
        <f t="shared" si="22"/>
        <v>325000</v>
      </c>
      <c r="M156" s="177">
        <v>192000.0</v>
      </c>
    </row>
    <row r="157" ht="15.75" customHeight="1">
      <c r="A157" s="176"/>
      <c r="B157" s="64">
        <v>45339.0</v>
      </c>
      <c r="C157" s="65" t="s">
        <v>394</v>
      </c>
      <c r="D157" s="65" t="s">
        <v>370</v>
      </c>
      <c r="E157" s="65" t="s">
        <v>383</v>
      </c>
      <c r="F157" s="65" t="s">
        <v>34</v>
      </c>
      <c r="G157" s="66">
        <v>9000.0</v>
      </c>
      <c r="H157" s="177">
        <v>1215000.0</v>
      </c>
      <c r="I157" s="68" t="s">
        <v>44</v>
      </c>
      <c r="J157" s="177">
        <v>700000.0</v>
      </c>
      <c r="K157" s="67" t="s">
        <v>42</v>
      </c>
      <c r="L157" s="67">
        <f t="shared" si="22"/>
        <v>515000</v>
      </c>
      <c r="M157" s="177">
        <v>0.0</v>
      </c>
    </row>
    <row r="158" ht="15.75" customHeight="1">
      <c r="A158" s="176"/>
      <c r="B158" s="64">
        <v>45341.0</v>
      </c>
      <c r="C158" s="65" t="s">
        <v>394</v>
      </c>
      <c r="D158" s="65" t="s">
        <v>370</v>
      </c>
      <c r="E158" s="65" t="s">
        <v>30</v>
      </c>
      <c r="F158" s="65" t="s">
        <v>402</v>
      </c>
      <c r="G158" s="66">
        <v>9000.0</v>
      </c>
      <c r="H158" s="177">
        <v>1170000.0</v>
      </c>
      <c r="I158" s="68" t="s">
        <v>44</v>
      </c>
      <c r="J158" s="177">
        <v>640000.0</v>
      </c>
      <c r="K158" s="67" t="s">
        <v>42</v>
      </c>
      <c r="L158" s="67">
        <f t="shared" si="22"/>
        <v>530000</v>
      </c>
      <c r="M158" s="177">
        <v>35000.0</v>
      </c>
    </row>
    <row r="159" ht="15.75" customHeight="1">
      <c r="A159" s="176"/>
      <c r="B159" s="64">
        <v>45342.0</v>
      </c>
      <c r="C159" s="65" t="s">
        <v>394</v>
      </c>
      <c r="D159" s="65" t="s">
        <v>370</v>
      </c>
      <c r="E159" s="65" t="s">
        <v>30</v>
      </c>
      <c r="F159" s="65" t="s">
        <v>397</v>
      </c>
      <c r="G159" s="66">
        <v>9000.0</v>
      </c>
      <c r="H159" s="177">
        <v>765000.0</v>
      </c>
      <c r="I159" s="68" t="s">
        <v>44</v>
      </c>
      <c r="J159" s="177">
        <v>450000.0</v>
      </c>
      <c r="K159" s="67" t="s">
        <v>42</v>
      </c>
      <c r="L159" s="67">
        <f t="shared" si="22"/>
        <v>315000</v>
      </c>
      <c r="M159" s="177">
        <v>0.0</v>
      </c>
    </row>
    <row r="160" ht="15.75" customHeight="1">
      <c r="A160" s="176"/>
      <c r="B160" s="64">
        <v>45343.0</v>
      </c>
      <c r="C160" s="65" t="s">
        <v>394</v>
      </c>
      <c r="D160" s="65" t="s">
        <v>370</v>
      </c>
      <c r="E160" s="65" t="s">
        <v>30</v>
      </c>
      <c r="F160" s="65" t="s">
        <v>69</v>
      </c>
      <c r="G160" s="66">
        <v>9000.0</v>
      </c>
      <c r="H160" s="177">
        <v>900000.0</v>
      </c>
      <c r="I160" s="68" t="s">
        <v>42</v>
      </c>
      <c r="J160" s="177">
        <v>500000.0</v>
      </c>
      <c r="K160" s="67" t="s">
        <v>42</v>
      </c>
      <c r="L160" s="67">
        <f t="shared" si="22"/>
        <v>400000</v>
      </c>
      <c r="M160" s="177">
        <v>910000.0</v>
      </c>
    </row>
    <row r="161" ht="15.75" customHeight="1">
      <c r="A161" s="176"/>
      <c r="B161" s="64">
        <v>45344.0</v>
      </c>
      <c r="C161" s="65" t="s">
        <v>394</v>
      </c>
      <c r="D161" s="65" t="s">
        <v>370</v>
      </c>
      <c r="E161" s="65" t="s">
        <v>30</v>
      </c>
      <c r="F161" s="65" t="s">
        <v>66</v>
      </c>
      <c r="G161" s="66">
        <v>9000.0</v>
      </c>
      <c r="H161" s="177">
        <v>675000.0</v>
      </c>
      <c r="I161" s="68" t="s">
        <v>42</v>
      </c>
      <c r="J161" s="177">
        <v>350000.0</v>
      </c>
      <c r="K161" s="67" t="s">
        <v>42</v>
      </c>
      <c r="L161" s="67">
        <f t="shared" si="22"/>
        <v>325000</v>
      </c>
      <c r="M161" s="177"/>
    </row>
    <row r="162" ht="15.75" customHeight="1">
      <c r="A162" s="176"/>
      <c r="B162" s="64">
        <v>45345.0</v>
      </c>
      <c r="C162" s="65" t="s">
        <v>394</v>
      </c>
      <c r="D162" s="65" t="s">
        <v>370</v>
      </c>
      <c r="E162" s="65" t="s">
        <v>37</v>
      </c>
      <c r="F162" s="65" t="s">
        <v>70</v>
      </c>
      <c r="G162" s="66">
        <v>9000.0</v>
      </c>
      <c r="H162" s="177">
        <v>1200000.0</v>
      </c>
      <c r="I162" s="68" t="s">
        <v>42</v>
      </c>
      <c r="J162" s="177">
        <v>640000.0</v>
      </c>
      <c r="K162" s="67" t="s">
        <v>42</v>
      </c>
      <c r="L162" s="67">
        <f t="shared" si="22"/>
        <v>560000</v>
      </c>
      <c r="M162" s="177"/>
    </row>
    <row r="163" ht="15.75" customHeight="1">
      <c r="A163" s="176"/>
      <c r="B163" s="64">
        <v>45346.0</v>
      </c>
      <c r="C163" s="65" t="s">
        <v>394</v>
      </c>
      <c r="D163" s="65" t="s">
        <v>370</v>
      </c>
      <c r="E163" s="65" t="s">
        <v>30</v>
      </c>
      <c r="F163" s="65" t="s">
        <v>103</v>
      </c>
      <c r="G163" s="66">
        <v>9000.0</v>
      </c>
      <c r="H163" s="177">
        <v>675000.0</v>
      </c>
      <c r="I163" s="68" t="s">
        <v>42</v>
      </c>
      <c r="J163" s="177">
        <v>350000.0</v>
      </c>
      <c r="K163" s="67" t="s">
        <v>42</v>
      </c>
      <c r="L163" s="67">
        <f t="shared" si="22"/>
        <v>325000</v>
      </c>
      <c r="M163" s="177"/>
    </row>
    <row r="164" ht="15.75" customHeight="1">
      <c r="A164" s="176"/>
      <c r="B164" s="64">
        <v>45348.0</v>
      </c>
      <c r="C164" s="65" t="s">
        <v>394</v>
      </c>
      <c r="D164" s="65" t="s">
        <v>370</v>
      </c>
      <c r="E164" s="65" t="s">
        <v>37</v>
      </c>
      <c r="F164" s="65" t="s">
        <v>43</v>
      </c>
      <c r="G164" s="66">
        <v>9000.0</v>
      </c>
      <c r="H164" s="177">
        <v>1350000.0</v>
      </c>
      <c r="I164" s="68" t="s">
        <v>44</v>
      </c>
      <c r="J164" s="177">
        <v>800000.0</v>
      </c>
      <c r="K164" s="67" t="s">
        <v>42</v>
      </c>
      <c r="L164" s="67">
        <f t="shared" si="22"/>
        <v>550000</v>
      </c>
      <c r="M164" s="177"/>
    </row>
    <row r="165" ht="15.75" customHeight="1">
      <c r="A165" s="176"/>
      <c r="B165" s="64">
        <v>45349.0</v>
      </c>
      <c r="C165" s="65" t="s">
        <v>394</v>
      </c>
      <c r="D165" s="65" t="s">
        <v>370</v>
      </c>
      <c r="E165" s="65" t="s">
        <v>40</v>
      </c>
      <c r="F165" s="65" t="s">
        <v>397</v>
      </c>
      <c r="G165" s="66">
        <v>9000.0</v>
      </c>
      <c r="H165" s="177">
        <v>765000.0</v>
      </c>
      <c r="I165" s="68" t="s">
        <v>42</v>
      </c>
      <c r="J165" s="177">
        <v>450000.0</v>
      </c>
      <c r="K165" s="67" t="s">
        <v>42</v>
      </c>
      <c r="L165" s="67">
        <f t="shared" si="22"/>
        <v>315000</v>
      </c>
      <c r="M165" s="177"/>
    </row>
    <row r="166" ht="15.75" customHeight="1">
      <c r="A166" s="176"/>
      <c r="B166" s="64">
        <v>45350.0</v>
      </c>
      <c r="C166" s="65" t="s">
        <v>394</v>
      </c>
      <c r="D166" s="65" t="s">
        <v>370</v>
      </c>
      <c r="E166" s="65" t="s">
        <v>37</v>
      </c>
      <c r="F166" s="65" t="s">
        <v>66</v>
      </c>
      <c r="G166" s="66">
        <v>9000.0</v>
      </c>
      <c r="H166" s="177">
        <v>675000.0</v>
      </c>
      <c r="I166" s="68" t="s">
        <v>42</v>
      </c>
      <c r="J166" s="177">
        <v>350000.0</v>
      </c>
      <c r="K166" s="67" t="s">
        <v>42</v>
      </c>
      <c r="L166" s="67">
        <f t="shared" si="22"/>
        <v>325000</v>
      </c>
      <c r="M166" s="177">
        <v>225000.0</v>
      </c>
    </row>
    <row r="167" ht="15.75" customHeight="1">
      <c r="A167" s="169"/>
      <c r="B167" s="169"/>
      <c r="C167" s="169"/>
      <c r="D167" s="169"/>
      <c r="E167" s="169"/>
      <c r="F167" s="169"/>
      <c r="G167" s="170"/>
      <c r="H167" s="101"/>
      <c r="I167" s="171"/>
      <c r="J167" s="172"/>
      <c r="K167" s="173"/>
      <c r="L167" s="52">
        <f t="shared" ref="L167:M167" si="23">SUM(L145:L166)</f>
        <v>8930000</v>
      </c>
      <c r="M167" s="167">
        <f t="shared" si="23"/>
        <v>12727000</v>
      </c>
    </row>
    <row r="168" ht="15.75" customHeight="1">
      <c r="A168" s="169"/>
      <c r="B168" s="169"/>
      <c r="C168" s="169"/>
      <c r="D168" s="169"/>
      <c r="E168" s="169"/>
      <c r="F168" s="169"/>
      <c r="G168" s="170"/>
      <c r="H168" s="101"/>
      <c r="I168" s="171"/>
      <c r="J168" s="172"/>
      <c r="K168" s="173"/>
      <c r="L168" s="33">
        <f>L167-M167</f>
        <v>-3797000</v>
      </c>
      <c r="M168" s="172"/>
    </row>
    <row r="169" ht="15.75" customHeight="1">
      <c r="A169" s="169"/>
      <c r="B169" s="169"/>
      <c r="C169" s="169"/>
      <c r="D169" s="169"/>
      <c r="E169" s="169"/>
      <c r="F169" s="169"/>
      <c r="G169" s="170"/>
      <c r="H169" s="101"/>
      <c r="I169" s="171"/>
      <c r="J169" s="172"/>
      <c r="K169" s="173"/>
      <c r="L169" s="26"/>
      <c r="M169" s="172"/>
    </row>
    <row r="170" ht="15.75" customHeight="1">
      <c r="A170" s="169"/>
      <c r="B170" s="169"/>
      <c r="C170" s="169"/>
      <c r="D170" s="169"/>
      <c r="E170" s="169"/>
      <c r="F170" s="169"/>
      <c r="G170" s="170"/>
      <c r="H170" s="101"/>
      <c r="I170" s="171"/>
      <c r="J170" s="172"/>
      <c r="K170" s="173"/>
      <c r="L170" s="26"/>
      <c r="M170" s="172"/>
    </row>
    <row r="171" ht="24.0" customHeight="1">
      <c r="A171" s="89"/>
      <c r="B171" s="2" t="s">
        <v>0</v>
      </c>
      <c r="C171" s="2" t="s">
        <v>1</v>
      </c>
      <c r="D171" s="2" t="s">
        <v>2</v>
      </c>
      <c r="E171" s="3" t="s">
        <v>3</v>
      </c>
      <c r="F171" s="2" t="s">
        <v>4</v>
      </c>
      <c r="G171" s="4" t="s">
        <v>5</v>
      </c>
      <c r="H171" s="154" t="s">
        <v>6</v>
      </c>
      <c r="I171" s="6" t="s">
        <v>39</v>
      </c>
      <c r="J171" s="154" t="s">
        <v>7</v>
      </c>
      <c r="K171" s="4" t="s">
        <v>39</v>
      </c>
      <c r="L171" s="6" t="s">
        <v>8</v>
      </c>
      <c r="M171" s="154" t="s">
        <v>9</v>
      </c>
    </row>
    <row r="172" ht="15.75" customHeight="1">
      <c r="A172" s="178"/>
      <c r="B172" s="71">
        <v>45352.0</v>
      </c>
      <c r="C172" s="72" t="s">
        <v>394</v>
      </c>
      <c r="D172" s="72" t="s">
        <v>370</v>
      </c>
      <c r="E172" s="72" t="s">
        <v>37</v>
      </c>
      <c r="F172" s="72" t="s">
        <v>43</v>
      </c>
      <c r="G172" s="179">
        <v>9000.0</v>
      </c>
      <c r="H172" s="180">
        <v>1350000.0</v>
      </c>
      <c r="I172" s="181" t="s">
        <v>44</v>
      </c>
      <c r="J172" s="180">
        <v>800000.0</v>
      </c>
      <c r="K172" s="182" t="s">
        <v>42</v>
      </c>
      <c r="L172" s="182">
        <f t="shared" ref="L172:L181" si="24">H172-J172</f>
        <v>550000</v>
      </c>
      <c r="M172" s="180"/>
    </row>
    <row r="173" ht="15.75" customHeight="1">
      <c r="A173" s="178"/>
      <c r="B173" s="71">
        <v>45353.0</v>
      </c>
      <c r="C173" s="72" t="s">
        <v>394</v>
      </c>
      <c r="D173" s="72" t="s">
        <v>370</v>
      </c>
      <c r="E173" s="72" t="s">
        <v>37</v>
      </c>
      <c r="F173" s="72" t="s">
        <v>43</v>
      </c>
      <c r="G173" s="179">
        <v>9000.0</v>
      </c>
      <c r="H173" s="180">
        <v>1350000.0</v>
      </c>
      <c r="I173" s="181" t="s">
        <v>44</v>
      </c>
      <c r="J173" s="180">
        <v>800000.0</v>
      </c>
      <c r="K173" s="182" t="s">
        <v>42</v>
      </c>
      <c r="L173" s="182">
        <f t="shared" si="24"/>
        <v>550000</v>
      </c>
      <c r="M173" s="180">
        <v>813000.0</v>
      </c>
    </row>
    <row r="174" ht="15.75" customHeight="1">
      <c r="A174" s="178"/>
      <c r="B174" s="71">
        <v>45355.0</v>
      </c>
      <c r="C174" s="72" t="s">
        <v>394</v>
      </c>
      <c r="D174" s="72" t="s">
        <v>370</v>
      </c>
      <c r="E174" s="72" t="s">
        <v>37</v>
      </c>
      <c r="F174" s="72" t="s">
        <v>397</v>
      </c>
      <c r="G174" s="179">
        <v>9000.0</v>
      </c>
      <c r="H174" s="180">
        <v>765000.0</v>
      </c>
      <c r="I174" s="181" t="s">
        <v>44</v>
      </c>
      <c r="J174" s="180">
        <v>450000.0</v>
      </c>
      <c r="K174" s="182" t="s">
        <v>403</v>
      </c>
      <c r="L174" s="182">
        <f t="shared" si="24"/>
        <v>315000</v>
      </c>
      <c r="M174" s="180"/>
    </row>
    <row r="175" ht="15.75" customHeight="1">
      <c r="A175" s="178"/>
      <c r="B175" s="71">
        <v>45356.0</v>
      </c>
      <c r="C175" s="72" t="s">
        <v>394</v>
      </c>
      <c r="D175" s="72" t="s">
        <v>370</v>
      </c>
      <c r="E175" s="72" t="s">
        <v>40</v>
      </c>
      <c r="F175" s="72" t="s">
        <v>107</v>
      </c>
      <c r="G175" s="179">
        <v>9000.0</v>
      </c>
      <c r="H175" s="180">
        <v>1125000.0</v>
      </c>
      <c r="I175" s="181" t="s">
        <v>42</v>
      </c>
      <c r="J175" s="180">
        <v>640000.0</v>
      </c>
      <c r="K175" s="182" t="s">
        <v>403</v>
      </c>
      <c r="L175" s="182">
        <f t="shared" si="24"/>
        <v>485000</v>
      </c>
      <c r="M175" s="180"/>
    </row>
    <row r="176" ht="15.75" customHeight="1">
      <c r="A176" s="178"/>
      <c r="B176" s="71">
        <v>45357.0</v>
      </c>
      <c r="C176" s="72" t="s">
        <v>394</v>
      </c>
      <c r="D176" s="72" t="s">
        <v>370</v>
      </c>
      <c r="E176" s="72" t="s">
        <v>37</v>
      </c>
      <c r="F176" s="72" t="s">
        <v>395</v>
      </c>
      <c r="G176" s="179">
        <v>9000.0</v>
      </c>
      <c r="H176" s="180">
        <v>990000.0</v>
      </c>
      <c r="I176" s="181" t="s">
        <v>42</v>
      </c>
      <c r="J176" s="180">
        <v>550000.0</v>
      </c>
      <c r="K176" s="182" t="s">
        <v>42</v>
      </c>
      <c r="L176" s="182">
        <f t="shared" si="24"/>
        <v>440000</v>
      </c>
      <c r="M176" s="180"/>
    </row>
    <row r="177" ht="15.75" customHeight="1">
      <c r="A177" s="178"/>
      <c r="B177" s="71">
        <v>45358.0</v>
      </c>
      <c r="C177" s="72" t="s">
        <v>394</v>
      </c>
      <c r="D177" s="72" t="s">
        <v>370</v>
      </c>
      <c r="E177" s="72" t="s">
        <v>30</v>
      </c>
      <c r="F177" s="77" t="s">
        <v>66</v>
      </c>
      <c r="G177" s="179">
        <v>9000.0</v>
      </c>
      <c r="H177" s="180">
        <v>675000.0</v>
      </c>
      <c r="I177" s="181" t="s">
        <v>42</v>
      </c>
      <c r="J177" s="180">
        <v>350000.0</v>
      </c>
      <c r="K177" s="182" t="s">
        <v>42</v>
      </c>
      <c r="L177" s="182">
        <f t="shared" si="24"/>
        <v>325000</v>
      </c>
      <c r="M177" s="180"/>
    </row>
    <row r="178" ht="15.75" customHeight="1">
      <c r="A178" s="178"/>
      <c r="B178" s="71">
        <v>45358.0</v>
      </c>
      <c r="C178" s="72" t="s">
        <v>394</v>
      </c>
      <c r="D178" s="72" t="s">
        <v>370</v>
      </c>
      <c r="E178" s="72" t="s">
        <v>30</v>
      </c>
      <c r="F178" s="72" t="s">
        <v>58</v>
      </c>
      <c r="G178" s="179">
        <v>9000.0</v>
      </c>
      <c r="H178" s="180">
        <v>900000.0</v>
      </c>
      <c r="I178" s="181" t="s">
        <v>42</v>
      </c>
      <c r="J178" s="180">
        <v>500000.0</v>
      </c>
      <c r="K178" s="182" t="s">
        <v>42</v>
      </c>
      <c r="L178" s="182">
        <f t="shared" si="24"/>
        <v>400000</v>
      </c>
      <c r="M178" s="180"/>
    </row>
    <row r="179" ht="15.75" customHeight="1">
      <c r="A179" s="178"/>
      <c r="B179" s="71">
        <v>45359.0</v>
      </c>
      <c r="C179" s="72" t="s">
        <v>394</v>
      </c>
      <c r="D179" s="72" t="s">
        <v>370</v>
      </c>
      <c r="E179" s="72" t="s">
        <v>30</v>
      </c>
      <c r="F179" s="77" t="s">
        <v>66</v>
      </c>
      <c r="G179" s="179">
        <v>9000.0</v>
      </c>
      <c r="H179" s="180">
        <v>675000.0</v>
      </c>
      <c r="I179" s="181" t="s">
        <v>42</v>
      </c>
      <c r="J179" s="180">
        <v>350000.0</v>
      </c>
      <c r="K179" s="182" t="s">
        <v>42</v>
      </c>
      <c r="L179" s="182">
        <f t="shared" si="24"/>
        <v>325000</v>
      </c>
      <c r="M179" s="180"/>
    </row>
    <row r="180" ht="15.75" customHeight="1">
      <c r="A180" s="178"/>
      <c r="B180" s="71">
        <v>45359.0</v>
      </c>
      <c r="C180" s="72" t="s">
        <v>394</v>
      </c>
      <c r="D180" s="72" t="s">
        <v>370</v>
      </c>
      <c r="E180" s="72" t="s">
        <v>37</v>
      </c>
      <c r="F180" s="72" t="s">
        <v>43</v>
      </c>
      <c r="G180" s="179">
        <v>9000.0</v>
      </c>
      <c r="H180" s="180">
        <v>1350000.0</v>
      </c>
      <c r="I180" s="181" t="s">
        <v>44</v>
      </c>
      <c r="J180" s="180">
        <v>800000.0</v>
      </c>
      <c r="K180" s="182" t="s">
        <v>42</v>
      </c>
      <c r="L180" s="182">
        <f t="shared" si="24"/>
        <v>550000</v>
      </c>
      <c r="M180" s="180"/>
    </row>
    <row r="181" ht="15.75" customHeight="1">
      <c r="A181" s="178"/>
      <c r="B181" s="71">
        <v>45360.0</v>
      </c>
      <c r="C181" s="72" t="s">
        <v>394</v>
      </c>
      <c r="D181" s="72" t="s">
        <v>370</v>
      </c>
      <c r="E181" s="72" t="s">
        <v>37</v>
      </c>
      <c r="F181" s="72" t="s">
        <v>43</v>
      </c>
      <c r="G181" s="179">
        <v>9000.0</v>
      </c>
      <c r="H181" s="180">
        <v>1350000.0</v>
      </c>
      <c r="I181" s="181" t="s">
        <v>44</v>
      </c>
      <c r="J181" s="180">
        <v>800000.0</v>
      </c>
      <c r="K181" s="182" t="s">
        <v>42</v>
      </c>
      <c r="L181" s="182">
        <f t="shared" si="24"/>
        <v>550000</v>
      </c>
      <c r="M181" s="180"/>
    </row>
    <row r="182" ht="15.75" customHeight="1">
      <c r="A182" s="178"/>
      <c r="B182" s="71">
        <v>45363.0</v>
      </c>
      <c r="C182" s="72" t="s">
        <v>394</v>
      </c>
      <c r="D182" s="72" t="s">
        <v>370</v>
      </c>
      <c r="E182" s="72"/>
      <c r="F182" s="72"/>
      <c r="G182" s="179"/>
      <c r="H182" s="180"/>
      <c r="I182" s="181"/>
      <c r="J182" s="180"/>
      <c r="K182" s="182"/>
      <c r="L182" s="182"/>
      <c r="M182" s="180">
        <v>32000.0</v>
      </c>
    </row>
    <row r="183" ht="15.75" customHeight="1">
      <c r="A183" s="178"/>
      <c r="B183" s="71">
        <v>45364.0</v>
      </c>
      <c r="C183" s="72" t="s">
        <v>394</v>
      </c>
      <c r="D183" s="72" t="s">
        <v>370</v>
      </c>
      <c r="E183" s="72" t="s">
        <v>404</v>
      </c>
      <c r="F183" s="72" t="s">
        <v>405</v>
      </c>
      <c r="G183" s="179">
        <v>9000.0</v>
      </c>
      <c r="H183" s="180">
        <v>1125000.0</v>
      </c>
      <c r="I183" s="181" t="s">
        <v>42</v>
      </c>
      <c r="J183" s="180">
        <v>640000.0</v>
      </c>
      <c r="K183" s="182" t="s">
        <v>42</v>
      </c>
      <c r="L183" s="182">
        <f t="shared" ref="L183:L197" si="25">H183-J183</f>
        <v>485000</v>
      </c>
      <c r="M183" s="180"/>
    </row>
    <row r="184" ht="15.75" customHeight="1">
      <c r="A184" s="178"/>
      <c r="B184" s="71">
        <v>45365.0</v>
      </c>
      <c r="C184" s="72" t="s">
        <v>394</v>
      </c>
      <c r="D184" s="72" t="s">
        <v>370</v>
      </c>
      <c r="E184" s="72" t="s">
        <v>50</v>
      </c>
      <c r="F184" s="183" t="s">
        <v>406</v>
      </c>
      <c r="G184" s="179">
        <v>9000.0</v>
      </c>
      <c r="H184" s="180">
        <v>720000.0</v>
      </c>
      <c r="I184" s="181" t="s">
        <v>42</v>
      </c>
      <c r="J184" s="180">
        <v>350000.0</v>
      </c>
      <c r="K184" s="182" t="s">
        <v>42</v>
      </c>
      <c r="L184" s="182">
        <f t="shared" si="25"/>
        <v>370000</v>
      </c>
      <c r="M184" s="180"/>
    </row>
    <row r="185" ht="15.75" customHeight="1">
      <c r="A185" s="178"/>
      <c r="B185" s="71">
        <v>45365.0</v>
      </c>
      <c r="C185" s="72" t="s">
        <v>394</v>
      </c>
      <c r="D185" s="72" t="s">
        <v>370</v>
      </c>
      <c r="E185" s="72" t="s">
        <v>37</v>
      </c>
      <c r="F185" s="72" t="s">
        <v>397</v>
      </c>
      <c r="G185" s="179">
        <v>9000.0</v>
      </c>
      <c r="H185" s="180">
        <v>765000.0</v>
      </c>
      <c r="I185" s="181" t="s">
        <v>44</v>
      </c>
      <c r="J185" s="180">
        <v>450000.0</v>
      </c>
      <c r="K185" s="182" t="s">
        <v>42</v>
      </c>
      <c r="L185" s="182">
        <f t="shared" si="25"/>
        <v>315000</v>
      </c>
      <c r="M185" s="180"/>
    </row>
    <row r="186" ht="15.75" customHeight="1">
      <c r="A186" s="178"/>
      <c r="B186" s="71">
        <v>45366.0</v>
      </c>
      <c r="C186" s="72" t="s">
        <v>394</v>
      </c>
      <c r="D186" s="72" t="s">
        <v>370</v>
      </c>
      <c r="E186" s="72" t="s">
        <v>30</v>
      </c>
      <c r="F186" s="72" t="s">
        <v>103</v>
      </c>
      <c r="G186" s="179">
        <v>9000.0</v>
      </c>
      <c r="H186" s="180">
        <v>675000.0</v>
      </c>
      <c r="I186" s="181" t="s">
        <v>42</v>
      </c>
      <c r="J186" s="180">
        <v>375000.0</v>
      </c>
      <c r="K186" s="182" t="s">
        <v>42</v>
      </c>
      <c r="L186" s="182">
        <f t="shared" si="25"/>
        <v>300000</v>
      </c>
      <c r="M186" s="180"/>
    </row>
    <row r="187" ht="15.75" customHeight="1">
      <c r="A187" s="178"/>
      <c r="B187" s="71">
        <v>45367.0</v>
      </c>
      <c r="C187" s="72" t="s">
        <v>394</v>
      </c>
      <c r="D187" s="72" t="s">
        <v>370</v>
      </c>
      <c r="E187" s="72"/>
      <c r="F187" s="72"/>
      <c r="G187" s="78"/>
      <c r="H187" s="180"/>
      <c r="I187" s="181"/>
      <c r="J187" s="180"/>
      <c r="K187" s="182"/>
      <c r="L187" s="182">
        <f t="shared" si="25"/>
        <v>0</v>
      </c>
      <c r="M187" s="180">
        <v>1080000.0</v>
      </c>
    </row>
    <row r="188" ht="15.75" customHeight="1">
      <c r="A188" s="178"/>
      <c r="B188" s="71">
        <v>45373.0</v>
      </c>
      <c r="C188" s="72" t="s">
        <v>394</v>
      </c>
      <c r="D188" s="72" t="s">
        <v>370</v>
      </c>
      <c r="E188" s="72" t="s">
        <v>37</v>
      </c>
      <c r="F188" s="72" t="s">
        <v>43</v>
      </c>
      <c r="G188" s="179">
        <v>9000.0</v>
      </c>
      <c r="H188" s="180">
        <v>1350000.0</v>
      </c>
      <c r="I188" s="181" t="s">
        <v>44</v>
      </c>
      <c r="J188" s="180">
        <v>800000.0</v>
      </c>
      <c r="K188" s="182" t="s">
        <v>42</v>
      </c>
      <c r="L188" s="182">
        <f t="shared" si="25"/>
        <v>550000</v>
      </c>
      <c r="M188" s="180">
        <v>100000.0</v>
      </c>
    </row>
    <row r="189" ht="15.75" customHeight="1">
      <c r="A189" s="178"/>
      <c r="B189" s="71">
        <v>45374.0</v>
      </c>
      <c r="C189" s="72" t="s">
        <v>394</v>
      </c>
      <c r="D189" s="72" t="s">
        <v>370</v>
      </c>
      <c r="E189" s="72" t="s">
        <v>37</v>
      </c>
      <c r="F189" s="72" t="s">
        <v>395</v>
      </c>
      <c r="G189" s="179">
        <v>9000.0</v>
      </c>
      <c r="H189" s="180">
        <v>990000.0</v>
      </c>
      <c r="I189" s="181" t="s">
        <v>42</v>
      </c>
      <c r="J189" s="180">
        <v>550000.0</v>
      </c>
      <c r="K189" s="182" t="s">
        <v>42</v>
      </c>
      <c r="L189" s="182">
        <f t="shared" si="25"/>
        <v>440000</v>
      </c>
      <c r="M189" s="180">
        <v>380000.0</v>
      </c>
    </row>
    <row r="190" ht="15.75" customHeight="1">
      <c r="A190" s="178"/>
      <c r="B190" s="71">
        <v>45376.0</v>
      </c>
      <c r="C190" s="72" t="s">
        <v>394</v>
      </c>
      <c r="D190" s="72" t="s">
        <v>370</v>
      </c>
      <c r="E190" s="72" t="s">
        <v>30</v>
      </c>
      <c r="F190" s="72" t="s">
        <v>66</v>
      </c>
      <c r="G190" s="179">
        <v>9000.0</v>
      </c>
      <c r="H190" s="180">
        <v>675000.0</v>
      </c>
      <c r="I190" s="181" t="s">
        <v>42</v>
      </c>
      <c r="J190" s="180">
        <v>350000.0</v>
      </c>
      <c r="K190" s="182" t="s">
        <v>42</v>
      </c>
      <c r="L190" s="182">
        <f t="shared" si="25"/>
        <v>325000</v>
      </c>
      <c r="M190" s="180">
        <v>466500.0</v>
      </c>
    </row>
    <row r="191" ht="15.75" customHeight="1">
      <c r="A191" s="178"/>
      <c r="B191" s="71">
        <v>45376.0</v>
      </c>
      <c r="C191" s="72" t="s">
        <v>394</v>
      </c>
      <c r="D191" s="72" t="s">
        <v>370</v>
      </c>
      <c r="E191" s="72" t="s">
        <v>30</v>
      </c>
      <c r="F191" s="72" t="s">
        <v>58</v>
      </c>
      <c r="G191" s="179">
        <v>9000.0</v>
      </c>
      <c r="H191" s="180">
        <v>900000.0</v>
      </c>
      <c r="I191" s="181" t="s">
        <v>42</v>
      </c>
      <c r="J191" s="180">
        <v>500000.0</v>
      </c>
      <c r="K191" s="182" t="s">
        <v>42</v>
      </c>
      <c r="L191" s="182">
        <f t="shared" si="25"/>
        <v>400000</v>
      </c>
      <c r="M191" s="180"/>
    </row>
    <row r="192" ht="15.75" customHeight="1">
      <c r="A192" s="178"/>
      <c r="B192" s="71">
        <v>45377.0</v>
      </c>
      <c r="C192" s="72" t="s">
        <v>394</v>
      </c>
      <c r="D192" s="72" t="s">
        <v>370</v>
      </c>
      <c r="E192" s="72" t="s">
        <v>30</v>
      </c>
      <c r="F192" s="183" t="s">
        <v>406</v>
      </c>
      <c r="G192" s="179">
        <v>9000.0</v>
      </c>
      <c r="H192" s="180">
        <v>720000.0</v>
      </c>
      <c r="I192" s="181" t="s">
        <v>42</v>
      </c>
      <c r="J192" s="180">
        <v>350000.0</v>
      </c>
      <c r="K192" s="182" t="s">
        <v>42</v>
      </c>
      <c r="L192" s="182">
        <f t="shared" si="25"/>
        <v>370000</v>
      </c>
      <c r="M192" s="180"/>
    </row>
    <row r="193" ht="15.75" customHeight="1">
      <c r="A193" s="178"/>
      <c r="B193" s="71">
        <v>45377.0</v>
      </c>
      <c r="C193" s="72" t="s">
        <v>394</v>
      </c>
      <c r="D193" s="72" t="s">
        <v>370</v>
      </c>
      <c r="E193" s="72" t="s">
        <v>50</v>
      </c>
      <c r="F193" s="183" t="s">
        <v>406</v>
      </c>
      <c r="G193" s="179">
        <v>4000.0</v>
      </c>
      <c r="H193" s="180">
        <v>720000.0</v>
      </c>
      <c r="I193" s="181" t="s">
        <v>42</v>
      </c>
      <c r="J193" s="180">
        <v>350000.0</v>
      </c>
      <c r="K193" s="182" t="s">
        <v>42</v>
      </c>
      <c r="L193" s="182">
        <f t="shared" si="25"/>
        <v>370000</v>
      </c>
      <c r="M193" s="180">
        <v>200000.0</v>
      </c>
    </row>
    <row r="194" ht="15.75" customHeight="1">
      <c r="A194" s="178"/>
      <c r="B194" s="71">
        <v>45378.0</v>
      </c>
      <c r="C194" s="72" t="s">
        <v>394</v>
      </c>
      <c r="D194" s="72" t="s">
        <v>370</v>
      </c>
      <c r="E194" s="72" t="s">
        <v>30</v>
      </c>
      <c r="F194" s="72" t="s">
        <v>407</v>
      </c>
      <c r="G194" s="179">
        <v>9000.0</v>
      </c>
      <c r="H194" s="180">
        <v>720000.0</v>
      </c>
      <c r="I194" s="181" t="s">
        <v>44</v>
      </c>
      <c r="J194" s="180">
        <v>350000.0</v>
      </c>
      <c r="K194" s="182" t="s">
        <v>42</v>
      </c>
      <c r="L194" s="182">
        <f t="shared" si="25"/>
        <v>370000</v>
      </c>
      <c r="M194" s="180"/>
    </row>
    <row r="195" ht="15.75" customHeight="1">
      <c r="A195" s="178"/>
      <c r="B195" s="71">
        <v>45378.0</v>
      </c>
      <c r="C195" s="72" t="s">
        <v>394</v>
      </c>
      <c r="D195" s="72" t="s">
        <v>370</v>
      </c>
      <c r="E195" s="72" t="s">
        <v>30</v>
      </c>
      <c r="F195" s="72" t="s">
        <v>397</v>
      </c>
      <c r="G195" s="179">
        <v>9000.0</v>
      </c>
      <c r="H195" s="180">
        <v>765000.0</v>
      </c>
      <c r="I195" s="181" t="s">
        <v>44</v>
      </c>
      <c r="J195" s="180">
        <v>450000.0</v>
      </c>
      <c r="K195" s="182" t="s">
        <v>42</v>
      </c>
      <c r="L195" s="182">
        <f t="shared" si="25"/>
        <v>315000</v>
      </c>
      <c r="M195" s="180"/>
    </row>
    <row r="196" ht="15.75" customHeight="1">
      <c r="A196" s="178"/>
      <c r="B196" s="71">
        <v>45379.0</v>
      </c>
      <c r="C196" s="72" t="s">
        <v>394</v>
      </c>
      <c r="D196" s="72" t="s">
        <v>370</v>
      </c>
      <c r="E196" s="72" t="s">
        <v>37</v>
      </c>
      <c r="F196" s="72" t="s">
        <v>66</v>
      </c>
      <c r="G196" s="179">
        <v>9000.0</v>
      </c>
      <c r="H196" s="180">
        <v>675000.0</v>
      </c>
      <c r="I196" s="181" t="s">
        <v>42</v>
      </c>
      <c r="J196" s="180">
        <v>350000.0</v>
      </c>
      <c r="K196" s="182" t="s">
        <v>42</v>
      </c>
      <c r="L196" s="182">
        <f t="shared" si="25"/>
        <v>325000</v>
      </c>
      <c r="M196" s="180"/>
    </row>
    <row r="197" ht="15.75" customHeight="1">
      <c r="A197" s="178"/>
      <c r="B197" s="71">
        <v>45381.0</v>
      </c>
      <c r="C197" s="72" t="s">
        <v>394</v>
      </c>
      <c r="D197" s="72" t="s">
        <v>370</v>
      </c>
      <c r="E197" s="72" t="s">
        <v>37</v>
      </c>
      <c r="F197" s="72" t="s">
        <v>43</v>
      </c>
      <c r="G197" s="179">
        <v>9000.0</v>
      </c>
      <c r="H197" s="180">
        <v>1350000.0</v>
      </c>
      <c r="I197" s="181" t="s">
        <v>42</v>
      </c>
      <c r="J197" s="180">
        <v>800000.0</v>
      </c>
      <c r="K197" s="182" t="s">
        <v>42</v>
      </c>
      <c r="L197" s="182">
        <f t="shared" si="25"/>
        <v>550000</v>
      </c>
      <c r="M197" s="180">
        <v>204000.0</v>
      </c>
    </row>
    <row r="198" ht="15.75" customHeight="1">
      <c r="A198" s="169"/>
      <c r="B198" s="169"/>
      <c r="C198" s="169"/>
      <c r="D198" s="169"/>
      <c r="E198" s="169"/>
      <c r="F198" s="169"/>
      <c r="G198" s="170"/>
      <c r="H198" s="101"/>
      <c r="I198" s="184"/>
      <c r="J198" s="172"/>
      <c r="K198" s="169"/>
      <c r="L198" s="185">
        <f t="shared" ref="L198:M198" si="26">SUM(L172:L197)</f>
        <v>9975000</v>
      </c>
      <c r="M198" s="167">
        <f t="shared" si="26"/>
        <v>3275500</v>
      </c>
    </row>
    <row r="199" ht="15.75" customHeight="1">
      <c r="A199" s="169"/>
      <c r="B199" s="169"/>
      <c r="C199" s="169"/>
      <c r="D199" s="169"/>
      <c r="E199" s="169"/>
      <c r="F199" s="169"/>
      <c r="G199" s="170"/>
      <c r="H199" s="101"/>
      <c r="I199" s="184"/>
      <c r="J199" s="172"/>
      <c r="K199" s="169"/>
      <c r="L199" s="186">
        <f>L198-M198</f>
        <v>6699500</v>
      </c>
      <c r="M199" s="172"/>
    </row>
    <row r="200" ht="15.75" customHeight="1">
      <c r="A200" s="169"/>
      <c r="B200" s="169"/>
      <c r="C200" s="169"/>
      <c r="D200" s="169"/>
      <c r="E200" s="169"/>
      <c r="F200" s="169"/>
      <c r="G200" s="170"/>
      <c r="H200" s="101"/>
      <c r="I200" s="171"/>
      <c r="J200" s="172"/>
      <c r="K200" s="173"/>
      <c r="L200" s="173"/>
      <c r="M200" s="172"/>
    </row>
    <row r="201" ht="29.25" customHeight="1">
      <c r="A201" s="1"/>
      <c r="B201" s="187" t="s">
        <v>0</v>
      </c>
      <c r="C201" s="187" t="s">
        <v>1</v>
      </c>
      <c r="D201" s="187" t="s">
        <v>2</v>
      </c>
      <c r="E201" s="188" t="s">
        <v>3</v>
      </c>
      <c r="F201" s="187" t="s">
        <v>4</v>
      </c>
      <c r="G201" s="189" t="s">
        <v>5</v>
      </c>
      <c r="H201" s="190" t="s">
        <v>6</v>
      </c>
      <c r="I201" s="191" t="s">
        <v>39</v>
      </c>
      <c r="J201" s="190" t="s">
        <v>7</v>
      </c>
      <c r="K201" s="189" t="s">
        <v>39</v>
      </c>
      <c r="L201" s="191" t="s">
        <v>8</v>
      </c>
      <c r="M201" s="190" t="s">
        <v>9</v>
      </c>
    </row>
    <row r="202" ht="15.75" customHeight="1">
      <c r="A202" s="86"/>
      <c r="B202" s="86">
        <v>45383.0</v>
      </c>
      <c r="C202" s="17" t="s">
        <v>394</v>
      </c>
      <c r="D202" s="17" t="s">
        <v>370</v>
      </c>
      <c r="E202" s="17" t="s">
        <v>30</v>
      </c>
      <c r="F202" s="17" t="s">
        <v>75</v>
      </c>
      <c r="G202" s="87">
        <v>9000.0</v>
      </c>
      <c r="H202" s="101">
        <v>1215000.0</v>
      </c>
      <c r="I202" s="59" t="s">
        <v>403</v>
      </c>
      <c r="J202" s="105">
        <v>700000.0</v>
      </c>
      <c r="K202" s="60" t="s">
        <v>44</v>
      </c>
      <c r="L202" s="58">
        <f t="shared" ref="L202:L221" si="27">H202-J202</f>
        <v>515000</v>
      </c>
      <c r="M202" s="101"/>
    </row>
    <row r="203" ht="15.75" customHeight="1">
      <c r="A203" s="86"/>
      <c r="B203" s="86">
        <v>45384.0</v>
      </c>
      <c r="C203" s="17" t="s">
        <v>394</v>
      </c>
      <c r="D203" s="17" t="s">
        <v>370</v>
      </c>
      <c r="E203" s="17" t="s">
        <v>50</v>
      </c>
      <c r="F203" s="98" t="s">
        <v>408</v>
      </c>
      <c r="G203" s="87">
        <v>7000.0</v>
      </c>
      <c r="H203" s="101">
        <v>720000.0</v>
      </c>
      <c r="I203" s="59" t="s">
        <v>42</v>
      </c>
      <c r="J203" s="105">
        <v>350000.0</v>
      </c>
      <c r="K203" s="60" t="s">
        <v>42</v>
      </c>
      <c r="L203" s="58">
        <f t="shared" si="27"/>
        <v>370000</v>
      </c>
      <c r="M203" s="101"/>
    </row>
    <row r="204" ht="15.75" customHeight="1">
      <c r="A204" s="86"/>
      <c r="B204" s="86">
        <v>45385.0</v>
      </c>
      <c r="C204" s="17" t="s">
        <v>394</v>
      </c>
      <c r="D204" s="17" t="s">
        <v>370</v>
      </c>
      <c r="E204" s="17" t="s">
        <v>30</v>
      </c>
      <c r="F204" s="17" t="s">
        <v>54</v>
      </c>
      <c r="G204" s="87">
        <v>9000.0</v>
      </c>
      <c r="H204" s="101">
        <v>1200000.0</v>
      </c>
      <c r="I204" s="59" t="s">
        <v>42</v>
      </c>
      <c r="J204" s="105">
        <v>640000.0</v>
      </c>
      <c r="K204" s="60" t="s">
        <v>42</v>
      </c>
      <c r="L204" s="58">
        <f t="shared" si="27"/>
        <v>560000</v>
      </c>
      <c r="M204" s="101"/>
    </row>
    <row r="205" ht="15.75" customHeight="1">
      <c r="A205" s="86"/>
      <c r="B205" s="86">
        <v>45386.0</v>
      </c>
      <c r="C205" s="17" t="s">
        <v>394</v>
      </c>
      <c r="D205" s="17" t="s">
        <v>370</v>
      </c>
      <c r="E205" s="17" t="s">
        <v>37</v>
      </c>
      <c r="F205" s="17" t="s">
        <v>43</v>
      </c>
      <c r="G205" s="87">
        <v>9000.0</v>
      </c>
      <c r="H205" s="101">
        <v>1350000.0</v>
      </c>
      <c r="I205" s="59" t="s">
        <v>403</v>
      </c>
      <c r="J205" s="105">
        <v>800000.0</v>
      </c>
      <c r="K205" s="60" t="s">
        <v>42</v>
      </c>
      <c r="L205" s="58">
        <f t="shared" si="27"/>
        <v>550000</v>
      </c>
      <c r="M205" s="101"/>
    </row>
    <row r="206" ht="15.75" customHeight="1">
      <c r="A206" s="86"/>
      <c r="B206" s="86">
        <v>45387.0</v>
      </c>
      <c r="C206" s="17" t="s">
        <v>394</v>
      </c>
      <c r="D206" s="17" t="s">
        <v>370</v>
      </c>
      <c r="E206" s="17" t="s">
        <v>37</v>
      </c>
      <c r="F206" s="17" t="s">
        <v>43</v>
      </c>
      <c r="G206" s="87">
        <v>9000.0</v>
      </c>
      <c r="H206" s="101">
        <v>1350000.0</v>
      </c>
      <c r="I206" s="59" t="s">
        <v>42</v>
      </c>
      <c r="J206" s="105">
        <v>800000.0</v>
      </c>
      <c r="K206" s="60" t="s">
        <v>42</v>
      </c>
      <c r="L206" s="58">
        <f t="shared" si="27"/>
        <v>550000</v>
      </c>
      <c r="M206" s="101"/>
    </row>
    <row r="207" ht="15.75" customHeight="1">
      <c r="A207" s="86"/>
      <c r="B207" s="86">
        <v>45388.0</v>
      </c>
      <c r="C207" s="17" t="s">
        <v>394</v>
      </c>
      <c r="D207" s="17" t="s">
        <v>370</v>
      </c>
      <c r="E207" s="17" t="s">
        <v>37</v>
      </c>
      <c r="F207" s="17" t="s">
        <v>43</v>
      </c>
      <c r="G207" s="87">
        <v>9000.0</v>
      </c>
      <c r="H207" s="101">
        <v>1350000.0</v>
      </c>
      <c r="I207" s="59" t="s">
        <v>42</v>
      </c>
      <c r="J207" s="105">
        <v>800000.0</v>
      </c>
      <c r="K207" s="60" t="s">
        <v>42</v>
      </c>
      <c r="L207" s="58">
        <f t="shared" si="27"/>
        <v>550000</v>
      </c>
      <c r="M207" s="101">
        <v>520000.0</v>
      </c>
    </row>
    <row r="208" ht="15.75" customHeight="1">
      <c r="A208" s="86"/>
      <c r="B208" s="86">
        <v>45397.0</v>
      </c>
      <c r="C208" s="17" t="s">
        <v>394</v>
      </c>
      <c r="D208" s="17" t="s">
        <v>370</v>
      </c>
      <c r="E208" s="17" t="s">
        <v>30</v>
      </c>
      <c r="F208" s="17" t="s">
        <v>401</v>
      </c>
      <c r="G208" s="87">
        <v>10000.0</v>
      </c>
      <c r="H208" s="101">
        <v>675000.0</v>
      </c>
      <c r="I208" s="59" t="s">
        <v>42</v>
      </c>
      <c r="J208" s="105">
        <v>375000.0</v>
      </c>
      <c r="K208" s="60" t="s">
        <v>42</v>
      </c>
      <c r="L208" s="58">
        <f t="shared" si="27"/>
        <v>300000</v>
      </c>
      <c r="M208" s="101"/>
    </row>
    <row r="209" ht="15.75" customHeight="1">
      <c r="A209" s="86"/>
      <c r="B209" s="86">
        <v>45397.0</v>
      </c>
      <c r="C209" s="17" t="s">
        <v>394</v>
      </c>
      <c r="D209" s="17" t="s">
        <v>370</v>
      </c>
      <c r="E209" s="17" t="s">
        <v>37</v>
      </c>
      <c r="F209" s="17" t="s">
        <v>75</v>
      </c>
      <c r="G209" s="87">
        <v>9000.0</v>
      </c>
      <c r="H209" s="101">
        <v>1215000.0</v>
      </c>
      <c r="I209" s="59" t="s">
        <v>403</v>
      </c>
      <c r="J209" s="105">
        <v>700000.0</v>
      </c>
      <c r="K209" s="60" t="s">
        <v>44</v>
      </c>
      <c r="L209" s="58">
        <f t="shared" si="27"/>
        <v>515000</v>
      </c>
      <c r="M209" s="101"/>
    </row>
    <row r="210" ht="15.75" customHeight="1">
      <c r="A210" s="86"/>
      <c r="B210" s="86">
        <v>45398.0</v>
      </c>
      <c r="C210" s="17" t="s">
        <v>394</v>
      </c>
      <c r="D210" s="17" t="s">
        <v>370</v>
      </c>
      <c r="E210" s="17" t="s">
        <v>37</v>
      </c>
      <c r="F210" s="17" t="s">
        <v>107</v>
      </c>
      <c r="G210" s="87">
        <v>9000.0</v>
      </c>
      <c r="H210" s="101">
        <v>1125000.0</v>
      </c>
      <c r="I210" s="59" t="s">
        <v>42</v>
      </c>
      <c r="J210" s="105">
        <v>640000.0</v>
      </c>
      <c r="K210" s="60" t="s">
        <v>42</v>
      </c>
      <c r="L210" s="58">
        <f t="shared" si="27"/>
        <v>485000</v>
      </c>
      <c r="M210" s="101"/>
    </row>
    <row r="211" ht="15.75" customHeight="1">
      <c r="A211" s="86"/>
      <c r="B211" s="86">
        <v>45399.0</v>
      </c>
      <c r="C211" s="17" t="s">
        <v>394</v>
      </c>
      <c r="D211" s="17" t="s">
        <v>370</v>
      </c>
      <c r="E211" s="17" t="s">
        <v>97</v>
      </c>
      <c r="F211" s="17" t="s">
        <v>75</v>
      </c>
      <c r="G211" s="87">
        <v>9000.0</v>
      </c>
      <c r="H211" s="101">
        <v>1215000.0</v>
      </c>
      <c r="I211" s="59" t="s">
        <v>403</v>
      </c>
      <c r="J211" s="105">
        <v>700000.0</v>
      </c>
      <c r="K211" s="60" t="s">
        <v>42</v>
      </c>
      <c r="L211" s="58">
        <f t="shared" si="27"/>
        <v>515000</v>
      </c>
      <c r="M211" s="101"/>
    </row>
    <row r="212" ht="15.75" customHeight="1">
      <c r="A212" s="86"/>
      <c r="B212" s="86">
        <v>45400.0</v>
      </c>
      <c r="C212" s="17" t="s">
        <v>394</v>
      </c>
      <c r="D212" s="17" t="s">
        <v>370</v>
      </c>
      <c r="E212" s="17" t="s">
        <v>37</v>
      </c>
      <c r="F212" s="17" t="s">
        <v>118</v>
      </c>
      <c r="G212" s="87">
        <v>9000.0</v>
      </c>
      <c r="H212" s="101">
        <v>1000000.0</v>
      </c>
      <c r="I212" s="59" t="s">
        <v>403</v>
      </c>
      <c r="J212" s="105">
        <v>550000.0</v>
      </c>
      <c r="K212" s="60" t="s">
        <v>42</v>
      </c>
      <c r="L212" s="58">
        <f t="shared" si="27"/>
        <v>450000</v>
      </c>
      <c r="M212" s="101">
        <v>30000.0</v>
      </c>
    </row>
    <row r="213" ht="15.75" customHeight="1">
      <c r="A213" s="86"/>
      <c r="B213" s="86">
        <v>45401.0</v>
      </c>
      <c r="C213" s="17" t="s">
        <v>394</v>
      </c>
      <c r="D213" s="17" t="s">
        <v>370</v>
      </c>
      <c r="E213" s="17" t="s">
        <v>37</v>
      </c>
      <c r="F213" s="17" t="s">
        <v>75</v>
      </c>
      <c r="G213" s="87">
        <v>9000.0</v>
      </c>
      <c r="H213" s="101">
        <v>1215000.0</v>
      </c>
      <c r="I213" s="59" t="s">
        <v>403</v>
      </c>
      <c r="J213" s="105">
        <v>700000.0</v>
      </c>
      <c r="K213" s="60" t="s">
        <v>42</v>
      </c>
      <c r="L213" s="58">
        <f t="shared" si="27"/>
        <v>515000</v>
      </c>
      <c r="M213" s="101">
        <v>746000.0</v>
      </c>
    </row>
    <row r="214" ht="15.75" customHeight="1">
      <c r="A214" s="86"/>
      <c r="B214" s="86">
        <v>45402.0</v>
      </c>
      <c r="C214" s="17" t="s">
        <v>394</v>
      </c>
      <c r="D214" s="17" t="s">
        <v>370</v>
      </c>
      <c r="E214" s="17" t="s">
        <v>37</v>
      </c>
      <c r="F214" s="17" t="s">
        <v>66</v>
      </c>
      <c r="G214" s="87">
        <v>9000.0</v>
      </c>
      <c r="H214" s="101">
        <v>675000.0</v>
      </c>
      <c r="I214" s="59" t="s">
        <v>42</v>
      </c>
      <c r="J214" s="105">
        <v>350000.0</v>
      </c>
      <c r="K214" s="60" t="s">
        <v>42</v>
      </c>
      <c r="L214" s="58">
        <f t="shared" si="27"/>
        <v>325000</v>
      </c>
      <c r="M214" s="101"/>
    </row>
    <row r="215" ht="15.75" customHeight="1">
      <c r="A215" s="86"/>
      <c r="B215" s="86">
        <v>45404.0</v>
      </c>
      <c r="C215" s="17" t="s">
        <v>394</v>
      </c>
      <c r="D215" s="17" t="s">
        <v>370</v>
      </c>
      <c r="E215" s="17" t="s">
        <v>37</v>
      </c>
      <c r="F215" s="17" t="s">
        <v>409</v>
      </c>
      <c r="G215" s="87">
        <v>9000.0</v>
      </c>
      <c r="H215" s="101">
        <v>765000.0</v>
      </c>
      <c r="I215" s="59" t="s">
        <v>403</v>
      </c>
      <c r="J215" s="105">
        <v>450000.0</v>
      </c>
      <c r="K215" s="60" t="s">
        <v>44</v>
      </c>
      <c r="L215" s="58">
        <f t="shared" si="27"/>
        <v>315000</v>
      </c>
      <c r="M215" s="101">
        <v>1200000.0</v>
      </c>
    </row>
    <row r="216" ht="15.75" customHeight="1">
      <c r="A216" s="86"/>
      <c r="B216" s="86">
        <v>45405.0</v>
      </c>
      <c r="C216" s="17" t="s">
        <v>394</v>
      </c>
      <c r="D216" s="17" t="s">
        <v>370</v>
      </c>
      <c r="E216" s="17" t="s">
        <v>37</v>
      </c>
      <c r="F216" s="17" t="s">
        <v>381</v>
      </c>
      <c r="G216" s="87">
        <v>9000.0</v>
      </c>
      <c r="H216" s="101">
        <v>900000.0</v>
      </c>
      <c r="I216" s="59" t="s">
        <v>403</v>
      </c>
      <c r="J216" s="105">
        <v>350000.0</v>
      </c>
      <c r="K216" s="60" t="s">
        <v>44</v>
      </c>
      <c r="L216" s="58">
        <f t="shared" si="27"/>
        <v>550000</v>
      </c>
      <c r="M216" s="101">
        <v>1330000.0</v>
      </c>
    </row>
    <row r="217" ht="15.75" customHeight="1">
      <c r="A217" s="17"/>
      <c r="B217" s="17"/>
      <c r="C217" s="17"/>
      <c r="D217" s="17"/>
      <c r="E217" s="17"/>
      <c r="F217" s="17"/>
      <c r="G217" s="57"/>
      <c r="H217" s="101"/>
      <c r="I217" s="59"/>
      <c r="J217" s="105"/>
      <c r="K217" s="60"/>
      <c r="L217" s="58">
        <f t="shared" si="27"/>
        <v>0</v>
      </c>
      <c r="M217" s="101">
        <v>2295000.0</v>
      </c>
    </row>
    <row r="218" ht="15.75" customHeight="1">
      <c r="A218" s="86"/>
      <c r="B218" s="86">
        <v>45411.0</v>
      </c>
      <c r="C218" s="17" t="s">
        <v>394</v>
      </c>
      <c r="D218" s="17" t="s">
        <v>370</v>
      </c>
      <c r="E218" s="17" t="s">
        <v>37</v>
      </c>
      <c r="F218" s="17" t="s">
        <v>43</v>
      </c>
      <c r="G218" s="87">
        <v>9000.0</v>
      </c>
      <c r="H218" s="101">
        <v>1350000.0</v>
      </c>
      <c r="I218" s="59" t="s">
        <v>403</v>
      </c>
      <c r="J218" s="105">
        <v>800000.0</v>
      </c>
      <c r="K218" s="60" t="s">
        <v>44</v>
      </c>
      <c r="L218" s="58">
        <f t="shared" si="27"/>
        <v>550000</v>
      </c>
      <c r="M218" s="101"/>
    </row>
    <row r="219" ht="15.75" customHeight="1">
      <c r="A219" s="86"/>
      <c r="B219" s="86">
        <v>45412.0</v>
      </c>
      <c r="C219" s="17" t="s">
        <v>394</v>
      </c>
      <c r="D219" s="17" t="s">
        <v>370</v>
      </c>
      <c r="E219" s="17" t="s">
        <v>30</v>
      </c>
      <c r="F219" s="17" t="s">
        <v>410</v>
      </c>
      <c r="G219" s="87">
        <v>9000.0</v>
      </c>
      <c r="H219" s="101">
        <v>675000.0</v>
      </c>
      <c r="I219" s="59" t="s">
        <v>42</v>
      </c>
      <c r="J219" s="105">
        <v>350000.0</v>
      </c>
      <c r="K219" s="60" t="s">
        <v>42</v>
      </c>
      <c r="L219" s="58">
        <f t="shared" si="27"/>
        <v>325000</v>
      </c>
      <c r="M219" s="101">
        <v>600000.0</v>
      </c>
    </row>
    <row r="220" ht="15.75" customHeight="1">
      <c r="A220" s="86"/>
      <c r="B220" s="86">
        <v>45412.0</v>
      </c>
      <c r="C220" s="17" t="s">
        <v>394</v>
      </c>
      <c r="D220" s="17" t="s">
        <v>370</v>
      </c>
      <c r="E220" s="17" t="s">
        <v>40</v>
      </c>
      <c r="F220" s="17" t="s">
        <v>411</v>
      </c>
      <c r="G220" s="87">
        <v>9000.0</v>
      </c>
      <c r="H220" s="101">
        <v>1125000.0</v>
      </c>
      <c r="I220" s="59" t="s">
        <v>42</v>
      </c>
      <c r="J220" s="105">
        <v>640000.0</v>
      </c>
      <c r="K220" s="60" t="s">
        <v>42</v>
      </c>
      <c r="L220" s="58">
        <f t="shared" si="27"/>
        <v>485000</v>
      </c>
      <c r="M220" s="101"/>
    </row>
    <row r="221" ht="15.75" customHeight="1">
      <c r="A221" s="17"/>
      <c r="B221" s="17"/>
      <c r="C221" s="17"/>
      <c r="D221" s="17"/>
      <c r="E221" s="17"/>
      <c r="F221" s="17"/>
      <c r="G221" s="57"/>
      <c r="H221" s="101"/>
      <c r="I221" s="59"/>
      <c r="J221" s="105"/>
      <c r="K221" s="60"/>
      <c r="L221" s="58">
        <f t="shared" si="27"/>
        <v>0</v>
      </c>
      <c r="M221" s="101"/>
    </row>
    <row r="222" ht="15.75" customHeight="1">
      <c r="A222" s="169"/>
      <c r="B222" s="169"/>
      <c r="C222" s="169"/>
      <c r="D222" s="169"/>
      <c r="E222" s="169"/>
      <c r="F222" s="169"/>
      <c r="G222" s="170"/>
      <c r="H222" s="101"/>
      <c r="I222" s="171"/>
      <c r="J222" s="192"/>
      <c r="K222" s="193"/>
      <c r="L222" s="52">
        <f t="shared" ref="L222:M222" si="28">SUM(L202:L221)</f>
        <v>8425000</v>
      </c>
      <c r="M222" s="194">
        <f t="shared" si="28"/>
        <v>6721000</v>
      </c>
    </row>
    <row r="223" ht="15.75" customHeight="1">
      <c r="A223" s="169"/>
      <c r="B223" s="169"/>
      <c r="C223" s="169"/>
      <c r="D223" s="169"/>
      <c r="E223" s="169"/>
      <c r="F223" s="169"/>
      <c r="G223" s="170"/>
      <c r="H223" s="101"/>
      <c r="I223" s="171"/>
      <c r="J223" s="192"/>
      <c r="K223" s="193"/>
      <c r="L223" s="33">
        <f>L222-M222</f>
        <v>1704000</v>
      </c>
      <c r="M223" s="172"/>
    </row>
    <row r="224" ht="15.75" customHeight="1">
      <c r="A224" s="169"/>
      <c r="B224" s="169"/>
      <c r="C224" s="169"/>
      <c r="D224" s="169"/>
      <c r="E224" s="169"/>
      <c r="F224" s="169"/>
      <c r="G224" s="170"/>
      <c r="H224" s="101"/>
      <c r="I224" s="171"/>
      <c r="J224" s="172"/>
      <c r="K224" s="173"/>
      <c r="L224" s="173"/>
      <c r="M224" s="172"/>
    </row>
    <row r="225" ht="29.25" customHeight="1">
      <c r="A225" s="1"/>
      <c r="B225" s="1" t="s">
        <v>0</v>
      </c>
      <c r="C225" s="1" t="s">
        <v>1</v>
      </c>
      <c r="D225" s="1" t="s">
        <v>2</v>
      </c>
      <c r="E225" s="195" t="s">
        <v>3</v>
      </c>
      <c r="F225" s="1" t="s">
        <v>4</v>
      </c>
      <c r="G225" s="196" t="s">
        <v>5</v>
      </c>
      <c r="H225" s="197" t="s">
        <v>6</v>
      </c>
      <c r="I225" s="198" t="s">
        <v>39</v>
      </c>
      <c r="J225" s="197" t="s">
        <v>7</v>
      </c>
      <c r="K225" s="196" t="s">
        <v>39</v>
      </c>
      <c r="L225" s="198" t="s">
        <v>8</v>
      </c>
      <c r="M225" s="197" t="s">
        <v>9</v>
      </c>
    </row>
    <row r="226" ht="15.75" customHeight="1">
      <c r="A226" s="17"/>
      <c r="B226" s="17" t="s">
        <v>412</v>
      </c>
      <c r="C226" s="17" t="s">
        <v>394</v>
      </c>
      <c r="D226" s="17" t="s">
        <v>370</v>
      </c>
      <c r="E226" s="17" t="s">
        <v>83</v>
      </c>
      <c r="F226" s="17" t="s">
        <v>396</v>
      </c>
      <c r="G226" s="87">
        <v>9000.0</v>
      </c>
      <c r="H226" s="101">
        <v>1035000.0</v>
      </c>
      <c r="I226" s="59" t="s">
        <v>42</v>
      </c>
      <c r="J226" s="101">
        <v>600000.0</v>
      </c>
      <c r="K226" s="58" t="s">
        <v>44</v>
      </c>
      <c r="L226" s="58">
        <f t="shared" ref="L226:L242" si="29">H226-J226</f>
        <v>435000</v>
      </c>
      <c r="M226" s="101"/>
    </row>
    <row r="227" ht="15.75" customHeight="1">
      <c r="A227" s="17"/>
      <c r="B227" s="17" t="s">
        <v>413</v>
      </c>
      <c r="C227" s="17" t="s">
        <v>394</v>
      </c>
      <c r="D227" s="17" t="s">
        <v>370</v>
      </c>
      <c r="E227" s="17" t="s">
        <v>40</v>
      </c>
      <c r="F227" s="17" t="s">
        <v>34</v>
      </c>
      <c r="G227" s="87">
        <v>9000.0</v>
      </c>
      <c r="H227" s="101">
        <v>1215000.0</v>
      </c>
      <c r="I227" s="59" t="s">
        <v>44</v>
      </c>
      <c r="J227" s="101">
        <v>700000.0</v>
      </c>
      <c r="K227" s="58" t="s">
        <v>42</v>
      </c>
      <c r="L227" s="58">
        <f t="shared" si="29"/>
        <v>515000</v>
      </c>
      <c r="M227" s="101"/>
    </row>
    <row r="228" ht="15.75" customHeight="1">
      <c r="A228" s="17"/>
      <c r="B228" s="17" t="s">
        <v>414</v>
      </c>
      <c r="C228" s="17" t="s">
        <v>394</v>
      </c>
      <c r="D228" s="17" t="s">
        <v>370</v>
      </c>
      <c r="E228" s="17" t="s">
        <v>92</v>
      </c>
      <c r="F228" s="17" t="s">
        <v>43</v>
      </c>
      <c r="G228" s="87">
        <v>9000.0</v>
      </c>
      <c r="H228" s="101">
        <v>1350000.0</v>
      </c>
      <c r="I228" s="59" t="s">
        <v>44</v>
      </c>
      <c r="J228" s="101">
        <v>800000.0</v>
      </c>
      <c r="K228" s="58" t="s">
        <v>42</v>
      </c>
      <c r="L228" s="58">
        <f t="shared" si="29"/>
        <v>550000</v>
      </c>
      <c r="M228" s="101"/>
    </row>
    <row r="229" ht="15.75" customHeight="1">
      <c r="A229" s="17"/>
      <c r="B229" s="17" t="s">
        <v>415</v>
      </c>
      <c r="C229" s="17" t="s">
        <v>394</v>
      </c>
      <c r="D229" s="17" t="s">
        <v>370</v>
      </c>
      <c r="E229" s="17" t="s">
        <v>92</v>
      </c>
      <c r="F229" s="17" t="s">
        <v>397</v>
      </c>
      <c r="G229" s="87">
        <v>9000.0</v>
      </c>
      <c r="H229" s="101">
        <v>765000.0</v>
      </c>
      <c r="I229" s="59" t="s">
        <v>44</v>
      </c>
      <c r="J229" s="101">
        <v>450000.0</v>
      </c>
      <c r="K229" s="58" t="s">
        <v>44</v>
      </c>
      <c r="L229" s="58">
        <f t="shared" si="29"/>
        <v>315000</v>
      </c>
      <c r="M229" s="101"/>
    </row>
    <row r="230" ht="15.75" customHeight="1">
      <c r="A230" s="17"/>
      <c r="B230" s="17" t="s">
        <v>416</v>
      </c>
      <c r="C230" s="17" t="s">
        <v>394</v>
      </c>
      <c r="D230" s="17" t="s">
        <v>370</v>
      </c>
      <c r="E230" s="17" t="s">
        <v>83</v>
      </c>
      <c r="F230" s="98" t="s">
        <v>417</v>
      </c>
      <c r="G230" s="87">
        <v>9000.0</v>
      </c>
      <c r="H230" s="101">
        <v>720000.0</v>
      </c>
      <c r="I230" s="59" t="s">
        <v>42</v>
      </c>
      <c r="J230" s="101">
        <v>350000.0</v>
      </c>
      <c r="K230" s="58" t="s">
        <v>42</v>
      </c>
      <c r="L230" s="58">
        <f t="shared" si="29"/>
        <v>370000</v>
      </c>
      <c r="M230" s="101"/>
    </row>
    <row r="231" ht="15.75" customHeight="1">
      <c r="A231" s="17"/>
      <c r="B231" s="17" t="s">
        <v>416</v>
      </c>
      <c r="C231" s="17" t="s">
        <v>394</v>
      </c>
      <c r="D231" s="17" t="s">
        <v>370</v>
      </c>
      <c r="E231" s="17" t="s">
        <v>40</v>
      </c>
      <c r="F231" s="17" t="s">
        <v>104</v>
      </c>
      <c r="G231" s="87">
        <v>9000.0</v>
      </c>
      <c r="H231" s="101">
        <v>1125000.0</v>
      </c>
      <c r="I231" s="59" t="s">
        <v>42</v>
      </c>
      <c r="J231" s="101">
        <v>640000.0</v>
      </c>
      <c r="K231" s="58" t="s">
        <v>42</v>
      </c>
      <c r="L231" s="58">
        <f t="shared" si="29"/>
        <v>485000</v>
      </c>
      <c r="M231" s="101"/>
    </row>
    <row r="232" ht="15.75" customHeight="1">
      <c r="A232" s="17"/>
      <c r="B232" s="17" t="s">
        <v>418</v>
      </c>
      <c r="C232" s="17" t="s">
        <v>394</v>
      </c>
      <c r="D232" s="17" t="s">
        <v>370</v>
      </c>
      <c r="E232" s="17" t="s">
        <v>92</v>
      </c>
      <c r="F232" s="17" t="s">
        <v>108</v>
      </c>
      <c r="G232" s="87">
        <v>9000.0</v>
      </c>
      <c r="H232" s="101">
        <v>810000.0</v>
      </c>
      <c r="I232" s="59" t="s">
        <v>42</v>
      </c>
      <c r="J232" s="101">
        <v>450000.0</v>
      </c>
      <c r="K232" s="58" t="s">
        <v>42</v>
      </c>
      <c r="L232" s="58">
        <f t="shared" si="29"/>
        <v>360000</v>
      </c>
      <c r="M232" s="101"/>
    </row>
    <row r="233" ht="15.75" customHeight="1">
      <c r="A233" s="17"/>
      <c r="B233" s="17" t="s">
        <v>419</v>
      </c>
      <c r="C233" s="17" t="s">
        <v>394</v>
      </c>
      <c r="D233" s="17" t="s">
        <v>370</v>
      </c>
      <c r="E233" s="17" t="s">
        <v>92</v>
      </c>
      <c r="F233" s="17" t="s">
        <v>43</v>
      </c>
      <c r="G233" s="87">
        <v>9000.0</v>
      </c>
      <c r="H233" s="101">
        <v>1350000.0</v>
      </c>
      <c r="I233" s="59" t="s">
        <v>44</v>
      </c>
      <c r="J233" s="101">
        <v>800000.0</v>
      </c>
      <c r="K233" s="58" t="s">
        <v>42</v>
      </c>
      <c r="L233" s="58">
        <f t="shared" si="29"/>
        <v>550000</v>
      </c>
      <c r="M233" s="101"/>
    </row>
    <row r="234" ht="15.75" customHeight="1">
      <c r="A234" s="17"/>
      <c r="B234" s="17" t="s">
        <v>420</v>
      </c>
      <c r="C234" s="17" t="s">
        <v>394</v>
      </c>
      <c r="D234" s="17" t="s">
        <v>370</v>
      </c>
      <c r="E234" s="17" t="s">
        <v>92</v>
      </c>
      <c r="F234" s="17" t="s">
        <v>43</v>
      </c>
      <c r="G234" s="87">
        <v>9000.0</v>
      </c>
      <c r="H234" s="101">
        <v>1350000.0</v>
      </c>
      <c r="I234" s="59" t="s">
        <v>44</v>
      </c>
      <c r="J234" s="101">
        <v>800000.0</v>
      </c>
      <c r="K234" s="58" t="s">
        <v>42</v>
      </c>
      <c r="L234" s="58">
        <f t="shared" si="29"/>
        <v>550000</v>
      </c>
      <c r="M234" s="101">
        <v>746000.0</v>
      </c>
    </row>
    <row r="235" ht="15.75" customHeight="1">
      <c r="A235" s="17"/>
      <c r="B235" s="17" t="s">
        <v>421</v>
      </c>
      <c r="C235" s="17" t="s">
        <v>394</v>
      </c>
      <c r="D235" s="17" t="s">
        <v>370</v>
      </c>
      <c r="E235" s="17" t="s">
        <v>92</v>
      </c>
      <c r="F235" s="17" t="s">
        <v>66</v>
      </c>
      <c r="G235" s="87">
        <v>9000.0</v>
      </c>
      <c r="H235" s="101">
        <v>675000.0</v>
      </c>
      <c r="I235" s="59" t="s">
        <v>42</v>
      </c>
      <c r="J235" s="101">
        <v>350000.0</v>
      </c>
      <c r="K235" s="58" t="s">
        <v>42</v>
      </c>
      <c r="L235" s="58">
        <f t="shared" si="29"/>
        <v>325000</v>
      </c>
      <c r="M235" s="101">
        <v>125000.0</v>
      </c>
    </row>
    <row r="236" ht="15.75" customHeight="1">
      <c r="A236" s="17"/>
      <c r="B236" s="17" t="s">
        <v>422</v>
      </c>
      <c r="C236" s="17" t="s">
        <v>394</v>
      </c>
      <c r="D236" s="17" t="s">
        <v>370</v>
      </c>
      <c r="E236" s="17" t="s">
        <v>92</v>
      </c>
      <c r="F236" s="17" t="s">
        <v>397</v>
      </c>
      <c r="G236" s="87">
        <v>9000.0</v>
      </c>
      <c r="H236" s="101">
        <v>765000.0</v>
      </c>
      <c r="I236" s="59" t="s">
        <v>44</v>
      </c>
      <c r="J236" s="101">
        <v>450000.0</v>
      </c>
      <c r="K236" s="58" t="s">
        <v>44</v>
      </c>
      <c r="L236" s="58">
        <f t="shared" si="29"/>
        <v>315000</v>
      </c>
      <c r="M236" s="101"/>
    </row>
    <row r="237" ht="15.75" customHeight="1">
      <c r="A237" s="17"/>
      <c r="B237" s="17" t="s">
        <v>423</v>
      </c>
      <c r="C237" s="17" t="s">
        <v>394</v>
      </c>
      <c r="D237" s="17" t="s">
        <v>370</v>
      </c>
      <c r="E237" s="17" t="s">
        <v>92</v>
      </c>
      <c r="F237" s="17" t="s">
        <v>43</v>
      </c>
      <c r="G237" s="87">
        <v>9000.0</v>
      </c>
      <c r="H237" s="101">
        <v>1350000.0</v>
      </c>
      <c r="I237" s="59" t="s">
        <v>44</v>
      </c>
      <c r="J237" s="101">
        <v>800000.0</v>
      </c>
      <c r="K237" s="58" t="s">
        <v>44</v>
      </c>
      <c r="L237" s="58">
        <f t="shared" si="29"/>
        <v>550000</v>
      </c>
      <c r="M237" s="101"/>
    </row>
    <row r="238" ht="15.75" customHeight="1">
      <c r="A238" s="17"/>
      <c r="B238" s="17" t="s">
        <v>424</v>
      </c>
      <c r="C238" s="17" t="s">
        <v>394</v>
      </c>
      <c r="D238" s="17" t="s">
        <v>370</v>
      </c>
      <c r="E238" s="17" t="s">
        <v>123</v>
      </c>
      <c r="F238" s="98" t="s">
        <v>417</v>
      </c>
      <c r="G238" s="87">
        <v>9000.0</v>
      </c>
      <c r="H238" s="101">
        <v>720000.0</v>
      </c>
      <c r="I238" s="59" t="s">
        <v>42</v>
      </c>
      <c r="J238" s="101">
        <v>350000.0</v>
      </c>
      <c r="K238" s="58" t="s">
        <v>42</v>
      </c>
      <c r="L238" s="58">
        <f t="shared" si="29"/>
        <v>370000</v>
      </c>
      <c r="M238" s="101"/>
    </row>
    <row r="239" ht="15.75" customHeight="1">
      <c r="A239" s="17"/>
      <c r="B239" s="17" t="s">
        <v>425</v>
      </c>
      <c r="C239" s="17" t="s">
        <v>394</v>
      </c>
      <c r="D239" s="17" t="s">
        <v>370</v>
      </c>
      <c r="E239" s="17" t="s">
        <v>40</v>
      </c>
      <c r="F239" s="17" t="s">
        <v>54</v>
      </c>
      <c r="G239" s="87">
        <v>9000.0</v>
      </c>
      <c r="H239" s="101">
        <v>1200000.0</v>
      </c>
      <c r="I239" s="59" t="s">
        <v>42</v>
      </c>
      <c r="J239" s="101">
        <v>640000.0</v>
      </c>
      <c r="K239" s="58" t="s">
        <v>42</v>
      </c>
      <c r="L239" s="58">
        <f t="shared" si="29"/>
        <v>560000</v>
      </c>
      <c r="M239" s="101">
        <v>340000.0</v>
      </c>
    </row>
    <row r="240" ht="15.75" customHeight="1">
      <c r="A240" s="17"/>
      <c r="B240" s="17" t="s">
        <v>426</v>
      </c>
      <c r="C240" s="17" t="s">
        <v>394</v>
      </c>
      <c r="D240" s="17" t="s">
        <v>370</v>
      </c>
      <c r="E240" s="17" t="s">
        <v>92</v>
      </c>
      <c r="F240" s="17" t="s">
        <v>66</v>
      </c>
      <c r="G240" s="87">
        <v>9000.0</v>
      </c>
      <c r="H240" s="101">
        <v>675000.0</v>
      </c>
      <c r="I240" s="59" t="s">
        <v>42</v>
      </c>
      <c r="J240" s="101">
        <v>350000.0</v>
      </c>
      <c r="K240" s="58" t="s">
        <v>42</v>
      </c>
      <c r="L240" s="58">
        <f t="shared" si="29"/>
        <v>325000</v>
      </c>
      <c r="M240" s="101"/>
    </row>
    <row r="241" ht="15.75" customHeight="1">
      <c r="A241" s="17"/>
      <c r="B241" s="17" t="s">
        <v>427</v>
      </c>
      <c r="C241" s="17" t="s">
        <v>394</v>
      </c>
      <c r="D241" s="17" t="s">
        <v>370</v>
      </c>
      <c r="E241" s="17" t="s">
        <v>92</v>
      </c>
      <c r="F241" s="17" t="s">
        <v>43</v>
      </c>
      <c r="G241" s="87">
        <v>9000.0</v>
      </c>
      <c r="H241" s="101">
        <v>1350000.0</v>
      </c>
      <c r="I241" s="59" t="s">
        <v>44</v>
      </c>
      <c r="J241" s="101">
        <v>800000.0</v>
      </c>
      <c r="K241" s="58" t="s">
        <v>42</v>
      </c>
      <c r="L241" s="58">
        <f t="shared" si="29"/>
        <v>550000</v>
      </c>
      <c r="M241" s="101"/>
    </row>
    <row r="242" ht="15.75" customHeight="1">
      <c r="A242" s="17"/>
      <c r="B242" s="17" t="s">
        <v>428</v>
      </c>
      <c r="C242" s="17" t="s">
        <v>394</v>
      </c>
      <c r="D242" s="17" t="s">
        <v>370</v>
      </c>
      <c r="E242" s="17" t="s">
        <v>92</v>
      </c>
      <c r="F242" s="17" t="s">
        <v>43</v>
      </c>
      <c r="G242" s="87">
        <v>9000.0</v>
      </c>
      <c r="H242" s="101">
        <v>1350000.0</v>
      </c>
      <c r="I242" s="59" t="s">
        <v>44</v>
      </c>
      <c r="J242" s="101">
        <v>800000.0</v>
      </c>
      <c r="K242" s="58" t="s">
        <v>44</v>
      </c>
      <c r="L242" s="58">
        <f t="shared" si="29"/>
        <v>550000</v>
      </c>
      <c r="M242" s="101"/>
    </row>
    <row r="243" ht="15.75" customHeight="1">
      <c r="A243" s="169"/>
      <c r="B243" s="169"/>
      <c r="C243" s="169"/>
      <c r="D243" s="169"/>
      <c r="E243" s="169"/>
      <c r="F243" s="169"/>
      <c r="G243" s="170"/>
      <c r="H243" s="101"/>
      <c r="I243" s="171"/>
      <c r="J243" s="172"/>
      <c r="K243" s="173"/>
      <c r="L243" s="52">
        <f t="shared" ref="L243:M243" si="30">SUM(L224:L242)</f>
        <v>7675000</v>
      </c>
      <c r="M243" s="194">
        <f t="shared" si="30"/>
        <v>1211000</v>
      </c>
    </row>
    <row r="244" ht="15.75" customHeight="1">
      <c r="A244" s="169"/>
      <c r="B244" s="169"/>
      <c r="C244" s="169"/>
      <c r="D244" s="169"/>
      <c r="E244" s="169"/>
      <c r="F244" s="169"/>
      <c r="G244" s="170"/>
      <c r="H244" s="101"/>
      <c r="I244" s="171"/>
      <c r="J244" s="172"/>
      <c r="K244" s="173"/>
      <c r="L244" s="33">
        <f>L243-M243</f>
        <v>6464000</v>
      </c>
      <c r="M244" s="172"/>
    </row>
    <row r="245" ht="15.75" customHeight="1">
      <c r="A245" s="169"/>
      <c r="B245" s="169"/>
      <c r="C245" s="169"/>
      <c r="D245" s="169"/>
      <c r="E245" s="169"/>
      <c r="F245" s="169"/>
      <c r="G245" s="170"/>
      <c r="H245" s="101"/>
      <c r="I245" s="171"/>
      <c r="J245" s="172"/>
      <c r="K245" s="173"/>
      <c r="L245" s="173"/>
      <c r="M245" s="172"/>
    </row>
    <row r="246" ht="26.25" customHeight="1">
      <c r="A246" s="1"/>
      <c r="B246" s="1" t="s">
        <v>0</v>
      </c>
      <c r="C246" s="1" t="s">
        <v>1</v>
      </c>
      <c r="D246" s="1" t="s">
        <v>2</v>
      </c>
      <c r="E246" s="195" t="s">
        <v>3</v>
      </c>
      <c r="F246" s="1" t="s">
        <v>4</v>
      </c>
      <c r="G246" s="196" t="s">
        <v>5</v>
      </c>
      <c r="H246" s="197" t="s">
        <v>6</v>
      </c>
      <c r="I246" s="198" t="s">
        <v>39</v>
      </c>
      <c r="J246" s="197" t="s">
        <v>7</v>
      </c>
      <c r="K246" s="196" t="s">
        <v>39</v>
      </c>
      <c r="L246" s="198" t="s">
        <v>8</v>
      </c>
      <c r="M246" s="197" t="s">
        <v>9</v>
      </c>
    </row>
    <row r="247" ht="15.75" customHeight="1">
      <c r="A247" s="17"/>
      <c r="B247" s="17" t="s">
        <v>429</v>
      </c>
      <c r="C247" s="17" t="s">
        <v>394</v>
      </c>
      <c r="D247" s="17" t="s">
        <v>370</v>
      </c>
      <c r="E247" s="17" t="s">
        <v>99</v>
      </c>
      <c r="F247" s="17" t="s">
        <v>34</v>
      </c>
      <c r="G247" s="87">
        <v>9000.0</v>
      </c>
      <c r="H247" s="101">
        <v>1215000.0</v>
      </c>
      <c r="I247" s="59" t="s">
        <v>44</v>
      </c>
      <c r="J247" s="101">
        <v>700000.0</v>
      </c>
      <c r="K247" s="58" t="s">
        <v>44</v>
      </c>
      <c r="L247" s="58">
        <f t="shared" ref="L247:L265" si="31">H247-J247</f>
        <v>515000</v>
      </c>
      <c r="M247" s="101">
        <v>4575000.0</v>
      </c>
    </row>
    <row r="248" ht="15.75" customHeight="1">
      <c r="A248" s="17"/>
      <c r="B248" s="17" t="s">
        <v>430</v>
      </c>
      <c r="C248" s="17" t="s">
        <v>394</v>
      </c>
      <c r="D248" s="17" t="s">
        <v>370</v>
      </c>
      <c r="E248" s="17" t="s">
        <v>30</v>
      </c>
      <c r="F248" s="17" t="s">
        <v>66</v>
      </c>
      <c r="G248" s="87">
        <v>9000.0</v>
      </c>
      <c r="H248" s="101">
        <v>675000.0</v>
      </c>
      <c r="I248" s="59" t="s">
        <v>42</v>
      </c>
      <c r="J248" s="101">
        <v>350000.0</v>
      </c>
      <c r="K248" s="58" t="s">
        <v>42</v>
      </c>
      <c r="L248" s="58">
        <f t="shared" si="31"/>
        <v>325000</v>
      </c>
      <c r="M248" s="101">
        <v>280000.0</v>
      </c>
    </row>
    <row r="249" ht="15.75" customHeight="1">
      <c r="A249" s="17"/>
      <c r="B249" s="17" t="s">
        <v>431</v>
      </c>
      <c r="C249" s="17" t="s">
        <v>394</v>
      </c>
      <c r="D249" s="17" t="s">
        <v>370</v>
      </c>
      <c r="E249" s="17" t="s">
        <v>92</v>
      </c>
      <c r="F249" s="17" t="s">
        <v>43</v>
      </c>
      <c r="G249" s="87">
        <v>9000.0</v>
      </c>
      <c r="H249" s="101">
        <v>1350000.0</v>
      </c>
      <c r="I249" s="59" t="s">
        <v>42</v>
      </c>
      <c r="J249" s="101">
        <v>800000.0</v>
      </c>
      <c r="K249" s="58" t="s">
        <v>42</v>
      </c>
      <c r="L249" s="58">
        <f t="shared" si="31"/>
        <v>550000</v>
      </c>
      <c r="M249" s="101"/>
    </row>
    <row r="250" ht="15.75" customHeight="1">
      <c r="A250" s="17"/>
      <c r="B250" s="17" t="s">
        <v>432</v>
      </c>
      <c r="C250" s="17" t="s">
        <v>394</v>
      </c>
      <c r="D250" s="17" t="s">
        <v>370</v>
      </c>
      <c r="E250" s="17" t="s">
        <v>92</v>
      </c>
      <c r="F250" s="17" t="s">
        <v>43</v>
      </c>
      <c r="G250" s="87">
        <v>9000.0</v>
      </c>
      <c r="H250" s="101">
        <v>1350000.0</v>
      </c>
      <c r="I250" s="59" t="s">
        <v>44</v>
      </c>
      <c r="J250" s="101">
        <v>800000.0</v>
      </c>
      <c r="K250" s="58" t="s">
        <v>44</v>
      </c>
      <c r="L250" s="58">
        <f t="shared" si="31"/>
        <v>550000</v>
      </c>
      <c r="M250" s="101"/>
    </row>
    <row r="251" ht="15.75" customHeight="1">
      <c r="A251" s="17"/>
      <c r="B251" s="17" t="s">
        <v>433</v>
      </c>
      <c r="C251" s="17" t="s">
        <v>394</v>
      </c>
      <c r="D251" s="17" t="s">
        <v>370</v>
      </c>
      <c r="E251" s="17" t="s">
        <v>40</v>
      </c>
      <c r="F251" s="17" t="s">
        <v>434</v>
      </c>
      <c r="G251" s="87">
        <v>9000.0</v>
      </c>
      <c r="H251" s="101">
        <v>1035000.0</v>
      </c>
      <c r="I251" s="59" t="s">
        <v>44</v>
      </c>
      <c r="J251" s="101">
        <v>600000.0</v>
      </c>
      <c r="K251" s="58" t="s">
        <v>44</v>
      </c>
      <c r="L251" s="58">
        <f t="shared" si="31"/>
        <v>435000</v>
      </c>
      <c r="M251" s="101"/>
    </row>
    <row r="252" ht="15.75" customHeight="1">
      <c r="A252" s="17"/>
      <c r="B252" s="17" t="s">
        <v>435</v>
      </c>
      <c r="C252" s="17" t="s">
        <v>394</v>
      </c>
      <c r="D252" s="17" t="s">
        <v>436</v>
      </c>
      <c r="E252" s="17" t="s">
        <v>30</v>
      </c>
      <c r="F252" s="17" t="s">
        <v>200</v>
      </c>
      <c r="G252" s="87">
        <v>9000.0</v>
      </c>
      <c r="H252" s="101">
        <v>1200000.0</v>
      </c>
      <c r="I252" s="59" t="s">
        <v>44</v>
      </c>
      <c r="J252" s="101">
        <v>640000.0</v>
      </c>
      <c r="K252" s="58" t="s">
        <v>44</v>
      </c>
      <c r="L252" s="58">
        <f t="shared" si="31"/>
        <v>560000</v>
      </c>
      <c r="M252" s="101"/>
    </row>
    <row r="253" ht="15.75" customHeight="1">
      <c r="A253" s="17"/>
      <c r="B253" s="17" t="s">
        <v>437</v>
      </c>
      <c r="C253" s="17" t="s">
        <v>394</v>
      </c>
      <c r="D253" s="17" t="s">
        <v>370</v>
      </c>
      <c r="E253" s="17" t="s">
        <v>40</v>
      </c>
      <c r="F253" s="17" t="s">
        <v>107</v>
      </c>
      <c r="G253" s="87">
        <v>9000.0</v>
      </c>
      <c r="H253" s="101">
        <v>1125000.0</v>
      </c>
      <c r="I253" s="59" t="s">
        <v>44</v>
      </c>
      <c r="J253" s="101">
        <v>640000.0</v>
      </c>
      <c r="K253" s="58" t="s">
        <v>44</v>
      </c>
      <c r="L253" s="58">
        <f t="shared" si="31"/>
        <v>485000</v>
      </c>
      <c r="M253" s="101"/>
    </row>
    <row r="254" ht="15.75" customHeight="1">
      <c r="A254" s="17"/>
      <c r="B254" s="17" t="s">
        <v>438</v>
      </c>
      <c r="C254" s="17" t="s">
        <v>394</v>
      </c>
      <c r="D254" s="17" t="s">
        <v>370</v>
      </c>
      <c r="E254" s="17" t="s">
        <v>40</v>
      </c>
      <c r="F254" s="17" t="s">
        <v>43</v>
      </c>
      <c r="G254" s="87">
        <v>9000.0</v>
      </c>
      <c r="H254" s="101">
        <v>1350000.0</v>
      </c>
      <c r="I254" s="59" t="s">
        <v>44</v>
      </c>
      <c r="J254" s="101">
        <v>800000.0</v>
      </c>
      <c r="K254" s="58" t="s">
        <v>44</v>
      </c>
      <c r="L254" s="58">
        <f t="shared" si="31"/>
        <v>550000</v>
      </c>
      <c r="M254" s="101"/>
    </row>
    <row r="255" ht="15.75" customHeight="1">
      <c r="A255" s="17"/>
      <c r="B255" s="17" t="s">
        <v>439</v>
      </c>
      <c r="C255" s="17" t="s">
        <v>394</v>
      </c>
      <c r="D255" s="17" t="s">
        <v>370</v>
      </c>
      <c r="E255" s="17" t="s">
        <v>92</v>
      </c>
      <c r="F255" s="17" t="s">
        <v>43</v>
      </c>
      <c r="G255" s="87">
        <v>9000.0</v>
      </c>
      <c r="H255" s="101">
        <v>1350000.0</v>
      </c>
      <c r="I255" s="59" t="s">
        <v>44</v>
      </c>
      <c r="J255" s="101">
        <v>800000.0</v>
      </c>
      <c r="K255" s="58" t="s">
        <v>44</v>
      </c>
      <c r="L255" s="58">
        <f t="shared" si="31"/>
        <v>550000</v>
      </c>
      <c r="M255" s="101"/>
    </row>
    <row r="256" ht="15.75" customHeight="1">
      <c r="A256" s="17"/>
      <c r="B256" s="17" t="s">
        <v>440</v>
      </c>
      <c r="C256" s="17" t="s">
        <v>394</v>
      </c>
      <c r="D256" s="17" t="s">
        <v>370</v>
      </c>
      <c r="E256" s="17" t="s">
        <v>92</v>
      </c>
      <c r="F256" s="17" t="s">
        <v>43</v>
      </c>
      <c r="G256" s="87">
        <v>9000.0</v>
      </c>
      <c r="H256" s="101">
        <v>1350000.0</v>
      </c>
      <c r="I256" s="59" t="s">
        <v>44</v>
      </c>
      <c r="J256" s="101">
        <v>800000.0</v>
      </c>
      <c r="K256" s="58" t="s">
        <v>44</v>
      </c>
      <c r="L256" s="58">
        <f t="shared" si="31"/>
        <v>550000</v>
      </c>
      <c r="M256" s="101">
        <v>235000.0</v>
      </c>
    </row>
    <row r="257" ht="15.75" customHeight="1">
      <c r="A257" s="17"/>
      <c r="B257" s="17" t="s">
        <v>441</v>
      </c>
      <c r="C257" s="17" t="s">
        <v>394</v>
      </c>
      <c r="D257" s="17" t="s">
        <v>370</v>
      </c>
      <c r="E257" s="17" t="s">
        <v>40</v>
      </c>
      <c r="F257" s="17" t="s">
        <v>34</v>
      </c>
      <c r="G257" s="87">
        <v>9000.0</v>
      </c>
      <c r="H257" s="101">
        <v>1215000.0</v>
      </c>
      <c r="I257" s="59" t="s">
        <v>44</v>
      </c>
      <c r="J257" s="101">
        <v>700000.0</v>
      </c>
      <c r="K257" s="58" t="s">
        <v>42</v>
      </c>
      <c r="L257" s="58">
        <f t="shared" si="31"/>
        <v>515000</v>
      </c>
      <c r="M257" s="101"/>
    </row>
    <row r="258" ht="15.75" customHeight="1">
      <c r="A258" s="17"/>
      <c r="B258" s="17" t="s">
        <v>442</v>
      </c>
      <c r="C258" s="17" t="s">
        <v>394</v>
      </c>
      <c r="D258" s="17" t="s">
        <v>370</v>
      </c>
      <c r="E258" s="17" t="s">
        <v>383</v>
      </c>
      <c r="F258" s="17" t="s">
        <v>107</v>
      </c>
      <c r="G258" s="87">
        <v>9000.0</v>
      </c>
      <c r="H258" s="101">
        <v>1125000.0</v>
      </c>
      <c r="I258" s="59" t="s">
        <v>42</v>
      </c>
      <c r="J258" s="101">
        <v>640000.0</v>
      </c>
      <c r="K258" s="58" t="s">
        <v>42</v>
      </c>
      <c r="L258" s="58">
        <f t="shared" si="31"/>
        <v>485000</v>
      </c>
      <c r="M258" s="101"/>
    </row>
    <row r="259" ht="15.75" customHeight="1">
      <c r="A259" s="17"/>
      <c r="B259" s="17" t="s">
        <v>443</v>
      </c>
      <c r="C259" s="17" t="s">
        <v>394</v>
      </c>
      <c r="D259" s="17" t="s">
        <v>370</v>
      </c>
      <c r="E259" s="17" t="s">
        <v>40</v>
      </c>
      <c r="F259" s="17" t="s">
        <v>107</v>
      </c>
      <c r="G259" s="87">
        <v>9000.0</v>
      </c>
      <c r="H259" s="101">
        <v>1125000.0</v>
      </c>
      <c r="I259" s="59" t="s">
        <v>42</v>
      </c>
      <c r="J259" s="101">
        <v>640000.0</v>
      </c>
      <c r="K259" s="58" t="s">
        <v>42</v>
      </c>
      <c r="L259" s="58">
        <f t="shared" si="31"/>
        <v>485000</v>
      </c>
      <c r="M259" s="101"/>
    </row>
    <row r="260" ht="15.75" customHeight="1">
      <c r="A260" s="17"/>
      <c r="B260" s="17" t="s">
        <v>444</v>
      </c>
      <c r="C260" s="17" t="s">
        <v>394</v>
      </c>
      <c r="D260" s="17" t="s">
        <v>370</v>
      </c>
      <c r="E260" s="17" t="s">
        <v>30</v>
      </c>
      <c r="F260" s="17" t="s">
        <v>200</v>
      </c>
      <c r="G260" s="87">
        <v>9000.0</v>
      </c>
      <c r="H260" s="101">
        <v>1200000.0</v>
      </c>
      <c r="I260" s="59" t="s">
        <v>42</v>
      </c>
      <c r="J260" s="101">
        <v>640000.0</v>
      </c>
      <c r="K260" s="58" t="s">
        <v>42</v>
      </c>
      <c r="L260" s="58">
        <f t="shared" si="31"/>
        <v>560000</v>
      </c>
      <c r="M260" s="101"/>
    </row>
    <row r="261" ht="15.75" customHeight="1">
      <c r="A261" s="17"/>
      <c r="B261" s="17" t="s">
        <v>445</v>
      </c>
      <c r="C261" s="17" t="s">
        <v>394</v>
      </c>
      <c r="D261" s="17" t="s">
        <v>370</v>
      </c>
      <c r="E261" s="17" t="s">
        <v>383</v>
      </c>
      <c r="F261" s="17" t="s">
        <v>446</v>
      </c>
      <c r="G261" s="87">
        <v>9000.0</v>
      </c>
      <c r="H261" s="101">
        <v>990000.0</v>
      </c>
      <c r="I261" s="59" t="s">
        <v>42</v>
      </c>
      <c r="J261" s="101">
        <v>550000.0</v>
      </c>
      <c r="K261" s="58" t="s">
        <v>42</v>
      </c>
      <c r="L261" s="58">
        <f t="shared" si="31"/>
        <v>440000</v>
      </c>
      <c r="M261" s="101"/>
    </row>
    <row r="262" ht="15.75" customHeight="1">
      <c r="A262" s="17"/>
      <c r="B262" s="17" t="s">
        <v>447</v>
      </c>
      <c r="C262" s="17" t="s">
        <v>394</v>
      </c>
      <c r="D262" s="17" t="s">
        <v>370</v>
      </c>
      <c r="E262" s="17" t="s">
        <v>448</v>
      </c>
      <c r="F262" s="17" t="s">
        <v>449</v>
      </c>
      <c r="G262" s="87">
        <v>9000.0</v>
      </c>
      <c r="H262" s="101">
        <v>900000.0</v>
      </c>
      <c r="I262" s="59" t="s">
        <v>44</v>
      </c>
      <c r="J262" s="101">
        <v>350000.0</v>
      </c>
      <c r="K262" s="58" t="s">
        <v>42</v>
      </c>
      <c r="L262" s="58">
        <f t="shared" si="31"/>
        <v>550000</v>
      </c>
      <c r="M262" s="101"/>
    </row>
    <row r="263" ht="15.75" customHeight="1">
      <c r="A263" s="17"/>
      <c r="B263" s="17" t="s">
        <v>450</v>
      </c>
      <c r="C263" s="17" t="s">
        <v>394</v>
      </c>
      <c r="D263" s="17" t="s">
        <v>370</v>
      </c>
      <c r="E263" s="17" t="s">
        <v>383</v>
      </c>
      <c r="F263" s="17" t="s">
        <v>66</v>
      </c>
      <c r="G263" s="87">
        <v>8500.0</v>
      </c>
      <c r="H263" s="101">
        <v>675000.0</v>
      </c>
      <c r="I263" s="59" t="s">
        <v>42</v>
      </c>
      <c r="J263" s="101">
        <v>350000.0</v>
      </c>
      <c r="K263" s="58" t="s">
        <v>42</v>
      </c>
      <c r="L263" s="58">
        <f t="shared" si="31"/>
        <v>325000</v>
      </c>
      <c r="M263" s="101">
        <v>1299000.0</v>
      </c>
    </row>
    <row r="264" ht="15.75" customHeight="1">
      <c r="A264" s="17"/>
      <c r="B264" s="17" t="s">
        <v>451</v>
      </c>
      <c r="C264" s="17" t="s">
        <v>394</v>
      </c>
      <c r="D264" s="17" t="s">
        <v>370</v>
      </c>
      <c r="E264" s="17" t="s">
        <v>92</v>
      </c>
      <c r="F264" s="17" t="s">
        <v>43</v>
      </c>
      <c r="G264" s="87">
        <v>10000.0</v>
      </c>
      <c r="H264" s="101">
        <v>1500000.0</v>
      </c>
      <c r="I264" s="59" t="s">
        <v>44</v>
      </c>
      <c r="J264" s="101">
        <v>850000.0</v>
      </c>
      <c r="K264" s="58" t="s">
        <v>42</v>
      </c>
      <c r="L264" s="58">
        <f t="shared" si="31"/>
        <v>650000</v>
      </c>
      <c r="M264" s="101">
        <v>500000.0</v>
      </c>
    </row>
    <row r="265" ht="15.75" customHeight="1">
      <c r="A265" s="17"/>
      <c r="B265" s="17" t="s">
        <v>452</v>
      </c>
      <c r="C265" s="17" t="s">
        <v>394</v>
      </c>
      <c r="D265" s="17" t="s">
        <v>370</v>
      </c>
      <c r="E265" s="17" t="s">
        <v>40</v>
      </c>
      <c r="F265" s="17" t="s">
        <v>107</v>
      </c>
      <c r="G265" s="87">
        <v>9000.0</v>
      </c>
      <c r="H265" s="101">
        <v>1125000.0</v>
      </c>
      <c r="I265" s="59" t="s">
        <v>42</v>
      </c>
      <c r="J265" s="101">
        <v>640000.0</v>
      </c>
      <c r="K265" s="58" t="s">
        <v>42</v>
      </c>
      <c r="L265" s="58">
        <f t="shared" si="31"/>
        <v>485000</v>
      </c>
      <c r="M265" s="101"/>
    </row>
    <row r="266" ht="15.75" customHeight="1">
      <c r="A266" s="17"/>
      <c r="B266" s="17"/>
      <c r="C266" s="17"/>
      <c r="D266" s="17"/>
      <c r="E266" s="17"/>
      <c r="F266" s="17"/>
      <c r="G266" s="57"/>
      <c r="H266" s="101"/>
      <c r="I266" s="59"/>
      <c r="J266" s="101"/>
      <c r="K266" s="58"/>
      <c r="L266" s="52">
        <f>SUM(L246:L265)</f>
        <v>9565000</v>
      </c>
      <c r="M266" s="194">
        <f>SUM(M244:M265)</f>
        <v>6889000</v>
      </c>
    </row>
    <row r="267" ht="15.75" customHeight="1">
      <c r="A267" s="169"/>
      <c r="B267" s="169"/>
      <c r="C267" s="169"/>
      <c r="D267" s="169"/>
      <c r="E267" s="169"/>
      <c r="F267" s="169"/>
      <c r="G267" s="170"/>
      <c r="H267" s="101"/>
      <c r="I267" s="171"/>
      <c r="J267" s="172"/>
      <c r="K267" s="173"/>
      <c r="L267" s="33">
        <f>L266-M266</f>
        <v>2676000</v>
      </c>
      <c r="M267" s="172"/>
    </row>
    <row r="268" ht="15.75" customHeight="1">
      <c r="A268" s="169"/>
      <c r="B268" s="169"/>
      <c r="C268" s="169"/>
      <c r="D268" s="169"/>
      <c r="E268" s="169"/>
      <c r="F268" s="169"/>
      <c r="G268" s="170"/>
      <c r="H268" s="101"/>
      <c r="I268" s="171"/>
      <c r="J268" s="172"/>
      <c r="K268" s="173"/>
      <c r="L268" s="173"/>
      <c r="M268" s="172"/>
    </row>
    <row r="269" ht="28.5" customHeight="1">
      <c r="A269" s="1"/>
      <c r="B269" s="1" t="s">
        <v>0</v>
      </c>
      <c r="C269" s="1" t="s">
        <v>1</v>
      </c>
      <c r="D269" s="1" t="s">
        <v>2</v>
      </c>
      <c r="E269" s="195" t="s">
        <v>3</v>
      </c>
      <c r="F269" s="1" t="s">
        <v>4</v>
      </c>
      <c r="G269" s="196" t="s">
        <v>5</v>
      </c>
      <c r="H269" s="197" t="s">
        <v>6</v>
      </c>
      <c r="I269" s="198" t="s">
        <v>39</v>
      </c>
      <c r="J269" s="197" t="s">
        <v>7</v>
      </c>
      <c r="K269" s="196" t="s">
        <v>39</v>
      </c>
      <c r="L269" s="198" t="s">
        <v>8</v>
      </c>
      <c r="M269" s="197" t="s">
        <v>9</v>
      </c>
    </row>
    <row r="270" ht="15.75" customHeight="1">
      <c r="A270" s="17"/>
      <c r="B270" s="17" t="s">
        <v>453</v>
      </c>
      <c r="C270" s="17" t="s">
        <v>394</v>
      </c>
      <c r="D270" s="17" t="s">
        <v>370</v>
      </c>
      <c r="E270" s="17" t="s">
        <v>383</v>
      </c>
      <c r="F270" s="98" t="s">
        <v>408</v>
      </c>
      <c r="G270" s="87">
        <v>9000.0</v>
      </c>
      <c r="H270" s="101">
        <v>720000.0</v>
      </c>
      <c r="I270" s="59" t="s">
        <v>42</v>
      </c>
      <c r="J270" s="101">
        <v>350000.0</v>
      </c>
      <c r="K270" s="58" t="s">
        <v>42</v>
      </c>
      <c r="L270" s="58">
        <f t="shared" ref="L270:L284" si="32">H270-J270</f>
        <v>370000</v>
      </c>
      <c r="M270" s="101"/>
    </row>
    <row r="271" ht="15.75" customHeight="1">
      <c r="A271" s="17"/>
      <c r="B271" s="17" t="s">
        <v>454</v>
      </c>
      <c r="C271" s="17" t="s">
        <v>394</v>
      </c>
      <c r="D271" s="17" t="s">
        <v>370</v>
      </c>
      <c r="E271" s="17" t="s">
        <v>383</v>
      </c>
      <c r="F271" s="17" t="s">
        <v>381</v>
      </c>
      <c r="G271" s="87">
        <v>9000.0</v>
      </c>
      <c r="H271" s="101">
        <v>900000.0</v>
      </c>
      <c r="I271" s="59" t="s">
        <v>44</v>
      </c>
      <c r="J271" s="101">
        <v>400000.0</v>
      </c>
      <c r="K271" s="58" t="s">
        <v>42</v>
      </c>
      <c r="L271" s="58">
        <f t="shared" si="32"/>
        <v>500000</v>
      </c>
      <c r="M271" s="101"/>
    </row>
    <row r="272" ht="15.75" customHeight="1">
      <c r="A272" s="17"/>
      <c r="B272" s="17" t="s">
        <v>455</v>
      </c>
      <c r="C272" s="17" t="s">
        <v>394</v>
      </c>
      <c r="D272" s="17" t="s">
        <v>370</v>
      </c>
      <c r="E272" s="17" t="s">
        <v>383</v>
      </c>
      <c r="F272" s="98" t="s">
        <v>408</v>
      </c>
      <c r="G272" s="87">
        <v>9000.0</v>
      </c>
      <c r="H272" s="101">
        <v>720000.0</v>
      </c>
      <c r="I272" s="59" t="s">
        <v>44</v>
      </c>
      <c r="J272" s="101">
        <v>400000.0</v>
      </c>
      <c r="K272" s="58" t="s">
        <v>42</v>
      </c>
      <c r="L272" s="58">
        <f t="shared" si="32"/>
        <v>320000</v>
      </c>
      <c r="M272" s="101"/>
    </row>
    <row r="273" ht="15.75" customHeight="1">
      <c r="A273" s="17"/>
      <c r="B273" s="17" t="s">
        <v>456</v>
      </c>
      <c r="C273" s="17" t="s">
        <v>394</v>
      </c>
      <c r="D273" s="17" t="s">
        <v>370</v>
      </c>
      <c r="E273" s="17" t="s">
        <v>383</v>
      </c>
      <c r="F273" s="17" t="s">
        <v>87</v>
      </c>
      <c r="G273" s="87">
        <v>9000.0</v>
      </c>
      <c r="H273" s="101">
        <v>1400000.0</v>
      </c>
      <c r="I273" s="59" t="s">
        <v>44</v>
      </c>
      <c r="J273" s="101">
        <v>900000.0</v>
      </c>
      <c r="K273" s="58" t="s">
        <v>44</v>
      </c>
      <c r="L273" s="58">
        <f t="shared" si="32"/>
        <v>500000</v>
      </c>
      <c r="M273" s="101"/>
      <c r="N273" s="22"/>
      <c r="O273" s="22"/>
      <c r="P273" s="22"/>
    </row>
    <row r="274" ht="15.75" customHeight="1">
      <c r="A274" s="17"/>
      <c r="B274" s="17" t="s">
        <v>146</v>
      </c>
      <c r="C274" s="17" t="s">
        <v>394</v>
      </c>
      <c r="D274" s="17" t="s">
        <v>370</v>
      </c>
      <c r="E274" s="17" t="s">
        <v>383</v>
      </c>
      <c r="F274" s="17" t="s">
        <v>118</v>
      </c>
      <c r="G274" s="87">
        <v>9000.0</v>
      </c>
      <c r="H274" s="101">
        <v>990000.0</v>
      </c>
      <c r="I274" s="59" t="s">
        <v>44</v>
      </c>
      <c r="J274" s="101">
        <v>550000.0</v>
      </c>
      <c r="K274" s="58" t="s">
        <v>44</v>
      </c>
      <c r="L274" s="58">
        <f t="shared" si="32"/>
        <v>440000</v>
      </c>
      <c r="M274" s="101"/>
      <c r="N274" s="22"/>
      <c r="O274" s="22"/>
      <c r="P274" s="22"/>
    </row>
    <row r="275" ht="15.75" customHeight="1">
      <c r="A275" s="17"/>
      <c r="B275" s="17" t="s">
        <v>147</v>
      </c>
      <c r="C275" s="17" t="s">
        <v>394</v>
      </c>
      <c r="D275" s="17" t="s">
        <v>370</v>
      </c>
      <c r="E275" s="17" t="s">
        <v>383</v>
      </c>
      <c r="F275" s="17" t="s">
        <v>457</v>
      </c>
      <c r="G275" s="87">
        <v>9000.0</v>
      </c>
      <c r="H275" s="101">
        <v>1125000.0</v>
      </c>
      <c r="I275" s="59" t="s">
        <v>44</v>
      </c>
      <c r="J275" s="101">
        <v>640000.0</v>
      </c>
      <c r="K275" s="58" t="s">
        <v>44</v>
      </c>
      <c r="L275" s="58">
        <f t="shared" si="32"/>
        <v>485000</v>
      </c>
      <c r="M275" s="101"/>
      <c r="N275" s="22"/>
      <c r="O275" s="22"/>
      <c r="P275" s="22"/>
    </row>
    <row r="276" ht="15.75" customHeight="1">
      <c r="A276" s="17"/>
      <c r="B276" s="17" t="s">
        <v>149</v>
      </c>
      <c r="C276" s="17" t="s">
        <v>394</v>
      </c>
      <c r="D276" s="17" t="s">
        <v>370</v>
      </c>
      <c r="E276" s="17" t="s">
        <v>40</v>
      </c>
      <c r="F276" s="17" t="s">
        <v>43</v>
      </c>
      <c r="G276" s="87">
        <v>9000.0</v>
      </c>
      <c r="H276" s="101">
        <v>1350000.0</v>
      </c>
      <c r="I276" s="59" t="s">
        <v>44</v>
      </c>
      <c r="J276" s="101">
        <v>800000.0</v>
      </c>
      <c r="K276" s="58" t="s">
        <v>44</v>
      </c>
      <c r="L276" s="58">
        <f t="shared" si="32"/>
        <v>550000</v>
      </c>
      <c r="M276" s="101"/>
      <c r="N276" s="22"/>
      <c r="O276" s="22"/>
      <c r="P276" s="22"/>
    </row>
    <row r="277" ht="15.75" customHeight="1">
      <c r="A277" s="17"/>
      <c r="B277" s="17" t="s">
        <v>150</v>
      </c>
      <c r="C277" s="17" t="s">
        <v>394</v>
      </c>
      <c r="D277" s="17" t="s">
        <v>370</v>
      </c>
      <c r="E277" s="17" t="s">
        <v>383</v>
      </c>
      <c r="F277" s="17" t="s">
        <v>103</v>
      </c>
      <c r="G277" s="87">
        <v>9000.0</v>
      </c>
      <c r="H277" s="101">
        <v>675000.0</v>
      </c>
      <c r="I277" s="59" t="s">
        <v>44</v>
      </c>
      <c r="J277" s="101">
        <v>425000.0</v>
      </c>
      <c r="K277" s="58" t="s">
        <v>44</v>
      </c>
      <c r="L277" s="58">
        <f t="shared" si="32"/>
        <v>250000</v>
      </c>
      <c r="M277" s="101"/>
      <c r="N277" s="22"/>
      <c r="O277" s="22"/>
      <c r="P277" s="22"/>
    </row>
    <row r="278" ht="15.75" customHeight="1">
      <c r="A278" s="17"/>
      <c r="B278" s="17" t="s">
        <v>151</v>
      </c>
      <c r="C278" s="17" t="s">
        <v>394</v>
      </c>
      <c r="D278" s="17" t="s">
        <v>370</v>
      </c>
      <c r="E278" s="17" t="s">
        <v>383</v>
      </c>
      <c r="F278" s="17" t="s">
        <v>133</v>
      </c>
      <c r="G278" s="87">
        <v>10000.0</v>
      </c>
      <c r="H278" s="101">
        <v>1100000.0</v>
      </c>
      <c r="I278" s="97" t="s">
        <v>44</v>
      </c>
      <c r="J278" s="101">
        <v>650000.0</v>
      </c>
      <c r="K278" s="58" t="s">
        <v>44</v>
      </c>
      <c r="L278" s="58">
        <f t="shared" si="32"/>
        <v>450000</v>
      </c>
      <c r="M278" s="101">
        <v>7000000.0</v>
      </c>
      <c r="N278" s="22"/>
      <c r="O278" s="22"/>
      <c r="P278" s="100"/>
    </row>
    <row r="279" ht="15.75" customHeight="1">
      <c r="A279" s="17"/>
      <c r="B279" s="17" t="s">
        <v>153</v>
      </c>
      <c r="C279" s="17" t="s">
        <v>394</v>
      </c>
      <c r="D279" s="17" t="s">
        <v>370</v>
      </c>
      <c r="E279" s="17" t="s">
        <v>383</v>
      </c>
      <c r="F279" s="17" t="s">
        <v>381</v>
      </c>
      <c r="G279" s="87">
        <v>9000.0</v>
      </c>
      <c r="H279" s="101">
        <v>720000.0</v>
      </c>
      <c r="I279" s="97" t="s">
        <v>44</v>
      </c>
      <c r="J279" s="101">
        <v>400000.0</v>
      </c>
      <c r="K279" s="58" t="s">
        <v>44</v>
      </c>
      <c r="L279" s="58">
        <f t="shared" si="32"/>
        <v>320000</v>
      </c>
      <c r="M279" s="101">
        <v>355000.0</v>
      </c>
      <c r="N279" s="22"/>
      <c r="O279" s="22"/>
      <c r="P279" s="22"/>
    </row>
    <row r="280" ht="15.75" customHeight="1">
      <c r="A280" s="17"/>
      <c r="B280" s="17" t="s">
        <v>458</v>
      </c>
      <c r="C280" s="17" t="s">
        <v>394</v>
      </c>
      <c r="D280" s="17" t="s">
        <v>370</v>
      </c>
      <c r="E280" s="17" t="s">
        <v>383</v>
      </c>
      <c r="F280" s="17" t="s">
        <v>133</v>
      </c>
      <c r="G280" s="87">
        <v>9000.0</v>
      </c>
      <c r="H280" s="101">
        <v>990000.0</v>
      </c>
      <c r="I280" s="97" t="s">
        <v>44</v>
      </c>
      <c r="J280" s="101">
        <v>550000.0</v>
      </c>
      <c r="K280" s="58" t="s">
        <v>42</v>
      </c>
      <c r="L280" s="58">
        <f t="shared" si="32"/>
        <v>440000</v>
      </c>
      <c r="M280" s="101"/>
      <c r="N280" s="22"/>
      <c r="O280" s="22"/>
      <c r="P280" s="22"/>
    </row>
    <row r="281" ht="15.75" customHeight="1">
      <c r="A281" s="17"/>
      <c r="B281" s="17" t="s">
        <v>459</v>
      </c>
      <c r="C281" s="17" t="s">
        <v>394</v>
      </c>
      <c r="D281" s="17" t="s">
        <v>370</v>
      </c>
      <c r="E281" s="17" t="s">
        <v>383</v>
      </c>
      <c r="F281" s="98" t="s">
        <v>408</v>
      </c>
      <c r="G281" s="87">
        <v>9000.0</v>
      </c>
      <c r="H281" s="101">
        <v>720000.0</v>
      </c>
      <c r="I281" s="59" t="s">
        <v>42</v>
      </c>
      <c r="J281" s="101">
        <v>350000.0</v>
      </c>
      <c r="K281" s="58" t="s">
        <v>42</v>
      </c>
      <c r="L281" s="58">
        <f t="shared" si="32"/>
        <v>370000</v>
      </c>
      <c r="M281" s="101"/>
      <c r="N281" s="22"/>
      <c r="O281" s="22"/>
      <c r="P281" s="100"/>
    </row>
    <row r="282" ht="15.75" customHeight="1">
      <c r="A282" s="17"/>
      <c r="B282" s="17" t="s">
        <v>459</v>
      </c>
      <c r="C282" s="17" t="s">
        <v>394</v>
      </c>
      <c r="D282" s="17" t="s">
        <v>370</v>
      </c>
      <c r="E282" s="17" t="s">
        <v>40</v>
      </c>
      <c r="F282" s="17" t="s">
        <v>54</v>
      </c>
      <c r="G282" s="87">
        <v>9000.0</v>
      </c>
      <c r="H282" s="101">
        <v>1200000.0</v>
      </c>
      <c r="I282" s="59" t="s">
        <v>42</v>
      </c>
      <c r="J282" s="101">
        <v>640000.0</v>
      </c>
      <c r="K282" s="58" t="s">
        <v>42</v>
      </c>
      <c r="L282" s="199">
        <f t="shared" si="32"/>
        <v>560000</v>
      </c>
      <c r="M282" s="101"/>
      <c r="N282" s="22"/>
      <c r="O282" s="22"/>
      <c r="P282" s="22"/>
    </row>
    <row r="283" ht="15.75" customHeight="1">
      <c r="A283" s="17"/>
      <c r="B283" s="17" t="s">
        <v>460</v>
      </c>
      <c r="C283" s="17" t="s">
        <v>394</v>
      </c>
      <c r="D283" s="17" t="s">
        <v>370</v>
      </c>
      <c r="E283" s="17" t="s">
        <v>383</v>
      </c>
      <c r="F283" s="17" t="s">
        <v>461</v>
      </c>
      <c r="G283" s="87">
        <v>9000.0</v>
      </c>
      <c r="H283" s="101">
        <v>900000.0</v>
      </c>
      <c r="I283" s="59" t="s">
        <v>42</v>
      </c>
      <c r="J283" s="101">
        <v>575000.0</v>
      </c>
      <c r="K283" s="58" t="s">
        <v>42</v>
      </c>
      <c r="L283" s="58">
        <f t="shared" si="32"/>
        <v>325000</v>
      </c>
      <c r="M283" s="101"/>
      <c r="N283" s="22"/>
      <c r="O283" s="22"/>
      <c r="P283" s="22"/>
    </row>
    <row r="284" ht="15.75" customHeight="1">
      <c r="A284" s="17"/>
      <c r="B284" s="17" t="s">
        <v>155</v>
      </c>
      <c r="C284" s="17" t="s">
        <v>394</v>
      </c>
      <c r="D284" s="17" t="s">
        <v>370</v>
      </c>
      <c r="E284" s="17" t="s">
        <v>383</v>
      </c>
      <c r="F284" s="17" t="s">
        <v>381</v>
      </c>
      <c r="G284" s="87">
        <v>9000.0</v>
      </c>
      <c r="H284" s="101">
        <v>820000.0</v>
      </c>
      <c r="I284" s="97" t="s">
        <v>44</v>
      </c>
      <c r="J284" s="101">
        <v>400000.0</v>
      </c>
      <c r="K284" s="58" t="s">
        <v>42</v>
      </c>
      <c r="L284" s="58">
        <f t="shared" si="32"/>
        <v>420000</v>
      </c>
      <c r="M284" s="101"/>
      <c r="N284" s="22"/>
      <c r="O284" s="22"/>
      <c r="P284" s="22"/>
    </row>
    <row r="285" ht="15.75" customHeight="1">
      <c r="A285" s="17"/>
      <c r="B285" s="17" t="s">
        <v>462</v>
      </c>
      <c r="C285" s="17" t="s">
        <v>394</v>
      </c>
      <c r="D285" s="17" t="s">
        <v>370</v>
      </c>
      <c r="E285" s="17"/>
      <c r="F285" s="17"/>
      <c r="G285" s="87"/>
      <c r="H285" s="101"/>
      <c r="I285" s="97"/>
      <c r="J285" s="101"/>
      <c r="K285" s="58"/>
      <c r="L285" s="58"/>
      <c r="M285" s="101">
        <v>1.35E7</v>
      </c>
      <c r="N285" s="22"/>
      <c r="O285" s="22"/>
      <c r="P285" s="22"/>
    </row>
    <row r="286" ht="15.75" customHeight="1">
      <c r="A286" s="17"/>
      <c r="B286" s="17" t="s">
        <v>156</v>
      </c>
      <c r="C286" s="17" t="s">
        <v>394</v>
      </c>
      <c r="D286" s="17" t="s">
        <v>370</v>
      </c>
      <c r="E286" s="17" t="s">
        <v>123</v>
      </c>
      <c r="F286" s="17" t="s">
        <v>118</v>
      </c>
      <c r="G286" s="87">
        <v>9000.0</v>
      </c>
      <c r="H286" s="101">
        <v>990000.0</v>
      </c>
      <c r="I286" s="59" t="s">
        <v>42</v>
      </c>
      <c r="J286" s="101">
        <v>550000.0</v>
      </c>
      <c r="K286" s="58" t="s">
        <v>42</v>
      </c>
      <c r="L286" s="58">
        <f t="shared" ref="L286:L292" si="33">H286-J286</f>
        <v>440000</v>
      </c>
      <c r="M286" s="101"/>
      <c r="N286" s="22"/>
      <c r="O286" s="22"/>
      <c r="P286" s="22"/>
    </row>
    <row r="287" ht="15.75" customHeight="1">
      <c r="A287" s="17"/>
      <c r="B287" s="17" t="s">
        <v>159</v>
      </c>
      <c r="C287" s="17" t="s">
        <v>394</v>
      </c>
      <c r="D287" s="17" t="s">
        <v>370</v>
      </c>
      <c r="E287" s="17" t="s">
        <v>383</v>
      </c>
      <c r="F287" s="17" t="s">
        <v>161</v>
      </c>
      <c r="G287" s="87">
        <v>9000.0</v>
      </c>
      <c r="H287" s="101">
        <v>1215000.0</v>
      </c>
      <c r="I287" s="59" t="s">
        <v>44</v>
      </c>
      <c r="J287" s="101">
        <v>750000.0</v>
      </c>
      <c r="K287" s="58" t="s">
        <v>42</v>
      </c>
      <c r="L287" s="58">
        <f t="shared" si="33"/>
        <v>465000</v>
      </c>
      <c r="M287" s="101">
        <v>795000.0</v>
      </c>
      <c r="N287" s="22"/>
      <c r="O287" s="22"/>
      <c r="P287" s="22"/>
    </row>
    <row r="288" ht="15.75" customHeight="1">
      <c r="A288" s="17"/>
      <c r="B288" s="17" t="s">
        <v>162</v>
      </c>
      <c r="C288" s="17" t="s">
        <v>394</v>
      </c>
      <c r="D288" s="17" t="s">
        <v>370</v>
      </c>
      <c r="E288" s="17" t="s">
        <v>30</v>
      </c>
      <c r="F288" s="17" t="s">
        <v>161</v>
      </c>
      <c r="G288" s="87">
        <v>9000.0</v>
      </c>
      <c r="H288" s="101">
        <v>1215000.0</v>
      </c>
      <c r="I288" s="59" t="s">
        <v>44</v>
      </c>
      <c r="J288" s="101">
        <v>700000.0</v>
      </c>
      <c r="K288" s="58" t="s">
        <v>42</v>
      </c>
      <c r="L288" s="58">
        <f t="shared" si="33"/>
        <v>515000</v>
      </c>
      <c r="M288" s="101"/>
    </row>
    <row r="289" ht="15.75" customHeight="1">
      <c r="A289" s="17"/>
      <c r="B289" s="17" t="s">
        <v>163</v>
      </c>
      <c r="C289" s="17" t="s">
        <v>394</v>
      </c>
      <c r="D289" s="17" t="s">
        <v>370</v>
      </c>
      <c r="E289" s="17" t="s">
        <v>30</v>
      </c>
      <c r="F289" s="17" t="s">
        <v>463</v>
      </c>
      <c r="G289" s="87">
        <v>9000.0</v>
      </c>
      <c r="H289" s="101">
        <v>1170000.0</v>
      </c>
      <c r="I289" s="59" t="s">
        <v>42</v>
      </c>
      <c r="J289" s="101">
        <v>640000.0</v>
      </c>
      <c r="K289" s="58" t="s">
        <v>42</v>
      </c>
      <c r="L289" s="58">
        <f t="shared" si="33"/>
        <v>530000</v>
      </c>
      <c r="M289" s="101">
        <v>930000.0</v>
      </c>
    </row>
    <row r="290" ht="15.75" customHeight="1">
      <c r="A290" s="17"/>
      <c r="B290" s="17" t="s">
        <v>164</v>
      </c>
      <c r="C290" s="17" t="s">
        <v>394</v>
      </c>
      <c r="D290" s="17" t="s">
        <v>370</v>
      </c>
      <c r="E290" s="17" t="s">
        <v>45</v>
      </c>
      <c r="F290" s="17" t="s">
        <v>103</v>
      </c>
      <c r="G290" s="87">
        <v>9000.0</v>
      </c>
      <c r="H290" s="101">
        <v>675000.0</v>
      </c>
      <c r="I290" s="59" t="s">
        <v>42</v>
      </c>
      <c r="J290" s="101">
        <v>425000.0</v>
      </c>
      <c r="K290" s="58" t="s">
        <v>42</v>
      </c>
      <c r="L290" s="58">
        <f t="shared" si="33"/>
        <v>250000</v>
      </c>
      <c r="M290" s="101"/>
    </row>
    <row r="291" ht="15.75" customHeight="1">
      <c r="A291" s="17"/>
      <c r="B291" s="17" t="s">
        <v>166</v>
      </c>
      <c r="C291" s="17" t="s">
        <v>394</v>
      </c>
      <c r="D291" s="17" t="s">
        <v>370</v>
      </c>
      <c r="E291" s="17" t="s">
        <v>30</v>
      </c>
      <c r="F291" s="17" t="s">
        <v>41</v>
      </c>
      <c r="G291" s="87">
        <v>9000.0</v>
      </c>
      <c r="H291" s="101">
        <v>1440000.0</v>
      </c>
      <c r="I291" s="59" t="s">
        <v>44</v>
      </c>
      <c r="J291" s="101">
        <v>900000.0</v>
      </c>
      <c r="K291" s="58" t="s">
        <v>42</v>
      </c>
      <c r="L291" s="58">
        <f t="shared" si="33"/>
        <v>540000</v>
      </c>
      <c r="M291" s="101"/>
    </row>
    <row r="292" ht="15.75" customHeight="1">
      <c r="A292" s="17"/>
      <c r="B292" s="17" t="s">
        <v>464</v>
      </c>
      <c r="C292" s="17" t="s">
        <v>394</v>
      </c>
      <c r="D292" s="17" t="s">
        <v>370</v>
      </c>
      <c r="E292" s="17" t="s">
        <v>40</v>
      </c>
      <c r="F292" s="17" t="s">
        <v>465</v>
      </c>
      <c r="G292" s="87">
        <v>10000.0</v>
      </c>
      <c r="H292" s="101">
        <v>750000.0</v>
      </c>
      <c r="I292" s="59" t="s">
        <v>42</v>
      </c>
      <c r="J292" s="101">
        <v>425000.0</v>
      </c>
      <c r="K292" s="58" t="s">
        <v>42</v>
      </c>
      <c r="L292" s="58">
        <f t="shared" si="33"/>
        <v>325000</v>
      </c>
      <c r="M292" s="101">
        <v>200000.0</v>
      </c>
    </row>
    <row r="293" ht="15.75" customHeight="1">
      <c r="A293" s="17"/>
      <c r="B293" s="17"/>
      <c r="C293" s="17"/>
      <c r="D293" s="17"/>
      <c r="E293" s="17"/>
      <c r="F293" s="17"/>
      <c r="G293" s="57"/>
      <c r="H293" s="101"/>
      <c r="I293" s="59"/>
      <c r="J293" s="101"/>
      <c r="K293" s="58"/>
      <c r="L293" s="52">
        <f t="shared" ref="L293:M293" si="34">SUM(L269:L292)</f>
        <v>9365000</v>
      </c>
      <c r="M293" s="194">
        <f t="shared" si="34"/>
        <v>22780000</v>
      </c>
    </row>
    <row r="294" ht="15.75" customHeight="1">
      <c r="A294" s="169"/>
      <c r="B294" s="169"/>
      <c r="C294" s="169"/>
      <c r="D294" s="169"/>
      <c r="E294" s="169"/>
      <c r="F294" s="169"/>
      <c r="G294" s="170"/>
      <c r="H294" s="101"/>
      <c r="I294" s="171"/>
      <c r="J294" s="172"/>
      <c r="K294" s="173"/>
      <c r="L294" s="33">
        <f>L293-M293</f>
        <v>-13415000</v>
      </c>
      <c r="M294" s="172"/>
    </row>
    <row r="295" ht="15.75" customHeight="1">
      <c r="A295" s="169"/>
      <c r="B295" s="169"/>
      <c r="C295" s="169"/>
      <c r="D295" s="169"/>
      <c r="E295" s="169"/>
      <c r="F295" s="169"/>
      <c r="G295" s="170"/>
      <c r="H295" s="101"/>
      <c r="I295" s="171"/>
      <c r="J295" s="172"/>
      <c r="K295" s="173"/>
      <c r="L295" s="173"/>
      <c r="M295" s="172"/>
    </row>
    <row r="296" ht="22.5" customHeight="1">
      <c r="A296" s="89"/>
      <c r="B296" s="89" t="s">
        <v>0</v>
      </c>
      <c r="C296" s="89" t="s">
        <v>1</v>
      </c>
      <c r="D296" s="89" t="s">
        <v>2</v>
      </c>
      <c r="E296" s="90" t="s">
        <v>3</v>
      </c>
      <c r="F296" s="89" t="s">
        <v>4</v>
      </c>
      <c r="G296" s="91" t="s">
        <v>5</v>
      </c>
      <c r="H296" s="120" t="s">
        <v>6</v>
      </c>
      <c r="I296" s="92" t="s">
        <v>39</v>
      </c>
      <c r="J296" s="120" t="s">
        <v>7</v>
      </c>
      <c r="K296" s="91" t="s">
        <v>39</v>
      </c>
      <c r="L296" s="92" t="s">
        <v>8</v>
      </c>
      <c r="M296" s="120" t="s">
        <v>9</v>
      </c>
    </row>
    <row r="297" ht="15.75" customHeight="1">
      <c r="A297" s="17"/>
      <c r="B297" s="17" t="s">
        <v>168</v>
      </c>
      <c r="C297" s="17" t="s">
        <v>394</v>
      </c>
      <c r="D297" s="17" t="s">
        <v>370</v>
      </c>
      <c r="E297" s="17" t="s">
        <v>30</v>
      </c>
      <c r="F297" s="17" t="s">
        <v>107</v>
      </c>
      <c r="G297" s="87">
        <v>9000.0</v>
      </c>
      <c r="H297" s="101">
        <v>1125000.0</v>
      </c>
      <c r="I297" s="59" t="s">
        <v>42</v>
      </c>
      <c r="J297" s="101">
        <v>640000.0</v>
      </c>
      <c r="K297" s="58" t="s">
        <v>42</v>
      </c>
      <c r="L297" s="58">
        <f t="shared" ref="L297:L313" si="35">H297-J297</f>
        <v>485000</v>
      </c>
      <c r="M297" s="101">
        <v>375000.0</v>
      </c>
    </row>
    <row r="298" ht="15.75" customHeight="1">
      <c r="A298" s="17"/>
      <c r="B298" s="17" t="s">
        <v>169</v>
      </c>
      <c r="C298" s="17" t="s">
        <v>394</v>
      </c>
      <c r="D298" s="17" t="s">
        <v>370</v>
      </c>
      <c r="E298" s="17" t="s">
        <v>37</v>
      </c>
      <c r="F298" s="17" t="s">
        <v>466</v>
      </c>
      <c r="G298" s="87">
        <v>9000.0</v>
      </c>
      <c r="H298" s="101">
        <v>765000.0</v>
      </c>
      <c r="I298" s="59" t="s">
        <v>44</v>
      </c>
      <c r="J298" s="101">
        <v>450000.0</v>
      </c>
      <c r="K298" s="58" t="s">
        <v>42</v>
      </c>
      <c r="L298" s="58">
        <f t="shared" si="35"/>
        <v>315000</v>
      </c>
      <c r="M298" s="101">
        <v>0.0</v>
      </c>
    </row>
    <row r="299" ht="15.75" customHeight="1">
      <c r="A299" s="17"/>
      <c r="B299" s="17" t="s">
        <v>177</v>
      </c>
      <c r="C299" s="17" t="s">
        <v>467</v>
      </c>
      <c r="D299" s="17" t="s">
        <v>370</v>
      </c>
      <c r="E299" s="17" t="s">
        <v>37</v>
      </c>
      <c r="F299" s="17" t="s">
        <v>43</v>
      </c>
      <c r="G299" s="87">
        <v>10000.0</v>
      </c>
      <c r="H299" s="101">
        <v>1500000.0</v>
      </c>
      <c r="I299" s="59" t="s">
        <v>44</v>
      </c>
      <c r="J299" s="101">
        <v>850000.0</v>
      </c>
      <c r="K299" s="58" t="s">
        <v>42</v>
      </c>
      <c r="L299" s="58">
        <f t="shared" si="35"/>
        <v>650000</v>
      </c>
      <c r="M299" s="101">
        <v>2160000.0</v>
      </c>
    </row>
    <row r="300" ht="15.75" customHeight="1">
      <c r="A300" s="17"/>
      <c r="B300" s="17" t="s">
        <v>179</v>
      </c>
      <c r="C300" s="17" t="s">
        <v>467</v>
      </c>
      <c r="D300" s="17" t="s">
        <v>370</v>
      </c>
      <c r="E300" s="17" t="s">
        <v>383</v>
      </c>
      <c r="F300" s="17" t="s">
        <v>461</v>
      </c>
      <c r="G300" s="87">
        <v>9000.0</v>
      </c>
      <c r="H300" s="101">
        <v>900000.0</v>
      </c>
      <c r="I300" s="96" t="s">
        <v>42</v>
      </c>
      <c r="J300" s="101">
        <v>575000.0</v>
      </c>
      <c r="K300" s="58" t="s">
        <v>42</v>
      </c>
      <c r="L300" s="58">
        <f t="shared" si="35"/>
        <v>325000</v>
      </c>
      <c r="M300" s="101">
        <v>276000.0</v>
      </c>
    </row>
    <row r="301" ht="15.75" customHeight="1">
      <c r="A301" s="17"/>
      <c r="B301" s="17" t="s">
        <v>180</v>
      </c>
      <c r="C301" s="17" t="s">
        <v>467</v>
      </c>
      <c r="D301" s="17" t="s">
        <v>370</v>
      </c>
      <c r="E301" s="17" t="s">
        <v>40</v>
      </c>
      <c r="F301" s="17" t="s">
        <v>43</v>
      </c>
      <c r="G301" s="87">
        <v>10000.0</v>
      </c>
      <c r="H301" s="101">
        <v>1500000.0</v>
      </c>
      <c r="I301" s="59" t="s">
        <v>44</v>
      </c>
      <c r="J301" s="101">
        <v>850000.0</v>
      </c>
      <c r="K301" s="58" t="s">
        <v>42</v>
      </c>
      <c r="L301" s="58">
        <f t="shared" si="35"/>
        <v>650000</v>
      </c>
      <c r="M301" s="101">
        <v>0.0</v>
      </c>
    </row>
    <row r="302" ht="15.75" customHeight="1">
      <c r="A302" s="17"/>
      <c r="B302" s="17" t="s">
        <v>183</v>
      </c>
      <c r="C302" s="17" t="s">
        <v>467</v>
      </c>
      <c r="D302" s="17" t="s">
        <v>370</v>
      </c>
      <c r="E302" s="17" t="s">
        <v>37</v>
      </c>
      <c r="F302" s="17" t="s">
        <v>43</v>
      </c>
      <c r="G302" s="87">
        <v>10000.0</v>
      </c>
      <c r="H302" s="101">
        <v>1500000.0</v>
      </c>
      <c r="I302" s="59" t="s">
        <v>44</v>
      </c>
      <c r="J302" s="101">
        <v>850000.0</v>
      </c>
      <c r="K302" s="58" t="s">
        <v>44</v>
      </c>
      <c r="L302" s="58">
        <f t="shared" si="35"/>
        <v>650000</v>
      </c>
      <c r="M302" s="101">
        <v>0.0</v>
      </c>
    </row>
    <row r="303" ht="15.75" customHeight="1">
      <c r="A303" s="17"/>
      <c r="B303" s="17" t="s">
        <v>185</v>
      </c>
      <c r="C303" s="17" t="s">
        <v>467</v>
      </c>
      <c r="D303" s="17" t="s">
        <v>370</v>
      </c>
      <c r="E303" s="17" t="s">
        <v>30</v>
      </c>
      <c r="F303" s="17" t="s">
        <v>468</v>
      </c>
      <c r="G303" s="87">
        <v>9000.0</v>
      </c>
      <c r="H303" s="101">
        <v>1100000.0</v>
      </c>
      <c r="I303" s="96" t="s">
        <v>42</v>
      </c>
      <c r="J303" s="101">
        <v>650000.0</v>
      </c>
      <c r="K303" s="58" t="s">
        <v>42</v>
      </c>
      <c r="L303" s="58">
        <f t="shared" si="35"/>
        <v>450000</v>
      </c>
      <c r="M303" s="101">
        <v>0.0</v>
      </c>
    </row>
    <row r="304" ht="15.75" customHeight="1">
      <c r="A304" s="17"/>
      <c r="B304" s="17" t="s">
        <v>469</v>
      </c>
      <c r="C304" s="17" t="s">
        <v>467</v>
      </c>
      <c r="D304" s="17" t="s">
        <v>370</v>
      </c>
      <c r="E304" s="17" t="s">
        <v>40</v>
      </c>
      <c r="F304" s="17" t="s">
        <v>43</v>
      </c>
      <c r="G304" s="87">
        <v>10000.0</v>
      </c>
      <c r="H304" s="101">
        <v>1500000.0</v>
      </c>
      <c r="I304" s="59" t="s">
        <v>44</v>
      </c>
      <c r="J304" s="101">
        <v>850000.0</v>
      </c>
      <c r="K304" s="60" t="s">
        <v>42</v>
      </c>
      <c r="L304" s="58">
        <f t="shared" si="35"/>
        <v>650000</v>
      </c>
      <c r="M304" s="101">
        <v>1117000.0</v>
      </c>
    </row>
    <row r="305" ht="15.75" customHeight="1">
      <c r="A305" s="17"/>
      <c r="B305" s="17" t="s">
        <v>470</v>
      </c>
      <c r="C305" s="17" t="s">
        <v>467</v>
      </c>
      <c r="D305" s="17" t="s">
        <v>370</v>
      </c>
      <c r="E305" s="17" t="s">
        <v>40</v>
      </c>
      <c r="F305" s="17" t="s">
        <v>107</v>
      </c>
      <c r="G305" s="87">
        <v>9000.0</v>
      </c>
      <c r="H305" s="101">
        <v>1125000.0</v>
      </c>
      <c r="I305" s="96" t="s">
        <v>42</v>
      </c>
      <c r="J305" s="101">
        <v>640000.0</v>
      </c>
      <c r="K305" s="60" t="s">
        <v>42</v>
      </c>
      <c r="L305" s="58">
        <f t="shared" si="35"/>
        <v>485000</v>
      </c>
      <c r="M305" s="101">
        <v>398000.0</v>
      </c>
    </row>
    <row r="306" ht="15.75" customHeight="1">
      <c r="A306" s="17"/>
      <c r="B306" s="17" t="s">
        <v>471</v>
      </c>
      <c r="C306" s="17" t="s">
        <v>467</v>
      </c>
      <c r="D306" s="17" t="s">
        <v>370</v>
      </c>
      <c r="E306" s="17" t="s">
        <v>30</v>
      </c>
      <c r="F306" s="17" t="s">
        <v>55</v>
      </c>
      <c r="G306" s="87">
        <v>9000.0</v>
      </c>
      <c r="H306" s="101">
        <v>1305000.0</v>
      </c>
      <c r="I306" s="59" t="s">
        <v>44</v>
      </c>
      <c r="J306" s="101">
        <v>725000.0</v>
      </c>
      <c r="K306" s="60" t="s">
        <v>42</v>
      </c>
      <c r="L306" s="58">
        <f t="shared" si="35"/>
        <v>580000</v>
      </c>
      <c r="M306" s="101">
        <v>0.0</v>
      </c>
    </row>
    <row r="307" ht="15.75" customHeight="1">
      <c r="A307" s="17"/>
      <c r="B307" s="17" t="s">
        <v>186</v>
      </c>
      <c r="C307" s="17" t="s">
        <v>467</v>
      </c>
      <c r="D307" s="17" t="s">
        <v>370</v>
      </c>
      <c r="E307" s="17" t="s">
        <v>30</v>
      </c>
      <c r="F307" s="17" t="s">
        <v>41</v>
      </c>
      <c r="G307" s="87">
        <v>9000.0</v>
      </c>
      <c r="H307" s="101">
        <v>1440000.0</v>
      </c>
      <c r="I307" s="59" t="s">
        <v>44</v>
      </c>
      <c r="J307" s="101">
        <v>900000.0</v>
      </c>
      <c r="K307" s="60" t="s">
        <v>42</v>
      </c>
      <c r="L307" s="58">
        <f t="shared" si="35"/>
        <v>540000</v>
      </c>
      <c r="M307" s="101">
        <v>0.0</v>
      </c>
    </row>
    <row r="308" ht="15.75" customHeight="1">
      <c r="A308" s="17"/>
      <c r="B308" s="17" t="s">
        <v>187</v>
      </c>
      <c r="C308" s="17" t="s">
        <v>467</v>
      </c>
      <c r="D308" s="17" t="s">
        <v>370</v>
      </c>
      <c r="E308" s="17" t="s">
        <v>30</v>
      </c>
      <c r="F308" s="17" t="s">
        <v>472</v>
      </c>
      <c r="G308" s="87">
        <v>9000.0</v>
      </c>
      <c r="H308" s="101">
        <v>675000.0</v>
      </c>
      <c r="I308" s="59" t="s">
        <v>44</v>
      </c>
      <c r="J308" s="101">
        <v>375000.0</v>
      </c>
      <c r="K308" s="60" t="s">
        <v>42</v>
      </c>
      <c r="L308" s="58">
        <f t="shared" si="35"/>
        <v>300000</v>
      </c>
      <c r="M308" s="101">
        <v>100000.0</v>
      </c>
    </row>
    <row r="309" ht="15.75" customHeight="1">
      <c r="A309" s="17"/>
      <c r="B309" s="17" t="s">
        <v>188</v>
      </c>
      <c r="C309" s="17" t="s">
        <v>467</v>
      </c>
      <c r="D309" s="17" t="s">
        <v>370</v>
      </c>
      <c r="E309" s="17" t="s">
        <v>40</v>
      </c>
      <c r="F309" s="17" t="s">
        <v>107</v>
      </c>
      <c r="G309" s="87">
        <v>9000.0</v>
      </c>
      <c r="H309" s="101">
        <v>1125000.0</v>
      </c>
      <c r="I309" s="96" t="s">
        <v>42</v>
      </c>
      <c r="J309" s="101">
        <v>640000.0</v>
      </c>
      <c r="K309" s="60" t="s">
        <v>42</v>
      </c>
      <c r="L309" s="58">
        <f t="shared" si="35"/>
        <v>485000</v>
      </c>
      <c r="M309" s="101">
        <v>0.0</v>
      </c>
    </row>
    <row r="310" ht="15.75" customHeight="1">
      <c r="A310" s="17"/>
      <c r="B310" s="17" t="s">
        <v>189</v>
      </c>
      <c r="C310" s="17" t="s">
        <v>467</v>
      </c>
      <c r="D310" s="17" t="s">
        <v>370</v>
      </c>
      <c r="E310" s="17" t="s">
        <v>40</v>
      </c>
      <c r="F310" s="17" t="s">
        <v>43</v>
      </c>
      <c r="G310" s="87">
        <v>10000.0</v>
      </c>
      <c r="H310" s="101">
        <v>1500000.0</v>
      </c>
      <c r="I310" s="59" t="s">
        <v>44</v>
      </c>
      <c r="J310" s="101">
        <v>850000.0</v>
      </c>
      <c r="K310" s="60" t="s">
        <v>42</v>
      </c>
      <c r="L310" s="58">
        <f t="shared" si="35"/>
        <v>650000</v>
      </c>
      <c r="M310" s="101">
        <v>35000.0</v>
      </c>
    </row>
    <row r="311" ht="15.75" customHeight="1">
      <c r="A311" s="17"/>
      <c r="B311" s="17" t="s">
        <v>190</v>
      </c>
      <c r="C311" s="17" t="s">
        <v>467</v>
      </c>
      <c r="D311" s="17" t="s">
        <v>370</v>
      </c>
      <c r="E311" s="17" t="s">
        <v>40</v>
      </c>
      <c r="F311" s="17" t="s">
        <v>473</v>
      </c>
      <c r="G311" s="87">
        <v>9000.0</v>
      </c>
      <c r="H311" s="101">
        <v>1035000.0</v>
      </c>
      <c r="I311" s="96" t="s">
        <v>42</v>
      </c>
      <c r="J311" s="101">
        <v>600000.0</v>
      </c>
      <c r="K311" s="60" t="s">
        <v>42</v>
      </c>
      <c r="L311" s="58">
        <f t="shared" si="35"/>
        <v>435000</v>
      </c>
      <c r="M311" s="101">
        <v>0.0</v>
      </c>
    </row>
    <row r="312" ht="15.75" customHeight="1">
      <c r="A312" s="17"/>
      <c r="B312" s="17" t="s">
        <v>192</v>
      </c>
      <c r="C312" s="17" t="s">
        <v>467</v>
      </c>
      <c r="D312" s="17" t="s">
        <v>370</v>
      </c>
      <c r="E312" s="17" t="s">
        <v>30</v>
      </c>
      <c r="F312" s="17" t="s">
        <v>474</v>
      </c>
      <c r="G312" s="87">
        <v>9000.0</v>
      </c>
      <c r="H312" s="101">
        <v>675000.0</v>
      </c>
      <c r="I312" s="96" t="s">
        <v>42</v>
      </c>
      <c r="J312" s="101">
        <v>350000.0</v>
      </c>
      <c r="K312" s="60" t="s">
        <v>42</v>
      </c>
      <c r="L312" s="58">
        <f t="shared" si="35"/>
        <v>325000</v>
      </c>
      <c r="M312" s="101">
        <v>850000.0</v>
      </c>
    </row>
    <row r="313" ht="15.75" customHeight="1">
      <c r="A313" s="17"/>
      <c r="B313" s="17" t="s">
        <v>193</v>
      </c>
      <c r="C313" s="17" t="s">
        <v>467</v>
      </c>
      <c r="D313" s="17" t="s">
        <v>370</v>
      </c>
      <c r="E313" s="17" t="s">
        <v>40</v>
      </c>
      <c r="F313" s="17" t="s">
        <v>43</v>
      </c>
      <c r="G313" s="87">
        <v>10000.0</v>
      </c>
      <c r="H313" s="101">
        <v>1500000.0</v>
      </c>
      <c r="I313" s="59" t="s">
        <v>44</v>
      </c>
      <c r="J313" s="101">
        <v>850000.0</v>
      </c>
      <c r="K313" s="60" t="s">
        <v>42</v>
      </c>
      <c r="L313" s="58">
        <f t="shared" si="35"/>
        <v>650000</v>
      </c>
      <c r="M313" s="101">
        <v>480000.0</v>
      </c>
    </row>
    <row r="314" ht="15.75" customHeight="1">
      <c r="A314" s="17"/>
      <c r="B314" s="17"/>
      <c r="C314" s="169"/>
      <c r="D314" s="169"/>
      <c r="E314" s="17"/>
      <c r="F314" s="17"/>
      <c r="G314" s="170"/>
      <c r="H314" s="101"/>
      <c r="I314" s="171"/>
      <c r="J314" s="172"/>
      <c r="K314" s="173"/>
      <c r="L314" s="52">
        <f t="shared" ref="L314:M314" si="36">SUM(L297:L313)</f>
        <v>8625000</v>
      </c>
      <c r="M314" s="194">
        <f t="shared" si="36"/>
        <v>5791000</v>
      </c>
    </row>
    <row r="315" ht="15.75" customHeight="1">
      <c r="A315" s="169"/>
      <c r="B315" s="169"/>
      <c r="C315" s="169"/>
      <c r="D315" s="169"/>
      <c r="E315" s="17"/>
      <c r="F315" s="17"/>
      <c r="G315" s="170"/>
      <c r="H315" s="101"/>
      <c r="I315" s="171"/>
      <c r="J315" s="172"/>
      <c r="K315" s="173"/>
      <c r="L315" s="33">
        <f>L314-M314</f>
        <v>2834000</v>
      </c>
      <c r="M315" s="172"/>
    </row>
    <row r="316" ht="15.75" customHeight="1">
      <c r="A316" s="169"/>
      <c r="B316" s="169"/>
      <c r="C316" s="169"/>
      <c r="D316" s="169"/>
      <c r="E316" s="17"/>
      <c r="F316" s="17"/>
      <c r="G316" s="170"/>
      <c r="H316" s="101"/>
      <c r="I316" s="171"/>
      <c r="J316" s="172"/>
      <c r="K316" s="173"/>
      <c r="L316" s="173"/>
      <c r="M316" s="172"/>
    </row>
    <row r="317" ht="24.0" customHeight="1">
      <c r="A317" s="89"/>
      <c r="B317" s="89" t="s">
        <v>0</v>
      </c>
      <c r="C317" s="89" t="s">
        <v>1</v>
      </c>
      <c r="D317" s="89" t="s">
        <v>2</v>
      </c>
      <c r="E317" s="90" t="s">
        <v>3</v>
      </c>
      <c r="F317" s="89" t="s">
        <v>4</v>
      </c>
      <c r="G317" s="91" t="s">
        <v>5</v>
      </c>
      <c r="H317" s="120" t="s">
        <v>6</v>
      </c>
      <c r="I317" s="92" t="s">
        <v>39</v>
      </c>
      <c r="J317" s="120" t="s">
        <v>7</v>
      </c>
      <c r="K317" s="91" t="s">
        <v>39</v>
      </c>
      <c r="L317" s="92" t="s">
        <v>8</v>
      </c>
      <c r="M317" s="120" t="s">
        <v>9</v>
      </c>
    </row>
    <row r="318" ht="15.75" customHeight="1">
      <c r="A318" s="86"/>
      <c r="B318" s="86">
        <v>45539.0</v>
      </c>
      <c r="C318" s="17" t="s">
        <v>475</v>
      </c>
      <c r="D318" s="17" t="s">
        <v>370</v>
      </c>
      <c r="E318" s="17" t="s">
        <v>99</v>
      </c>
      <c r="F318" s="17" t="s">
        <v>161</v>
      </c>
      <c r="G318" s="87">
        <v>9000.0</v>
      </c>
      <c r="H318" s="101">
        <v>1215000.0</v>
      </c>
      <c r="I318" s="96" t="s">
        <v>44</v>
      </c>
      <c r="J318" s="101">
        <v>700000.0</v>
      </c>
      <c r="K318" s="58" t="s">
        <v>44</v>
      </c>
      <c r="L318" s="58">
        <f t="shared" ref="L318:L335" si="37">H318-J318</f>
        <v>515000</v>
      </c>
      <c r="M318" s="101"/>
    </row>
    <row r="319" ht="15.75" customHeight="1">
      <c r="A319" s="86"/>
      <c r="B319" s="86">
        <v>45540.0</v>
      </c>
      <c r="C319" s="17" t="s">
        <v>475</v>
      </c>
      <c r="D319" s="17" t="s">
        <v>370</v>
      </c>
      <c r="E319" s="17" t="s">
        <v>30</v>
      </c>
      <c r="F319" s="17" t="s">
        <v>476</v>
      </c>
      <c r="G319" s="87">
        <v>9000.0</v>
      </c>
      <c r="H319" s="101">
        <v>765000.0</v>
      </c>
      <c r="I319" s="96" t="s">
        <v>44</v>
      </c>
      <c r="J319" s="101">
        <v>450000.0</v>
      </c>
      <c r="K319" s="60" t="s">
        <v>42</v>
      </c>
      <c r="L319" s="58">
        <f t="shared" si="37"/>
        <v>315000</v>
      </c>
      <c r="M319" s="101"/>
    </row>
    <row r="320" ht="15.75" customHeight="1">
      <c r="A320" s="86"/>
      <c r="B320" s="86">
        <v>45541.0</v>
      </c>
      <c r="C320" s="17" t="s">
        <v>475</v>
      </c>
      <c r="D320" s="17" t="s">
        <v>370</v>
      </c>
      <c r="E320" s="17" t="s">
        <v>123</v>
      </c>
      <c r="F320" s="98" t="s">
        <v>408</v>
      </c>
      <c r="G320" s="87">
        <v>9000.0</v>
      </c>
      <c r="H320" s="101">
        <v>720000.0</v>
      </c>
      <c r="I320" s="96" t="s">
        <v>42</v>
      </c>
      <c r="J320" s="101">
        <v>350000.0</v>
      </c>
      <c r="K320" s="58" t="s">
        <v>44</v>
      </c>
      <c r="L320" s="58">
        <f t="shared" si="37"/>
        <v>370000</v>
      </c>
      <c r="M320" s="101"/>
    </row>
    <row r="321" ht="15.75" customHeight="1">
      <c r="A321" s="86"/>
      <c r="B321" s="86">
        <v>45541.0</v>
      </c>
      <c r="C321" s="17" t="s">
        <v>475</v>
      </c>
      <c r="D321" s="17" t="s">
        <v>370</v>
      </c>
      <c r="E321" s="17" t="s">
        <v>40</v>
      </c>
      <c r="F321" s="17" t="s">
        <v>133</v>
      </c>
      <c r="G321" s="87">
        <v>10000.0</v>
      </c>
      <c r="H321" s="101">
        <v>1100000.0</v>
      </c>
      <c r="I321" s="96" t="s">
        <v>44</v>
      </c>
      <c r="J321" s="101">
        <v>600000.0</v>
      </c>
      <c r="K321" s="60" t="s">
        <v>42</v>
      </c>
      <c r="L321" s="58">
        <f t="shared" si="37"/>
        <v>500000</v>
      </c>
      <c r="M321" s="101"/>
    </row>
    <row r="322" ht="15.75" customHeight="1">
      <c r="A322" s="86"/>
      <c r="B322" s="86">
        <v>45542.0</v>
      </c>
      <c r="C322" s="17" t="s">
        <v>475</v>
      </c>
      <c r="D322" s="17" t="s">
        <v>370</v>
      </c>
      <c r="E322" s="17" t="s">
        <v>30</v>
      </c>
      <c r="F322" s="17" t="s">
        <v>200</v>
      </c>
      <c r="G322" s="87">
        <v>1050.0</v>
      </c>
      <c r="H322" s="101">
        <v>141750.0</v>
      </c>
      <c r="I322" s="96" t="s">
        <v>44</v>
      </c>
      <c r="J322" s="101">
        <v>640000.0</v>
      </c>
      <c r="K322" s="58" t="s">
        <v>44</v>
      </c>
      <c r="L322" s="58">
        <f t="shared" si="37"/>
        <v>-498250</v>
      </c>
      <c r="M322" s="101"/>
    </row>
    <row r="323" ht="15.75" customHeight="1">
      <c r="A323" s="86"/>
      <c r="B323" s="86">
        <v>45545.0</v>
      </c>
      <c r="C323" s="17" t="s">
        <v>475</v>
      </c>
      <c r="D323" s="17" t="s">
        <v>370</v>
      </c>
      <c r="E323" s="17" t="s">
        <v>40</v>
      </c>
      <c r="F323" s="17" t="s">
        <v>477</v>
      </c>
      <c r="G323" s="87">
        <v>9000.0</v>
      </c>
      <c r="H323" s="101">
        <v>720000.0</v>
      </c>
      <c r="I323" s="96" t="s">
        <v>44</v>
      </c>
      <c r="J323" s="101">
        <v>350000.0</v>
      </c>
      <c r="K323" s="60" t="s">
        <v>42</v>
      </c>
      <c r="L323" s="58">
        <f t="shared" si="37"/>
        <v>370000</v>
      </c>
      <c r="M323" s="101"/>
    </row>
    <row r="324" ht="15.75" customHeight="1">
      <c r="A324" s="86"/>
      <c r="B324" s="86">
        <v>45546.0</v>
      </c>
      <c r="C324" s="17" t="s">
        <v>475</v>
      </c>
      <c r="D324" s="17" t="s">
        <v>370</v>
      </c>
      <c r="E324" s="17" t="s">
        <v>40</v>
      </c>
      <c r="F324" s="17" t="s">
        <v>478</v>
      </c>
      <c r="G324" s="87">
        <v>10000.0</v>
      </c>
      <c r="H324" s="101">
        <v>1000000.0</v>
      </c>
      <c r="I324" s="96" t="s">
        <v>42</v>
      </c>
      <c r="J324" s="101">
        <v>475000.0</v>
      </c>
      <c r="K324" s="60" t="s">
        <v>42</v>
      </c>
      <c r="L324" s="58">
        <f t="shared" si="37"/>
        <v>525000</v>
      </c>
      <c r="M324" s="101"/>
    </row>
    <row r="325" ht="15.75" customHeight="1">
      <c r="A325" s="86"/>
      <c r="B325" s="86">
        <v>45548.0</v>
      </c>
      <c r="C325" s="17" t="s">
        <v>475</v>
      </c>
      <c r="D325" s="17" t="s">
        <v>370</v>
      </c>
      <c r="E325" s="17" t="s">
        <v>30</v>
      </c>
      <c r="F325" s="17" t="s">
        <v>479</v>
      </c>
      <c r="G325" s="87">
        <v>9000.0</v>
      </c>
      <c r="H325" s="101">
        <v>990000.0</v>
      </c>
      <c r="I325" s="96" t="s">
        <v>42</v>
      </c>
      <c r="J325" s="101">
        <v>550000.0</v>
      </c>
      <c r="K325" s="60" t="s">
        <v>42</v>
      </c>
      <c r="L325" s="58">
        <f t="shared" si="37"/>
        <v>440000</v>
      </c>
      <c r="M325" s="101">
        <v>645000.0</v>
      </c>
    </row>
    <row r="326" ht="15.75" customHeight="1">
      <c r="A326" s="86"/>
      <c r="B326" s="86">
        <v>45552.0</v>
      </c>
      <c r="C326" s="17" t="s">
        <v>475</v>
      </c>
      <c r="D326" s="17" t="s">
        <v>370</v>
      </c>
      <c r="E326" s="17" t="s">
        <v>96</v>
      </c>
      <c r="F326" s="17" t="s">
        <v>480</v>
      </c>
      <c r="G326" s="87">
        <v>10000.0</v>
      </c>
      <c r="H326" s="101">
        <v>1500000.0</v>
      </c>
      <c r="I326" s="96" t="s">
        <v>44</v>
      </c>
      <c r="J326" s="101">
        <v>850000.0</v>
      </c>
      <c r="K326" s="60" t="s">
        <v>42</v>
      </c>
      <c r="L326" s="58">
        <f t="shared" si="37"/>
        <v>650000</v>
      </c>
      <c r="M326" s="101"/>
    </row>
    <row r="327" ht="15.75" customHeight="1">
      <c r="A327" s="86"/>
      <c r="B327" s="86">
        <v>45553.0</v>
      </c>
      <c r="C327" s="17" t="s">
        <v>475</v>
      </c>
      <c r="D327" s="17" t="s">
        <v>370</v>
      </c>
      <c r="E327" s="17" t="s">
        <v>37</v>
      </c>
      <c r="F327" s="17" t="s">
        <v>474</v>
      </c>
      <c r="G327" s="87">
        <v>9000.0</v>
      </c>
      <c r="H327" s="101">
        <v>675000.0</v>
      </c>
      <c r="I327" s="96" t="s">
        <v>42</v>
      </c>
      <c r="J327" s="101">
        <v>350000.0</v>
      </c>
      <c r="K327" s="60" t="s">
        <v>42</v>
      </c>
      <c r="L327" s="58">
        <f t="shared" si="37"/>
        <v>325000</v>
      </c>
      <c r="M327" s="101">
        <v>40000.0</v>
      </c>
    </row>
    <row r="328" ht="15.75" customHeight="1">
      <c r="A328" s="86"/>
      <c r="B328" s="86">
        <v>45554.0</v>
      </c>
      <c r="C328" s="17" t="s">
        <v>475</v>
      </c>
      <c r="D328" s="17" t="s">
        <v>370</v>
      </c>
      <c r="E328" s="17" t="s">
        <v>40</v>
      </c>
      <c r="F328" s="17" t="s">
        <v>481</v>
      </c>
      <c r="G328" s="87">
        <v>9000.0</v>
      </c>
      <c r="H328" s="101">
        <v>1350000.0</v>
      </c>
      <c r="I328" s="96" t="s">
        <v>42</v>
      </c>
      <c r="J328" s="101">
        <v>875000.0</v>
      </c>
      <c r="K328" s="60" t="s">
        <v>42</v>
      </c>
      <c r="L328" s="58">
        <f t="shared" si="37"/>
        <v>475000</v>
      </c>
      <c r="M328" s="101"/>
    </row>
    <row r="329" ht="15.75" customHeight="1">
      <c r="A329" s="86"/>
      <c r="B329" s="86">
        <v>45555.0</v>
      </c>
      <c r="C329" s="17" t="s">
        <v>475</v>
      </c>
      <c r="D329" s="17" t="s">
        <v>370</v>
      </c>
      <c r="E329" s="17" t="s">
        <v>482</v>
      </c>
      <c r="F329" s="17" t="s">
        <v>161</v>
      </c>
      <c r="G329" s="87">
        <v>9000.0</v>
      </c>
      <c r="H329" s="101">
        <v>1215000.0</v>
      </c>
      <c r="I329" s="96" t="s">
        <v>44</v>
      </c>
      <c r="J329" s="101">
        <v>700000.0</v>
      </c>
      <c r="K329" s="60" t="s">
        <v>42</v>
      </c>
      <c r="L329" s="58">
        <f t="shared" si="37"/>
        <v>515000</v>
      </c>
      <c r="M329" s="101">
        <v>97000.0</v>
      </c>
    </row>
    <row r="330" ht="15.75" customHeight="1">
      <c r="A330" s="86"/>
      <c r="B330" s="86">
        <v>45556.0</v>
      </c>
      <c r="C330" s="17" t="s">
        <v>475</v>
      </c>
      <c r="D330" s="17" t="s">
        <v>370</v>
      </c>
      <c r="E330" s="17" t="s">
        <v>37</v>
      </c>
      <c r="F330" s="17" t="s">
        <v>483</v>
      </c>
      <c r="G330" s="87">
        <v>9000.0</v>
      </c>
      <c r="H330" s="101">
        <v>1200000.0</v>
      </c>
      <c r="I330" s="96" t="s">
        <v>42</v>
      </c>
      <c r="J330" s="101">
        <v>640000.0</v>
      </c>
      <c r="K330" s="60" t="s">
        <v>42</v>
      </c>
      <c r="L330" s="58">
        <f t="shared" si="37"/>
        <v>560000</v>
      </c>
      <c r="M330" s="101">
        <v>275000.0</v>
      </c>
    </row>
    <row r="331" ht="15.75" customHeight="1">
      <c r="A331" s="86"/>
      <c r="B331" s="86">
        <v>45558.0</v>
      </c>
      <c r="C331" s="17" t="s">
        <v>475</v>
      </c>
      <c r="D331" s="17" t="s">
        <v>370</v>
      </c>
      <c r="E331" s="17" t="s">
        <v>484</v>
      </c>
      <c r="F331" s="17" t="s">
        <v>485</v>
      </c>
      <c r="G331" s="87">
        <v>1432968.0</v>
      </c>
      <c r="H331" s="101">
        <v>1100000.0</v>
      </c>
      <c r="I331" s="59" t="s">
        <v>44</v>
      </c>
      <c r="J331" s="101">
        <v>900000.0</v>
      </c>
      <c r="K331" s="60" t="s">
        <v>42</v>
      </c>
      <c r="L331" s="58">
        <f t="shared" si="37"/>
        <v>200000</v>
      </c>
      <c r="M331" s="101"/>
    </row>
    <row r="332" ht="15.75" customHeight="1">
      <c r="A332" s="86"/>
      <c r="B332" s="86">
        <v>45561.0</v>
      </c>
      <c r="C332" s="17" t="s">
        <v>475</v>
      </c>
      <c r="D332" s="17" t="s">
        <v>370</v>
      </c>
      <c r="E332" s="17" t="s">
        <v>40</v>
      </c>
      <c r="F332" s="17" t="s">
        <v>486</v>
      </c>
      <c r="G332" s="87">
        <v>9000.0</v>
      </c>
      <c r="H332" s="101">
        <v>1170000.0</v>
      </c>
      <c r="I332" s="59" t="s">
        <v>42</v>
      </c>
      <c r="J332" s="101">
        <v>640000.0</v>
      </c>
      <c r="K332" s="60" t="s">
        <v>42</v>
      </c>
      <c r="L332" s="58">
        <f t="shared" si="37"/>
        <v>530000</v>
      </c>
      <c r="M332" s="101"/>
    </row>
    <row r="333" ht="15.75" customHeight="1">
      <c r="A333" s="86"/>
      <c r="B333" s="86">
        <v>45562.0</v>
      </c>
      <c r="C333" s="17" t="s">
        <v>475</v>
      </c>
      <c r="D333" s="17" t="s">
        <v>370</v>
      </c>
      <c r="E333" s="17" t="s">
        <v>37</v>
      </c>
      <c r="F333" s="200" t="s">
        <v>487</v>
      </c>
      <c r="G333" s="87">
        <v>10000.0</v>
      </c>
      <c r="H333" s="101">
        <v>1500000.0</v>
      </c>
      <c r="I333" s="59" t="s">
        <v>44</v>
      </c>
      <c r="J333" s="101">
        <v>850000.0</v>
      </c>
      <c r="K333" s="60" t="s">
        <v>42</v>
      </c>
      <c r="L333" s="58">
        <f t="shared" si="37"/>
        <v>650000</v>
      </c>
      <c r="M333" s="101"/>
    </row>
    <row r="334" ht="15.75" customHeight="1">
      <c r="A334" s="86"/>
      <c r="B334" s="86">
        <v>45563.0</v>
      </c>
      <c r="C334" s="17" t="s">
        <v>475</v>
      </c>
      <c r="D334" s="17" t="s">
        <v>370</v>
      </c>
      <c r="E334" s="17" t="s">
        <v>85</v>
      </c>
      <c r="F334" s="17" t="s">
        <v>479</v>
      </c>
      <c r="G334" s="87">
        <v>9000.0</v>
      </c>
      <c r="H334" s="101">
        <v>1125000.0</v>
      </c>
      <c r="I334" s="59" t="s">
        <v>42</v>
      </c>
      <c r="J334" s="101">
        <v>640000.0</v>
      </c>
      <c r="K334" s="60" t="s">
        <v>42</v>
      </c>
      <c r="L334" s="58">
        <f t="shared" si="37"/>
        <v>485000</v>
      </c>
      <c r="M334" s="101"/>
    </row>
    <row r="335" ht="15.75" customHeight="1">
      <c r="A335" s="86"/>
      <c r="B335" s="86">
        <v>45565.0</v>
      </c>
      <c r="C335" s="17" t="s">
        <v>475</v>
      </c>
      <c r="D335" s="17" t="s">
        <v>370</v>
      </c>
      <c r="E335" s="17" t="s">
        <v>85</v>
      </c>
      <c r="F335" s="17" t="s">
        <v>55</v>
      </c>
      <c r="G335" s="87">
        <v>9000.0</v>
      </c>
      <c r="H335" s="101">
        <v>1305000.0</v>
      </c>
      <c r="I335" s="59" t="s">
        <v>44</v>
      </c>
      <c r="J335" s="101">
        <v>725000.0</v>
      </c>
      <c r="K335" s="60" t="s">
        <v>42</v>
      </c>
      <c r="L335" s="58">
        <f t="shared" si="37"/>
        <v>580000</v>
      </c>
      <c r="M335" s="101"/>
    </row>
    <row r="336" ht="15.75" customHeight="1">
      <c r="A336" s="86"/>
      <c r="B336" s="86"/>
      <c r="C336" s="17"/>
      <c r="D336" s="17"/>
      <c r="E336" s="17"/>
      <c r="F336" s="17"/>
      <c r="G336" s="87"/>
      <c r="H336" s="101"/>
      <c r="I336" s="59"/>
      <c r="J336" s="101"/>
      <c r="K336" s="58"/>
      <c r="L336" s="52">
        <f t="shared" ref="L336:M336" si="38">SUM(L318:L335)</f>
        <v>7506750</v>
      </c>
      <c r="M336" s="194">
        <f t="shared" si="38"/>
        <v>1057000</v>
      </c>
    </row>
    <row r="337" ht="15.75" customHeight="1">
      <c r="A337" s="86"/>
      <c r="B337" s="86"/>
      <c r="C337" s="17"/>
      <c r="D337" s="17"/>
      <c r="E337" s="17"/>
      <c r="F337" s="17"/>
      <c r="G337" s="87"/>
      <c r="H337" s="101"/>
      <c r="I337" s="59"/>
      <c r="J337" s="101"/>
      <c r="K337" s="58"/>
      <c r="L337" s="33">
        <f>L336-M336</f>
        <v>6449750</v>
      </c>
      <c r="M337" s="101"/>
    </row>
    <row r="338" ht="15.75" customHeight="1">
      <c r="A338" s="86"/>
      <c r="B338" s="86"/>
      <c r="C338" s="17"/>
      <c r="D338" s="17"/>
      <c r="E338" s="17"/>
      <c r="F338" s="17"/>
      <c r="G338" s="87"/>
      <c r="H338" s="101"/>
      <c r="I338" s="59"/>
      <c r="J338" s="101"/>
      <c r="K338" s="58"/>
      <c r="L338" s="58"/>
      <c r="M338" s="101"/>
    </row>
    <row r="339" ht="15.75" customHeight="1">
      <c r="A339" s="89"/>
      <c r="B339" s="89" t="s">
        <v>0</v>
      </c>
      <c r="C339" s="89" t="s">
        <v>1</v>
      </c>
      <c r="D339" s="89" t="s">
        <v>2</v>
      </c>
      <c r="E339" s="90" t="s">
        <v>3</v>
      </c>
      <c r="F339" s="89" t="s">
        <v>4</v>
      </c>
      <c r="G339" s="91" t="s">
        <v>5</v>
      </c>
      <c r="H339" s="120" t="s">
        <v>6</v>
      </c>
      <c r="I339" s="92" t="s">
        <v>39</v>
      </c>
      <c r="J339" s="120" t="s">
        <v>7</v>
      </c>
      <c r="K339" s="91" t="s">
        <v>39</v>
      </c>
      <c r="L339" s="92" t="s">
        <v>8</v>
      </c>
      <c r="M339" s="120" t="s">
        <v>9</v>
      </c>
    </row>
    <row r="340" ht="15.75" customHeight="1">
      <c r="A340" s="86"/>
      <c r="B340" s="86">
        <v>45566.0</v>
      </c>
      <c r="C340" s="17" t="s">
        <v>475</v>
      </c>
      <c r="D340" s="17" t="s">
        <v>370</v>
      </c>
      <c r="E340" s="17" t="s">
        <v>37</v>
      </c>
      <c r="F340" s="17" t="s">
        <v>487</v>
      </c>
      <c r="G340" s="87">
        <v>10000.0</v>
      </c>
      <c r="H340" s="101">
        <v>1500000.0</v>
      </c>
      <c r="I340" s="59" t="s">
        <v>44</v>
      </c>
      <c r="J340" s="101">
        <v>850000.0</v>
      </c>
      <c r="K340" s="60" t="s">
        <v>44</v>
      </c>
      <c r="L340" s="58">
        <f t="shared" ref="L340:L355" si="39">H340-J340</f>
        <v>650000</v>
      </c>
      <c r="M340" s="149">
        <v>190000.0</v>
      </c>
    </row>
    <row r="341" ht="15.75" customHeight="1">
      <c r="A341" s="86"/>
      <c r="B341" s="86">
        <v>45567.0</v>
      </c>
      <c r="C341" s="17" t="s">
        <v>475</v>
      </c>
      <c r="D341" s="17" t="s">
        <v>370</v>
      </c>
      <c r="E341" s="17" t="s">
        <v>488</v>
      </c>
      <c r="F341" s="17" t="s">
        <v>485</v>
      </c>
      <c r="G341" s="170">
        <v>51925.0</v>
      </c>
      <c r="H341" s="101">
        <v>1557750.0</v>
      </c>
      <c r="I341" s="184" t="s">
        <v>44</v>
      </c>
      <c r="J341" s="172">
        <v>900000.0</v>
      </c>
      <c r="K341" s="169" t="s">
        <v>42</v>
      </c>
      <c r="L341" s="58">
        <f t="shared" si="39"/>
        <v>657750</v>
      </c>
      <c r="M341" s="101"/>
    </row>
    <row r="342" ht="15.75" customHeight="1">
      <c r="A342" s="86"/>
      <c r="B342" s="86">
        <v>45568.0</v>
      </c>
      <c r="C342" s="17" t="s">
        <v>475</v>
      </c>
      <c r="D342" s="17" t="s">
        <v>370</v>
      </c>
      <c r="E342" s="17" t="s">
        <v>37</v>
      </c>
      <c r="F342" s="17" t="s">
        <v>487</v>
      </c>
      <c r="G342" s="87">
        <v>10000.0</v>
      </c>
      <c r="H342" s="101">
        <v>1500000.0</v>
      </c>
      <c r="I342" s="59" t="s">
        <v>44</v>
      </c>
      <c r="J342" s="101">
        <v>850000.0</v>
      </c>
      <c r="K342" s="60" t="s">
        <v>44</v>
      </c>
      <c r="L342" s="58">
        <f t="shared" si="39"/>
        <v>650000</v>
      </c>
      <c r="M342" s="101"/>
    </row>
    <row r="343" ht="15.75" customHeight="1">
      <c r="A343" s="86"/>
      <c r="B343" s="86">
        <v>45572.0</v>
      </c>
      <c r="C343" s="17" t="s">
        <v>475</v>
      </c>
      <c r="D343" s="17" t="s">
        <v>370</v>
      </c>
      <c r="E343" s="17" t="s">
        <v>40</v>
      </c>
      <c r="F343" s="17" t="s">
        <v>489</v>
      </c>
      <c r="G343" s="87">
        <v>9000.0</v>
      </c>
      <c r="H343" s="201">
        <v>1035000.0</v>
      </c>
      <c r="I343" s="59" t="s">
        <v>42</v>
      </c>
      <c r="J343" s="101">
        <v>600000.0</v>
      </c>
      <c r="K343" s="60" t="s">
        <v>44</v>
      </c>
      <c r="L343" s="58">
        <f t="shared" si="39"/>
        <v>435000</v>
      </c>
      <c r="M343" s="101">
        <v>275000.0</v>
      </c>
    </row>
    <row r="344" ht="15.75" customHeight="1">
      <c r="A344" s="86"/>
      <c r="B344" s="86">
        <v>45573.0</v>
      </c>
      <c r="C344" s="17" t="s">
        <v>475</v>
      </c>
      <c r="D344" s="17" t="s">
        <v>370</v>
      </c>
      <c r="E344" s="17" t="s">
        <v>40</v>
      </c>
      <c r="F344" s="17" t="s">
        <v>481</v>
      </c>
      <c r="G344" s="87">
        <v>9000.0</v>
      </c>
      <c r="H344" s="101">
        <v>1350000.0</v>
      </c>
      <c r="I344" s="96" t="s">
        <v>42</v>
      </c>
      <c r="J344" s="101">
        <v>875000.0</v>
      </c>
      <c r="K344" s="60" t="s">
        <v>42</v>
      </c>
      <c r="L344" s="58">
        <f t="shared" si="39"/>
        <v>475000</v>
      </c>
      <c r="M344" s="172" t="s">
        <v>24</v>
      </c>
    </row>
    <row r="345" ht="15.75" customHeight="1">
      <c r="A345" s="86"/>
      <c r="B345" s="86">
        <v>45574.0</v>
      </c>
      <c r="C345" s="17" t="s">
        <v>475</v>
      </c>
      <c r="D345" s="17" t="s">
        <v>370</v>
      </c>
      <c r="E345" s="17" t="s">
        <v>40</v>
      </c>
      <c r="F345" s="169" t="s">
        <v>490</v>
      </c>
      <c r="G345" s="87">
        <v>9000.0</v>
      </c>
      <c r="H345" s="101">
        <v>1125000.0</v>
      </c>
      <c r="I345" s="171" t="s">
        <v>42</v>
      </c>
      <c r="J345" s="172">
        <v>640000.0</v>
      </c>
      <c r="K345" s="173" t="s">
        <v>42</v>
      </c>
      <c r="L345" s="58">
        <f t="shared" si="39"/>
        <v>485000</v>
      </c>
      <c r="M345" s="172">
        <v>311500.0</v>
      </c>
    </row>
    <row r="346" ht="15.75" customHeight="1">
      <c r="A346" s="86"/>
      <c r="B346" s="86">
        <v>45576.0</v>
      </c>
      <c r="C346" s="17" t="s">
        <v>475</v>
      </c>
      <c r="D346" s="17" t="s">
        <v>370</v>
      </c>
      <c r="E346" s="17" t="s">
        <v>30</v>
      </c>
      <c r="F346" s="17" t="s">
        <v>491</v>
      </c>
      <c r="G346" s="87">
        <v>9000.0</v>
      </c>
      <c r="H346" s="104">
        <v>765000.0</v>
      </c>
      <c r="I346" s="97" t="s">
        <v>44</v>
      </c>
      <c r="J346" s="104">
        <v>450000.0</v>
      </c>
      <c r="K346" s="173" t="s">
        <v>42</v>
      </c>
      <c r="L346" s="58">
        <f t="shared" si="39"/>
        <v>315000</v>
      </c>
      <c r="M346" s="172">
        <v>130000.0</v>
      </c>
      <c r="N346" s="174"/>
    </row>
    <row r="347" ht="15.75" customHeight="1">
      <c r="A347" s="86"/>
      <c r="B347" s="86">
        <v>45577.0</v>
      </c>
      <c r="C347" s="17" t="s">
        <v>475</v>
      </c>
      <c r="D347" s="17" t="s">
        <v>370</v>
      </c>
      <c r="E347" s="17" t="s">
        <v>37</v>
      </c>
      <c r="F347" s="17" t="s">
        <v>491</v>
      </c>
      <c r="G347" s="87">
        <v>9000.0</v>
      </c>
      <c r="H347" s="104">
        <v>765000.0</v>
      </c>
      <c r="I347" s="97" t="s">
        <v>44</v>
      </c>
      <c r="J347" s="104">
        <v>450000.0</v>
      </c>
      <c r="K347" s="173" t="s">
        <v>44</v>
      </c>
      <c r="L347" s="58">
        <f t="shared" si="39"/>
        <v>315000</v>
      </c>
      <c r="M347" s="172"/>
    </row>
    <row r="348" ht="15.75" customHeight="1">
      <c r="A348" s="86"/>
      <c r="B348" s="86">
        <v>45581.0</v>
      </c>
      <c r="C348" s="17" t="s">
        <v>475</v>
      </c>
      <c r="D348" s="17" t="s">
        <v>370</v>
      </c>
      <c r="E348" s="169" t="s">
        <v>492</v>
      </c>
      <c r="F348" s="169" t="s">
        <v>485</v>
      </c>
      <c r="G348" s="170">
        <v>5000.0</v>
      </c>
      <c r="H348" s="201">
        <v>1491150.0</v>
      </c>
      <c r="I348" s="97" t="s">
        <v>44</v>
      </c>
      <c r="J348" s="149">
        <v>900000.0</v>
      </c>
      <c r="K348" s="173" t="s">
        <v>42</v>
      </c>
      <c r="L348" s="58">
        <f t="shared" si="39"/>
        <v>591150</v>
      </c>
      <c r="M348" s="172"/>
    </row>
    <row r="349" ht="15.75" customHeight="1">
      <c r="A349" s="86"/>
      <c r="B349" s="86">
        <v>45583.0</v>
      </c>
      <c r="C349" s="17" t="s">
        <v>475</v>
      </c>
      <c r="D349" s="17" t="s">
        <v>370</v>
      </c>
      <c r="E349" s="169" t="s">
        <v>40</v>
      </c>
      <c r="F349" s="17" t="s">
        <v>493</v>
      </c>
      <c r="G349" s="170">
        <v>10000.0</v>
      </c>
      <c r="H349" s="149">
        <v>750000.0</v>
      </c>
      <c r="I349" s="97" t="s">
        <v>44</v>
      </c>
      <c r="J349" s="172">
        <v>425000.0</v>
      </c>
      <c r="K349" s="173" t="s">
        <v>42</v>
      </c>
      <c r="L349" s="58">
        <f t="shared" si="39"/>
        <v>325000</v>
      </c>
      <c r="M349" s="172"/>
    </row>
    <row r="350" ht="15.75" customHeight="1">
      <c r="A350" s="86"/>
      <c r="B350" s="86">
        <v>45584.0</v>
      </c>
      <c r="C350" s="17" t="s">
        <v>475</v>
      </c>
      <c r="D350" s="17" t="s">
        <v>370</v>
      </c>
      <c r="E350" s="169" t="s">
        <v>494</v>
      </c>
      <c r="F350" s="169" t="s">
        <v>495</v>
      </c>
      <c r="G350" s="170">
        <v>9000.0</v>
      </c>
      <c r="H350" s="101">
        <v>1215000.0</v>
      </c>
      <c r="I350" s="97" t="s">
        <v>44</v>
      </c>
      <c r="J350" s="101">
        <v>700000.0</v>
      </c>
      <c r="K350" s="173" t="s">
        <v>44</v>
      </c>
      <c r="L350" s="58">
        <f t="shared" si="39"/>
        <v>515000</v>
      </c>
      <c r="M350" s="172"/>
    </row>
    <row r="351" ht="15.75" customHeight="1">
      <c r="A351" s="86"/>
      <c r="B351" s="86">
        <v>45586.0</v>
      </c>
      <c r="C351" s="17" t="s">
        <v>475</v>
      </c>
      <c r="D351" s="17" t="s">
        <v>370</v>
      </c>
      <c r="E351" s="169" t="s">
        <v>40</v>
      </c>
      <c r="F351" s="169" t="s">
        <v>194</v>
      </c>
      <c r="G351" s="170">
        <v>9000.0</v>
      </c>
      <c r="H351" s="101">
        <v>1400000.0</v>
      </c>
      <c r="I351" s="97" t="s">
        <v>44</v>
      </c>
      <c r="J351" s="60">
        <v>850000.0</v>
      </c>
      <c r="K351" s="173" t="s">
        <v>42</v>
      </c>
      <c r="L351" s="58">
        <f t="shared" si="39"/>
        <v>550000</v>
      </c>
      <c r="M351" s="172"/>
    </row>
    <row r="352" ht="15.75" customHeight="1">
      <c r="A352" s="86"/>
      <c r="B352" s="86">
        <v>45588.0</v>
      </c>
      <c r="C352" s="17" t="s">
        <v>475</v>
      </c>
      <c r="D352" s="17" t="s">
        <v>370</v>
      </c>
      <c r="E352" s="169" t="s">
        <v>496</v>
      </c>
      <c r="F352" s="169" t="s">
        <v>497</v>
      </c>
      <c r="G352" s="170">
        <v>9000.0</v>
      </c>
      <c r="H352" s="104">
        <v>2088300.0</v>
      </c>
      <c r="I352" s="97" t="s">
        <v>44</v>
      </c>
      <c r="J352" s="202">
        <v>900000.0</v>
      </c>
      <c r="K352" s="173" t="s">
        <v>44</v>
      </c>
      <c r="L352" s="58">
        <f t="shared" si="39"/>
        <v>1188300</v>
      </c>
      <c r="M352" s="172"/>
    </row>
    <row r="353" ht="15.75" customHeight="1">
      <c r="A353" s="86"/>
      <c r="B353" s="86">
        <v>45590.0</v>
      </c>
      <c r="C353" s="17" t="s">
        <v>475</v>
      </c>
      <c r="D353" s="17" t="s">
        <v>370</v>
      </c>
      <c r="E353" s="169" t="s">
        <v>40</v>
      </c>
      <c r="F353" s="169" t="s">
        <v>481</v>
      </c>
      <c r="G353" s="170">
        <v>9000.0</v>
      </c>
      <c r="H353" s="101">
        <v>1350000.0</v>
      </c>
      <c r="I353" s="59" t="s">
        <v>42</v>
      </c>
      <c r="J353" s="101">
        <v>875000.0</v>
      </c>
      <c r="K353" s="173" t="s">
        <v>44</v>
      </c>
      <c r="L353" s="58">
        <f t="shared" si="39"/>
        <v>475000</v>
      </c>
    </row>
    <row r="354" ht="15.75" customHeight="1">
      <c r="A354" s="86"/>
      <c r="B354" s="86">
        <v>45593.0</v>
      </c>
      <c r="C354" s="17" t="s">
        <v>475</v>
      </c>
      <c r="D354" s="17" t="s">
        <v>370</v>
      </c>
      <c r="E354" s="169" t="s">
        <v>45</v>
      </c>
      <c r="F354" s="17" t="s">
        <v>381</v>
      </c>
      <c r="G354" s="87">
        <v>9000.0</v>
      </c>
      <c r="H354" s="101">
        <v>900000.0</v>
      </c>
      <c r="I354" s="97" t="s">
        <v>44</v>
      </c>
      <c r="J354" s="101">
        <v>400000.0</v>
      </c>
      <c r="K354" s="173" t="s">
        <v>42</v>
      </c>
      <c r="L354" s="58">
        <f t="shared" si="39"/>
        <v>500000</v>
      </c>
      <c r="M354" s="172"/>
    </row>
    <row r="355" ht="15.75" customHeight="1">
      <c r="A355" s="86"/>
      <c r="B355" s="86">
        <v>45594.0</v>
      </c>
      <c r="C355" s="17" t="s">
        <v>475</v>
      </c>
      <c r="D355" s="17" t="s">
        <v>370</v>
      </c>
      <c r="E355" s="169" t="s">
        <v>71</v>
      </c>
      <c r="F355" s="169" t="s">
        <v>498</v>
      </c>
      <c r="G355" s="170">
        <v>8500.0</v>
      </c>
      <c r="H355" s="149">
        <v>1200000.0</v>
      </c>
      <c r="I355" s="59" t="s">
        <v>42</v>
      </c>
      <c r="J355" s="149">
        <v>640000.0</v>
      </c>
      <c r="K355" s="173" t="s">
        <v>42</v>
      </c>
      <c r="L355" s="58">
        <f t="shared" si="39"/>
        <v>560000</v>
      </c>
      <c r="M355" s="172"/>
    </row>
    <row r="356" ht="15.75" customHeight="1">
      <c r="A356" s="86"/>
      <c r="B356" s="86">
        <v>45595.0</v>
      </c>
      <c r="C356" s="17" t="s">
        <v>475</v>
      </c>
      <c r="D356" s="17" t="s">
        <v>370</v>
      </c>
      <c r="E356" s="169" t="s">
        <v>488</v>
      </c>
      <c r="F356" s="169" t="s">
        <v>497</v>
      </c>
      <c r="G356" s="170">
        <v>5000.0</v>
      </c>
      <c r="H356" s="149">
        <v>1605750.0</v>
      </c>
      <c r="I356" s="97" t="s">
        <v>44</v>
      </c>
      <c r="J356" s="172">
        <v>900000.0</v>
      </c>
      <c r="K356" s="173" t="s">
        <v>42</v>
      </c>
      <c r="L356" s="58">
        <f>'P PRI (W8263DW)'!H163-J356</f>
        <v>594300</v>
      </c>
      <c r="M356" s="172"/>
    </row>
    <row r="357" ht="15.75" customHeight="1">
      <c r="A357" s="86"/>
      <c r="B357" s="86">
        <v>45596.0</v>
      </c>
      <c r="C357" s="17" t="s">
        <v>475</v>
      </c>
      <c r="D357" s="17" t="s">
        <v>370</v>
      </c>
      <c r="E357" s="169" t="s">
        <v>499</v>
      </c>
      <c r="F357" s="169" t="s">
        <v>500</v>
      </c>
      <c r="G357" s="170">
        <v>10000.0</v>
      </c>
      <c r="H357" s="101"/>
      <c r="I357" s="97" t="s">
        <v>44</v>
      </c>
      <c r="J357" s="172">
        <v>1035000.0</v>
      </c>
      <c r="K357" s="173" t="s">
        <v>42</v>
      </c>
      <c r="L357" s="58">
        <f>H357-J357</f>
        <v>-1035000</v>
      </c>
      <c r="M357" s="172">
        <v>1500000.0</v>
      </c>
    </row>
    <row r="358" ht="15.75" customHeight="1">
      <c r="C358" s="169"/>
      <c r="D358" s="169"/>
      <c r="E358" s="169"/>
      <c r="F358" s="169"/>
      <c r="G358" s="170"/>
      <c r="H358" s="101"/>
      <c r="I358" s="171"/>
      <c r="J358" s="172"/>
      <c r="K358" s="173"/>
      <c r="L358" s="52">
        <f t="shared" ref="L358:M358" si="40">SUM(L340:L357)</f>
        <v>8246500</v>
      </c>
      <c r="M358" s="194">
        <f t="shared" si="40"/>
        <v>2406500</v>
      </c>
    </row>
    <row r="359" ht="15.75" customHeight="1">
      <c r="A359" s="169"/>
      <c r="B359" s="169"/>
      <c r="C359" s="169"/>
      <c r="D359" s="169"/>
      <c r="E359" s="169"/>
      <c r="F359" s="169"/>
      <c r="G359" s="170"/>
      <c r="H359" s="101"/>
      <c r="I359" s="171"/>
      <c r="J359" s="172"/>
      <c r="K359" s="173"/>
      <c r="L359" s="33">
        <f>L358-M358</f>
        <v>5840000</v>
      </c>
      <c r="M359" s="101"/>
    </row>
    <row r="360" ht="15.75" customHeight="1">
      <c r="A360" s="169"/>
      <c r="B360" s="169"/>
      <c r="C360" s="169"/>
      <c r="D360" s="169"/>
      <c r="E360" s="169"/>
      <c r="F360" s="169"/>
      <c r="G360" s="170"/>
      <c r="H360" s="101"/>
      <c r="I360" s="171"/>
      <c r="J360" s="172"/>
      <c r="K360" s="173"/>
      <c r="L360" s="173"/>
      <c r="M360" s="172"/>
    </row>
    <row r="361" ht="15.75" customHeight="1">
      <c r="A361" s="89" t="s">
        <v>209</v>
      </c>
      <c r="B361" s="89" t="s">
        <v>0</v>
      </c>
      <c r="C361" s="89" t="s">
        <v>1</v>
      </c>
      <c r="D361" s="89" t="s">
        <v>2</v>
      </c>
      <c r="E361" s="90" t="s">
        <v>3</v>
      </c>
      <c r="F361" s="89" t="s">
        <v>4</v>
      </c>
      <c r="G361" s="91" t="s">
        <v>5</v>
      </c>
      <c r="H361" s="120" t="s">
        <v>6</v>
      </c>
      <c r="I361" s="92" t="s">
        <v>39</v>
      </c>
      <c r="J361" s="120" t="s">
        <v>7</v>
      </c>
      <c r="K361" s="91" t="s">
        <v>39</v>
      </c>
      <c r="L361" s="92" t="s">
        <v>8</v>
      </c>
      <c r="M361" s="120" t="s">
        <v>9</v>
      </c>
    </row>
    <row r="362" ht="15.75" customHeight="1">
      <c r="A362" s="17">
        <v>1.0</v>
      </c>
      <c r="B362" s="86">
        <v>45600.0</v>
      </c>
      <c r="C362" s="17" t="s">
        <v>475</v>
      </c>
      <c r="D362" s="17" t="s">
        <v>370</v>
      </c>
      <c r="E362" s="169" t="s">
        <v>40</v>
      </c>
      <c r="F362" s="169" t="s">
        <v>194</v>
      </c>
      <c r="G362" s="170">
        <v>9000.0</v>
      </c>
      <c r="H362" s="101">
        <v>1400000.0</v>
      </c>
      <c r="I362" s="97" t="s">
        <v>44</v>
      </c>
      <c r="J362" s="172">
        <v>850000.0</v>
      </c>
      <c r="K362" s="173" t="s">
        <v>42</v>
      </c>
      <c r="L362" s="58">
        <f t="shared" ref="L362:L373" si="41">H362-J362</f>
        <v>550000</v>
      </c>
      <c r="M362" s="172">
        <v>100000.0</v>
      </c>
    </row>
    <row r="363" ht="15.75" customHeight="1">
      <c r="A363" s="17">
        <v>2.0</v>
      </c>
      <c r="B363" s="86">
        <v>45601.0</v>
      </c>
      <c r="C363" s="17" t="s">
        <v>475</v>
      </c>
      <c r="D363" s="17" t="s">
        <v>370</v>
      </c>
      <c r="E363" s="17" t="s">
        <v>30</v>
      </c>
      <c r="F363" s="17" t="s">
        <v>477</v>
      </c>
      <c r="G363" s="170">
        <v>9000.0</v>
      </c>
      <c r="H363" s="149">
        <v>900000.0</v>
      </c>
      <c r="I363" s="97" t="s">
        <v>44</v>
      </c>
      <c r="J363" s="172">
        <v>350000.0</v>
      </c>
      <c r="K363" s="173" t="s">
        <v>42</v>
      </c>
      <c r="L363" s="58">
        <f t="shared" si="41"/>
        <v>550000</v>
      </c>
      <c r="M363" s="172"/>
    </row>
    <row r="364" ht="15.75" customHeight="1">
      <c r="A364" s="17">
        <v>3.0</v>
      </c>
      <c r="B364" s="86">
        <v>45602.0</v>
      </c>
      <c r="C364" s="17" t="s">
        <v>475</v>
      </c>
      <c r="D364" s="169" t="s">
        <v>370</v>
      </c>
      <c r="E364" s="169" t="s">
        <v>123</v>
      </c>
      <c r="F364" s="98" t="s">
        <v>408</v>
      </c>
      <c r="G364" s="87">
        <v>9000.0</v>
      </c>
      <c r="H364" s="101">
        <v>720000.0</v>
      </c>
      <c r="I364" s="171" t="s">
        <v>42</v>
      </c>
      <c r="J364" s="172">
        <v>350000.0</v>
      </c>
      <c r="K364" s="173" t="s">
        <v>42</v>
      </c>
      <c r="L364" s="58">
        <f t="shared" si="41"/>
        <v>370000</v>
      </c>
      <c r="M364" s="172"/>
    </row>
    <row r="365" ht="15.75" customHeight="1">
      <c r="A365" s="17">
        <v>4.0</v>
      </c>
      <c r="B365" s="86">
        <v>45602.0</v>
      </c>
      <c r="C365" s="17" t="s">
        <v>475</v>
      </c>
      <c r="D365" s="169" t="s">
        <v>370</v>
      </c>
      <c r="E365" s="169" t="s">
        <v>30</v>
      </c>
      <c r="F365" s="169" t="s">
        <v>501</v>
      </c>
      <c r="G365" s="170">
        <v>9000.0</v>
      </c>
      <c r="H365" s="101">
        <v>1350000.0</v>
      </c>
      <c r="I365" s="171" t="s">
        <v>42</v>
      </c>
      <c r="J365" s="101">
        <v>875000.0</v>
      </c>
      <c r="K365" s="173" t="s">
        <v>42</v>
      </c>
      <c r="L365" s="58">
        <f t="shared" si="41"/>
        <v>475000</v>
      </c>
      <c r="M365" s="172"/>
    </row>
    <row r="366" ht="15.75" customHeight="1">
      <c r="A366" s="17">
        <v>5.0</v>
      </c>
      <c r="B366" s="86">
        <v>45604.0</v>
      </c>
      <c r="C366" s="17" t="s">
        <v>475</v>
      </c>
      <c r="D366" s="169" t="s">
        <v>370</v>
      </c>
      <c r="E366" s="169" t="s">
        <v>40</v>
      </c>
      <c r="F366" s="169" t="s">
        <v>502</v>
      </c>
      <c r="G366" s="170">
        <v>9000.0</v>
      </c>
      <c r="H366" s="101">
        <v>1035000.0</v>
      </c>
      <c r="I366" s="171" t="s">
        <v>42</v>
      </c>
      <c r="J366" s="172">
        <v>600000.0</v>
      </c>
      <c r="K366" s="173" t="s">
        <v>42</v>
      </c>
      <c r="L366" s="58">
        <f t="shared" si="41"/>
        <v>435000</v>
      </c>
      <c r="M366" s="172"/>
    </row>
    <row r="367" ht="15.75" customHeight="1">
      <c r="A367" s="17">
        <v>6.0</v>
      </c>
      <c r="B367" s="86">
        <v>45605.0</v>
      </c>
      <c r="C367" s="17" t="s">
        <v>475</v>
      </c>
      <c r="D367" s="169" t="s">
        <v>370</v>
      </c>
      <c r="E367" s="169" t="s">
        <v>40</v>
      </c>
      <c r="F367" s="169" t="s">
        <v>502</v>
      </c>
      <c r="G367" s="170">
        <v>9000.0</v>
      </c>
      <c r="H367" s="101">
        <v>1035000.0</v>
      </c>
      <c r="I367" s="171" t="s">
        <v>42</v>
      </c>
      <c r="J367" s="172">
        <v>600000.0</v>
      </c>
      <c r="K367" s="173" t="s">
        <v>42</v>
      </c>
      <c r="L367" s="58">
        <f t="shared" si="41"/>
        <v>435000</v>
      </c>
      <c r="M367" s="172"/>
    </row>
    <row r="368" ht="15.75" customHeight="1">
      <c r="A368" s="17">
        <v>7.0</v>
      </c>
      <c r="B368" s="86">
        <v>45606.0</v>
      </c>
      <c r="C368" s="17" t="s">
        <v>475</v>
      </c>
      <c r="D368" s="169" t="s">
        <v>370</v>
      </c>
      <c r="E368" s="169" t="s">
        <v>30</v>
      </c>
      <c r="F368" s="169" t="s">
        <v>501</v>
      </c>
      <c r="G368" s="170">
        <v>9000.0</v>
      </c>
      <c r="H368" s="101">
        <v>1350000.0</v>
      </c>
      <c r="I368" s="171" t="s">
        <v>42</v>
      </c>
      <c r="J368" s="101">
        <v>875000.0</v>
      </c>
      <c r="K368" s="173" t="s">
        <v>42</v>
      </c>
      <c r="L368" s="58">
        <f t="shared" si="41"/>
        <v>475000</v>
      </c>
      <c r="M368" s="172"/>
    </row>
    <row r="369" ht="15.75" customHeight="1">
      <c r="A369" s="17">
        <v>8.0</v>
      </c>
      <c r="B369" s="86">
        <v>45610.0</v>
      </c>
      <c r="C369" s="17" t="s">
        <v>475</v>
      </c>
      <c r="D369" s="169" t="s">
        <v>370</v>
      </c>
      <c r="E369" s="169" t="s">
        <v>30</v>
      </c>
      <c r="F369" s="169" t="s">
        <v>198</v>
      </c>
      <c r="G369" s="170">
        <v>9000.0</v>
      </c>
      <c r="H369" s="149">
        <v>1215000.0</v>
      </c>
      <c r="I369" s="171" t="s">
        <v>44</v>
      </c>
      <c r="J369" s="149">
        <v>700000.0</v>
      </c>
      <c r="K369" s="173" t="s">
        <v>42</v>
      </c>
      <c r="L369" s="58">
        <f t="shared" si="41"/>
        <v>515000</v>
      </c>
      <c r="M369" s="172">
        <v>3900000.0</v>
      </c>
    </row>
    <row r="370" ht="15.75" customHeight="1">
      <c r="A370" s="17">
        <v>9.0</v>
      </c>
      <c r="B370" s="86">
        <v>45611.0</v>
      </c>
      <c r="C370" s="17" t="s">
        <v>475</v>
      </c>
      <c r="D370" s="169" t="s">
        <v>370</v>
      </c>
      <c r="E370" s="169" t="s">
        <v>40</v>
      </c>
      <c r="F370" s="169" t="s">
        <v>198</v>
      </c>
      <c r="G370" s="170">
        <v>9000.0</v>
      </c>
      <c r="H370" s="149">
        <v>1215000.0</v>
      </c>
      <c r="I370" s="171" t="s">
        <v>44</v>
      </c>
      <c r="J370" s="149">
        <v>700000.0</v>
      </c>
      <c r="K370" s="173" t="s">
        <v>42</v>
      </c>
      <c r="L370" s="58">
        <f t="shared" si="41"/>
        <v>515000</v>
      </c>
      <c r="M370" s="172">
        <v>1525000.0</v>
      </c>
    </row>
    <row r="371" ht="15.75" customHeight="1">
      <c r="A371" s="17">
        <v>10.0</v>
      </c>
      <c r="B371" s="86">
        <v>45614.0</v>
      </c>
      <c r="C371" s="17" t="s">
        <v>475</v>
      </c>
      <c r="D371" s="169" t="s">
        <v>370</v>
      </c>
      <c r="E371" s="169" t="s">
        <v>123</v>
      </c>
      <c r="F371" s="98" t="s">
        <v>408</v>
      </c>
      <c r="G371" s="87">
        <v>9000.0</v>
      </c>
      <c r="H371" s="101">
        <v>720000.0</v>
      </c>
      <c r="I371" s="97" t="s">
        <v>42</v>
      </c>
      <c r="J371" s="104">
        <v>350000.0</v>
      </c>
      <c r="K371" s="173" t="s">
        <v>42</v>
      </c>
      <c r="L371" s="58">
        <f t="shared" si="41"/>
        <v>370000</v>
      </c>
      <c r="M371" s="172">
        <v>1015000.0</v>
      </c>
    </row>
    <row r="372" ht="15.75" customHeight="1">
      <c r="A372" s="17">
        <v>11.0</v>
      </c>
      <c r="B372" s="86">
        <v>45615.0</v>
      </c>
      <c r="C372" s="17" t="s">
        <v>475</v>
      </c>
      <c r="D372" s="169" t="s">
        <v>370</v>
      </c>
      <c r="E372" s="169" t="s">
        <v>503</v>
      </c>
      <c r="F372" s="169" t="s">
        <v>497</v>
      </c>
      <c r="G372" s="170">
        <v>5000.0</v>
      </c>
      <c r="H372" s="101">
        <v>1496100.0</v>
      </c>
      <c r="I372" s="171" t="s">
        <v>44</v>
      </c>
      <c r="J372" s="172">
        <v>900000.0</v>
      </c>
      <c r="K372" s="173" t="s">
        <v>42</v>
      </c>
      <c r="L372" s="58">
        <f t="shared" si="41"/>
        <v>596100</v>
      </c>
      <c r="M372" s="172"/>
    </row>
    <row r="373" ht="15.75" customHeight="1">
      <c r="A373" s="17">
        <v>12.0</v>
      </c>
      <c r="B373" s="86">
        <v>45617.0</v>
      </c>
      <c r="C373" s="17" t="s">
        <v>475</v>
      </c>
      <c r="D373" s="169" t="s">
        <v>370</v>
      </c>
      <c r="E373" s="17" t="s">
        <v>504</v>
      </c>
      <c r="F373" s="17" t="s">
        <v>497</v>
      </c>
      <c r="G373" s="170">
        <v>5000.0</v>
      </c>
      <c r="H373" s="100">
        <v>1493235.0</v>
      </c>
      <c r="I373" s="97" t="s">
        <v>44</v>
      </c>
      <c r="J373" s="104">
        <v>900000.0</v>
      </c>
      <c r="K373" s="173" t="s">
        <v>42</v>
      </c>
      <c r="L373" s="58">
        <f t="shared" si="41"/>
        <v>593235</v>
      </c>
      <c r="M373" s="172"/>
    </row>
    <row r="374" ht="15.75" customHeight="1">
      <c r="A374" s="17">
        <v>13.0</v>
      </c>
      <c r="B374" s="86">
        <v>45619.0</v>
      </c>
      <c r="C374" s="17" t="s">
        <v>475</v>
      </c>
      <c r="D374" s="169" t="s">
        <v>370</v>
      </c>
      <c r="E374" s="169" t="s">
        <v>505</v>
      </c>
      <c r="F374" s="169" t="s">
        <v>497</v>
      </c>
      <c r="G374" s="170">
        <v>5000.0</v>
      </c>
      <c r="H374" s="149">
        <v>1619100.0</v>
      </c>
      <c r="I374" s="97" t="s">
        <v>44</v>
      </c>
      <c r="J374" s="202">
        <v>900000.0</v>
      </c>
      <c r="K374" s="173" t="s">
        <v>42</v>
      </c>
      <c r="L374" s="58">
        <f>'P PRI (W8263DW)'!H179-J374</f>
        <v>593235</v>
      </c>
      <c r="M374" s="172">
        <v>520000.0</v>
      </c>
    </row>
    <row r="375" ht="15.75" customHeight="1">
      <c r="A375" s="17">
        <v>14.0</v>
      </c>
      <c r="B375" s="86">
        <v>45621.0</v>
      </c>
      <c r="C375" s="17" t="s">
        <v>475</v>
      </c>
      <c r="D375" s="169" t="s">
        <v>370</v>
      </c>
      <c r="E375" s="169" t="s">
        <v>40</v>
      </c>
      <c r="F375" s="169" t="s">
        <v>506</v>
      </c>
      <c r="G375" s="170">
        <v>10000.0</v>
      </c>
      <c r="H375" s="101">
        <v>800000.0</v>
      </c>
      <c r="I375" s="171" t="s">
        <v>42</v>
      </c>
      <c r="J375" s="172">
        <v>450000.0</v>
      </c>
      <c r="K375" s="173" t="s">
        <v>42</v>
      </c>
      <c r="L375" s="58">
        <f t="shared" ref="L375:L377" si="42">H375-J375</f>
        <v>350000</v>
      </c>
      <c r="M375" s="172"/>
    </row>
    <row r="376" ht="15.75" customHeight="1">
      <c r="A376" s="17">
        <v>15.0</v>
      </c>
      <c r="B376" s="86">
        <v>45622.0</v>
      </c>
      <c r="C376" s="17" t="s">
        <v>475</v>
      </c>
      <c r="D376" s="169" t="s">
        <v>370</v>
      </c>
      <c r="E376" s="169" t="s">
        <v>504</v>
      </c>
      <c r="F376" s="169" t="s">
        <v>497</v>
      </c>
      <c r="G376" s="170">
        <v>5000.0</v>
      </c>
      <c r="H376" s="101">
        <v>1495800.0</v>
      </c>
      <c r="I376" s="171" t="s">
        <v>44</v>
      </c>
      <c r="J376" s="172">
        <v>900000.0</v>
      </c>
      <c r="K376" s="173" t="s">
        <v>42</v>
      </c>
      <c r="L376" s="58">
        <f t="shared" si="42"/>
        <v>595800</v>
      </c>
      <c r="M376" s="172">
        <v>3050000.0</v>
      </c>
    </row>
    <row r="377" ht="15.75" customHeight="1">
      <c r="A377" s="169"/>
      <c r="B377" s="169"/>
      <c r="C377" s="169"/>
      <c r="D377" s="169"/>
      <c r="E377" s="169"/>
      <c r="F377" s="169"/>
      <c r="G377" s="170"/>
      <c r="H377" s="101"/>
      <c r="I377" s="171"/>
      <c r="J377" s="172"/>
      <c r="K377" s="173"/>
      <c r="L377" s="58">
        <f t="shared" si="42"/>
        <v>0</v>
      </c>
      <c r="M377" s="172">
        <v>60000.0</v>
      </c>
    </row>
    <row r="378" ht="15.75" customHeight="1">
      <c r="A378" s="169"/>
      <c r="B378" s="169"/>
      <c r="C378" s="169"/>
      <c r="D378" s="169"/>
      <c r="E378" s="169"/>
      <c r="F378" s="169"/>
      <c r="G378" s="170"/>
      <c r="H378" s="101"/>
      <c r="I378" s="171"/>
      <c r="J378" s="172"/>
      <c r="K378" s="173"/>
      <c r="L378" s="52">
        <f t="shared" ref="L378:M378" si="43">SUM(L362:L377)</f>
        <v>7418370</v>
      </c>
      <c r="M378" s="194">
        <f t="shared" si="43"/>
        <v>10170000</v>
      </c>
    </row>
    <row r="379" ht="15.75" customHeight="1">
      <c r="A379" s="169"/>
      <c r="B379" s="169"/>
      <c r="C379" s="169"/>
      <c r="D379" s="169"/>
      <c r="E379" s="169"/>
      <c r="F379" s="169"/>
      <c r="G379" s="170"/>
      <c r="H379" s="101"/>
      <c r="I379" s="171"/>
      <c r="J379" s="172"/>
      <c r="K379" s="173"/>
      <c r="L379" s="33">
        <f>L378-M378</f>
        <v>-2751630</v>
      </c>
      <c r="M379" s="101"/>
    </row>
    <row r="380" ht="15.75" customHeight="1">
      <c r="A380" s="169"/>
      <c r="B380" s="169"/>
      <c r="C380" s="169"/>
      <c r="D380" s="169"/>
      <c r="E380" s="169"/>
      <c r="F380" s="169"/>
      <c r="G380" s="170"/>
      <c r="H380" s="101"/>
      <c r="I380" s="171"/>
      <c r="J380" s="172"/>
      <c r="K380" s="173"/>
      <c r="L380" s="173"/>
      <c r="M380" s="172"/>
    </row>
    <row r="381" ht="15.75" customHeight="1">
      <c r="A381" s="169"/>
      <c r="B381" s="169"/>
      <c r="C381" s="169"/>
      <c r="D381" s="169"/>
      <c r="E381" s="169"/>
      <c r="F381" s="169"/>
      <c r="G381" s="170"/>
      <c r="H381" s="101"/>
      <c r="I381" s="171"/>
      <c r="J381" s="172"/>
      <c r="K381" s="173"/>
      <c r="L381" s="173"/>
      <c r="M381" s="172"/>
    </row>
    <row r="382" ht="15.75" customHeight="1">
      <c r="A382" s="89" t="s">
        <v>209</v>
      </c>
      <c r="B382" s="89" t="s">
        <v>0</v>
      </c>
      <c r="C382" s="89" t="s">
        <v>1</v>
      </c>
      <c r="D382" s="89" t="s">
        <v>2</v>
      </c>
      <c r="E382" s="90" t="s">
        <v>3</v>
      </c>
      <c r="F382" s="89" t="s">
        <v>4</v>
      </c>
      <c r="G382" s="91" t="s">
        <v>5</v>
      </c>
      <c r="H382" s="119" t="s">
        <v>6</v>
      </c>
      <c r="I382" s="92" t="s">
        <v>39</v>
      </c>
      <c r="J382" s="119" t="s">
        <v>7</v>
      </c>
      <c r="K382" s="91" t="s">
        <v>39</v>
      </c>
      <c r="L382" s="92" t="s">
        <v>8</v>
      </c>
      <c r="M382" s="120" t="s">
        <v>9</v>
      </c>
    </row>
    <row r="383" ht="15.75" customHeight="1">
      <c r="A383" s="203">
        <v>1.0</v>
      </c>
      <c r="B383" s="112">
        <v>45677.0</v>
      </c>
      <c r="C383" s="98" t="s">
        <v>394</v>
      </c>
      <c r="D383" s="169" t="s">
        <v>370</v>
      </c>
      <c r="E383" s="204" t="s">
        <v>242</v>
      </c>
      <c r="F383" s="204" t="s">
        <v>507</v>
      </c>
      <c r="G383" s="151">
        <v>10000.0</v>
      </c>
      <c r="H383" s="104">
        <v>1000000.0</v>
      </c>
      <c r="I383" s="115" t="s">
        <v>238</v>
      </c>
      <c r="J383" s="104">
        <v>500000.0</v>
      </c>
      <c r="K383" s="109" t="s">
        <v>238</v>
      </c>
      <c r="L383" s="58">
        <f t="shared" ref="L383:L388" si="44">H383-J383</f>
        <v>500000</v>
      </c>
      <c r="M383" s="150">
        <v>3640000.0</v>
      </c>
      <c r="N383" s="205" t="s">
        <v>508</v>
      </c>
    </row>
    <row r="384" ht="15.75" customHeight="1">
      <c r="A384" s="204">
        <v>2.0</v>
      </c>
      <c r="B384" s="112">
        <v>45679.0</v>
      </c>
      <c r="C384" s="98" t="s">
        <v>394</v>
      </c>
      <c r="D384" s="169" t="s">
        <v>370</v>
      </c>
      <c r="E384" s="204" t="s">
        <v>242</v>
      </c>
      <c r="F384" s="204" t="s">
        <v>43</v>
      </c>
      <c r="G384" s="151">
        <v>10000.0</v>
      </c>
      <c r="H384" s="135">
        <v>1500000.0</v>
      </c>
      <c r="I384" s="206" t="s">
        <v>238</v>
      </c>
      <c r="J384" s="207">
        <v>850000.0</v>
      </c>
      <c r="K384" s="173" t="s">
        <v>42</v>
      </c>
      <c r="L384" s="58">
        <f t="shared" si="44"/>
        <v>650000</v>
      </c>
      <c r="M384" s="150">
        <v>6542500.0</v>
      </c>
    </row>
    <row r="385" ht="15.75" customHeight="1">
      <c r="A385" s="204">
        <v>3.0</v>
      </c>
      <c r="B385" s="112">
        <v>45680.0</v>
      </c>
      <c r="C385" s="98" t="s">
        <v>394</v>
      </c>
      <c r="D385" s="169" t="s">
        <v>370</v>
      </c>
      <c r="E385" s="204" t="s">
        <v>256</v>
      </c>
      <c r="F385" s="204" t="s">
        <v>509</v>
      </c>
      <c r="G385" s="151">
        <v>8500.0</v>
      </c>
      <c r="H385" s="121">
        <v>1200000.0</v>
      </c>
      <c r="I385" s="171" t="s">
        <v>42</v>
      </c>
      <c r="J385" s="104">
        <f>640000+25000</f>
        <v>665000</v>
      </c>
      <c r="K385" s="173" t="s">
        <v>42</v>
      </c>
      <c r="L385" s="58">
        <f t="shared" si="44"/>
        <v>535000</v>
      </c>
      <c r="M385" s="207">
        <v>62500.0</v>
      </c>
    </row>
    <row r="386" ht="15.75" customHeight="1">
      <c r="A386" s="204">
        <v>4.0</v>
      </c>
      <c r="B386" s="112">
        <v>45685.0</v>
      </c>
      <c r="C386" s="98" t="s">
        <v>394</v>
      </c>
      <c r="D386" s="169" t="s">
        <v>370</v>
      </c>
      <c r="E386" s="204" t="s">
        <v>305</v>
      </c>
      <c r="F386" s="204" t="s">
        <v>311</v>
      </c>
      <c r="G386" s="151">
        <v>9000.0</v>
      </c>
      <c r="H386" s="128">
        <v>720000.0</v>
      </c>
      <c r="I386" s="171" t="s">
        <v>42</v>
      </c>
      <c r="J386" s="207">
        <v>350000.0</v>
      </c>
      <c r="K386" s="173" t="s">
        <v>42</v>
      </c>
      <c r="L386" s="58">
        <f t="shared" si="44"/>
        <v>370000</v>
      </c>
      <c r="M386" s="207">
        <v>330000.0</v>
      </c>
    </row>
    <row r="387" ht="15.75" customHeight="1">
      <c r="A387" s="204">
        <v>5.0</v>
      </c>
      <c r="B387" s="112">
        <v>45687.0</v>
      </c>
      <c r="C387" s="98" t="s">
        <v>394</v>
      </c>
      <c r="D387" s="169" t="s">
        <v>370</v>
      </c>
      <c r="E387" s="204" t="s">
        <v>273</v>
      </c>
      <c r="F387" s="204" t="s">
        <v>510</v>
      </c>
      <c r="G387" s="151">
        <v>9000.0</v>
      </c>
      <c r="H387" s="208">
        <v>1125000.0</v>
      </c>
      <c r="I387" s="171" t="s">
        <v>42</v>
      </c>
      <c r="J387" s="121">
        <v>665000.0</v>
      </c>
      <c r="K387" s="173" t="s">
        <v>42</v>
      </c>
      <c r="L387" s="58">
        <f t="shared" si="44"/>
        <v>460000</v>
      </c>
      <c r="M387" s="207">
        <v>1115000.0</v>
      </c>
    </row>
    <row r="388" ht="15.75" customHeight="1">
      <c r="A388" s="204">
        <v>6.0</v>
      </c>
      <c r="B388" s="112">
        <v>45688.0</v>
      </c>
      <c r="C388" s="98" t="s">
        <v>394</v>
      </c>
      <c r="D388" s="169" t="s">
        <v>370</v>
      </c>
      <c r="E388" s="204" t="s">
        <v>273</v>
      </c>
      <c r="F388" s="204" t="s">
        <v>511</v>
      </c>
      <c r="G388" s="151">
        <v>10000.0</v>
      </c>
      <c r="H388" s="104">
        <v>1500000.0</v>
      </c>
      <c r="I388" s="122" t="s">
        <v>238</v>
      </c>
      <c r="J388" s="121">
        <v>325000.0</v>
      </c>
      <c r="K388" s="173" t="s">
        <v>42</v>
      </c>
      <c r="L388" s="58">
        <f t="shared" si="44"/>
        <v>1175000</v>
      </c>
      <c r="M388" s="207">
        <v>350000.0</v>
      </c>
    </row>
    <row r="389" ht="15.75" customHeight="1">
      <c r="A389" s="169"/>
      <c r="B389" s="169"/>
      <c r="C389" s="169"/>
      <c r="D389" s="169"/>
      <c r="E389" s="169"/>
      <c r="F389" s="169"/>
      <c r="G389" s="170"/>
      <c r="H389" s="101"/>
      <c r="I389" s="171"/>
      <c r="J389" s="172"/>
      <c r="K389" s="173"/>
      <c r="L389" s="173"/>
      <c r="M389" s="172"/>
    </row>
    <row r="390" ht="15.75" customHeight="1">
      <c r="A390" s="169"/>
      <c r="B390" s="169"/>
      <c r="C390" s="169"/>
      <c r="D390" s="169"/>
      <c r="E390" s="169"/>
      <c r="F390" s="169"/>
      <c r="G390" s="170"/>
      <c r="H390" s="101"/>
      <c r="I390" s="171"/>
      <c r="J390" s="172"/>
      <c r="K390" s="173"/>
      <c r="L390" s="173"/>
      <c r="M390" s="172"/>
    </row>
    <row r="391" ht="15.75" customHeight="1">
      <c r="A391" s="169"/>
      <c r="B391" s="169"/>
      <c r="C391" s="169"/>
      <c r="D391" s="169"/>
      <c r="E391" s="169"/>
      <c r="F391" s="169"/>
      <c r="G391" s="170"/>
      <c r="H391" s="101"/>
      <c r="I391" s="171"/>
      <c r="J391" s="172"/>
      <c r="K391" s="173"/>
      <c r="L391" s="52">
        <f t="shared" ref="L391:M391" si="45">SUM(L383:L390)</f>
        <v>3690000</v>
      </c>
      <c r="M391" s="30">
        <f t="shared" si="45"/>
        <v>12040000</v>
      </c>
    </row>
    <row r="392" ht="15.75" customHeight="1">
      <c r="A392" s="169"/>
      <c r="B392" s="169"/>
      <c r="C392" s="169"/>
      <c r="D392" s="169"/>
      <c r="E392" s="169"/>
      <c r="F392" s="169"/>
      <c r="G392" s="170"/>
      <c r="H392" s="101"/>
      <c r="I392" s="171"/>
      <c r="J392" s="172"/>
      <c r="K392" s="173"/>
      <c r="L392" s="33">
        <f>L391-M391</f>
        <v>-8350000</v>
      </c>
      <c r="M392" s="26"/>
    </row>
    <row r="393" ht="15.75" customHeight="1">
      <c r="A393" s="169"/>
      <c r="B393" s="169"/>
      <c r="C393" s="169"/>
      <c r="D393" s="169"/>
      <c r="E393" s="169"/>
      <c r="F393" s="169"/>
      <c r="G393" s="170"/>
      <c r="H393" s="101"/>
      <c r="I393" s="171"/>
      <c r="J393" s="172"/>
      <c r="K393" s="173"/>
      <c r="L393" s="173"/>
      <c r="M393" s="172"/>
    </row>
    <row r="394" ht="15.75" customHeight="1">
      <c r="A394" s="136" t="s">
        <v>209</v>
      </c>
      <c r="B394" s="136" t="s">
        <v>0</v>
      </c>
      <c r="C394" s="136" t="s">
        <v>1</v>
      </c>
      <c r="D394" s="136" t="s">
        <v>2</v>
      </c>
      <c r="E394" s="137" t="s">
        <v>3</v>
      </c>
      <c r="F394" s="136" t="s">
        <v>4</v>
      </c>
      <c r="G394" s="138" t="s">
        <v>5</v>
      </c>
      <c r="H394" s="139" t="s">
        <v>6</v>
      </c>
      <c r="I394" s="140" t="s">
        <v>39</v>
      </c>
      <c r="J394" s="139" t="s">
        <v>7</v>
      </c>
      <c r="K394" s="138" t="s">
        <v>39</v>
      </c>
      <c r="L394" s="140" t="s">
        <v>8</v>
      </c>
      <c r="M394" s="141" t="s">
        <v>9</v>
      </c>
    </row>
    <row r="395" ht="15.75" customHeight="1">
      <c r="A395" s="169">
        <v>1.0</v>
      </c>
      <c r="B395" s="209">
        <v>45689.0</v>
      </c>
      <c r="C395" s="98" t="s">
        <v>394</v>
      </c>
      <c r="D395" s="169" t="s">
        <v>370</v>
      </c>
      <c r="E395" s="210" t="s">
        <v>217</v>
      </c>
      <c r="F395" s="98" t="s">
        <v>323</v>
      </c>
      <c r="G395" s="110">
        <v>9000.0</v>
      </c>
      <c r="H395" s="107">
        <v>1350000.0</v>
      </c>
      <c r="I395" s="115" t="s">
        <v>238</v>
      </c>
      <c r="J395" s="60">
        <v>780000.0</v>
      </c>
      <c r="K395" s="173" t="s">
        <v>42</v>
      </c>
      <c r="L395" s="58">
        <f t="shared" ref="L395:L410" si="46">H395-J395</f>
        <v>570000</v>
      </c>
      <c r="M395" s="147">
        <v>5550500.0</v>
      </c>
    </row>
    <row r="396" ht="15.75" customHeight="1">
      <c r="A396" s="204">
        <v>2.0</v>
      </c>
      <c r="B396" s="142">
        <v>45692.0</v>
      </c>
      <c r="C396" s="98" t="s">
        <v>394</v>
      </c>
      <c r="D396" s="169" t="s">
        <v>370</v>
      </c>
      <c r="E396" s="204" t="s">
        <v>273</v>
      </c>
      <c r="F396" s="204" t="s">
        <v>328</v>
      </c>
      <c r="G396" s="151">
        <v>10000.0</v>
      </c>
      <c r="H396" s="121">
        <v>1600000.0</v>
      </c>
      <c r="I396" s="115" t="s">
        <v>238</v>
      </c>
      <c r="J396" s="121">
        <v>975000.0</v>
      </c>
      <c r="K396" s="173" t="s">
        <v>42</v>
      </c>
      <c r="L396" s="58">
        <f t="shared" si="46"/>
        <v>625000</v>
      </c>
      <c r="M396" s="207">
        <v>379000.0</v>
      </c>
    </row>
    <row r="397" ht="15.75" customHeight="1">
      <c r="A397" s="204">
        <v>3.0</v>
      </c>
      <c r="B397" s="142">
        <v>45694.0</v>
      </c>
      <c r="C397" s="98" t="s">
        <v>394</v>
      </c>
      <c r="D397" s="169" t="s">
        <v>370</v>
      </c>
      <c r="E397" s="204" t="s">
        <v>217</v>
      </c>
      <c r="F397" s="204" t="s">
        <v>512</v>
      </c>
      <c r="G397" s="151">
        <v>10000.0</v>
      </c>
      <c r="H397" s="128">
        <v>1000000.0</v>
      </c>
      <c r="I397" s="211" t="s">
        <v>238</v>
      </c>
      <c r="J397" s="207">
        <v>500000.0</v>
      </c>
      <c r="K397" s="173" t="s">
        <v>42</v>
      </c>
      <c r="L397" s="58">
        <f t="shared" si="46"/>
        <v>500000</v>
      </c>
      <c r="M397" s="207">
        <v>215000.0</v>
      </c>
    </row>
    <row r="398" ht="15.75" customHeight="1">
      <c r="A398" s="204">
        <v>4.0</v>
      </c>
      <c r="B398" s="142">
        <v>45695.0</v>
      </c>
      <c r="C398" s="98" t="s">
        <v>394</v>
      </c>
      <c r="D398" s="169" t="s">
        <v>370</v>
      </c>
      <c r="E398" s="204" t="s">
        <v>243</v>
      </c>
      <c r="F398" s="204" t="s">
        <v>268</v>
      </c>
      <c r="G398" s="151">
        <v>9000.0</v>
      </c>
      <c r="H398" s="128">
        <v>1400000.0</v>
      </c>
      <c r="I398" s="211" t="s">
        <v>238</v>
      </c>
      <c r="J398" s="207">
        <v>850000.0</v>
      </c>
      <c r="K398" s="173" t="s">
        <v>42</v>
      </c>
      <c r="L398" s="58">
        <f t="shared" si="46"/>
        <v>550000</v>
      </c>
      <c r="M398" s="207">
        <v>573000.0</v>
      </c>
    </row>
    <row r="399" ht="15.75" customHeight="1">
      <c r="A399" s="204">
        <v>5.0</v>
      </c>
      <c r="B399" s="142">
        <v>45696.0</v>
      </c>
      <c r="C399" s="98" t="s">
        <v>394</v>
      </c>
      <c r="D399" s="169" t="s">
        <v>370</v>
      </c>
      <c r="E399" s="204" t="s">
        <v>80</v>
      </c>
      <c r="F399" s="204" t="s">
        <v>271</v>
      </c>
      <c r="G399" s="151">
        <v>9000.0</v>
      </c>
      <c r="H399" s="128">
        <v>675000.0</v>
      </c>
      <c r="I399" s="211" t="s">
        <v>238</v>
      </c>
      <c r="J399" s="207">
        <v>375000.0</v>
      </c>
      <c r="K399" s="212" t="s">
        <v>212</v>
      </c>
      <c r="L399" s="58">
        <f t="shared" si="46"/>
        <v>300000</v>
      </c>
      <c r="M399" s="172"/>
    </row>
    <row r="400" ht="15.75" customHeight="1">
      <c r="A400" s="204">
        <v>6.0</v>
      </c>
      <c r="B400" s="142">
        <v>45698.0</v>
      </c>
      <c r="C400" s="98" t="s">
        <v>394</v>
      </c>
      <c r="D400" s="169" t="s">
        <v>370</v>
      </c>
      <c r="E400" s="204" t="s">
        <v>242</v>
      </c>
      <c r="F400" s="204" t="s">
        <v>507</v>
      </c>
      <c r="G400" s="151">
        <v>10000.0</v>
      </c>
      <c r="H400" s="128">
        <v>1000000.0</v>
      </c>
      <c r="I400" s="211" t="s">
        <v>238</v>
      </c>
      <c r="J400" s="207">
        <v>500000.0</v>
      </c>
      <c r="K400" s="213" t="s">
        <v>212</v>
      </c>
      <c r="L400" s="58">
        <f t="shared" si="46"/>
        <v>500000</v>
      </c>
      <c r="M400" s="172"/>
    </row>
    <row r="401" ht="15.75" customHeight="1">
      <c r="A401" s="204">
        <v>7.0</v>
      </c>
      <c r="B401" s="142">
        <v>45699.0</v>
      </c>
      <c r="C401" s="98" t="s">
        <v>394</v>
      </c>
      <c r="D401" s="169" t="s">
        <v>370</v>
      </c>
      <c r="E401" s="204" t="s">
        <v>123</v>
      </c>
      <c r="F401" s="204" t="s">
        <v>311</v>
      </c>
      <c r="G401" s="151">
        <v>9000.0</v>
      </c>
      <c r="H401" s="128">
        <v>720000.0</v>
      </c>
      <c r="I401" s="171" t="s">
        <v>42</v>
      </c>
      <c r="J401" s="207">
        <v>350000.0</v>
      </c>
      <c r="K401" s="212" t="s">
        <v>212</v>
      </c>
      <c r="L401" s="58">
        <f t="shared" si="46"/>
        <v>370000</v>
      </c>
      <c r="M401" s="172"/>
    </row>
    <row r="402" ht="15.75" customHeight="1">
      <c r="A402" s="204">
        <v>8.0</v>
      </c>
      <c r="B402" s="142">
        <v>45700.0</v>
      </c>
      <c r="C402" s="98" t="s">
        <v>394</v>
      </c>
      <c r="D402" s="169" t="s">
        <v>370</v>
      </c>
      <c r="E402" s="204" t="s">
        <v>243</v>
      </c>
      <c r="F402" s="204" t="s">
        <v>268</v>
      </c>
      <c r="G402" s="151">
        <v>9000.0</v>
      </c>
      <c r="H402" s="128">
        <v>1400000.0</v>
      </c>
      <c r="I402" s="211" t="s">
        <v>238</v>
      </c>
      <c r="J402" s="207">
        <v>850000.0</v>
      </c>
      <c r="K402" s="212" t="s">
        <v>212</v>
      </c>
      <c r="L402" s="58">
        <f t="shared" si="46"/>
        <v>550000</v>
      </c>
      <c r="M402" s="207"/>
      <c r="N402" s="214"/>
    </row>
    <row r="403" ht="15.75" customHeight="1">
      <c r="A403" s="204">
        <v>9.0</v>
      </c>
      <c r="B403" s="142">
        <v>45701.0</v>
      </c>
      <c r="C403" s="98" t="s">
        <v>394</v>
      </c>
      <c r="D403" s="169" t="s">
        <v>370</v>
      </c>
      <c r="E403" s="204" t="s">
        <v>80</v>
      </c>
      <c r="F403" s="204" t="s">
        <v>271</v>
      </c>
      <c r="G403" s="151">
        <v>9000.0</v>
      </c>
      <c r="H403" s="128">
        <v>675000.0</v>
      </c>
      <c r="I403" s="211" t="s">
        <v>238</v>
      </c>
      <c r="J403" s="207">
        <v>375000.0</v>
      </c>
      <c r="K403" s="212" t="s">
        <v>212</v>
      </c>
      <c r="L403" s="58">
        <f t="shared" si="46"/>
        <v>300000</v>
      </c>
      <c r="M403" s="207">
        <v>600000.0</v>
      </c>
    </row>
    <row r="404" ht="15.75" customHeight="1">
      <c r="A404" s="204">
        <v>10.0</v>
      </c>
      <c r="B404" s="142">
        <v>45703.0</v>
      </c>
      <c r="C404" s="98" t="s">
        <v>394</v>
      </c>
      <c r="D404" s="169" t="s">
        <v>370</v>
      </c>
      <c r="E404" s="204" t="s">
        <v>279</v>
      </c>
      <c r="F404" s="204" t="s">
        <v>301</v>
      </c>
      <c r="G404" s="151">
        <v>9000.0</v>
      </c>
      <c r="H404" s="128">
        <v>900000.0</v>
      </c>
      <c r="I404" s="171" t="s">
        <v>42</v>
      </c>
      <c r="J404" s="207">
        <v>500000.0</v>
      </c>
      <c r="K404" s="212" t="s">
        <v>212</v>
      </c>
      <c r="L404" s="58">
        <f t="shared" si="46"/>
        <v>400000</v>
      </c>
      <c r="M404" s="172"/>
    </row>
    <row r="405" ht="15.75" customHeight="1">
      <c r="A405" s="204">
        <v>11.0</v>
      </c>
      <c r="B405" s="142">
        <v>45705.0</v>
      </c>
      <c r="C405" s="98" t="s">
        <v>394</v>
      </c>
      <c r="D405" s="169" t="s">
        <v>370</v>
      </c>
      <c r="E405" s="204" t="s">
        <v>327</v>
      </c>
      <c r="F405" s="204" t="s">
        <v>325</v>
      </c>
      <c r="G405" s="151">
        <v>9000.0</v>
      </c>
      <c r="H405" s="128">
        <v>1200000.0</v>
      </c>
      <c r="I405" s="171" t="s">
        <v>42</v>
      </c>
      <c r="J405" s="207">
        <v>640000.0</v>
      </c>
      <c r="K405" s="212" t="s">
        <v>212</v>
      </c>
      <c r="L405" s="58">
        <f t="shared" si="46"/>
        <v>560000</v>
      </c>
      <c r="M405" s="172"/>
    </row>
    <row r="406" ht="15.75" customHeight="1">
      <c r="A406" s="204">
        <v>12.0</v>
      </c>
      <c r="B406" s="142">
        <v>45707.0</v>
      </c>
      <c r="C406" s="98" t="s">
        <v>394</v>
      </c>
      <c r="D406" s="169" t="s">
        <v>370</v>
      </c>
      <c r="E406" s="204" t="s">
        <v>273</v>
      </c>
      <c r="F406" s="204" t="s">
        <v>303</v>
      </c>
      <c r="G406" s="151">
        <v>10000.0</v>
      </c>
      <c r="H406" s="128">
        <v>1350000.0</v>
      </c>
      <c r="I406" s="211" t="s">
        <v>238</v>
      </c>
      <c r="J406" s="207">
        <v>775000.0</v>
      </c>
      <c r="K406" s="212" t="s">
        <v>212</v>
      </c>
      <c r="L406" s="58">
        <f t="shared" si="46"/>
        <v>575000</v>
      </c>
      <c r="M406" s="207">
        <v>622000.0</v>
      </c>
    </row>
    <row r="407" ht="15.75" customHeight="1">
      <c r="A407" s="204">
        <v>13.0</v>
      </c>
      <c r="B407" s="142">
        <v>45709.0</v>
      </c>
      <c r="C407" s="98" t="s">
        <v>394</v>
      </c>
      <c r="D407" s="169" t="s">
        <v>370</v>
      </c>
      <c r="E407" s="204" t="s">
        <v>243</v>
      </c>
      <c r="F407" s="204" t="s">
        <v>510</v>
      </c>
      <c r="G407" s="151">
        <v>9000.0</v>
      </c>
      <c r="H407" s="128">
        <v>1125000.0</v>
      </c>
      <c r="I407" s="171" t="s">
        <v>42</v>
      </c>
      <c r="J407" s="207">
        <v>650000.0</v>
      </c>
      <c r="K407" s="215" t="s">
        <v>212</v>
      </c>
      <c r="L407" s="58">
        <f t="shared" si="46"/>
        <v>475000</v>
      </c>
      <c r="M407" s="172"/>
    </row>
    <row r="408" ht="15.75" customHeight="1">
      <c r="A408" s="204">
        <v>14.0</v>
      </c>
      <c r="B408" s="142">
        <v>45710.0</v>
      </c>
      <c r="C408" s="98" t="s">
        <v>394</v>
      </c>
      <c r="D408" s="169" t="s">
        <v>370</v>
      </c>
      <c r="E408" s="204" t="s">
        <v>307</v>
      </c>
      <c r="F408" s="204" t="s">
        <v>308</v>
      </c>
      <c r="G408" s="151">
        <v>5000.0</v>
      </c>
      <c r="H408" s="135">
        <v>1496250.0</v>
      </c>
      <c r="I408" s="115" t="s">
        <v>238</v>
      </c>
      <c r="J408" s="135">
        <v>900000.0</v>
      </c>
      <c r="K408" s="215" t="s">
        <v>212</v>
      </c>
      <c r="L408" s="58">
        <f t="shared" si="46"/>
        <v>596250</v>
      </c>
      <c r="M408" s="172"/>
    </row>
    <row r="409" ht="15.75" customHeight="1">
      <c r="A409" s="204">
        <v>15.0</v>
      </c>
      <c r="B409" s="142">
        <v>45713.0</v>
      </c>
      <c r="C409" s="98" t="s">
        <v>394</v>
      </c>
      <c r="D409" s="169" t="s">
        <v>370</v>
      </c>
      <c r="E409" s="204" t="s">
        <v>350</v>
      </c>
      <c r="F409" s="204" t="s">
        <v>268</v>
      </c>
      <c r="G409" s="151">
        <v>9000.0</v>
      </c>
      <c r="H409" s="128">
        <v>1400000.0</v>
      </c>
      <c r="I409" s="211" t="s">
        <v>238</v>
      </c>
      <c r="J409" s="207">
        <v>875000.0</v>
      </c>
      <c r="K409" s="215" t="s">
        <v>212</v>
      </c>
      <c r="L409" s="58">
        <f t="shared" si="46"/>
        <v>525000</v>
      </c>
      <c r="M409" s="207">
        <v>285000.0</v>
      </c>
    </row>
    <row r="410" ht="15.75" customHeight="1">
      <c r="A410" s="204">
        <v>16.0</v>
      </c>
      <c r="B410" s="142">
        <v>45715.0</v>
      </c>
      <c r="C410" s="98" t="s">
        <v>394</v>
      </c>
      <c r="D410" s="169" t="s">
        <v>370</v>
      </c>
      <c r="E410" s="204" t="s">
        <v>279</v>
      </c>
      <c r="F410" s="204" t="s">
        <v>325</v>
      </c>
      <c r="G410" s="151">
        <v>9000.0</v>
      </c>
      <c r="H410" s="128">
        <v>1200000.0</v>
      </c>
      <c r="I410" s="171" t="s">
        <v>42</v>
      </c>
      <c r="J410" s="207">
        <v>640000.0</v>
      </c>
      <c r="K410" s="215" t="s">
        <v>212</v>
      </c>
      <c r="L410" s="58">
        <f t="shared" si="46"/>
        <v>560000</v>
      </c>
      <c r="M410" s="207">
        <v>124000.0</v>
      </c>
    </row>
    <row r="411" ht="15.75" customHeight="1">
      <c r="A411" s="169"/>
      <c r="B411" s="169"/>
      <c r="C411" s="169"/>
      <c r="D411" s="169"/>
      <c r="E411" s="169"/>
      <c r="F411" s="169"/>
      <c r="G411" s="170"/>
      <c r="H411" s="101"/>
      <c r="I411" s="171"/>
      <c r="J411" s="172"/>
      <c r="K411" s="173"/>
      <c r="L411" s="216">
        <f t="shared" ref="L411:M411" si="47">SUM(L395:L410)</f>
        <v>7956250</v>
      </c>
      <c r="M411" s="217">
        <f t="shared" si="47"/>
        <v>8348500</v>
      </c>
    </row>
    <row r="412" ht="15.75" customHeight="1">
      <c r="A412" s="169"/>
      <c r="B412" s="169"/>
      <c r="C412" s="169"/>
      <c r="D412" s="169"/>
      <c r="E412" s="169"/>
      <c r="F412" s="169"/>
      <c r="G412" s="170"/>
      <c r="H412" s="101"/>
      <c r="I412" s="171"/>
      <c r="J412" s="172"/>
      <c r="K412" s="173"/>
      <c r="L412" s="218">
        <f>L411-M411</f>
        <v>-392250</v>
      </c>
      <c r="M412" s="219"/>
    </row>
    <row r="413" ht="15.75" customHeight="1">
      <c r="A413" s="169"/>
      <c r="B413" s="169"/>
      <c r="C413" s="169"/>
      <c r="D413" s="169"/>
      <c r="E413" s="169"/>
      <c r="F413" s="169"/>
      <c r="G413" s="170"/>
      <c r="H413" s="101"/>
      <c r="I413" s="171"/>
      <c r="J413" s="172"/>
      <c r="K413" s="173"/>
      <c r="L413" s="173"/>
      <c r="M413" s="172"/>
    </row>
    <row r="414" ht="15.75" customHeight="1">
      <c r="A414" s="136" t="s">
        <v>209</v>
      </c>
      <c r="B414" s="136" t="s">
        <v>0</v>
      </c>
      <c r="C414" s="136" t="s">
        <v>1</v>
      </c>
      <c r="D414" s="136" t="s">
        <v>2</v>
      </c>
      <c r="E414" s="137" t="s">
        <v>3</v>
      </c>
      <c r="F414" s="136" t="s">
        <v>4</v>
      </c>
      <c r="G414" s="138" t="s">
        <v>5</v>
      </c>
      <c r="H414" s="139" t="s">
        <v>6</v>
      </c>
      <c r="I414" s="140" t="s">
        <v>39</v>
      </c>
      <c r="J414" s="139" t="s">
        <v>7</v>
      </c>
      <c r="K414" s="138" t="s">
        <v>39</v>
      </c>
      <c r="L414" s="140" t="s">
        <v>8</v>
      </c>
      <c r="M414" s="141" t="s">
        <v>9</v>
      </c>
    </row>
    <row r="415" ht="15.75" customHeight="1">
      <c r="A415" s="169">
        <v>1.0</v>
      </c>
      <c r="B415" s="142">
        <v>45719.0</v>
      </c>
      <c r="C415" s="98" t="s">
        <v>394</v>
      </c>
      <c r="D415" s="169" t="s">
        <v>370</v>
      </c>
      <c r="E415" s="210" t="s">
        <v>273</v>
      </c>
      <c r="F415" s="204" t="s">
        <v>510</v>
      </c>
      <c r="G415" s="110">
        <v>8500.0</v>
      </c>
      <c r="H415" s="107">
        <v>1065000.0</v>
      </c>
      <c r="I415" s="171" t="s">
        <v>42</v>
      </c>
      <c r="J415" s="109">
        <v>690000.0</v>
      </c>
      <c r="K415" s="215" t="s">
        <v>212</v>
      </c>
      <c r="L415" s="58">
        <f t="shared" ref="L415:L432" si="48">H415-J415</f>
        <v>375000</v>
      </c>
      <c r="M415" s="147"/>
    </row>
    <row r="416" ht="15.75" customHeight="1">
      <c r="A416" s="204">
        <v>2.0</v>
      </c>
      <c r="B416" s="142">
        <v>45720.0</v>
      </c>
      <c r="C416" s="98" t="s">
        <v>394</v>
      </c>
      <c r="D416" s="169" t="s">
        <v>370</v>
      </c>
      <c r="E416" s="204" t="s">
        <v>280</v>
      </c>
      <c r="F416" s="204" t="s">
        <v>346</v>
      </c>
      <c r="G416" s="151">
        <v>9000.0</v>
      </c>
      <c r="H416" s="128">
        <v>1000000.0</v>
      </c>
      <c r="I416" s="171" t="s">
        <v>42</v>
      </c>
      <c r="J416" s="207">
        <v>550000.0</v>
      </c>
      <c r="K416" s="215" t="s">
        <v>212</v>
      </c>
      <c r="L416" s="58">
        <f t="shared" si="48"/>
        <v>450000</v>
      </c>
      <c r="M416" s="172"/>
    </row>
    <row r="417" ht="15.75" customHeight="1">
      <c r="A417" s="204">
        <v>3.0</v>
      </c>
      <c r="B417" s="142">
        <v>45721.0</v>
      </c>
      <c r="C417" s="98" t="s">
        <v>394</v>
      </c>
      <c r="D417" s="169" t="s">
        <v>370</v>
      </c>
      <c r="E417" s="204" t="s">
        <v>513</v>
      </c>
      <c r="F417" s="204" t="s">
        <v>268</v>
      </c>
      <c r="G417" s="151">
        <v>9000.0</v>
      </c>
      <c r="H417" s="128">
        <v>1400000.0</v>
      </c>
      <c r="I417" s="211" t="s">
        <v>238</v>
      </c>
      <c r="J417" s="207">
        <v>850000.0</v>
      </c>
      <c r="K417" s="215" t="s">
        <v>212</v>
      </c>
      <c r="L417" s="58">
        <f t="shared" si="48"/>
        <v>550000</v>
      </c>
      <c r="M417" s="172"/>
    </row>
    <row r="418" ht="15.75" customHeight="1">
      <c r="A418" s="204">
        <v>4.0</v>
      </c>
      <c r="B418" s="142">
        <v>45722.0</v>
      </c>
      <c r="C418" s="98" t="s">
        <v>394</v>
      </c>
      <c r="D418" s="169" t="s">
        <v>370</v>
      </c>
      <c r="E418" s="204" t="s">
        <v>273</v>
      </c>
      <c r="F418" s="204" t="s">
        <v>303</v>
      </c>
      <c r="G418" s="151">
        <v>9000.0</v>
      </c>
      <c r="H418" s="128">
        <v>1215000.0</v>
      </c>
      <c r="I418" s="211" t="s">
        <v>238</v>
      </c>
      <c r="J418" s="207">
        <v>725000.0</v>
      </c>
      <c r="K418" s="215" t="s">
        <v>212</v>
      </c>
      <c r="L418" s="58">
        <f t="shared" si="48"/>
        <v>490000</v>
      </c>
      <c r="M418" s="172"/>
    </row>
    <row r="419" ht="15.75" customHeight="1">
      <c r="A419" s="204">
        <v>5.0</v>
      </c>
      <c r="B419" s="142">
        <v>45724.0</v>
      </c>
      <c r="C419" s="98" t="s">
        <v>394</v>
      </c>
      <c r="D419" s="169" t="s">
        <v>370</v>
      </c>
      <c r="E419" s="204" t="s">
        <v>123</v>
      </c>
      <c r="F419" s="204" t="s">
        <v>324</v>
      </c>
      <c r="G419" s="151">
        <v>9000.0</v>
      </c>
      <c r="H419" s="128">
        <v>675000.0</v>
      </c>
      <c r="I419" s="171" t="s">
        <v>42</v>
      </c>
      <c r="J419" s="207">
        <v>350000.0</v>
      </c>
      <c r="K419" s="215" t="s">
        <v>212</v>
      </c>
      <c r="L419" s="58">
        <f t="shared" si="48"/>
        <v>325000</v>
      </c>
      <c r="M419" s="207">
        <v>305000.0</v>
      </c>
    </row>
    <row r="420" ht="15.75" customHeight="1">
      <c r="A420" s="204">
        <v>6.0</v>
      </c>
      <c r="B420" s="142">
        <v>45726.0</v>
      </c>
      <c r="C420" s="98" t="s">
        <v>394</v>
      </c>
      <c r="D420" s="169" t="s">
        <v>370</v>
      </c>
      <c r="E420" s="204" t="s">
        <v>279</v>
      </c>
      <c r="F420" s="204" t="s">
        <v>324</v>
      </c>
      <c r="G420" s="151">
        <v>9000.0</v>
      </c>
      <c r="H420" s="128">
        <v>675000.0</v>
      </c>
      <c r="I420" s="171" t="s">
        <v>42</v>
      </c>
      <c r="J420" s="207">
        <v>350000.0</v>
      </c>
      <c r="K420" s="215" t="s">
        <v>212</v>
      </c>
      <c r="L420" s="58">
        <f t="shared" si="48"/>
        <v>325000</v>
      </c>
      <c r="M420" s="207">
        <v>585000.0</v>
      </c>
    </row>
    <row r="421" ht="15.75" customHeight="1">
      <c r="A421" s="204">
        <v>7.0</v>
      </c>
      <c r="B421" s="142">
        <v>45727.0</v>
      </c>
      <c r="C421" s="98" t="s">
        <v>394</v>
      </c>
      <c r="D421" s="169" t="s">
        <v>370</v>
      </c>
      <c r="E421" s="204" t="s">
        <v>514</v>
      </c>
      <c r="F421" s="204" t="s">
        <v>311</v>
      </c>
      <c r="G421" s="151">
        <v>9000.0</v>
      </c>
      <c r="H421" s="128">
        <v>720000.0</v>
      </c>
      <c r="I421" s="171" t="s">
        <v>42</v>
      </c>
      <c r="J421" s="207">
        <v>350000.0</v>
      </c>
      <c r="K421" s="215" t="s">
        <v>212</v>
      </c>
      <c r="L421" s="58">
        <f t="shared" si="48"/>
        <v>370000</v>
      </c>
      <c r="M421" s="172"/>
    </row>
    <row r="422" ht="15.75" customHeight="1">
      <c r="A422" s="204">
        <v>8.0</v>
      </c>
      <c r="B422" s="142">
        <v>45728.0</v>
      </c>
      <c r="C422" s="98" t="s">
        <v>394</v>
      </c>
      <c r="D422" s="169" t="s">
        <v>370</v>
      </c>
      <c r="E422" s="204" t="s">
        <v>307</v>
      </c>
      <c r="F422" s="204" t="s">
        <v>308</v>
      </c>
      <c r="G422" s="151">
        <v>5000.0</v>
      </c>
      <c r="H422" s="135">
        <v>1496700.0</v>
      </c>
      <c r="I422" s="115" t="s">
        <v>238</v>
      </c>
      <c r="J422" s="135">
        <v>900000.0</v>
      </c>
      <c r="K422" s="215" t="s">
        <v>238</v>
      </c>
      <c r="L422" s="58">
        <f t="shared" si="48"/>
        <v>596700</v>
      </c>
      <c r="M422" s="172"/>
    </row>
    <row r="423" ht="15.75" customHeight="1">
      <c r="A423" s="204">
        <v>9.0</v>
      </c>
      <c r="B423" s="142">
        <v>45729.0</v>
      </c>
      <c r="C423" s="98" t="s">
        <v>394</v>
      </c>
      <c r="D423" s="169" t="s">
        <v>370</v>
      </c>
      <c r="E423" s="204" t="s">
        <v>273</v>
      </c>
      <c r="F423" s="204" t="s">
        <v>259</v>
      </c>
      <c r="G423" s="151">
        <v>10000.0</v>
      </c>
      <c r="H423" s="128">
        <v>1500000.0</v>
      </c>
      <c r="I423" s="211" t="s">
        <v>238</v>
      </c>
      <c r="J423" s="207">
        <v>875000.0</v>
      </c>
      <c r="K423" s="215" t="s">
        <v>212</v>
      </c>
      <c r="L423" s="58">
        <f t="shared" si="48"/>
        <v>625000</v>
      </c>
      <c r="M423" s="172"/>
    </row>
    <row r="424" ht="15.75" customHeight="1">
      <c r="A424" s="204">
        <v>10.0</v>
      </c>
      <c r="B424" s="142">
        <v>45731.0</v>
      </c>
      <c r="C424" s="98" t="s">
        <v>394</v>
      </c>
      <c r="D424" s="169" t="s">
        <v>370</v>
      </c>
      <c r="E424" s="204" t="s">
        <v>256</v>
      </c>
      <c r="F424" s="204" t="s">
        <v>348</v>
      </c>
      <c r="G424" s="151">
        <v>10000.0</v>
      </c>
      <c r="H424" s="128">
        <v>1000000.0</v>
      </c>
      <c r="I424" s="211" t="s">
        <v>238</v>
      </c>
      <c r="J424" s="207">
        <v>475000.0</v>
      </c>
      <c r="K424" s="215" t="s">
        <v>238</v>
      </c>
      <c r="L424" s="58">
        <f t="shared" si="48"/>
        <v>525000</v>
      </c>
      <c r="M424" s="207">
        <v>1580000.0</v>
      </c>
    </row>
    <row r="425" ht="15.75" customHeight="1">
      <c r="A425" s="204">
        <v>11.0</v>
      </c>
      <c r="B425" s="142">
        <v>45733.0</v>
      </c>
      <c r="C425" s="98" t="s">
        <v>394</v>
      </c>
      <c r="D425" s="169" t="s">
        <v>370</v>
      </c>
      <c r="E425" s="204" t="s">
        <v>307</v>
      </c>
      <c r="F425" s="204" t="s">
        <v>308</v>
      </c>
      <c r="G425" s="151">
        <v>5000.0</v>
      </c>
      <c r="H425" s="135">
        <v>1487100.0</v>
      </c>
      <c r="I425" s="211" t="s">
        <v>238</v>
      </c>
      <c r="J425" s="207">
        <v>900000.0</v>
      </c>
      <c r="K425" s="215" t="s">
        <v>212</v>
      </c>
      <c r="L425" s="58">
        <f t="shared" si="48"/>
        <v>587100</v>
      </c>
      <c r="M425" s="172"/>
    </row>
    <row r="426" ht="15.75" customHeight="1">
      <c r="A426" s="204">
        <v>12.0</v>
      </c>
      <c r="B426" s="142">
        <v>45734.0</v>
      </c>
      <c r="C426" s="98" t="s">
        <v>394</v>
      </c>
      <c r="D426" s="169" t="s">
        <v>370</v>
      </c>
      <c r="E426" s="204" t="s">
        <v>515</v>
      </c>
      <c r="F426" s="204" t="s">
        <v>332</v>
      </c>
      <c r="G426" s="151">
        <v>9000.0</v>
      </c>
      <c r="H426" s="121">
        <v>765000.0</v>
      </c>
      <c r="I426" s="115" t="s">
        <v>238</v>
      </c>
      <c r="J426" s="121">
        <v>450000.0</v>
      </c>
      <c r="K426" s="98" t="s">
        <v>212</v>
      </c>
      <c r="L426" s="58">
        <f t="shared" si="48"/>
        <v>315000</v>
      </c>
      <c r="M426" s="172"/>
    </row>
    <row r="427" ht="15.75" customHeight="1">
      <c r="A427" s="204">
        <v>13.0</v>
      </c>
      <c r="B427" s="142">
        <v>45735.0</v>
      </c>
      <c r="C427" s="98" t="s">
        <v>394</v>
      </c>
      <c r="D427" s="169" t="s">
        <v>370</v>
      </c>
      <c r="E427" s="204" t="s">
        <v>273</v>
      </c>
      <c r="F427" s="204" t="s">
        <v>303</v>
      </c>
      <c r="G427" s="151">
        <v>9000.0</v>
      </c>
      <c r="H427" s="128">
        <v>1215000.0</v>
      </c>
      <c r="I427" s="211" t="s">
        <v>238</v>
      </c>
      <c r="J427" s="207">
        <v>725000.0</v>
      </c>
      <c r="K427" s="98" t="s">
        <v>212</v>
      </c>
      <c r="L427" s="58">
        <f t="shared" si="48"/>
        <v>490000</v>
      </c>
      <c r="M427" s="172"/>
    </row>
    <row r="428" ht="15.75" customHeight="1">
      <c r="A428" s="204">
        <v>14.0</v>
      </c>
      <c r="B428" s="142">
        <v>45736.0</v>
      </c>
      <c r="C428" s="98" t="s">
        <v>394</v>
      </c>
      <c r="D428" s="169" t="s">
        <v>370</v>
      </c>
      <c r="E428" s="204" t="s">
        <v>273</v>
      </c>
      <c r="F428" s="204" t="s">
        <v>287</v>
      </c>
      <c r="G428" s="151">
        <v>10000.0</v>
      </c>
      <c r="H428" s="128">
        <v>1300000.0</v>
      </c>
      <c r="I428" s="171" t="s">
        <v>42</v>
      </c>
      <c r="J428" s="207">
        <v>765000.0</v>
      </c>
      <c r="K428" s="98" t="s">
        <v>212</v>
      </c>
      <c r="L428" s="58">
        <f t="shared" si="48"/>
        <v>535000</v>
      </c>
      <c r="M428" s="172"/>
    </row>
    <row r="429" ht="15.75" customHeight="1">
      <c r="A429" s="204">
        <v>15.0</v>
      </c>
      <c r="B429" s="142">
        <v>45738.0</v>
      </c>
      <c r="C429" s="98" t="s">
        <v>394</v>
      </c>
      <c r="D429" s="169" t="s">
        <v>370</v>
      </c>
      <c r="E429" s="204" t="s">
        <v>81</v>
      </c>
      <c r="F429" s="204" t="s">
        <v>287</v>
      </c>
      <c r="G429" s="151">
        <v>9000.0</v>
      </c>
      <c r="H429" s="128">
        <v>1200000.0</v>
      </c>
      <c r="I429" s="171" t="s">
        <v>42</v>
      </c>
      <c r="J429" s="207">
        <v>690000.0</v>
      </c>
      <c r="K429" s="98" t="s">
        <v>212</v>
      </c>
      <c r="L429" s="58">
        <f t="shared" si="48"/>
        <v>510000</v>
      </c>
      <c r="M429" s="172"/>
    </row>
    <row r="430" ht="15.75" customHeight="1">
      <c r="A430" s="204">
        <v>16.0</v>
      </c>
      <c r="B430" s="142">
        <v>45740.0</v>
      </c>
      <c r="C430" s="98" t="s">
        <v>394</v>
      </c>
      <c r="D430" s="169" t="s">
        <v>370</v>
      </c>
      <c r="E430" s="204" t="s">
        <v>516</v>
      </c>
      <c r="F430" s="204" t="s">
        <v>306</v>
      </c>
      <c r="G430" s="151">
        <v>9000.0</v>
      </c>
      <c r="H430" s="128">
        <v>1035000.0</v>
      </c>
      <c r="I430" s="171" t="s">
        <v>42</v>
      </c>
      <c r="J430" s="207">
        <v>600000.0</v>
      </c>
      <c r="K430" s="98" t="s">
        <v>212</v>
      </c>
      <c r="L430" s="58">
        <f t="shared" si="48"/>
        <v>435000</v>
      </c>
      <c r="M430" s="172"/>
    </row>
    <row r="431" ht="15.75" customHeight="1">
      <c r="A431" s="204">
        <v>17.0</v>
      </c>
      <c r="B431" s="142">
        <v>45742.0</v>
      </c>
      <c r="C431" s="98" t="s">
        <v>394</v>
      </c>
      <c r="D431" s="169" t="s">
        <v>370</v>
      </c>
      <c r="E431" s="204" t="s">
        <v>243</v>
      </c>
      <c r="F431" s="204" t="s">
        <v>306</v>
      </c>
      <c r="G431" s="151">
        <v>8500.0</v>
      </c>
      <c r="H431" s="128">
        <v>1000000.0</v>
      </c>
      <c r="I431" s="171" t="s">
        <v>42</v>
      </c>
      <c r="J431" s="207">
        <v>575000.0</v>
      </c>
      <c r="K431" s="98" t="s">
        <v>212</v>
      </c>
      <c r="L431" s="58">
        <f t="shared" si="48"/>
        <v>425000</v>
      </c>
      <c r="M431" s="172"/>
    </row>
    <row r="432" ht="15.75" customHeight="1">
      <c r="A432" s="204">
        <v>18.0</v>
      </c>
      <c r="B432" s="142">
        <v>45743.0</v>
      </c>
      <c r="C432" s="98" t="s">
        <v>394</v>
      </c>
      <c r="D432" s="169" t="s">
        <v>370</v>
      </c>
      <c r="E432" s="204" t="s">
        <v>81</v>
      </c>
      <c r="F432" s="204" t="s">
        <v>287</v>
      </c>
      <c r="G432" s="151">
        <v>9000.0</v>
      </c>
      <c r="H432" s="128">
        <v>1200000.0</v>
      </c>
      <c r="I432" s="211" t="s">
        <v>212</v>
      </c>
      <c r="J432" s="207">
        <v>690000.0</v>
      </c>
      <c r="K432" s="98" t="s">
        <v>212</v>
      </c>
      <c r="L432" s="58">
        <f t="shared" si="48"/>
        <v>510000</v>
      </c>
      <c r="M432" s="207">
        <v>25000.0</v>
      </c>
    </row>
    <row r="433" ht="15.75" customHeight="1">
      <c r="A433" s="169"/>
      <c r="B433" s="169"/>
      <c r="C433" s="169"/>
      <c r="D433" s="169"/>
      <c r="E433" s="169"/>
      <c r="F433" s="169"/>
      <c r="G433" s="170"/>
      <c r="H433" s="101"/>
      <c r="I433" s="171"/>
      <c r="J433" s="172"/>
      <c r="K433" s="173"/>
      <c r="L433" s="173"/>
      <c r="M433" s="172"/>
    </row>
    <row r="434" ht="15.75" customHeight="1">
      <c r="A434" s="169"/>
      <c r="B434" s="169"/>
      <c r="C434" s="169"/>
      <c r="D434" s="169"/>
      <c r="E434" s="169"/>
      <c r="F434" s="169"/>
      <c r="G434" s="170"/>
      <c r="H434" s="101"/>
      <c r="I434" s="171"/>
      <c r="J434" s="172"/>
      <c r="K434" s="173"/>
      <c r="L434" s="216">
        <f t="shared" ref="L434:M434" si="49">SUM(L415:L433)</f>
        <v>8438800</v>
      </c>
      <c r="M434" s="217">
        <f t="shared" si="49"/>
        <v>2495000</v>
      </c>
    </row>
    <row r="435" ht="15.75" customHeight="1">
      <c r="A435" s="169"/>
      <c r="B435" s="169"/>
      <c r="C435" s="169"/>
      <c r="D435" s="169"/>
      <c r="E435" s="169"/>
      <c r="F435" s="169"/>
      <c r="G435" s="170"/>
      <c r="H435" s="135"/>
      <c r="I435" s="171"/>
      <c r="J435" s="172"/>
      <c r="K435" s="173"/>
      <c r="L435" s="218">
        <f>L434-M434</f>
        <v>5943800</v>
      </c>
      <c r="M435" s="219"/>
    </row>
    <row r="436" ht="15.75" customHeight="1">
      <c r="A436" s="169"/>
      <c r="B436" s="169"/>
      <c r="C436" s="169"/>
      <c r="D436" s="169"/>
      <c r="E436" s="169"/>
      <c r="F436" s="169"/>
      <c r="G436" s="170"/>
      <c r="H436" s="101"/>
      <c r="I436" s="171"/>
      <c r="J436" s="172"/>
      <c r="K436" s="173"/>
      <c r="L436" s="173"/>
      <c r="M436" s="172"/>
    </row>
    <row r="437" ht="15.75" customHeight="1">
      <c r="A437" s="89" t="s">
        <v>209</v>
      </c>
      <c r="B437" s="89" t="s">
        <v>0</v>
      </c>
      <c r="C437" s="89" t="s">
        <v>1</v>
      </c>
      <c r="D437" s="89" t="s">
        <v>2</v>
      </c>
      <c r="E437" s="90" t="s">
        <v>3</v>
      </c>
      <c r="F437" s="89" t="s">
        <v>4</v>
      </c>
      <c r="G437" s="91" t="s">
        <v>5</v>
      </c>
      <c r="H437" s="119" t="s">
        <v>6</v>
      </c>
      <c r="I437" s="92" t="s">
        <v>39</v>
      </c>
      <c r="J437" s="119" t="s">
        <v>7</v>
      </c>
      <c r="K437" s="91" t="s">
        <v>39</v>
      </c>
      <c r="L437" s="92" t="s">
        <v>8</v>
      </c>
      <c r="M437" s="120" t="s">
        <v>9</v>
      </c>
    </row>
    <row r="438" ht="15.75" customHeight="1">
      <c r="A438" s="21">
        <v>1.0</v>
      </c>
      <c r="B438" s="112">
        <v>45751.0</v>
      </c>
      <c r="C438" s="98" t="s">
        <v>394</v>
      </c>
      <c r="D438" s="98" t="s">
        <v>517</v>
      </c>
      <c r="E438" s="204" t="s">
        <v>243</v>
      </c>
      <c r="F438" s="204" t="s">
        <v>288</v>
      </c>
      <c r="G438" s="170">
        <v>9000.0</v>
      </c>
      <c r="H438" s="149">
        <v>1035000.0</v>
      </c>
      <c r="I438" s="171" t="s">
        <v>42</v>
      </c>
      <c r="J438" s="150">
        <v>600000.0</v>
      </c>
      <c r="K438" s="215" t="s">
        <v>238</v>
      </c>
      <c r="L438" s="58">
        <f t="shared" ref="L438:L459" si="50">H438-J438</f>
        <v>435000</v>
      </c>
      <c r="M438" s="121"/>
    </row>
    <row r="439" ht="15.75" customHeight="1">
      <c r="A439" s="118">
        <v>2.0</v>
      </c>
      <c r="B439" s="112">
        <v>45752.0</v>
      </c>
      <c r="C439" s="98" t="s">
        <v>394</v>
      </c>
      <c r="D439" s="98" t="s">
        <v>517</v>
      </c>
      <c r="E439" s="204" t="s">
        <v>242</v>
      </c>
      <c r="F439" s="98" t="s">
        <v>507</v>
      </c>
      <c r="G439" s="110">
        <v>10000.0</v>
      </c>
      <c r="H439" s="121">
        <v>1000000.0</v>
      </c>
      <c r="I439" s="122" t="s">
        <v>238</v>
      </c>
      <c r="J439" s="109">
        <v>475000.0</v>
      </c>
      <c r="K439" s="215" t="s">
        <v>238</v>
      </c>
      <c r="L439" s="58">
        <f t="shared" si="50"/>
        <v>525000</v>
      </c>
      <c r="M439" s="106"/>
    </row>
    <row r="440" ht="15.75" customHeight="1">
      <c r="A440" s="118">
        <v>3.0</v>
      </c>
      <c r="B440" s="112">
        <v>45754.0</v>
      </c>
      <c r="C440" s="98" t="s">
        <v>394</v>
      </c>
      <c r="D440" s="98" t="s">
        <v>517</v>
      </c>
      <c r="E440" s="204" t="s">
        <v>242</v>
      </c>
      <c r="F440" s="98" t="s">
        <v>339</v>
      </c>
      <c r="G440" s="110">
        <v>9000.0</v>
      </c>
      <c r="H440" s="121">
        <v>975000.0</v>
      </c>
      <c r="I440" s="171" t="s">
        <v>42</v>
      </c>
      <c r="J440" s="121">
        <v>500000.0</v>
      </c>
      <c r="K440" s="215" t="s">
        <v>238</v>
      </c>
      <c r="L440" s="58">
        <f t="shared" si="50"/>
        <v>475000</v>
      </c>
      <c r="M440" s="61"/>
    </row>
    <row r="441" ht="15.75" customHeight="1">
      <c r="A441" s="118">
        <v>4.0</v>
      </c>
      <c r="B441" s="112">
        <v>45755.0</v>
      </c>
      <c r="C441" s="98" t="s">
        <v>394</v>
      </c>
      <c r="D441" s="98" t="s">
        <v>517</v>
      </c>
      <c r="E441" s="98" t="s">
        <v>256</v>
      </c>
      <c r="F441" s="98" t="s">
        <v>303</v>
      </c>
      <c r="G441" s="110">
        <v>9000.0</v>
      </c>
      <c r="H441" s="121">
        <v>1215000.0</v>
      </c>
      <c r="I441" s="122" t="s">
        <v>238</v>
      </c>
      <c r="J441" s="121">
        <v>700000.0</v>
      </c>
      <c r="K441" s="215" t="s">
        <v>238</v>
      </c>
      <c r="L441" s="58">
        <f t="shared" si="50"/>
        <v>515000</v>
      </c>
      <c r="M441" s="61"/>
    </row>
    <row r="442" ht="15.75" customHeight="1">
      <c r="A442" s="118">
        <v>5.0</v>
      </c>
      <c r="B442" s="112">
        <v>45756.0</v>
      </c>
      <c r="C442" s="98" t="s">
        <v>394</v>
      </c>
      <c r="D442" s="98" t="s">
        <v>517</v>
      </c>
      <c r="E442" s="98" t="s">
        <v>242</v>
      </c>
      <c r="F442" s="98" t="s">
        <v>259</v>
      </c>
      <c r="G442" s="110">
        <v>10000.0</v>
      </c>
      <c r="H442" s="121">
        <v>1500000.0</v>
      </c>
      <c r="I442" s="122" t="s">
        <v>238</v>
      </c>
      <c r="J442" s="121">
        <v>850000.0</v>
      </c>
      <c r="K442" s="215" t="s">
        <v>238</v>
      </c>
      <c r="L442" s="58">
        <f t="shared" si="50"/>
        <v>650000</v>
      </c>
      <c r="M442" s="61"/>
    </row>
    <row r="443" ht="15.75" customHeight="1">
      <c r="A443" s="118">
        <v>6.0</v>
      </c>
      <c r="B443" s="112">
        <v>45757.0</v>
      </c>
      <c r="C443" s="98" t="s">
        <v>394</v>
      </c>
      <c r="D443" s="98" t="s">
        <v>517</v>
      </c>
      <c r="E443" s="98" t="s">
        <v>280</v>
      </c>
      <c r="F443" s="98" t="s">
        <v>346</v>
      </c>
      <c r="G443" s="110">
        <v>9000.0</v>
      </c>
      <c r="H443" s="121">
        <v>1000000.0</v>
      </c>
      <c r="I443" s="171" t="s">
        <v>42</v>
      </c>
      <c r="J443" s="121">
        <v>550000.0</v>
      </c>
      <c r="K443" s="215" t="s">
        <v>238</v>
      </c>
      <c r="L443" s="58">
        <f t="shared" si="50"/>
        <v>450000</v>
      </c>
      <c r="M443" s="61"/>
    </row>
    <row r="444" ht="15.75" customHeight="1">
      <c r="A444" s="118">
        <v>7.0</v>
      </c>
      <c r="B444" s="112">
        <v>45758.0</v>
      </c>
      <c r="C444" s="98" t="s">
        <v>394</v>
      </c>
      <c r="D444" s="98" t="s">
        <v>517</v>
      </c>
      <c r="E444" s="98" t="s">
        <v>518</v>
      </c>
      <c r="F444" s="98" t="s">
        <v>332</v>
      </c>
      <c r="G444" s="110">
        <v>9000.0</v>
      </c>
      <c r="H444" s="121">
        <v>765000.0</v>
      </c>
      <c r="I444" s="108" t="s">
        <v>238</v>
      </c>
      <c r="J444" s="121">
        <v>450000.0</v>
      </c>
      <c r="K444" s="109" t="s">
        <v>212</v>
      </c>
      <c r="L444" s="58">
        <f t="shared" si="50"/>
        <v>315000</v>
      </c>
      <c r="M444" s="61"/>
      <c r="N444" s="117"/>
    </row>
    <row r="445" ht="15.75" customHeight="1">
      <c r="A445" s="118">
        <v>8.0</v>
      </c>
      <c r="B445" s="112">
        <v>45761.0</v>
      </c>
      <c r="C445" s="98" t="s">
        <v>394</v>
      </c>
      <c r="D445" s="98" t="s">
        <v>517</v>
      </c>
      <c r="E445" s="98" t="s">
        <v>242</v>
      </c>
      <c r="F445" s="98" t="s">
        <v>519</v>
      </c>
      <c r="G445" s="110">
        <v>10000.0</v>
      </c>
      <c r="H445" s="121">
        <v>750000.0</v>
      </c>
      <c r="I445" s="108" t="s">
        <v>238</v>
      </c>
      <c r="J445" s="121">
        <v>400000.0</v>
      </c>
      <c r="K445" s="109" t="s">
        <v>212</v>
      </c>
      <c r="L445" s="58">
        <f t="shared" si="50"/>
        <v>350000</v>
      </c>
      <c r="M445" s="106"/>
    </row>
    <row r="446" ht="15.75" customHeight="1">
      <c r="A446" s="118">
        <v>9.0</v>
      </c>
      <c r="B446" s="112">
        <v>45762.0</v>
      </c>
      <c r="C446" s="98" t="s">
        <v>394</v>
      </c>
      <c r="D446" s="98" t="s">
        <v>517</v>
      </c>
      <c r="E446" s="98" t="s">
        <v>256</v>
      </c>
      <c r="F446" s="98" t="s">
        <v>271</v>
      </c>
      <c r="G446" s="110">
        <v>9000.0</v>
      </c>
      <c r="H446" s="121">
        <v>675000.0</v>
      </c>
      <c r="I446" s="115" t="s">
        <v>238</v>
      </c>
      <c r="J446" s="121">
        <v>375000.0</v>
      </c>
      <c r="K446" s="109" t="s">
        <v>212</v>
      </c>
      <c r="L446" s="58">
        <f t="shared" si="50"/>
        <v>300000</v>
      </c>
      <c r="M446" s="61"/>
    </row>
    <row r="447" ht="15.75" customHeight="1">
      <c r="A447" s="118">
        <v>10.0</v>
      </c>
      <c r="B447" s="112">
        <v>45763.0</v>
      </c>
      <c r="C447" s="98" t="s">
        <v>394</v>
      </c>
      <c r="D447" s="98" t="s">
        <v>517</v>
      </c>
      <c r="E447" s="98" t="s">
        <v>242</v>
      </c>
      <c r="F447" s="98" t="s">
        <v>332</v>
      </c>
      <c r="G447" s="110">
        <v>9000.0</v>
      </c>
      <c r="H447" s="121">
        <v>765000.0</v>
      </c>
      <c r="I447" s="115" t="s">
        <v>238</v>
      </c>
      <c r="J447" s="121">
        <v>450000.0</v>
      </c>
      <c r="K447" s="109" t="s">
        <v>212</v>
      </c>
      <c r="L447" s="58">
        <f t="shared" si="50"/>
        <v>315000</v>
      </c>
      <c r="M447" s="106"/>
    </row>
    <row r="448" ht="15.75" customHeight="1">
      <c r="A448" s="118">
        <v>11.0</v>
      </c>
      <c r="B448" s="112">
        <v>45764.0</v>
      </c>
      <c r="C448" s="98" t="s">
        <v>394</v>
      </c>
      <c r="D448" s="98" t="s">
        <v>64</v>
      </c>
      <c r="E448" s="98" t="s">
        <v>279</v>
      </c>
      <c r="F448" s="98" t="s">
        <v>324</v>
      </c>
      <c r="G448" s="110">
        <v>9000.0</v>
      </c>
      <c r="H448" s="121">
        <v>675000.0</v>
      </c>
      <c r="I448" s="171" t="s">
        <v>42</v>
      </c>
      <c r="J448" s="121">
        <v>350000.0</v>
      </c>
      <c r="K448" s="109" t="s">
        <v>212</v>
      </c>
      <c r="L448" s="58">
        <f t="shared" si="50"/>
        <v>325000</v>
      </c>
      <c r="M448" s="61"/>
    </row>
    <row r="449" ht="15.75" customHeight="1">
      <c r="A449" s="118">
        <v>12.0</v>
      </c>
      <c r="B449" s="112">
        <v>45768.0</v>
      </c>
      <c r="C449" s="98" t="s">
        <v>394</v>
      </c>
      <c r="D449" s="98" t="s">
        <v>520</v>
      </c>
      <c r="E449" s="98" t="s">
        <v>243</v>
      </c>
      <c r="F449" s="98" t="s">
        <v>268</v>
      </c>
      <c r="G449" s="110">
        <v>9000.0</v>
      </c>
      <c r="H449" s="121">
        <v>1400000.0</v>
      </c>
      <c r="I449" s="108" t="s">
        <v>238</v>
      </c>
      <c r="J449" s="121">
        <v>850000.0</v>
      </c>
      <c r="K449" s="109" t="s">
        <v>212</v>
      </c>
      <c r="L449" s="58">
        <f t="shared" si="50"/>
        <v>550000</v>
      </c>
      <c r="M449" s="61"/>
    </row>
    <row r="450" ht="15.75" customHeight="1">
      <c r="A450" s="118">
        <v>13.0</v>
      </c>
      <c r="B450" s="112">
        <v>45769.0</v>
      </c>
      <c r="C450" s="98" t="s">
        <v>394</v>
      </c>
      <c r="D450" s="98" t="s">
        <v>520</v>
      </c>
      <c r="E450" s="98" t="s">
        <v>242</v>
      </c>
      <c r="F450" s="98" t="s">
        <v>302</v>
      </c>
      <c r="G450" s="110">
        <v>9000.0</v>
      </c>
      <c r="H450" s="107">
        <v>720000.0</v>
      </c>
      <c r="I450" s="108" t="s">
        <v>238</v>
      </c>
      <c r="J450" s="109">
        <v>350000.0</v>
      </c>
      <c r="K450" s="109" t="s">
        <v>212</v>
      </c>
      <c r="L450" s="58">
        <f t="shared" si="50"/>
        <v>370000</v>
      </c>
      <c r="M450" s="61"/>
    </row>
    <row r="451" ht="15.75" customHeight="1">
      <c r="A451" s="118">
        <v>14.0</v>
      </c>
      <c r="B451" s="112">
        <v>45769.0</v>
      </c>
      <c r="C451" s="98" t="s">
        <v>394</v>
      </c>
      <c r="D451" s="98" t="s">
        <v>520</v>
      </c>
      <c r="E451" s="98" t="s">
        <v>123</v>
      </c>
      <c r="F451" s="98" t="s">
        <v>521</v>
      </c>
      <c r="G451" s="110">
        <v>10000.0</v>
      </c>
      <c r="H451" s="121">
        <v>750000.0</v>
      </c>
      <c r="I451" s="171" t="s">
        <v>42</v>
      </c>
      <c r="J451" s="121">
        <v>425000.0</v>
      </c>
      <c r="K451" s="109" t="s">
        <v>212</v>
      </c>
      <c r="L451" s="58">
        <f t="shared" si="50"/>
        <v>325000</v>
      </c>
      <c r="M451" s="61"/>
    </row>
    <row r="452" ht="15.75" customHeight="1">
      <c r="A452" s="118">
        <v>15.0</v>
      </c>
      <c r="B452" s="112">
        <v>45770.0</v>
      </c>
      <c r="C452" s="98" t="s">
        <v>394</v>
      </c>
      <c r="D452" s="98" t="s">
        <v>520</v>
      </c>
      <c r="E452" s="98" t="s">
        <v>243</v>
      </c>
      <c r="F452" s="98" t="s">
        <v>329</v>
      </c>
      <c r="G452" s="110">
        <v>9000.0</v>
      </c>
      <c r="H452" s="121">
        <v>990000.0</v>
      </c>
      <c r="I452" s="115" t="s">
        <v>238</v>
      </c>
      <c r="J452" s="121">
        <v>550000.0</v>
      </c>
      <c r="K452" s="109" t="s">
        <v>212</v>
      </c>
      <c r="L452" s="58">
        <f t="shared" si="50"/>
        <v>440000</v>
      </c>
      <c r="M452" s="61"/>
    </row>
    <row r="453" ht="15.75" customHeight="1">
      <c r="A453" s="118">
        <v>16.0</v>
      </c>
      <c r="B453" s="112">
        <v>45771.0</v>
      </c>
      <c r="C453" s="98" t="s">
        <v>394</v>
      </c>
      <c r="D453" s="98" t="s">
        <v>520</v>
      </c>
      <c r="E453" s="98" t="s">
        <v>123</v>
      </c>
      <c r="F453" s="98" t="s">
        <v>328</v>
      </c>
      <c r="G453" s="110">
        <v>9000.0</v>
      </c>
      <c r="H453" s="121">
        <v>1440000.0</v>
      </c>
      <c r="I453" s="108" t="s">
        <v>238</v>
      </c>
      <c r="J453" s="121">
        <v>900000.0</v>
      </c>
      <c r="K453" s="109" t="s">
        <v>212</v>
      </c>
      <c r="L453" s="58">
        <f t="shared" si="50"/>
        <v>540000</v>
      </c>
      <c r="M453" s="106">
        <v>130000.0</v>
      </c>
    </row>
    <row r="454" ht="15.75" customHeight="1">
      <c r="A454" s="118">
        <v>17.0</v>
      </c>
      <c r="B454" s="112">
        <v>45772.0</v>
      </c>
      <c r="C454" s="98" t="s">
        <v>394</v>
      </c>
      <c r="D454" s="98" t="s">
        <v>520</v>
      </c>
      <c r="E454" s="98" t="s">
        <v>243</v>
      </c>
      <c r="F454" s="98" t="s">
        <v>323</v>
      </c>
      <c r="G454" s="110">
        <v>9000.0</v>
      </c>
      <c r="H454" s="121">
        <v>1350000.0</v>
      </c>
      <c r="I454" s="108" t="s">
        <v>238</v>
      </c>
      <c r="J454" s="121">
        <v>780000.0</v>
      </c>
      <c r="K454" s="215" t="s">
        <v>238</v>
      </c>
      <c r="L454" s="58">
        <f t="shared" si="50"/>
        <v>570000</v>
      </c>
      <c r="M454" s="106">
        <v>1380000.0</v>
      </c>
    </row>
    <row r="455" ht="15.75" customHeight="1">
      <c r="A455" s="118">
        <v>18.0</v>
      </c>
      <c r="B455" s="112">
        <v>45773.0</v>
      </c>
      <c r="C455" s="98" t="s">
        <v>394</v>
      </c>
      <c r="D455" s="98" t="s">
        <v>520</v>
      </c>
      <c r="E455" s="98" t="s">
        <v>242</v>
      </c>
      <c r="F455" s="98" t="s">
        <v>519</v>
      </c>
      <c r="G455" s="110">
        <v>10000.0</v>
      </c>
      <c r="H455" s="121">
        <v>750000.0</v>
      </c>
      <c r="I455" s="108" t="s">
        <v>238</v>
      </c>
      <c r="J455" s="121">
        <v>400000.0</v>
      </c>
      <c r="K455" s="215" t="s">
        <v>238</v>
      </c>
      <c r="L455" s="58">
        <f t="shared" si="50"/>
        <v>350000</v>
      </c>
      <c r="M455" s="106">
        <v>155000.0</v>
      </c>
    </row>
    <row r="456" ht="15.75" customHeight="1">
      <c r="A456" s="118">
        <v>19.0</v>
      </c>
      <c r="B456" s="112">
        <v>45775.0</v>
      </c>
      <c r="C456" s="98" t="s">
        <v>394</v>
      </c>
      <c r="D456" s="98" t="s">
        <v>520</v>
      </c>
      <c r="E456" s="98" t="s">
        <v>243</v>
      </c>
      <c r="F456" s="98" t="s">
        <v>268</v>
      </c>
      <c r="G456" s="110">
        <v>9000.0</v>
      </c>
      <c r="H456" s="121">
        <v>1400000.0</v>
      </c>
      <c r="I456" s="108" t="s">
        <v>238</v>
      </c>
      <c r="J456" s="121">
        <v>850000.0</v>
      </c>
      <c r="K456" s="215" t="s">
        <v>238</v>
      </c>
      <c r="L456" s="58">
        <f t="shared" si="50"/>
        <v>550000</v>
      </c>
      <c r="M456" s="61"/>
    </row>
    <row r="457" ht="15.75" customHeight="1">
      <c r="A457" s="118">
        <v>20.0</v>
      </c>
      <c r="B457" s="112">
        <v>45776.0</v>
      </c>
      <c r="C457" s="98" t="s">
        <v>394</v>
      </c>
      <c r="D457" s="98" t="s">
        <v>520</v>
      </c>
      <c r="E457" s="98" t="s">
        <v>242</v>
      </c>
      <c r="F457" s="98" t="s">
        <v>348</v>
      </c>
      <c r="G457" s="110">
        <v>10000.0</v>
      </c>
      <c r="H457" s="121">
        <v>1000000.0</v>
      </c>
      <c r="I457" s="108" t="s">
        <v>238</v>
      </c>
      <c r="J457" s="121">
        <v>475000.0</v>
      </c>
      <c r="K457" s="109" t="s">
        <v>212</v>
      </c>
      <c r="L457" s="58">
        <f t="shared" si="50"/>
        <v>525000</v>
      </c>
      <c r="M457" s="61"/>
    </row>
    <row r="458" ht="15.75" customHeight="1">
      <c r="A458" s="118">
        <v>21.0</v>
      </c>
      <c r="B458" s="112">
        <v>45776.0</v>
      </c>
      <c r="C458" s="98" t="s">
        <v>394</v>
      </c>
      <c r="D458" s="98" t="s">
        <v>520</v>
      </c>
      <c r="E458" s="98" t="s">
        <v>279</v>
      </c>
      <c r="F458" s="98" t="s">
        <v>331</v>
      </c>
      <c r="G458" s="110">
        <v>9000.0</v>
      </c>
      <c r="H458" s="121">
        <v>1305000.0</v>
      </c>
      <c r="I458" s="108" t="s">
        <v>238</v>
      </c>
      <c r="J458" s="121">
        <v>725000.0</v>
      </c>
      <c r="K458" s="109" t="s">
        <v>212</v>
      </c>
      <c r="L458" s="58">
        <f t="shared" si="50"/>
        <v>580000</v>
      </c>
      <c r="M458" s="61"/>
    </row>
    <row r="459" ht="15.75" customHeight="1">
      <c r="A459" s="118">
        <v>22.0</v>
      </c>
      <c r="B459" s="112">
        <v>45777.0</v>
      </c>
      <c r="C459" s="98" t="s">
        <v>394</v>
      </c>
      <c r="D459" s="98" t="s">
        <v>520</v>
      </c>
      <c r="E459" s="98" t="s">
        <v>243</v>
      </c>
      <c r="F459" s="98" t="s">
        <v>329</v>
      </c>
      <c r="G459" s="110">
        <v>10000.0</v>
      </c>
      <c r="H459" s="107">
        <v>1100000.0</v>
      </c>
      <c r="I459" s="108" t="s">
        <v>238</v>
      </c>
      <c r="J459" s="121">
        <v>600000.0</v>
      </c>
      <c r="K459" s="109" t="s">
        <v>212</v>
      </c>
      <c r="L459" s="58">
        <f t="shared" si="50"/>
        <v>500000</v>
      </c>
      <c r="M459" s="106">
        <v>171000.0</v>
      </c>
    </row>
    <row r="460" ht="15.75" customHeight="1">
      <c r="A460" s="21"/>
      <c r="B460" s="7"/>
      <c r="C460" s="17"/>
      <c r="D460" s="17"/>
      <c r="E460" s="98" t="s">
        <v>24</v>
      </c>
      <c r="F460" s="17"/>
      <c r="G460" s="110" t="s">
        <v>24</v>
      </c>
      <c r="H460" s="57"/>
      <c r="I460" s="59"/>
      <c r="J460" s="121"/>
      <c r="K460" s="60"/>
      <c r="L460" s="52">
        <f t="shared" ref="L460:M460" si="51">SUM(L438:L459)</f>
        <v>9955000</v>
      </c>
      <c r="M460" s="30">
        <f t="shared" si="51"/>
        <v>1836000</v>
      </c>
    </row>
    <row r="461" ht="15.75" customHeight="1">
      <c r="A461" s="169"/>
      <c r="B461" s="169"/>
      <c r="C461" s="169"/>
      <c r="D461" s="169"/>
      <c r="E461" s="169"/>
      <c r="F461" s="169"/>
      <c r="G461" s="170"/>
      <c r="H461" s="101"/>
      <c r="I461" s="171"/>
      <c r="J461" s="172"/>
      <c r="K461" s="173"/>
      <c r="L461" s="33">
        <f>L460-M460</f>
        <v>8119000</v>
      </c>
      <c r="M461" s="26"/>
    </row>
    <row r="462" ht="15.75" customHeight="1">
      <c r="A462" s="169"/>
      <c r="B462" s="169"/>
      <c r="C462" s="169"/>
      <c r="D462" s="169"/>
      <c r="E462" s="169"/>
      <c r="F462" s="169"/>
      <c r="G462" s="170"/>
      <c r="H462" s="101"/>
      <c r="I462" s="171"/>
      <c r="J462" s="172"/>
      <c r="K462" s="173"/>
      <c r="L462" s="173"/>
      <c r="M462" s="172"/>
    </row>
    <row r="463" ht="15.75" customHeight="1">
      <c r="A463" s="89" t="s">
        <v>209</v>
      </c>
      <c r="B463" s="89" t="s">
        <v>0</v>
      </c>
      <c r="C463" s="89" t="s">
        <v>1</v>
      </c>
      <c r="D463" s="89" t="s">
        <v>2</v>
      </c>
      <c r="E463" s="90" t="s">
        <v>3</v>
      </c>
      <c r="F463" s="89" t="s">
        <v>4</v>
      </c>
      <c r="G463" s="91" t="s">
        <v>5</v>
      </c>
      <c r="H463" s="119" t="s">
        <v>6</v>
      </c>
      <c r="I463" s="92" t="s">
        <v>39</v>
      </c>
      <c r="J463" s="119" t="s">
        <v>7</v>
      </c>
      <c r="K463" s="91" t="s">
        <v>39</v>
      </c>
      <c r="L463" s="92" t="s">
        <v>8</v>
      </c>
      <c r="M463" s="120" t="s">
        <v>9</v>
      </c>
    </row>
    <row r="464" ht="15.75" customHeight="1">
      <c r="A464" s="21">
        <v>1.0</v>
      </c>
      <c r="B464" s="112">
        <v>45779.0</v>
      </c>
      <c r="C464" s="98" t="s">
        <v>394</v>
      </c>
      <c r="D464" s="98" t="s">
        <v>520</v>
      </c>
      <c r="E464" s="98" t="s">
        <v>279</v>
      </c>
      <c r="F464" s="98" t="s">
        <v>522</v>
      </c>
      <c r="G464" s="110">
        <v>9000.0</v>
      </c>
      <c r="H464" s="121">
        <v>1170000.0</v>
      </c>
      <c r="I464" s="108" t="s">
        <v>212</v>
      </c>
      <c r="J464" s="121">
        <v>640000.0</v>
      </c>
      <c r="K464" s="215" t="s">
        <v>238</v>
      </c>
      <c r="L464" s="58">
        <f t="shared" ref="L464:L488" si="52">H464-J464</f>
        <v>530000</v>
      </c>
      <c r="M464" s="121"/>
    </row>
    <row r="465" ht="15.75" customHeight="1">
      <c r="A465" s="118">
        <v>2.0</v>
      </c>
      <c r="B465" s="112">
        <v>45780.0</v>
      </c>
      <c r="C465" s="98" t="s">
        <v>394</v>
      </c>
      <c r="D465" s="98" t="s">
        <v>520</v>
      </c>
      <c r="E465" s="98" t="s">
        <v>305</v>
      </c>
      <c r="F465" s="98" t="s">
        <v>288</v>
      </c>
      <c r="G465" s="110">
        <v>9000.0</v>
      </c>
      <c r="H465" s="121">
        <v>1035000.0</v>
      </c>
      <c r="I465" s="108" t="s">
        <v>212</v>
      </c>
      <c r="J465" s="109">
        <v>600000.0</v>
      </c>
      <c r="K465" s="109" t="s">
        <v>212</v>
      </c>
      <c r="L465" s="58">
        <f t="shared" si="52"/>
        <v>435000</v>
      </c>
      <c r="M465" s="106">
        <v>1580000.0</v>
      </c>
    </row>
    <row r="466" ht="15.75" customHeight="1">
      <c r="A466" s="118">
        <v>3.0</v>
      </c>
      <c r="B466" s="112">
        <v>45782.0</v>
      </c>
      <c r="C466" s="98" t="s">
        <v>394</v>
      </c>
      <c r="D466" s="98" t="s">
        <v>520</v>
      </c>
      <c r="E466" s="98" t="s">
        <v>279</v>
      </c>
      <c r="F466" s="98" t="s">
        <v>324</v>
      </c>
      <c r="G466" s="110">
        <v>9000.0</v>
      </c>
      <c r="H466" s="121">
        <v>675000.0</v>
      </c>
      <c r="I466" s="108" t="s">
        <v>212</v>
      </c>
      <c r="J466" s="121">
        <v>350000.0</v>
      </c>
      <c r="K466" s="109" t="s">
        <v>212</v>
      </c>
      <c r="L466" s="58">
        <f t="shared" si="52"/>
        <v>325000</v>
      </c>
      <c r="M466" s="106">
        <v>225000.0</v>
      </c>
    </row>
    <row r="467" ht="15.75" customHeight="1">
      <c r="A467" s="118">
        <v>4.0</v>
      </c>
      <c r="B467" s="112">
        <v>45782.0</v>
      </c>
      <c r="C467" s="98" t="s">
        <v>394</v>
      </c>
      <c r="D467" s="98" t="s">
        <v>520</v>
      </c>
      <c r="E467" s="98" t="s">
        <v>305</v>
      </c>
      <c r="F467" s="98" t="s">
        <v>311</v>
      </c>
      <c r="G467" s="110">
        <v>9000.0</v>
      </c>
      <c r="H467" s="121">
        <v>720000.0</v>
      </c>
      <c r="I467" s="108" t="s">
        <v>523</v>
      </c>
      <c r="J467" s="121">
        <v>350000.0</v>
      </c>
      <c r="K467" s="109" t="s">
        <v>212</v>
      </c>
      <c r="L467" s="58">
        <f t="shared" si="52"/>
        <v>370000</v>
      </c>
      <c r="M467" s="106">
        <v>40000.0</v>
      </c>
    </row>
    <row r="468" ht="15.75" customHeight="1">
      <c r="A468" s="118">
        <v>5.0</v>
      </c>
      <c r="B468" s="112">
        <v>45783.0</v>
      </c>
      <c r="C468" s="98" t="s">
        <v>394</v>
      </c>
      <c r="D468" s="98" t="s">
        <v>520</v>
      </c>
      <c r="E468" s="98" t="s">
        <v>242</v>
      </c>
      <c r="F468" s="98" t="s">
        <v>519</v>
      </c>
      <c r="G468" s="110">
        <v>10000.0</v>
      </c>
      <c r="H468" s="121">
        <v>750000.0</v>
      </c>
      <c r="I468" s="108" t="s">
        <v>238</v>
      </c>
      <c r="J468" s="121">
        <v>400000.0</v>
      </c>
      <c r="K468" s="109" t="s">
        <v>238</v>
      </c>
      <c r="L468" s="58">
        <f t="shared" si="52"/>
        <v>350000</v>
      </c>
      <c r="M468" s="61"/>
    </row>
    <row r="469" ht="15.75" customHeight="1">
      <c r="A469" s="118">
        <v>6.0</v>
      </c>
      <c r="B469" s="112">
        <v>45783.0</v>
      </c>
      <c r="C469" s="98" t="s">
        <v>394</v>
      </c>
      <c r="D469" s="98" t="s">
        <v>520</v>
      </c>
      <c r="E469" s="98" t="s">
        <v>279</v>
      </c>
      <c r="F469" s="98" t="s">
        <v>512</v>
      </c>
      <c r="G469" s="110">
        <v>9000.0</v>
      </c>
      <c r="H469" s="121">
        <v>900000.0</v>
      </c>
      <c r="I469" s="122" t="s">
        <v>238</v>
      </c>
      <c r="J469" s="121">
        <v>450000.0</v>
      </c>
      <c r="K469" s="109" t="s">
        <v>238</v>
      </c>
      <c r="L469" s="58">
        <f t="shared" si="52"/>
        <v>450000</v>
      </c>
      <c r="M469" s="61"/>
    </row>
    <row r="470" ht="15.75" customHeight="1">
      <c r="A470" s="118">
        <v>7.0</v>
      </c>
      <c r="B470" s="112">
        <v>45784.0</v>
      </c>
      <c r="C470" s="98" t="s">
        <v>394</v>
      </c>
      <c r="D470" s="98" t="s">
        <v>520</v>
      </c>
      <c r="E470" s="98" t="s">
        <v>123</v>
      </c>
      <c r="F470" s="98" t="s">
        <v>346</v>
      </c>
      <c r="G470" s="110">
        <v>9000.0</v>
      </c>
      <c r="H470" s="121">
        <v>1000000.0</v>
      </c>
      <c r="I470" s="108" t="s">
        <v>238</v>
      </c>
      <c r="J470" s="121">
        <v>550000.0</v>
      </c>
      <c r="K470" s="109" t="s">
        <v>212</v>
      </c>
      <c r="L470" s="58">
        <f t="shared" si="52"/>
        <v>450000</v>
      </c>
      <c r="M470" s="106">
        <v>18000.0</v>
      </c>
    </row>
    <row r="471" ht="15.75" customHeight="1">
      <c r="A471" s="118">
        <v>8.0</v>
      </c>
      <c r="B471" s="112">
        <v>45785.0</v>
      </c>
      <c r="C471" s="98" t="s">
        <v>394</v>
      </c>
      <c r="D471" s="98" t="s">
        <v>520</v>
      </c>
      <c r="E471" s="98" t="s">
        <v>256</v>
      </c>
      <c r="F471" s="98" t="s">
        <v>303</v>
      </c>
      <c r="G471" s="110">
        <v>9000.0</v>
      </c>
      <c r="H471" s="121">
        <v>1215000.0</v>
      </c>
      <c r="I471" s="122" t="s">
        <v>238</v>
      </c>
      <c r="J471" s="121">
        <v>700000.0</v>
      </c>
      <c r="K471" s="109" t="s">
        <v>212</v>
      </c>
      <c r="L471" s="58">
        <f t="shared" si="52"/>
        <v>515000</v>
      </c>
      <c r="M471" s="106">
        <v>47000.0</v>
      </c>
    </row>
    <row r="472" ht="15.75" customHeight="1">
      <c r="A472" s="118">
        <v>9.0</v>
      </c>
      <c r="B472" s="112">
        <v>45786.0</v>
      </c>
      <c r="C472" s="98" t="s">
        <v>394</v>
      </c>
      <c r="D472" s="98" t="s">
        <v>520</v>
      </c>
      <c r="E472" s="98" t="s">
        <v>123</v>
      </c>
      <c r="F472" s="98" t="s">
        <v>294</v>
      </c>
      <c r="G472" s="110">
        <v>9000.0</v>
      </c>
      <c r="H472" s="121">
        <v>675000.0</v>
      </c>
      <c r="I472" s="115" t="s">
        <v>238</v>
      </c>
      <c r="J472" s="121">
        <v>400000.0</v>
      </c>
      <c r="K472" s="109" t="s">
        <v>212</v>
      </c>
      <c r="L472" s="58">
        <f t="shared" si="52"/>
        <v>275000</v>
      </c>
      <c r="M472" s="106">
        <v>35000.0</v>
      </c>
    </row>
    <row r="473" ht="15.75" customHeight="1">
      <c r="A473" s="118">
        <v>10.0</v>
      </c>
      <c r="B473" s="112">
        <v>45790.0</v>
      </c>
      <c r="C473" s="98" t="s">
        <v>394</v>
      </c>
      <c r="D473" s="98" t="s">
        <v>520</v>
      </c>
      <c r="E473" s="98" t="s">
        <v>524</v>
      </c>
      <c r="F473" s="98" t="s">
        <v>302</v>
      </c>
      <c r="G473" s="110">
        <v>9000.0</v>
      </c>
      <c r="H473" s="121">
        <v>720000.0</v>
      </c>
      <c r="I473" s="115" t="s">
        <v>238</v>
      </c>
      <c r="J473" s="121">
        <v>350000.0</v>
      </c>
      <c r="K473" s="109" t="s">
        <v>212</v>
      </c>
      <c r="L473" s="58">
        <f t="shared" si="52"/>
        <v>370000</v>
      </c>
      <c r="M473" s="106">
        <v>455000.0</v>
      </c>
    </row>
    <row r="474" ht="15.75" customHeight="1">
      <c r="A474" s="118">
        <v>11.0</v>
      </c>
      <c r="B474" s="112">
        <v>45790.0</v>
      </c>
      <c r="C474" s="98" t="s">
        <v>394</v>
      </c>
      <c r="D474" s="98" t="s">
        <v>520</v>
      </c>
      <c r="E474" s="98" t="s">
        <v>243</v>
      </c>
      <c r="F474" s="98" t="s">
        <v>268</v>
      </c>
      <c r="G474" s="110">
        <v>9000.0</v>
      </c>
      <c r="H474" s="121">
        <v>1400000.0</v>
      </c>
      <c r="I474" s="115" t="s">
        <v>238</v>
      </c>
      <c r="J474" s="121">
        <v>850000.0</v>
      </c>
      <c r="K474" s="109" t="s">
        <v>238</v>
      </c>
      <c r="L474" s="58">
        <f t="shared" si="52"/>
        <v>550000</v>
      </c>
      <c r="M474" s="106"/>
    </row>
    <row r="475" ht="15.75" customHeight="1">
      <c r="A475" s="118">
        <v>12.0</v>
      </c>
      <c r="B475" s="112">
        <v>45791.0</v>
      </c>
      <c r="C475" s="98" t="s">
        <v>394</v>
      </c>
      <c r="D475" s="98" t="s">
        <v>520</v>
      </c>
      <c r="E475" s="98" t="s">
        <v>242</v>
      </c>
      <c r="F475" s="98" t="s">
        <v>329</v>
      </c>
      <c r="G475" s="110">
        <v>10000.0</v>
      </c>
      <c r="H475" s="121">
        <v>1100000.0</v>
      </c>
      <c r="I475" s="115" t="s">
        <v>238</v>
      </c>
      <c r="J475" s="121">
        <v>600000.0</v>
      </c>
      <c r="K475" s="109" t="s">
        <v>238</v>
      </c>
      <c r="L475" s="58">
        <f t="shared" si="52"/>
        <v>500000</v>
      </c>
      <c r="M475" s="106"/>
    </row>
    <row r="476" ht="15.75" customHeight="1">
      <c r="A476" s="118">
        <v>13.0</v>
      </c>
      <c r="B476" s="112">
        <v>45792.0</v>
      </c>
      <c r="C476" s="98" t="s">
        <v>394</v>
      </c>
      <c r="D476" s="98" t="s">
        <v>520</v>
      </c>
      <c r="E476" s="98" t="s">
        <v>525</v>
      </c>
      <c r="F476" s="98" t="s">
        <v>306</v>
      </c>
      <c r="G476" s="110">
        <v>9000.0</v>
      </c>
      <c r="H476" s="121">
        <v>1035000.0</v>
      </c>
      <c r="I476" s="108" t="s">
        <v>212</v>
      </c>
      <c r="J476" s="109">
        <v>600000.0</v>
      </c>
      <c r="K476" s="109" t="s">
        <v>238</v>
      </c>
      <c r="L476" s="58">
        <f t="shared" si="52"/>
        <v>435000</v>
      </c>
      <c r="M476" s="106"/>
    </row>
    <row r="477" ht="15.75" customHeight="1">
      <c r="A477" s="118">
        <v>14.0</v>
      </c>
      <c r="B477" s="112">
        <v>45793.0</v>
      </c>
      <c r="C477" s="98" t="s">
        <v>394</v>
      </c>
      <c r="D477" s="98" t="s">
        <v>520</v>
      </c>
      <c r="E477" s="98" t="s">
        <v>526</v>
      </c>
      <c r="F477" s="98" t="s">
        <v>316</v>
      </c>
      <c r="G477" s="110">
        <v>9000.0</v>
      </c>
      <c r="H477" s="107">
        <v>720000.0</v>
      </c>
      <c r="I477" s="108" t="s">
        <v>212</v>
      </c>
      <c r="J477" s="121">
        <v>350000.0</v>
      </c>
      <c r="K477" s="109" t="s">
        <v>238</v>
      </c>
      <c r="L477" s="58">
        <f t="shared" si="52"/>
        <v>370000</v>
      </c>
      <c r="M477" s="106">
        <v>40000.0</v>
      </c>
    </row>
    <row r="478" ht="15.75" customHeight="1">
      <c r="A478" s="118">
        <v>15.0</v>
      </c>
      <c r="B478" s="112">
        <v>45794.0</v>
      </c>
      <c r="C478" s="98" t="s">
        <v>394</v>
      </c>
      <c r="D478" s="98" t="s">
        <v>520</v>
      </c>
      <c r="E478" s="98" t="s">
        <v>320</v>
      </c>
      <c r="F478" s="98" t="s">
        <v>303</v>
      </c>
      <c r="G478" s="110">
        <v>10000.0</v>
      </c>
      <c r="H478" s="107">
        <v>1350000.0</v>
      </c>
      <c r="I478" s="115" t="s">
        <v>238</v>
      </c>
      <c r="J478" s="121">
        <v>750000.0</v>
      </c>
      <c r="K478" s="109" t="s">
        <v>238</v>
      </c>
      <c r="L478" s="58">
        <f t="shared" si="52"/>
        <v>600000</v>
      </c>
      <c r="M478" s="106">
        <v>1625000.0</v>
      </c>
    </row>
    <row r="479" ht="15.75" customHeight="1">
      <c r="A479" s="118">
        <v>16.0</v>
      </c>
      <c r="B479" s="112">
        <v>45796.0</v>
      </c>
      <c r="C479" s="98" t="s">
        <v>394</v>
      </c>
      <c r="D479" s="98" t="s">
        <v>520</v>
      </c>
      <c r="E479" s="98" t="s">
        <v>242</v>
      </c>
      <c r="F479" s="98" t="s">
        <v>329</v>
      </c>
      <c r="G479" s="110">
        <v>10000.0</v>
      </c>
      <c r="H479" s="107">
        <v>1100000.0</v>
      </c>
      <c r="I479" s="108" t="s">
        <v>238</v>
      </c>
      <c r="J479" s="121">
        <v>600000.0</v>
      </c>
      <c r="K479" s="109" t="s">
        <v>238</v>
      </c>
      <c r="L479" s="58">
        <f t="shared" si="52"/>
        <v>500000</v>
      </c>
      <c r="M479" s="106">
        <v>35000.0</v>
      </c>
    </row>
    <row r="480" ht="15.75" customHeight="1">
      <c r="A480" s="118">
        <v>17.0</v>
      </c>
      <c r="B480" s="112">
        <v>45797.0</v>
      </c>
      <c r="C480" s="98" t="s">
        <v>394</v>
      </c>
      <c r="D480" s="98" t="s">
        <v>520</v>
      </c>
      <c r="E480" s="98" t="s">
        <v>525</v>
      </c>
      <c r="F480" s="98" t="s">
        <v>316</v>
      </c>
      <c r="G480" s="110">
        <v>9000.0</v>
      </c>
      <c r="H480" s="107">
        <v>720000.0</v>
      </c>
      <c r="I480" s="108" t="s">
        <v>212</v>
      </c>
      <c r="J480" s="121">
        <v>350000.0</v>
      </c>
      <c r="K480" s="109" t="s">
        <v>212</v>
      </c>
      <c r="L480" s="58">
        <f t="shared" si="52"/>
        <v>370000</v>
      </c>
      <c r="M480" s="106"/>
    </row>
    <row r="481" ht="15.75" customHeight="1">
      <c r="A481" s="118">
        <v>18.0</v>
      </c>
      <c r="B481" s="112">
        <v>45798.0</v>
      </c>
      <c r="C481" s="98" t="s">
        <v>394</v>
      </c>
      <c r="D481" s="98" t="s">
        <v>520</v>
      </c>
      <c r="E481" s="98" t="s">
        <v>525</v>
      </c>
      <c r="F481" s="98" t="s">
        <v>306</v>
      </c>
      <c r="G481" s="110">
        <v>9000.0</v>
      </c>
      <c r="H481" s="107">
        <v>1035000.0</v>
      </c>
      <c r="I481" s="108" t="s">
        <v>212</v>
      </c>
      <c r="J481" s="121">
        <v>600000.0</v>
      </c>
      <c r="K481" s="109" t="s">
        <v>212</v>
      </c>
      <c r="L481" s="58">
        <f t="shared" si="52"/>
        <v>435000</v>
      </c>
      <c r="M481" s="106">
        <v>15000.0</v>
      </c>
    </row>
    <row r="482" ht="15.75" customHeight="1">
      <c r="A482" s="118">
        <v>19.0</v>
      </c>
      <c r="B482" s="112">
        <v>45799.0</v>
      </c>
      <c r="C482" s="98" t="s">
        <v>394</v>
      </c>
      <c r="D482" s="98" t="s">
        <v>520</v>
      </c>
      <c r="E482" s="98" t="s">
        <v>320</v>
      </c>
      <c r="F482" s="98" t="s">
        <v>324</v>
      </c>
      <c r="G482" s="110">
        <v>10000.0</v>
      </c>
      <c r="H482" s="107">
        <v>750000.0</v>
      </c>
      <c r="I482" s="115" t="s">
        <v>212</v>
      </c>
      <c r="J482" s="121">
        <v>375000.0</v>
      </c>
      <c r="K482" s="109" t="s">
        <v>212</v>
      </c>
      <c r="L482" s="58">
        <f t="shared" si="52"/>
        <v>375000</v>
      </c>
      <c r="M482" s="106">
        <v>342000.0</v>
      </c>
    </row>
    <row r="483" ht="15.75" customHeight="1">
      <c r="A483" s="118">
        <v>20.0</v>
      </c>
      <c r="B483" s="112">
        <v>45800.0</v>
      </c>
      <c r="C483" s="98" t="s">
        <v>394</v>
      </c>
      <c r="D483" s="98" t="s">
        <v>520</v>
      </c>
      <c r="E483" s="98" t="s">
        <v>525</v>
      </c>
      <c r="F483" s="98" t="s">
        <v>311</v>
      </c>
      <c r="G483" s="110">
        <v>9000.0</v>
      </c>
      <c r="H483" s="121">
        <v>720000.0</v>
      </c>
      <c r="I483" s="115" t="s">
        <v>212</v>
      </c>
      <c r="J483" s="109">
        <v>350000.0</v>
      </c>
      <c r="K483" s="109" t="s">
        <v>212</v>
      </c>
      <c r="L483" s="58">
        <f t="shared" si="52"/>
        <v>370000</v>
      </c>
      <c r="M483" s="106">
        <v>130000.0</v>
      </c>
    </row>
    <row r="484" ht="15.75" customHeight="1">
      <c r="A484" s="118">
        <v>21.0</v>
      </c>
      <c r="B484" s="112">
        <v>45800.0</v>
      </c>
      <c r="C484" s="98" t="s">
        <v>394</v>
      </c>
      <c r="D484" s="98" t="s">
        <v>520</v>
      </c>
      <c r="E484" s="98" t="s">
        <v>279</v>
      </c>
      <c r="F484" s="98" t="s">
        <v>331</v>
      </c>
      <c r="G484" s="110">
        <v>9000.0</v>
      </c>
      <c r="H484" s="107">
        <v>1305000.0</v>
      </c>
      <c r="I484" s="108" t="s">
        <v>238</v>
      </c>
      <c r="J484" s="121">
        <v>725000.0</v>
      </c>
      <c r="K484" s="109" t="s">
        <v>212</v>
      </c>
      <c r="L484" s="58">
        <f t="shared" si="52"/>
        <v>580000</v>
      </c>
      <c r="M484" s="106">
        <v>203000.0</v>
      </c>
    </row>
    <row r="485" ht="15.75" customHeight="1">
      <c r="A485" s="118">
        <v>22.0</v>
      </c>
      <c r="B485" s="112">
        <v>45801.0</v>
      </c>
      <c r="C485" s="98" t="s">
        <v>394</v>
      </c>
      <c r="D485" s="98" t="s">
        <v>520</v>
      </c>
      <c r="E485" s="98" t="s">
        <v>242</v>
      </c>
      <c r="F485" s="98" t="s">
        <v>259</v>
      </c>
      <c r="G485" s="110">
        <v>10000.0</v>
      </c>
      <c r="H485" s="107">
        <v>1500000.0</v>
      </c>
      <c r="I485" s="108" t="s">
        <v>238</v>
      </c>
      <c r="J485" s="121">
        <v>850000.0</v>
      </c>
      <c r="K485" s="109" t="s">
        <v>238</v>
      </c>
      <c r="L485" s="58">
        <f t="shared" si="52"/>
        <v>650000</v>
      </c>
      <c r="M485" s="106"/>
    </row>
    <row r="486" ht="15.75" customHeight="1">
      <c r="A486" s="118">
        <v>23.0</v>
      </c>
      <c r="B486" s="112">
        <v>45803.0</v>
      </c>
      <c r="C486" s="98" t="s">
        <v>394</v>
      </c>
      <c r="D486" s="98" t="s">
        <v>520</v>
      </c>
      <c r="E486" s="98" t="s">
        <v>243</v>
      </c>
      <c r="F486" s="98" t="s">
        <v>295</v>
      </c>
      <c r="G486" s="110">
        <v>9000.0</v>
      </c>
      <c r="H486" s="107">
        <v>1125000.0</v>
      </c>
      <c r="I486" s="108" t="s">
        <v>238</v>
      </c>
      <c r="J486" s="121">
        <v>640000.0</v>
      </c>
      <c r="K486" s="109" t="s">
        <v>212</v>
      </c>
      <c r="L486" s="58">
        <f t="shared" si="52"/>
        <v>485000</v>
      </c>
      <c r="M486" s="106">
        <v>50000.0</v>
      </c>
    </row>
    <row r="487" ht="15.75" customHeight="1">
      <c r="A487" s="118">
        <v>24.0</v>
      </c>
      <c r="B487" s="112">
        <v>45804.0</v>
      </c>
      <c r="C487" s="98" t="s">
        <v>394</v>
      </c>
      <c r="D487" s="98" t="s">
        <v>520</v>
      </c>
      <c r="E487" s="98" t="s">
        <v>242</v>
      </c>
      <c r="F487" s="204" t="s">
        <v>302</v>
      </c>
      <c r="G487" s="110">
        <v>9000.0</v>
      </c>
      <c r="H487" s="107">
        <v>720000.0</v>
      </c>
      <c r="I487" s="108" t="s">
        <v>238</v>
      </c>
      <c r="J487" s="121">
        <v>350000.0</v>
      </c>
      <c r="K487" s="109" t="s">
        <v>238</v>
      </c>
      <c r="L487" s="58">
        <f t="shared" si="52"/>
        <v>370000</v>
      </c>
    </row>
    <row r="488" ht="15.75" customHeight="1">
      <c r="A488" s="204">
        <v>25.0</v>
      </c>
      <c r="B488" s="112">
        <v>45805.0</v>
      </c>
      <c r="C488" s="98" t="s">
        <v>394</v>
      </c>
      <c r="D488" s="98" t="s">
        <v>520</v>
      </c>
      <c r="E488" s="204" t="s">
        <v>243</v>
      </c>
      <c r="F488" s="98" t="s">
        <v>264</v>
      </c>
      <c r="G488" s="110">
        <v>10000.0</v>
      </c>
      <c r="H488" s="107">
        <v>1500000.0</v>
      </c>
      <c r="I488" s="115" t="s">
        <v>238</v>
      </c>
      <c r="J488" s="121">
        <v>950000.0</v>
      </c>
      <c r="K488" s="109" t="s">
        <v>238</v>
      </c>
      <c r="L488" s="58">
        <f t="shared" si="52"/>
        <v>550000</v>
      </c>
      <c r="M488" s="207">
        <v>70000.0</v>
      </c>
    </row>
    <row r="489" ht="15.75" customHeight="1">
      <c r="A489" s="169"/>
      <c r="B489" s="169"/>
      <c r="C489" s="169"/>
      <c r="D489" s="169"/>
      <c r="E489" s="169"/>
      <c r="F489" s="169"/>
      <c r="G489" s="170"/>
      <c r="H489" s="101"/>
      <c r="I489" s="171"/>
      <c r="J489" s="172"/>
      <c r="K489" s="173"/>
      <c r="L489" s="52">
        <f>SUM(L464:L485)</f>
        <v>9805000</v>
      </c>
      <c r="M489" s="30">
        <f>SUM(M464:M488)</f>
        <v>4910000</v>
      </c>
    </row>
    <row r="490" ht="15.75" customHeight="1">
      <c r="A490" s="169"/>
      <c r="B490" s="169"/>
      <c r="C490" s="169"/>
      <c r="D490" s="169"/>
      <c r="E490" s="169"/>
      <c r="F490" s="169"/>
      <c r="G490" s="170"/>
      <c r="H490" s="101"/>
      <c r="I490" s="171"/>
      <c r="J490" s="172"/>
      <c r="K490" s="173"/>
      <c r="L490" s="33">
        <f>L489-M489</f>
        <v>4895000</v>
      </c>
      <c r="M490" s="26"/>
    </row>
    <row r="491" ht="15.75" customHeight="1">
      <c r="A491" s="169"/>
      <c r="B491" s="169"/>
      <c r="C491" s="169"/>
      <c r="D491" s="169"/>
      <c r="E491" s="169"/>
      <c r="F491" s="169"/>
      <c r="G491" s="170"/>
      <c r="H491" s="101"/>
      <c r="I491" s="171"/>
      <c r="J491" s="172"/>
      <c r="K491" s="173"/>
      <c r="L491" s="173"/>
      <c r="M491" s="172"/>
    </row>
    <row r="492" ht="15.75" customHeight="1">
      <c r="A492" s="136" t="s">
        <v>209</v>
      </c>
      <c r="B492" s="136" t="s">
        <v>0</v>
      </c>
      <c r="C492" s="136" t="s">
        <v>1</v>
      </c>
      <c r="D492" s="136" t="s">
        <v>2</v>
      </c>
      <c r="E492" s="137" t="s">
        <v>3</v>
      </c>
      <c r="F492" s="136" t="s">
        <v>4</v>
      </c>
      <c r="G492" s="138" t="s">
        <v>5</v>
      </c>
      <c r="H492" s="139" t="s">
        <v>6</v>
      </c>
      <c r="I492" s="140" t="s">
        <v>39</v>
      </c>
      <c r="J492" s="139" t="s">
        <v>7</v>
      </c>
      <c r="K492" s="138" t="s">
        <v>39</v>
      </c>
      <c r="L492" s="140" t="s">
        <v>8</v>
      </c>
      <c r="M492" s="141" t="s">
        <v>9</v>
      </c>
    </row>
    <row r="493" ht="15.75" customHeight="1">
      <c r="A493" s="17">
        <v>1.0</v>
      </c>
      <c r="B493" s="142">
        <v>45810.0</v>
      </c>
      <c r="C493" s="98" t="s">
        <v>394</v>
      </c>
      <c r="D493" s="98" t="s">
        <v>520</v>
      </c>
      <c r="E493" s="144" t="s">
        <v>320</v>
      </c>
      <c r="F493" s="144" t="s">
        <v>329</v>
      </c>
      <c r="G493" s="148">
        <v>10000.0</v>
      </c>
      <c r="H493" s="134">
        <v>1100000.0</v>
      </c>
      <c r="I493" s="145" t="s">
        <v>238</v>
      </c>
      <c r="J493" s="134">
        <v>600000.0</v>
      </c>
      <c r="K493" s="109" t="s">
        <v>212</v>
      </c>
      <c r="L493" s="146">
        <f t="shared" ref="L493:L521" si="53">H493-J493</f>
        <v>500000</v>
      </c>
      <c r="M493" s="147">
        <v>905000.0</v>
      </c>
    </row>
    <row r="494" ht="15.75" customHeight="1">
      <c r="A494" s="118">
        <v>2.0</v>
      </c>
      <c r="B494" s="142">
        <v>45811.0</v>
      </c>
      <c r="C494" s="98" t="s">
        <v>394</v>
      </c>
      <c r="D494" s="98" t="s">
        <v>520</v>
      </c>
      <c r="E494" s="144" t="s">
        <v>327</v>
      </c>
      <c r="F494" s="144" t="s">
        <v>302</v>
      </c>
      <c r="G494" s="148">
        <v>9000.0</v>
      </c>
      <c r="H494" s="134">
        <v>720000.0</v>
      </c>
      <c r="I494" s="211" t="s">
        <v>238</v>
      </c>
      <c r="J494" s="134">
        <v>350000.0</v>
      </c>
      <c r="K494" s="109" t="s">
        <v>238</v>
      </c>
      <c r="L494" s="146">
        <f t="shared" si="53"/>
        <v>370000</v>
      </c>
      <c r="M494" s="172"/>
    </row>
    <row r="495" ht="15.75" customHeight="1">
      <c r="A495" s="118">
        <v>3.0</v>
      </c>
      <c r="B495" s="142">
        <v>45811.0</v>
      </c>
      <c r="C495" s="98" t="s">
        <v>394</v>
      </c>
      <c r="D495" s="98" t="s">
        <v>520</v>
      </c>
      <c r="E495" s="144" t="s">
        <v>279</v>
      </c>
      <c r="F495" s="144" t="s">
        <v>316</v>
      </c>
      <c r="G495" s="148">
        <v>9000.0</v>
      </c>
      <c r="H495" s="134">
        <v>720000.0</v>
      </c>
      <c r="I495" s="115" t="s">
        <v>212</v>
      </c>
      <c r="J495" s="134">
        <v>350000.0</v>
      </c>
      <c r="K495" s="109" t="s">
        <v>238</v>
      </c>
      <c r="L495" s="146">
        <f t="shared" si="53"/>
        <v>370000</v>
      </c>
      <c r="M495" s="172"/>
    </row>
    <row r="496" ht="15.75" customHeight="1">
      <c r="A496" s="118">
        <v>4.0</v>
      </c>
      <c r="B496" s="142">
        <v>45812.0</v>
      </c>
      <c r="C496" s="98" t="s">
        <v>394</v>
      </c>
      <c r="D496" s="98" t="s">
        <v>520</v>
      </c>
      <c r="E496" s="144" t="s">
        <v>242</v>
      </c>
      <c r="F496" s="144" t="s">
        <v>302</v>
      </c>
      <c r="G496" s="148">
        <v>9000.0</v>
      </c>
      <c r="H496" s="134">
        <v>720000.0</v>
      </c>
      <c r="I496" s="211" t="s">
        <v>238</v>
      </c>
      <c r="J496" s="134">
        <v>350000.0</v>
      </c>
      <c r="K496" s="109" t="s">
        <v>238</v>
      </c>
      <c r="L496" s="146">
        <f t="shared" si="53"/>
        <v>370000</v>
      </c>
      <c r="M496" s="172"/>
    </row>
    <row r="497" ht="15.75" customHeight="1">
      <c r="A497" s="118">
        <v>5.0</v>
      </c>
      <c r="B497" s="142">
        <v>45812.0</v>
      </c>
      <c r="C497" s="98" t="s">
        <v>394</v>
      </c>
      <c r="D497" s="98" t="s">
        <v>520</v>
      </c>
      <c r="E497" s="144" t="s">
        <v>527</v>
      </c>
      <c r="F497" s="144" t="s">
        <v>349</v>
      </c>
      <c r="G497" s="148">
        <v>7000.0</v>
      </c>
      <c r="H497" s="134">
        <v>1182000.0</v>
      </c>
      <c r="I497" s="108" t="s">
        <v>238</v>
      </c>
      <c r="J497" s="134">
        <v>700000.0</v>
      </c>
      <c r="K497" s="109" t="s">
        <v>238</v>
      </c>
      <c r="L497" s="146">
        <f t="shared" si="53"/>
        <v>482000</v>
      </c>
      <c r="M497" s="172"/>
    </row>
    <row r="498" ht="15.75" customHeight="1">
      <c r="A498" s="118">
        <v>6.0</v>
      </c>
      <c r="B498" s="142">
        <v>45813.0</v>
      </c>
      <c r="C498" s="98" t="s">
        <v>394</v>
      </c>
      <c r="D498" s="98" t="s">
        <v>520</v>
      </c>
      <c r="E498" s="144" t="s">
        <v>327</v>
      </c>
      <c r="F498" s="144" t="s">
        <v>303</v>
      </c>
      <c r="G498" s="148">
        <v>9000.0</v>
      </c>
      <c r="H498" s="134">
        <v>1215000.0</v>
      </c>
      <c r="I498" s="211" t="s">
        <v>238</v>
      </c>
      <c r="J498" s="134">
        <v>700000.0</v>
      </c>
      <c r="K498" s="109" t="s">
        <v>238</v>
      </c>
      <c r="L498" s="146">
        <f t="shared" si="53"/>
        <v>515000</v>
      </c>
      <c r="M498" s="172"/>
    </row>
    <row r="499" ht="15.75" customHeight="1">
      <c r="A499" s="118">
        <v>7.0</v>
      </c>
      <c r="B499" s="142">
        <v>45815.0</v>
      </c>
      <c r="C499" s="98" t="s">
        <v>394</v>
      </c>
      <c r="D499" s="98" t="s">
        <v>520</v>
      </c>
      <c r="E499" s="144" t="s">
        <v>320</v>
      </c>
      <c r="F499" s="144" t="s">
        <v>316</v>
      </c>
      <c r="G499" s="148">
        <v>9000.0</v>
      </c>
      <c r="H499" s="134">
        <v>720000.0</v>
      </c>
      <c r="I499" s="115" t="s">
        <v>212</v>
      </c>
      <c r="J499" s="134">
        <v>350000.0</v>
      </c>
      <c r="K499" s="109" t="s">
        <v>238</v>
      </c>
      <c r="L499" s="146">
        <f t="shared" si="53"/>
        <v>370000</v>
      </c>
      <c r="M499" s="172"/>
    </row>
    <row r="500" ht="15.75" customHeight="1">
      <c r="A500" s="118">
        <v>8.0</v>
      </c>
      <c r="B500" s="142">
        <v>45815.0</v>
      </c>
      <c r="C500" s="98" t="s">
        <v>394</v>
      </c>
      <c r="D500" s="98" t="s">
        <v>520</v>
      </c>
      <c r="E500" s="144" t="s">
        <v>318</v>
      </c>
      <c r="F500" s="144" t="s">
        <v>319</v>
      </c>
      <c r="G500" s="148">
        <v>5000.0</v>
      </c>
      <c r="H500" s="134">
        <v>1494000.0</v>
      </c>
      <c r="I500" s="115" t="s">
        <v>238</v>
      </c>
      <c r="J500" s="134">
        <v>900000.0</v>
      </c>
      <c r="K500" s="109" t="s">
        <v>238</v>
      </c>
      <c r="L500" s="146">
        <f t="shared" si="53"/>
        <v>594000</v>
      </c>
      <c r="M500" s="172"/>
    </row>
    <row r="501" ht="15.75" customHeight="1">
      <c r="A501" s="118">
        <v>9.0</v>
      </c>
      <c r="B501" s="142">
        <v>45817.0</v>
      </c>
      <c r="C501" s="98" t="s">
        <v>394</v>
      </c>
      <c r="D501" s="98" t="s">
        <v>520</v>
      </c>
      <c r="E501" s="144" t="s">
        <v>327</v>
      </c>
      <c r="F501" s="144" t="s">
        <v>274</v>
      </c>
      <c r="G501" s="148">
        <v>9000.0</v>
      </c>
      <c r="H501" s="134">
        <v>900000.0</v>
      </c>
      <c r="I501" s="211" t="s">
        <v>238</v>
      </c>
      <c r="J501" s="134">
        <v>425000.0</v>
      </c>
      <c r="K501" s="109" t="s">
        <v>238</v>
      </c>
      <c r="L501" s="146">
        <f t="shared" si="53"/>
        <v>475000</v>
      </c>
      <c r="M501" s="207"/>
    </row>
    <row r="502" ht="15.75" customHeight="1">
      <c r="A502" s="118">
        <v>10.0</v>
      </c>
      <c r="B502" s="142">
        <v>45817.0</v>
      </c>
      <c r="C502" s="98" t="s">
        <v>394</v>
      </c>
      <c r="D502" s="98" t="s">
        <v>520</v>
      </c>
      <c r="E502" s="144" t="s">
        <v>327</v>
      </c>
      <c r="F502" s="144" t="s">
        <v>274</v>
      </c>
      <c r="G502" s="148">
        <v>9000.0</v>
      </c>
      <c r="H502" s="134">
        <v>900000.0</v>
      </c>
      <c r="I502" s="211" t="s">
        <v>238</v>
      </c>
      <c r="J502" s="134">
        <v>425000.0</v>
      </c>
      <c r="K502" s="109" t="s">
        <v>238</v>
      </c>
      <c r="L502" s="146">
        <f t="shared" si="53"/>
        <v>475000</v>
      </c>
      <c r="M502" s="207">
        <v>110000.0</v>
      </c>
    </row>
    <row r="503" ht="15.75" customHeight="1">
      <c r="A503" s="118">
        <v>11.0</v>
      </c>
      <c r="B503" s="142">
        <v>45818.0</v>
      </c>
      <c r="C503" s="98" t="s">
        <v>394</v>
      </c>
      <c r="D503" s="98" t="s">
        <v>520</v>
      </c>
      <c r="E503" s="144" t="s">
        <v>279</v>
      </c>
      <c r="F503" s="144" t="s">
        <v>271</v>
      </c>
      <c r="G503" s="148">
        <v>9000.0</v>
      </c>
      <c r="H503" s="134">
        <v>675000.0</v>
      </c>
      <c r="I503" s="211" t="s">
        <v>238</v>
      </c>
      <c r="J503" s="134">
        <v>375000.0</v>
      </c>
      <c r="K503" s="109" t="s">
        <v>238</v>
      </c>
      <c r="L503" s="146">
        <f t="shared" si="53"/>
        <v>300000</v>
      </c>
      <c r="M503" s="172"/>
    </row>
    <row r="504" ht="15.75" customHeight="1">
      <c r="A504" s="118">
        <v>12.0</v>
      </c>
      <c r="B504" s="142">
        <v>45818.0</v>
      </c>
      <c r="C504" s="98" t="s">
        <v>394</v>
      </c>
      <c r="D504" s="98" t="s">
        <v>520</v>
      </c>
      <c r="E504" s="144" t="s">
        <v>307</v>
      </c>
      <c r="F504" s="144" t="s">
        <v>319</v>
      </c>
      <c r="G504" s="148">
        <v>5000.0</v>
      </c>
      <c r="H504" s="134">
        <v>1497090.0</v>
      </c>
      <c r="I504" s="115" t="s">
        <v>238</v>
      </c>
      <c r="J504" s="134">
        <v>900000.0</v>
      </c>
      <c r="K504" s="109" t="s">
        <v>238</v>
      </c>
      <c r="L504" s="146">
        <f t="shared" si="53"/>
        <v>597090</v>
      </c>
      <c r="M504" s="207">
        <v>1140000.0</v>
      </c>
    </row>
    <row r="505" ht="15.75" customHeight="1">
      <c r="A505" s="118">
        <v>13.0</v>
      </c>
      <c r="B505" s="142">
        <v>45819.0</v>
      </c>
      <c r="C505" s="98" t="s">
        <v>394</v>
      </c>
      <c r="D505" s="98" t="s">
        <v>520</v>
      </c>
      <c r="E505" s="144" t="s">
        <v>243</v>
      </c>
      <c r="F505" s="144" t="s">
        <v>329</v>
      </c>
      <c r="G505" s="148">
        <v>10000.0</v>
      </c>
      <c r="H505" s="134">
        <v>1100000.0</v>
      </c>
      <c r="I505" s="115" t="s">
        <v>238</v>
      </c>
      <c r="J505" s="134">
        <v>600000.0</v>
      </c>
      <c r="K505" s="109" t="s">
        <v>238</v>
      </c>
      <c r="L505" s="146">
        <f t="shared" si="53"/>
        <v>500000</v>
      </c>
      <c r="M505" s="172"/>
    </row>
    <row r="506" ht="15.75" customHeight="1">
      <c r="A506" s="118">
        <v>14.0</v>
      </c>
      <c r="B506" s="142">
        <v>45820.0</v>
      </c>
      <c r="C506" s="98" t="s">
        <v>394</v>
      </c>
      <c r="D506" s="98" t="s">
        <v>520</v>
      </c>
      <c r="E506" s="144" t="s">
        <v>320</v>
      </c>
      <c r="F506" s="144" t="s">
        <v>329</v>
      </c>
      <c r="G506" s="148">
        <v>10000.0</v>
      </c>
      <c r="H506" s="134">
        <v>1100000.0</v>
      </c>
      <c r="I506" s="211" t="s">
        <v>238</v>
      </c>
      <c r="J506" s="134">
        <v>650000.0</v>
      </c>
      <c r="K506" s="109" t="s">
        <v>238</v>
      </c>
      <c r="L506" s="146">
        <f t="shared" si="53"/>
        <v>450000</v>
      </c>
      <c r="M506" s="172"/>
    </row>
    <row r="507" ht="15.75" customHeight="1">
      <c r="A507" s="118">
        <v>15.0</v>
      </c>
      <c r="B507" s="142">
        <v>45821.0</v>
      </c>
      <c r="C507" s="98" t="s">
        <v>394</v>
      </c>
      <c r="D507" s="98" t="s">
        <v>520</v>
      </c>
      <c r="E507" s="144" t="s">
        <v>243</v>
      </c>
      <c r="F507" s="144" t="s">
        <v>306</v>
      </c>
      <c r="G507" s="151">
        <v>9000.0</v>
      </c>
      <c r="H507" s="128">
        <v>1035000.0</v>
      </c>
      <c r="I507" s="115" t="s">
        <v>212</v>
      </c>
      <c r="J507" s="207">
        <v>600000.0</v>
      </c>
      <c r="K507" s="109" t="s">
        <v>238</v>
      </c>
      <c r="L507" s="146">
        <f t="shared" si="53"/>
        <v>435000</v>
      </c>
      <c r="M507" s="172"/>
    </row>
    <row r="508" ht="15.75" customHeight="1">
      <c r="A508" s="118">
        <v>16.0</v>
      </c>
      <c r="B508" s="142">
        <v>45822.0</v>
      </c>
      <c r="C508" s="98" t="s">
        <v>394</v>
      </c>
      <c r="D508" s="98" t="s">
        <v>520</v>
      </c>
      <c r="E508" s="204" t="s">
        <v>243</v>
      </c>
      <c r="F508" s="144" t="s">
        <v>255</v>
      </c>
      <c r="G508" s="151">
        <v>10000.0</v>
      </c>
      <c r="H508" s="128">
        <v>1500000.0</v>
      </c>
      <c r="I508" s="211" t="s">
        <v>238</v>
      </c>
      <c r="J508" s="207">
        <v>950000.0</v>
      </c>
      <c r="K508" s="109" t="s">
        <v>238</v>
      </c>
      <c r="L508" s="146">
        <f t="shared" si="53"/>
        <v>550000</v>
      </c>
      <c r="M508" s="172"/>
    </row>
    <row r="509" ht="15.75" customHeight="1">
      <c r="A509" s="118">
        <v>17.0</v>
      </c>
      <c r="B509" s="142">
        <v>45824.0</v>
      </c>
      <c r="C509" s="98" t="s">
        <v>394</v>
      </c>
      <c r="D509" s="98" t="s">
        <v>520</v>
      </c>
      <c r="E509" s="204" t="s">
        <v>327</v>
      </c>
      <c r="F509" s="144" t="s">
        <v>294</v>
      </c>
      <c r="G509" s="151">
        <v>9000.0</v>
      </c>
      <c r="H509" s="128">
        <v>765000.0</v>
      </c>
      <c r="I509" s="115" t="s">
        <v>212</v>
      </c>
      <c r="J509" s="207">
        <v>400000.0</v>
      </c>
      <c r="K509" s="109" t="s">
        <v>238</v>
      </c>
      <c r="L509" s="146">
        <f t="shared" si="53"/>
        <v>365000</v>
      </c>
      <c r="M509" s="207">
        <v>260000.0</v>
      </c>
    </row>
    <row r="510" ht="15.75" customHeight="1">
      <c r="A510" s="204">
        <v>18.0</v>
      </c>
      <c r="B510" s="142">
        <v>45824.0</v>
      </c>
      <c r="C510" s="98" t="s">
        <v>394</v>
      </c>
      <c r="D510" s="98" t="s">
        <v>520</v>
      </c>
      <c r="E510" s="204" t="s">
        <v>242</v>
      </c>
      <c r="F510" s="144" t="s">
        <v>259</v>
      </c>
      <c r="G510" s="110">
        <v>10000.0</v>
      </c>
      <c r="H510" s="107">
        <v>1500000.0</v>
      </c>
      <c r="I510" s="108" t="s">
        <v>238</v>
      </c>
      <c r="J510" s="121">
        <v>850000.0</v>
      </c>
      <c r="K510" s="109" t="s">
        <v>238</v>
      </c>
      <c r="L510" s="146">
        <f t="shared" si="53"/>
        <v>650000</v>
      </c>
      <c r="M510" s="172"/>
    </row>
    <row r="511" ht="15.75" customHeight="1">
      <c r="A511" s="204">
        <v>19.0</v>
      </c>
      <c r="B511" s="142">
        <v>45825.0</v>
      </c>
      <c r="C511" s="98" t="s">
        <v>394</v>
      </c>
      <c r="D511" s="98" t="s">
        <v>520</v>
      </c>
      <c r="E511" s="204" t="s">
        <v>318</v>
      </c>
      <c r="F511" s="204" t="s">
        <v>319</v>
      </c>
      <c r="G511" s="151">
        <v>5000.0</v>
      </c>
      <c r="H511" s="107">
        <v>1496673.0</v>
      </c>
      <c r="I511" s="115" t="s">
        <v>238</v>
      </c>
      <c r="J511" s="134">
        <v>900000.0</v>
      </c>
      <c r="K511" s="109" t="s">
        <v>238</v>
      </c>
      <c r="L511" s="146">
        <f t="shared" si="53"/>
        <v>596673</v>
      </c>
      <c r="M511" s="207">
        <v>33000.0</v>
      </c>
    </row>
    <row r="512" ht="15.75" customHeight="1">
      <c r="A512" s="204">
        <v>20.0</v>
      </c>
      <c r="B512" s="142">
        <v>45826.0</v>
      </c>
      <c r="C512" s="98" t="s">
        <v>394</v>
      </c>
      <c r="D512" s="98" t="s">
        <v>520</v>
      </c>
      <c r="E512" s="204" t="s">
        <v>327</v>
      </c>
      <c r="F512" s="204" t="s">
        <v>249</v>
      </c>
      <c r="G512" s="151">
        <v>9000.0</v>
      </c>
      <c r="H512" s="128">
        <v>1450000.0</v>
      </c>
      <c r="I512" s="115" t="s">
        <v>212</v>
      </c>
      <c r="J512" s="207">
        <v>900000.0</v>
      </c>
      <c r="K512" s="109" t="s">
        <v>238</v>
      </c>
      <c r="L512" s="146">
        <f t="shared" si="53"/>
        <v>550000</v>
      </c>
      <c r="M512" s="172"/>
    </row>
    <row r="513" ht="15.75" customHeight="1">
      <c r="A513" s="204">
        <v>21.0</v>
      </c>
      <c r="B513" s="142">
        <v>45831.0</v>
      </c>
      <c r="C513" s="98" t="s">
        <v>394</v>
      </c>
      <c r="D513" s="98" t="s">
        <v>520</v>
      </c>
      <c r="E513" s="204" t="s">
        <v>528</v>
      </c>
      <c r="F513" s="204" t="s">
        <v>316</v>
      </c>
      <c r="G513" s="151">
        <v>9000.0</v>
      </c>
      <c r="H513" s="128">
        <v>720000.0</v>
      </c>
      <c r="I513" s="115" t="s">
        <v>212</v>
      </c>
      <c r="J513" s="207">
        <v>350000.0</v>
      </c>
      <c r="K513" s="109" t="s">
        <v>238</v>
      </c>
      <c r="L513" s="146">
        <f t="shared" si="53"/>
        <v>370000</v>
      </c>
      <c r="M513" s="172"/>
    </row>
    <row r="514" ht="15.75" customHeight="1">
      <c r="A514" s="204">
        <v>22.0</v>
      </c>
      <c r="B514" s="142">
        <v>45831.0</v>
      </c>
      <c r="C514" s="98" t="s">
        <v>394</v>
      </c>
      <c r="D514" s="98" t="s">
        <v>520</v>
      </c>
      <c r="E514" s="204" t="s">
        <v>243</v>
      </c>
      <c r="F514" s="204" t="s">
        <v>329</v>
      </c>
      <c r="G514" s="151">
        <v>10000.0</v>
      </c>
      <c r="H514" s="128">
        <v>1100000.0</v>
      </c>
      <c r="I514" s="211" t="s">
        <v>238</v>
      </c>
      <c r="J514" s="207">
        <v>600000.0</v>
      </c>
      <c r="K514" s="109" t="s">
        <v>238</v>
      </c>
      <c r="L514" s="146">
        <f t="shared" si="53"/>
        <v>500000</v>
      </c>
      <c r="M514" s="207">
        <v>332000.0</v>
      </c>
    </row>
    <row r="515" ht="15.75" customHeight="1">
      <c r="A515" s="204">
        <v>23.0</v>
      </c>
      <c r="B515" s="142">
        <v>45832.0</v>
      </c>
      <c r="C515" s="98" t="s">
        <v>394</v>
      </c>
      <c r="D515" s="98" t="s">
        <v>520</v>
      </c>
      <c r="E515" s="204" t="s">
        <v>80</v>
      </c>
      <c r="F515" s="213" t="s">
        <v>271</v>
      </c>
      <c r="G515" s="151">
        <v>9000.0</v>
      </c>
      <c r="H515" s="128">
        <v>675000.0</v>
      </c>
      <c r="I515" s="211" t="s">
        <v>238</v>
      </c>
      <c r="J515" s="207">
        <v>375000.0</v>
      </c>
      <c r="K515" s="109" t="s">
        <v>238</v>
      </c>
      <c r="L515" s="146">
        <f t="shared" si="53"/>
        <v>300000</v>
      </c>
      <c r="M515" s="172"/>
    </row>
    <row r="516" ht="15.75" customHeight="1">
      <c r="A516" s="204">
        <v>24.0</v>
      </c>
      <c r="B516" s="142">
        <v>45832.0</v>
      </c>
      <c r="C516" s="98" t="s">
        <v>394</v>
      </c>
      <c r="D516" s="98" t="s">
        <v>520</v>
      </c>
      <c r="E516" s="204" t="s">
        <v>318</v>
      </c>
      <c r="F516" s="204" t="s">
        <v>319</v>
      </c>
      <c r="G516" s="151">
        <v>5000.0</v>
      </c>
      <c r="H516" s="134">
        <v>1494000.0</v>
      </c>
      <c r="I516" s="211" t="s">
        <v>238</v>
      </c>
      <c r="J516" s="207">
        <v>900000.0</v>
      </c>
      <c r="K516" s="109" t="s">
        <v>238</v>
      </c>
      <c r="L516" s="146">
        <f t="shared" si="53"/>
        <v>594000</v>
      </c>
      <c r="M516" s="172"/>
    </row>
    <row r="517" ht="15.75" customHeight="1">
      <c r="A517" s="204">
        <v>25.0</v>
      </c>
      <c r="B517" s="142">
        <v>45833.0</v>
      </c>
      <c r="C517" s="98" t="s">
        <v>394</v>
      </c>
      <c r="D517" s="98" t="s">
        <v>520</v>
      </c>
      <c r="E517" s="204" t="s">
        <v>242</v>
      </c>
      <c r="F517" s="204" t="s">
        <v>214</v>
      </c>
      <c r="G517" s="151">
        <v>9000.0</v>
      </c>
      <c r="H517" s="128">
        <v>1350000.0</v>
      </c>
      <c r="I517" s="211" t="s">
        <v>238</v>
      </c>
      <c r="J517" s="207">
        <v>900000.0</v>
      </c>
      <c r="K517" s="109" t="s">
        <v>238</v>
      </c>
      <c r="L517" s="146">
        <f t="shared" si="53"/>
        <v>450000</v>
      </c>
      <c r="M517" s="207">
        <v>75000.0</v>
      </c>
    </row>
    <row r="518" ht="15.75" customHeight="1">
      <c r="A518" s="204">
        <v>26.0</v>
      </c>
      <c r="B518" s="142">
        <v>45834.0</v>
      </c>
      <c r="C518" s="98" t="s">
        <v>394</v>
      </c>
      <c r="D518" s="98" t="s">
        <v>520</v>
      </c>
      <c r="E518" s="204" t="s">
        <v>243</v>
      </c>
      <c r="F518" s="204" t="s">
        <v>329</v>
      </c>
      <c r="G518" s="151">
        <v>10000.0</v>
      </c>
      <c r="H518" s="128">
        <v>1100000.0</v>
      </c>
      <c r="I518" s="211" t="s">
        <v>238</v>
      </c>
      <c r="J518" s="207">
        <v>600000.0</v>
      </c>
      <c r="K518" s="109" t="s">
        <v>238</v>
      </c>
      <c r="L518" s="146">
        <f t="shared" si="53"/>
        <v>500000</v>
      </c>
      <c r="M518" s="207">
        <v>930000.0</v>
      </c>
    </row>
    <row r="519" ht="15.75" customHeight="1">
      <c r="A519" s="204">
        <v>27.0</v>
      </c>
      <c r="B519" s="142">
        <v>45836.0</v>
      </c>
      <c r="C519" s="98" t="s">
        <v>394</v>
      </c>
      <c r="D519" s="98" t="s">
        <v>520</v>
      </c>
      <c r="E519" s="204" t="s">
        <v>243</v>
      </c>
      <c r="F519" s="204" t="s">
        <v>512</v>
      </c>
      <c r="G519" s="151">
        <v>9000.0</v>
      </c>
      <c r="H519" s="128">
        <v>900000.0</v>
      </c>
      <c r="I519" s="211" t="s">
        <v>238</v>
      </c>
      <c r="J519" s="207">
        <v>450000.0</v>
      </c>
      <c r="K519" s="109" t="s">
        <v>238</v>
      </c>
      <c r="L519" s="146">
        <f t="shared" si="53"/>
        <v>450000</v>
      </c>
      <c r="M519" s="207">
        <v>72000.0</v>
      </c>
      <c r="N519" s="205"/>
    </row>
    <row r="520" ht="15.75" customHeight="1">
      <c r="A520" s="204">
        <v>28.0</v>
      </c>
      <c r="B520" s="142">
        <v>45838.0</v>
      </c>
      <c r="C520" s="98" t="s">
        <v>394</v>
      </c>
      <c r="D520" s="98" t="s">
        <v>520</v>
      </c>
      <c r="E520" s="204" t="s">
        <v>242</v>
      </c>
      <c r="F520" s="204" t="s">
        <v>519</v>
      </c>
      <c r="G520" s="151">
        <v>10000.0</v>
      </c>
      <c r="H520" s="128">
        <v>750000.0</v>
      </c>
      <c r="I520" s="211" t="s">
        <v>238</v>
      </c>
      <c r="J520" s="207">
        <v>400000.0</v>
      </c>
      <c r="K520" s="109" t="s">
        <v>238</v>
      </c>
      <c r="L520" s="146">
        <f t="shared" si="53"/>
        <v>350000</v>
      </c>
    </row>
    <row r="521" ht="15.75" customHeight="1">
      <c r="A521" s="204">
        <v>29.0</v>
      </c>
      <c r="B521" s="142">
        <v>45838.0</v>
      </c>
      <c r="C521" s="98" t="s">
        <v>394</v>
      </c>
      <c r="D521" s="98" t="s">
        <v>520</v>
      </c>
      <c r="E521" s="204" t="s">
        <v>242</v>
      </c>
      <c r="F521" s="204" t="s">
        <v>326</v>
      </c>
      <c r="G521" s="151">
        <v>10000.0</v>
      </c>
      <c r="H521" s="128">
        <v>1500000.0</v>
      </c>
      <c r="I521" s="211" t="s">
        <v>238</v>
      </c>
      <c r="J521" s="207">
        <v>950000.0</v>
      </c>
      <c r="K521" s="109" t="s">
        <v>238</v>
      </c>
      <c r="L521" s="146">
        <f t="shared" si="53"/>
        <v>550000</v>
      </c>
      <c r="M521" s="172"/>
    </row>
    <row r="522" ht="15.75" customHeight="1">
      <c r="A522" s="169"/>
      <c r="B522" s="169"/>
      <c r="C522" s="169"/>
      <c r="D522" s="169"/>
      <c r="E522" s="169"/>
      <c r="F522" s="169"/>
      <c r="G522" s="170"/>
      <c r="H522" s="101"/>
      <c r="I522" s="171"/>
      <c r="J522" s="172"/>
      <c r="K522" s="173"/>
      <c r="L522" s="52">
        <f t="shared" ref="L522:M522" si="54">SUM(L493:L521)</f>
        <v>13578763</v>
      </c>
      <c r="M522" s="30">
        <f t="shared" si="54"/>
        <v>3857000</v>
      </c>
    </row>
    <row r="523" ht="15.75" customHeight="1">
      <c r="A523" s="169"/>
      <c r="B523" s="169"/>
      <c r="C523" s="169"/>
      <c r="D523" s="169"/>
      <c r="E523" s="169"/>
      <c r="F523" s="169"/>
      <c r="G523" s="170"/>
      <c r="H523" s="101"/>
      <c r="I523" s="171"/>
      <c r="J523" s="172"/>
      <c r="K523" s="173"/>
      <c r="L523" s="33">
        <f>L522-M522</f>
        <v>9721763</v>
      </c>
      <c r="M523" s="26"/>
    </row>
    <row r="524" ht="15.75" customHeight="1">
      <c r="A524" s="169"/>
      <c r="B524" s="169"/>
      <c r="C524" s="169"/>
      <c r="D524" s="169"/>
      <c r="E524" s="169"/>
      <c r="F524" s="169"/>
      <c r="G524" s="170"/>
      <c r="H524" s="101"/>
      <c r="I524" s="171"/>
      <c r="J524" s="172"/>
      <c r="K524" s="173"/>
      <c r="L524" s="173"/>
      <c r="M524" s="172"/>
    </row>
    <row r="525" ht="15.75" customHeight="1">
      <c r="A525" s="136" t="s">
        <v>209</v>
      </c>
      <c r="B525" s="136" t="s">
        <v>0</v>
      </c>
      <c r="C525" s="136" t="s">
        <v>1</v>
      </c>
      <c r="D525" s="136" t="s">
        <v>2</v>
      </c>
      <c r="E525" s="137" t="s">
        <v>3</v>
      </c>
      <c r="F525" s="136" t="s">
        <v>4</v>
      </c>
      <c r="G525" s="138" t="s">
        <v>5</v>
      </c>
      <c r="H525" s="139" t="s">
        <v>6</v>
      </c>
      <c r="I525" s="140" t="s">
        <v>39</v>
      </c>
      <c r="J525" s="139" t="s">
        <v>7</v>
      </c>
      <c r="K525" s="138" t="s">
        <v>39</v>
      </c>
      <c r="L525" s="140" t="s">
        <v>8</v>
      </c>
      <c r="M525" s="141" t="s">
        <v>9</v>
      </c>
    </row>
    <row r="526" ht="15.75" customHeight="1">
      <c r="A526" s="17">
        <v>1.0</v>
      </c>
      <c r="B526" s="142">
        <v>45839.0</v>
      </c>
      <c r="C526" s="98" t="s">
        <v>394</v>
      </c>
      <c r="D526" s="98" t="s">
        <v>520</v>
      </c>
      <c r="E526" s="144" t="s">
        <v>320</v>
      </c>
      <c r="F526" s="144" t="s">
        <v>329</v>
      </c>
      <c r="G526" s="148">
        <v>10000.0</v>
      </c>
      <c r="H526" s="134">
        <v>1100000.0</v>
      </c>
      <c r="I526" s="145" t="s">
        <v>238</v>
      </c>
      <c r="J526" s="134">
        <v>650000.0</v>
      </c>
      <c r="K526" s="109" t="s">
        <v>238</v>
      </c>
      <c r="L526" s="146">
        <f t="shared" ref="L526:L556" si="55">H526-J526</f>
        <v>450000</v>
      </c>
      <c r="M526" s="147"/>
    </row>
    <row r="527" ht="15.75" customHeight="1">
      <c r="A527" s="118">
        <v>2.0</v>
      </c>
      <c r="B527" s="142">
        <v>45840.0</v>
      </c>
      <c r="C527" s="98" t="s">
        <v>394</v>
      </c>
      <c r="D527" s="98" t="s">
        <v>520</v>
      </c>
      <c r="E527" s="98" t="s">
        <v>335</v>
      </c>
      <c r="F527" s="144" t="s">
        <v>336</v>
      </c>
      <c r="G527" s="110">
        <v>4100.0</v>
      </c>
      <c r="H527" s="134">
        <v>1550003.0</v>
      </c>
      <c r="I527" s="145" t="s">
        <v>238</v>
      </c>
      <c r="J527" s="109">
        <v>750000.0</v>
      </c>
      <c r="K527" s="109" t="s">
        <v>238</v>
      </c>
      <c r="L527" s="146">
        <f t="shared" si="55"/>
        <v>800003</v>
      </c>
      <c r="M527" s="106">
        <v>173000.0</v>
      </c>
    </row>
    <row r="528" ht="15.75" customHeight="1">
      <c r="A528" s="118">
        <v>3.0</v>
      </c>
      <c r="B528" s="142">
        <v>45841.0</v>
      </c>
      <c r="C528" s="98" t="s">
        <v>394</v>
      </c>
      <c r="D528" s="98" t="s">
        <v>520</v>
      </c>
      <c r="E528" s="98" t="s">
        <v>123</v>
      </c>
      <c r="F528" s="144" t="s">
        <v>316</v>
      </c>
      <c r="G528" s="110">
        <v>9000.0</v>
      </c>
      <c r="H528" s="107">
        <v>720000.0</v>
      </c>
      <c r="I528" s="115" t="s">
        <v>212</v>
      </c>
      <c r="J528" s="109">
        <v>350000.0</v>
      </c>
      <c r="K528" s="109" t="s">
        <v>238</v>
      </c>
      <c r="L528" s="146">
        <f t="shared" si="55"/>
        <v>370000</v>
      </c>
      <c r="M528" s="61"/>
    </row>
    <row r="529" ht="15.75" customHeight="1">
      <c r="A529" s="118">
        <v>4.0</v>
      </c>
      <c r="B529" s="142">
        <v>45841.0</v>
      </c>
      <c r="C529" s="98" t="s">
        <v>394</v>
      </c>
      <c r="D529" s="98" t="s">
        <v>520</v>
      </c>
      <c r="E529" s="98" t="s">
        <v>320</v>
      </c>
      <c r="F529" s="144" t="s">
        <v>329</v>
      </c>
      <c r="G529" s="110">
        <v>10000.0</v>
      </c>
      <c r="H529" s="135">
        <v>1100000.0</v>
      </c>
      <c r="I529" s="115" t="s">
        <v>238</v>
      </c>
      <c r="J529" s="121">
        <v>650000.0</v>
      </c>
      <c r="K529" s="109" t="s">
        <v>238</v>
      </c>
      <c r="L529" s="146">
        <f t="shared" si="55"/>
        <v>450000</v>
      </c>
      <c r="M529" s="61"/>
    </row>
    <row r="530" ht="15.75" customHeight="1">
      <c r="A530" s="118">
        <v>5.0</v>
      </c>
      <c r="B530" s="142">
        <v>45842.0</v>
      </c>
      <c r="C530" s="98" t="s">
        <v>394</v>
      </c>
      <c r="D530" s="98" t="s">
        <v>520</v>
      </c>
      <c r="E530" s="98" t="s">
        <v>123</v>
      </c>
      <c r="F530" s="144" t="s">
        <v>346</v>
      </c>
      <c r="G530" s="110">
        <v>9000.0</v>
      </c>
      <c r="H530" s="107">
        <v>990000.0</v>
      </c>
      <c r="I530" s="115" t="s">
        <v>212</v>
      </c>
      <c r="J530" s="109">
        <v>550000.0</v>
      </c>
      <c r="K530" s="109" t="s">
        <v>238</v>
      </c>
      <c r="L530" s="146">
        <f t="shared" si="55"/>
        <v>440000</v>
      </c>
      <c r="M530" s="106"/>
    </row>
    <row r="531" ht="15.75" customHeight="1">
      <c r="A531" s="118">
        <v>6.0</v>
      </c>
      <c r="B531" s="142">
        <v>45843.0</v>
      </c>
      <c r="C531" s="98" t="s">
        <v>394</v>
      </c>
      <c r="D531" s="98" t="s">
        <v>520</v>
      </c>
      <c r="E531" s="98" t="s">
        <v>320</v>
      </c>
      <c r="F531" s="144" t="s">
        <v>324</v>
      </c>
      <c r="G531" s="110">
        <v>10000.0</v>
      </c>
      <c r="H531" s="107">
        <v>750000.0</v>
      </c>
      <c r="I531" s="115" t="s">
        <v>212</v>
      </c>
      <c r="J531" s="109">
        <v>425000.0</v>
      </c>
      <c r="K531" s="109" t="s">
        <v>212</v>
      </c>
      <c r="L531" s="146">
        <f t="shared" si="55"/>
        <v>325000</v>
      </c>
      <c r="M531" s="106"/>
    </row>
    <row r="532" ht="15.75" customHeight="1">
      <c r="A532" s="118">
        <v>7.0</v>
      </c>
      <c r="B532" s="142">
        <v>45845.0</v>
      </c>
      <c r="C532" s="98" t="s">
        <v>394</v>
      </c>
      <c r="D532" s="98" t="s">
        <v>520</v>
      </c>
      <c r="E532" s="98" t="s">
        <v>123</v>
      </c>
      <c r="F532" s="144" t="s">
        <v>316</v>
      </c>
      <c r="G532" s="110">
        <v>9000.0</v>
      </c>
      <c r="H532" s="107">
        <v>720000.0</v>
      </c>
      <c r="I532" s="115" t="s">
        <v>212</v>
      </c>
      <c r="J532" s="109">
        <v>350000.0</v>
      </c>
      <c r="K532" s="109" t="s">
        <v>238</v>
      </c>
      <c r="L532" s="146">
        <f t="shared" si="55"/>
        <v>370000</v>
      </c>
      <c r="M532" s="106"/>
    </row>
    <row r="533" ht="15.75" customHeight="1">
      <c r="A533" s="118">
        <v>8.0</v>
      </c>
      <c r="B533" s="142">
        <v>45845.0</v>
      </c>
      <c r="C533" s="98" t="s">
        <v>394</v>
      </c>
      <c r="D533" s="98" t="s">
        <v>520</v>
      </c>
      <c r="E533" s="98" t="s">
        <v>256</v>
      </c>
      <c r="F533" s="144" t="s">
        <v>348</v>
      </c>
      <c r="G533" s="110">
        <v>9000.0</v>
      </c>
      <c r="H533" s="107">
        <v>900000.0</v>
      </c>
      <c r="I533" s="108" t="s">
        <v>238</v>
      </c>
      <c r="J533" s="109">
        <v>450000.0</v>
      </c>
      <c r="K533" s="109" t="s">
        <v>238</v>
      </c>
      <c r="L533" s="146">
        <f t="shared" si="55"/>
        <v>450000</v>
      </c>
      <c r="M533" s="106"/>
    </row>
    <row r="534" ht="15.75" customHeight="1">
      <c r="A534" s="118">
        <v>9.0</v>
      </c>
      <c r="B534" s="142">
        <v>45846.0</v>
      </c>
      <c r="C534" s="98" t="s">
        <v>394</v>
      </c>
      <c r="D534" s="98" t="s">
        <v>520</v>
      </c>
      <c r="E534" s="98" t="s">
        <v>123</v>
      </c>
      <c r="F534" s="144" t="s">
        <v>346</v>
      </c>
      <c r="G534" s="110">
        <v>8500.0</v>
      </c>
      <c r="H534" s="107">
        <v>950000.0</v>
      </c>
      <c r="I534" s="115" t="s">
        <v>212</v>
      </c>
      <c r="J534" s="109">
        <v>550000.0</v>
      </c>
      <c r="K534" s="109" t="s">
        <v>238</v>
      </c>
      <c r="L534" s="146">
        <f t="shared" si="55"/>
        <v>400000</v>
      </c>
      <c r="M534" s="106"/>
    </row>
    <row r="535" ht="15.75" customHeight="1">
      <c r="A535" s="118">
        <v>10.0</v>
      </c>
      <c r="B535" s="142">
        <v>45847.0</v>
      </c>
      <c r="C535" s="98" t="s">
        <v>394</v>
      </c>
      <c r="D535" s="98" t="s">
        <v>520</v>
      </c>
      <c r="E535" s="98" t="s">
        <v>243</v>
      </c>
      <c r="F535" s="144" t="s">
        <v>271</v>
      </c>
      <c r="G535" s="110">
        <v>9000.0</v>
      </c>
      <c r="H535" s="107">
        <v>675000.0</v>
      </c>
      <c r="I535" s="108" t="s">
        <v>238</v>
      </c>
      <c r="J535" s="109">
        <v>375000.0</v>
      </c>
      <c r="K535" s="109" t="s">
        <v>238</v>
      </c>
      <c r="L535" s="146">
        <f t="shared" si="55"/>
        <v>300000</v>
      </c>
      <c r="M535" s="106">
        <v>75000.0</v>
      </c>
    </row>
    <row r="536" ht="15.75" customHeight="1">
      <c r="A536" s="118">
        <v>11.0</v>
      </c>
      <c r="B536" s="142">
        <v>45847.0</v>
      </c>
      <c r="C536" s="98" t="s">
        <v>394</v>
      </c>
      <c r="D536" s="98" t="s">
        <v>520</v>
      </c>
      <c r="E536" s="98" t="s">
        <v>243</v>
      </c>
      <c r="F536" s="144" t="s">
        <v>274</v>
      </c>
      <c r="G536" s="110">
        <v>9000.0</v>
      </c>
      <c r="H536" s="107">
        <v>900000.0</v>
      </c>
      <c r="I536" s="108" t="s">
        <v>238</v>
      </c>
      <c r="J536" s="109">
        <v>425000.0</v>
      </c>
      <c r="K536" s="109" t="s">
        <v>238</v>
      </c>
      <c r="L536" s="146">
        <f t="shared" si="55"/>
        <v>475000</v>
      </c>
      <c r="M536" s="106"/>
    </row>
    <row r="537" ht="15.75" customHeight="1">
      <c r="A537" s="118">
        <v>12.0</v>
      </c>
      <c r="B537" s="142">
        <v>45848.0</v>
      </c>
      <c r="C537" s="98" t="s">
        <v>394</v>
      </c>
      <c r="D537" s="98" t="s">
        <v>520</v>
      </c>
      <c r="E537" s="98" t="s">
        <v>529</v>
      </c>
      <c r="F537" s="144" t="s">
        <v>316</v>
      </c>
      <c r="G537" s="110">
        <v>9000.0</v>
      </c>
      <c r="H537" s="107">
        <v>720000.0</v>
      </c>
      <c r="I537" s="115" t="s">
        <v>212</v>
      </c>
      <c r="J537" s="109">
        <v>350000.0</v>
      </c>
      <c r="K537" s="109" t="s">
        <v>238</v>
      </c>
      <c r="L537" s="146">
        <f t="shared" si="55"/>
        <v>370000</v>
      </c>
      <c r="M537" s="61"/>
    </row>
    <row r="538" ht="15.75" customHeight="1">
      <c r="A538" s="118">
        <v>13.0</v>
      </c>
      <c r="B538" s="142">
        <v>45849.0</v>
      </c>
      <c r="C538" s="98" t="s">
        <v>394</v>
      </c>
      <c r="D538" s="98" t="s">
        <v>520</v>
      </c>
      <c r="E538" s="98" t="s">
        <v>335</v>
      </c>
      <c r="F538" s="98" t="s">
        <v>336</v>
      </c>
      <c r="G538" s="110">
        <v>5300.0</v>
      </c>
      <c r="H538" s="150">
        <v>1550003.0</v>
      </c>
      <c r="I538" s="108" t="s">
        <v>238</v>
      </c>
      <c r="J538" s="109">
        <v>750000.0</v>
      </c>
      <c r="K538" s="109" t="s">
        <v>238</v>
      </c>
      <c r="L538" s="146">
        <f t="shared" si="55"/>
        <v>800003</v>
      </c>
      <c r="M538" s="106">
        <v>30000.0</v>
      </c>
    </row>
    <row r="539" ht="15.75" customHeight="1">
      <c r="A539" s="118">
        <v>14.0</v>
      </c>
      <c r="B539" s="142">
        <v>45850.0</v>
      </c>
      <c r="C539" s="98" t="s">
        <v>394</v>
      </c>
      <c r="D539" s="98" t="s">
        <v>520</v>
      </c>
      <c r="E539" s="98" t="s">
        <v>305</v>
      </c>
      <c r="F539" s="144" t="s">
        <v>295</v>
      </c>
      <c r="G539" s="110">
        <v>9000.0</v>
      </c>
      <c r="H539" s="107">
        <v>1125000.0</v>
      </c>
      <c r="I539" s="115" t="s">
        <v>212</v>
      </c>
      <c r="J539" s="109">
        <v>640000.0</v>
      </c>
      <c r="K539" s="109" t="s">
        <v>238</v>
      </c>
      <c r="L539" s="146">
        <f t="shared" si="55"/>
        <v>485000</v>
      </c>
      <c r="M539" s="106"/>
    </row>
    <row r="540" ht="15.75" customHeight="1">
      <c r="A540" s="118">
        <v>15.0</v>
      </c>
      <c r="B540" s="142">
        <v>45852.0</v>
      </c>
      <c r="C540" s="98" t="s">
        <v>394</v>
      </c>
      <c r="D540" s="98" t="s">
        <v>520</v>
      </c>
      <c r="E540" s="98" t="s">
        <v>123</v>
      </c>
      <c r="F540" s="144" t="s">
        <v>316</v>
      </c>
      <c r="G540" s="110">
        <v>9000.0</v>
      </c>
      <c r="H540" s="107">
        <v>720000.0</v>
      </c>
      <c r="I540" s="115" t="s">
        <v>212</v>
      </c>
      <c r="J540" s="109">
        <v>350000.0</v>
      </c>
      <c r="K540" s="109" t="s">
        <v>238</v>
      </c>
      <c r="L540" s="146">
        <f t="shared" si="55"/>
        <v>370000</v>
      </c>
      <c r="M540" s="106">
        <v>70000.0</v>
      </c>
    </row>
    <row r="541" ht="15.75" customHeight="1">
      <c r="A541" s="118">
        <v>16.0</v>
      </c>
      <c r="B541" s="142">
        <v>45852.0</v>
      </c>
      <c r="C541" s="98" t="s">
        <v>394</v>
      </c>
      <c r="D541" s="98" t="s">
        <v>520</v>
      </c>
      <c r="E541" s="98" t="s">
        <v>320</v>
      </c>
      <c r="F541" s="98" t="s">
        <v>324</v>
      </c>
      <c r="G541" s="110">
        <v>10000.0</v>
      </c>
      <c r="H541" s="107">
        <v>750000.0</v>
      </c>
      <c r="I541" s="108" t="s">
        <v>212</v>
      </c>
      <c r="J541" s="109">
        <v>375000.0</v>
      </c>
      <c r="K541" s="109" t="s">
        <v>238</v>
      </c>
      <c r="L541" s="146">
        <f t="shared" si="55"/>
        <v>375000</v>
      </c>
      <c r="M541" s="106"/>
    </row>
    <row r="542" ht="15.75" customHeight="1">
      <c r="A542" s="118">
        <v>17.0</v>
      </c>
      <c r="B542" s="142">
        <v>45853.0</v>
      </c>
      <c r="C542" s="98" t="s">
        <v>394</v>
      </c>
      <c r="D542" s="98" t="s">
        <v>520</v>
      </c>
      <c r="E542" s="98" t="s">
        <v>243</v>
      </c>
      <c r="F542" s="98" t="s">
        <v>259</v>
      </c>
      <c r="G542" s="110">
        <v>10000.0</v>
      </c>
      <c r="H542" s="107">
        <v>1500000.0</v>
      </c>
      <c r="I542" s="108" t="s">
        <v>238</v>
      </c>
      <c r="J542" s="109">
        <v>850000.0</v>
      </c>
      <c r="K542" s="109" t="s">
        <v>238</v>
      </c>
      <c r="L542" s="146">
        <f t="shared" si="55"/>
        <v>650000</v>
      </c>
      <c r="M542" s="61"/>
    </row>
    <row r="543" ht="15.75" customHeight="1">
      <c r="A543" s="118">
        <v>18.0</v>
      </c>
      <c r="B543" s="142">
        <v>45854.0</v>
      </c>
      <c r="C543" s="98" t="s">
        <v>394</v>
      </c>
      <c r="D543" s="98" t="s">
        <v>520</v>
      </c>
      <c r="E543" s="98" t="s">
        <v>318</v>
      </c>
      <c r="F543" s="98" t="s">
        <v>319</v>
      </c>
      <c r="G543" s="110">
        <v>5000.0</v>
      </c>
      <c r="H543" s="135">
        <v>1494593.0</v>
      </c>
      <c r="I543" s="108" t="s">
        <v>238</v>
      </c>
      <c r="J543" s="109">
        <v>900000.0</v>
      </c>
      <c r="K543" s="109" t="s">
        <v>238</v>
      </c>
      <c r="L543" s="146">
        <f t="shared" si="55"/>
        <v>594593</v>
      </c>
      <c r="M543" s="106">
        <v>80000.0</v>
      </c>
    </row>
    <row r="544" ht="15.75" customHeight="1">
      <c r="A544" s="118">
        <v>19.0</v>
      </c>
      <c r="B544" s="142">
        <v>45856.0</v>
      </c>
      <c r="C544" s="98" t="s">
        <v>394</v>
      </c>
      <c r="D544" s="98" t="s">
        <v>520</v>
      </c>
      <c r="E544" s="98" t="s">
        <v>243</v>
      </c>
      <c r="F544" s="98" t="s">
        <v>271</v>
      </c>
      <c r="G544" s="110">
        <v>9000.0</v>
      </c>
      <c r="H544" s="107">
        <v>675000.0</v>
      </c>
      <c r="I544" s="108" t="s">
        <v>238</v>
      </c>
      <c r="J544" s="109">
        <v>375000.0</v>
      </c>
      <c r="K544" s="109" t="s">
        <v>238</v>
      </c>
      <c r="L544" s="146">
        <f t="shared" si="55"/>
        <v>300000</v>
      </c>
      <c r="M544" s="106">
        <v>25000.0</v>
      </c>
    </row>
    <row r="545" ht="15.75" customHeight="1">
      <c r="A545" s="118">
        <v>20.0</v>
      </c>
      <c r="B545" s="142">
        <v>45857.0</v>
      </c>
      <c r="C545" s="98" t="s">
        <v>394</v>
      </c>
      <c r="D545" s="98" t="s">
        <v>520</v>
      </c>
      <c r="E545" s="98" t="s">
        <v>305</v>
      </c>
      <c r="F545" s="98" t="s">
        <v>295</v>
      </c>
      <c r="G545" s="110">
        <v>9000.0</v>
      </c>
      <c r="H545" s="107">
        <v>1125000.0</v>
      </c>
      <c r="I545" s="108" t="s">
        <v>212</v>
      </c>
      <c r="J545" s="109">
        <v>640000.0</v>
      </c>
      <c r="K545" s="109" t="s">
        <v>238</v>
      </c>
      <c r="L545" s="146">
        <f t="shared" si="55"/>
        <v>485000</v>
      </c>
    </row>
    <row r="546" ht="15.75" customHeight="1">
      <c r="A546" s="118">
        <v>21.0</v>
      </c>
      <c r="B546" s="142">
        <v>45859.0</v>
      </c>
      <c r="C546" s="98" t="s">
        <v>394</v>
      </c>
      <c r="D546" s="98" t="s">
        <v>520</v>
      </c>
      <c r="E546" s="98" t="s">
        <v>279</v>
      </c>
      <c r="F546" s="98" t="s">
        <v>316</v>
      </c>
      <c r="G546" s="110">
        <v>9000.0</v>
      </c>
      <c r="H546" s="107">
        <v>720000.0</v>
      </c>
      <c r="I546" s="108" t="s">
        <v>212</v>
      </c>
      <c r="J546" s="109">
        <v>350000.0</v>
      </c>
      <c r="K546" s="109" t="s">
        <v>238</v>
      </c>
      <c r="L546" s="146">
        <f t="shared" si="55"/>
        <v>370000</v>
      </c>
    </row>
    <row r="547" ht="15.75" customHeight="1">
      <c r="A547" s="204">
        <v>22.0</v>
      </c>
      <c r="B547" s="142">
        <v>45860.0</v>
      </c>
      <c r="C547" s="98" t="s">
        <v>394</v>
      </c>
      <c r="D547" s="98" t="s">
        <v>520</v>
      </c>
      <c r="E547" s="204" t="s">
        <v>335</v>
      </c>
      <c r="F547" s="204" t="s">
        <v>341</v>
      </c>
      <c r="G547" s="151">
        <v>6500.0</v>
      </c>
      <c r="H547" s="150">
        <v>1550003.0</v>
      </c>
      <c r="I547" s="108" t="s">
        <v>238</v>
      </c>
      <c r="J547" s="207">
        <v>700000.0</v>
      </c>
      <c r="K547" s="109" t="s">
        <v>238</v>
      </c>
      <c r="L547" s="146">
        <f t="shared" si="55"/>
        <v>850003</v>
      </c>
      <c r="M547" s="207">
        <v>20000.0</v>
      </c>
    </row>
    <row r="548" ht="15.75" customHeight="1">
      <c r="A548" s="204">
        <v>23.0</v>
      </c>
      <c r="B548" s="142">
        <v>45861.0</v>
      </c>
      <c r="C548" s="98" t="s">
        <v>394</v>
      </c>
      <c r="D548" s="98" t="s">
        <v>520</v>
      </c>
      <c r="E548" s="204" t="s">
        <v>243</v>
      </c>
      <c r="F548" s="204" t="s">
        <v>333</v>
      </c>
      <c r="G548" s="151">
        <v>9000.0</v>
      </c>
      <c r="H548" s="128">
        <v>1350000.0</v>
      </c>
      <c r="I548" s="115" t="s">
        <v>238</v>
      </c>
      <c r="J548" s="207">
        <v>850000.0</v>
      </c>
      <c r="K548" s="109" t="s">
        <v>238</v>
      </c>
      <c r="L548" s="146">
        <f t="shared" si="55"/>
        <v>500000</v>
      </c>
      <c r="M548" s="172"/>
    </row>
    <row r="549" ht="15.75" customHeight="1">
      <c r="A549" s="204">
        <v>24.0</v>
      </c>
      <c r="B549" s="142">
        <v>45862.0</v>
      </c>
      <c r="C549" s="98" t="s">
        <v>394</v>
      </c>
      <c r="D549" s="98" t="s">
        <v>520</v>
      </c>
      <c r="E549" s="204" t="s">
        <v>279</v>
      </c>
      <c r="F549" s="204" t="s">
        <v>321</v>
      </c>
      <c r="G549" s="151">
        <v>9000.0</v>
      </c>
      <c r="H549" s="128">
        <v>800000.0</v>
      </c>
      <c r="I549" s="108" t="s">
        <v>212</v>
      </c>
      <c r="J549" s="207">
        <v>400000.0</v>
      </c>
      <c r="K549" s="109" t="s">
        <v>238</v>
      </c>
      <c r="L549" s="146">
        <f t="shared" si="55"/>
        <v>400000</v>
      </c>
      <c r="M549" s="106">
        <v>153000.0</v>
      </c>
    </row>
    <row r="550" ht="15.75" customHeight="1">
      <c r="A550" s="204">
        <v>25.0</v>
      </c>
      <c r="B550" s="142">
        <v>45864.0</v>
      </c>
      <c r="C550" s="98" t="s">
        <v>394</v>
      </c>
      <c r="D550" s="98" t="s">
        <v>520</v>
      </c>
      <c r="E550" s="204" t="s">
        <v>327</v>
      </c>
      <c r="F550" s="204" t="s">
        <v>302</v>
      </c>
      <c r="G550" s="151">
        <v>9000.0</v>
      </c>
      <c r="H550" s="128">
        <v>720000.0</v>
      </c>
      <c r="I550" s="211" t="s">
        <v>238</v>
      </c>
      <c r="J550" s="207">
        <v>350000.0</v>
      </c>
      <c r="K550" s="109" t="s">
        <v>238</v>
      </c>
      <c r="L550" s="146">
        <f t="shared" si="55"/>
        <v>370000</v>
      </c>
      <c r="M550" s="106">
        <v>525000.0</v>
      </c>
    </row>
    <row r="551" ht="15.75" customHeight="1">
      <c r="A551" s="204">
        <v>26.0</v>
      </c>
      <c r="B551" s="142">
        <v>45864.0</v>
      </c>
      <c r="C551" s="98" t="s">
        <v>394</v>
      </c>
      <c r="D551" s="98" t="s">
        <v>520</v>
      </c>
      <c r="E551" s="204" t="s">
        <v>327</v>
      </c>
      <c r="F551" s="204" t="s">
        <v>333</v>
      </c>
      <c r="G551" s="151">
        <v>9000.0</v>
      </c>
      <c r="H551" s="128">
        <v>1350000.0</v>
      </c>
      <c r="I551" s="115" t="s">
        <v>238</v>
      </c>
      <c r="J551" s="207">
        <v>850000.0</v>
      </c>
      <c r="K551" s="109" t="s">
        <v>238</v>
      </c>
      <c r="L551" s="146">
        <f t="shared" si="55"/>
        <v>500000</v>
      </c>
      <c r="M551" s="106"/>
    </row>
    <row r="552" ht="15.75" customHeight="1">
      <c r="A552" s="204">
        <v>27.0</v>
      </c>
      <c r="B552" s="142">
        <v>45866.0</v>
      </c>
      <c r="C552" s="98" t="s">
        <v>394</v>
      </c>
      <c r="D552" s="98" t="s">
        <v>530</v>
      </c>
      <c r="E552" s="204" t="s">
        <v>327</v>
      </c>
      <c r="F552" s="204" t="s">
        <v>303</v>
      </c>
      <c r="G552" s="151">
        <v>9000.0</v>
      </c>
      <c r="H552" s="128">
        <v>1215000.0</v>
      </c>
      <c r="I552" s="211" t="s">
        <v>238</v>
      </c>
      <c r="J552" s="207">
        <v>700000.0</v>
      </c>
      <c r="K552" s="215" t="s">
        <v>212</v>
      </c>
      <c r="L552" s="146">
        <f t="shared" si="55"/>
        <v>515000</v>
      </c>
      <c r="M552" s="106">
        <v>1640000.0</v>
      </c>
    </row>
    <row r="553" ht="15.75" customHeight="1">
      <c r="A553" s="204">
        <v>28.0</v>
      </c>
      <c r="B553" s="142">
        <v>45867.0</v>
      </c>
      <c r="C553" s="98" t="s">
        <v>394</v>
      </c>
      <c r="D553" s="98" t="s">
        <v>530</v>
      </c>
      <c r="E553" s="204" t="s">
        <v>327</v>
      </c>
      <c r="F553" s="204" t="s">
        <v>271</v>
      </c>
      <c r="G553" s="151">
        <v>9000.0</v>
      </c>
      <c r="H553" s="128">
        <v>675000.0</v>
      </c>
      <c r="I553" s="211" t="s">
        <v>238</v>
      </c>
      <c r="J553" s="207">
        <v>375000.0</v>
      </c>
      <c r="K553" s="109" t="s">
        <v>238</v>
      </c>
      <c r="L553" s="146">
        <f t="shared" si="55"/>
        <v>300000</v>
      </c>
      <c r="M553" s="172"/>
    </row>
    <row r="554" ht="15.75" customHeight="1">
      <c r="A554" s="204">
        <v>29.0</v>
      </c>
      <c r="B554" s="142">
        <v>45867.0</v>
      </c>
      <c r="C554" s="98" t="s">
        <v>394</v>
      </c>
      <c r="D554" s="98" t="s">
        <v>530</v>
      </c>
      <c r="E554" s="204" t="s">
        <v>242</v>
      </c>
      <c r="F554" s="204" t="s">
        <v>271</v>
      </c>
      <c r="G554" s="151">
        <v>9000.0</v>
      </c>
      <c r="H554" s="128">
        <v>675000.0</v>
      </c>
      <c r="I554" s="211" t="s">
        <v>238</v>
      </c>
      <c r="J554" s="207">
        <v>375000.0</v>
      </c>
      <c r="K554" s="109" t="s">
        <v>238</v>
      </c>
      <c r="L554" s="146">
        <f t="shared" si="55"/>
        <v>300000</v>
      </c>
      <c r="M554" s="172"/>
    </row>
    <row r="555" ht="15.75" customHeight="1">
      <c r="A555" s="204">
        <v>30.0</v>
      </c>
      <c r="B555" s="142">
        <v>45868.0</v>
      </c>
      <c r="C555" s="98" t="s">
        <v>394</v>
      </c>
      <c r="D555" s="98" t="s">
        <v>531</v>
      </c>
      <c r="E555" s="204" t="s">
        <v>529</v>
      </c>
      <c r="F555" s="204" t="s">
        <v>316</v>
      </c>
      <c r="G555" s="151">
        <v>10000.0</v>
      </c>
      <c r="H555" s="128">
        <v>800000.0</v>
      </c>
      <c r="I555" s="108" t="s">
        <v>212</v>
      </c>
      <c r="J555" s="207">
        <v>375000.0</v>
      </c>
      <c r="K555" s="215" t="s">
        <v>212</v>
      </c>
      <c r="L555" s="146">
        <f t="shared" si="55"/>
        <v>425000</v>
      </c>
    </row>
    <row r="556" ht="15.75" customHeight="1">
      <c r="A556" s="204">
        <v>31.0</v>
      </c>
      <c r="B556" s="142">
        <v>45868.0</v>
      </c>
      <c r="C556" s="98" t="s">
        <v>394</v>
      </c>
      <c r="D556" s="98" t="s">
        <v>531</v>
      </c>
      <c r="E556" s="204" t="s">
        <v>243</v>
      </c>
      <c r="F556" s="204" t="s">
        <v>333</v>
      </c>
      <c r="G556" s="151">
        <v>9000.0</v>
      </c>
      <c r="H556" s="128">
        <v>1350000.0</v>
      </c>
      <c r="I556" s="115" t="s">
        <v>238</v>
      </c>
      <c r="J556" s="207">
        <v>850000.0</v>
      </c>
      <c r="K556" s="109" t="s">
        <v>238</v>
      </c>
      <c r="L556" s="146">
        <f t="shared" si="55"/>
        <v>500000</v>
      </c>
    </row>
    <row r="557" ht="15.75" customHeight="1">
      <c r="A557" s="169"/>
      <c r="B557" s="169"/>
      <c r="C557" s="169"/>
      <c r="D557" s="169"/>
      <c r="E557" s="169"/>
      <c r="F557" s="169"/>
      <c r="G557" s="170"/>
      <c r="H557" s="101"/>
      <c r="I557" s="171"/>
      <c r="J557" s="172"/>
      <c r="K557" s="173"/>
      <c r="L557" s="52">
        <f>SUM(L526:L544)</f>
        <v>8774599</v>
      </c>
      <c r="M557" s="30">
        <f>SUM(M526:M553)</f>
        <v>2791000</v>
      </c>
    </row>
    <row r="558" ht="15.75" customHeight="1">
      <c r="A558" s="169"/>
      <c r="B558" s="169"/>
      <c r="C558" s="169"/>
      <c r="D558" s="169"/>
      <c r="E558" s="169"/>
      <c r="F558" s="169"/>
      <c r="G558" s="170"/>
      <c r="H558" s="101"/>
      <c r="I558" s="171"/>
      <c r="J558" s="172"/>
      <c r="K558" s="173"/>
      <c r="L558" s="33">
        <f>L557-M557</f>
        <v>5983599</v>
      </c>
      <c r="M558" s="220"/>
    </row>
    <row r="559" ht="15.75" customHeight="1">
      <c r="A559" s="169"/>
      <c r="B559" s="169"/>
      <c r="C559" s="169"/>
      <c r="D559" s="169"/>
      <c r="E559" s="169"/>
      <c r="F559" s="169"/>
      <c r="G559" s="170"/>
      <c r="H559" s="101"/>
      <c r="I559" s="171"/>
      <c r="J559" s="172"/>
      <c r="K559" s="173"/>
      <c r="L559" s="173"/>
      <c r="M559" s="172"/>
    </row>
    <row r="560" ht="15.75" customHeight="1">
      <c r="A560" s="136" t="s">
        <v>209</v>
      </c>
      <c r="B560" s="136" t="s">
        <v>0</v>
      </c>
      <c r="C560" s="136" t="s">
        <v>1</v>
      </c>
      <c r="D560" s="136" t="s">
        <v>2</v>
      </c>
      <c r="E560" s="137" t="s">
        <v>3</v>
      </c>
      <c r="F560" s="136" t="s">
        <v>4</v>
      </c>
      <c r="G560" s="138" t="s">
        <v>5</v>
      </c>
      <c r="H560" s="139" t="s">
        <v>6</v>
      </c>
      <c r="I560" s="140" t="s">
        <v>39</v>
      </c>
      <c r="J560" s="139" t="s">
        <v>7</v>
      </c>
      <c r="K560" s="138" t="s">
        <v>39</v>
      </c>
      <c r="L560" s="140" t="s">
        <v>8</v>
      </c>
      <c r="M560" s="141" t="s">
        <v>9</v>
      </c>
    </row>
    <row r="561" ht="15.75" customHeight="1">
      <c r="A561" s="17">
        <v>1.0</v>
      </c>
      <c r="B561" s="142">
        <v>45870.0</v>
      </c>
      <c r="C561" s="98" t="s">
        <v>394</v>
      </c>
      <c r="D561" s="98" t="s">
        <v>531</v>
      </c>
      <c r="E561" s="144" t="s">
        <v>327</v>
      </c>
      <c r="F561" s="144" t="s">
        <v>333</v>
      </c>
      <c r="G561" s="148">
        <v>9000.0</v>
      </c>
      <c r="H561" s="134">
        <v>1350000.0</v>
      </c>
      <c r="I561" s="115" t="s">
        <v>238</v>
      </c>
      <c r="J561" s="134">
        <v>850000.0</v>
      </c>
      <c r="K561" s="109" t="s">
        <v>238</v>
      </c>
      <c r="L561" s="58">
        <f t="shared" ref="L561:L583" si="56">H561-J561</f>
        <v>500000</v>
      </c>
      <c r="M561" s="147">
        <v>760000.0</v>
      </c>
    </row>
    <row r="562" ht="15.75" customHeight="1">
      <c r="A562" s="118">
        <v>2.0</v>
      </c>
      <c r="B562" s="142">
        <v>45871.0</v>
      </c>
      <c r="C562" s="98" t="s">
        <v>394</v>
      </c>
      <c r="D562" s="98" t="s">
        <v>531</v>
      </c>
      <c r="E562" s="98" t="s">
        <v>532</v>
      </c>
      <c r="F562" s="144" t="s">
        <v>333</v>
      </c>
      <c r="G562" s="110">
        <v>9000.0</v>
      </c>
      <c r="H562" s="134">
        <v>1350000.0</v>
      </c>
      <c r="I562" s="115" t="s">
        <v>238</v>
      </c>
      <c r="J562" s="134">
        <v>850000.0</v>
      </c>
      <c r="K562" s="109" t="s">
        <v>238</v>
      </c>
      <c r="L562" s="58">
        <f t="shared" si="56"/>
        <v>500000</v>
      </c>
      <c r="M562" s="149"/>
    </row>
    <row r="563" ht="15.75" customHeight="1">
      <c r="A563" s="118">
        <v>3.0</v>
      </c>
      <c r="B563" s="142">
        <v>45873.0</v>
      </c>
      <c r="C563" s="98" t="s">
        <v>394</v>
      </c>
      <c r="D563" s="98" t="s">
        <v>531</v>
      </c>
      <c r="E563" s="98" t="s">
        <v>532</v>
      </c>
      <c r="F563" s="144" t="s">
        <v>333</v>
      </c>
      <c r="G563" s="110">
        <v>9000.0</v>
      </c>
      <c r="H563" s="134">
        <v>1350000.0</v>
      </c>
      <c r="I563" s="115" t="s">
        <v>238</v>
      </c>
      <c r="J563" s="134">
        <v>850000.0</v>
      </c>
      <c r="K563" s="109" t="s">
        <v>238</v>
      </c>
      <c r="L563" s="58">
        <f t="shared" si="56"/>
        <v>500000</v>
      </c>
      <c r="M563" s="150">
        <v>210000.0</v>
      </c>
    </row>
    <row r="564" ht="15.75" customHeight="1">
      <c r="A564" s="118">
        <v>4.0</v>
      </c>
      <c r="B564" s="142">
        <v>45875.0</v>
      </c>
      <c r="C564" s="98" t="s">
        <v>394</v>
      </c>
      <c r="D564" s="98" t="s">
        <v>531</v>
      </c>
      <c r="E564" s="98" t="s">
        <v>320</v>
      </c>
      <c r="F564" s="144" t="s">
        <v>324</v>
      </c>
      <c r="G564" s="151">
        <v>10000.0</v>
      </c>
      <c r="H564" s="134">
        <v>750000.0</v>
      </c>
      <c r="I564" s="108" t="s">
        <v>212</v>
      </c>
      <c r="J564" s="134">
        <v>375000.0</v>
      </c>
      <c r="K564" s="215" t="s">
        <v>212</v>
      </c>
      <c r="L564" s="58">
        <f t="shared" si="56"/>
        <v>375000</v>
      </c>
      <c r="M564" s="149"/>
    </row>
    <row r="565" ht="15.75" customHeight="1">
      <c r="A565" s="118">
        <v>5.0</v>
      </c>
      <c r="B565" s="142">
        <v>45876.0</v>
      </c>
      <c r="C565" s="98" t="s">
        <v>394</v>
      </c>
      <c r="D565" s="98" t="s">
        <v>531</v>
      </c>
      <c r="E565" s="98" t="s">
        <v>327</v>
      </c>
      <c r="F565" s="144" t="s">
        <v>522</v>
      </c>
      <c r="G565" s="151">
        <v>9000.0</v>
      </c>
      <c r="H565" s="134">
        <v>1170000.0</v>
      </c>
      <c r="I565" s="115" t="s">
        <v>533</v>
      </c>
      <c r="J565" s="134">
        <v>640000.0</v>
      </c>
      <c r="K565" s="109" t="s">
        <v>238</v>
      </c>
      <c r="L565" s="58">
        <f t="shared" si="56"/>
        <v>530000</v>
      </c>
      <c r="M565" s="150">
        <v>165000.0</v>
      </c>
    </row>
    <row r="566" ht="15.75" customHeight="1">
      <c r="A566" s="118">
        <v>6.0</v>
      </c>
      <c r="B566" s="142">
        <v>45877.0</v>
      </c>
      <c r="C566" s="98" t="s">
        <v>394</v>
      </c>
      <c r="D566" s="98" t="s">
        <v>531</v>
      </c>
      <c r="E566" s="98" t="s">
        <v>123</v>
      </c>
      <c r="F566" s="98" t="s">
        <v>346</v>
      </c>
      <c r="G566" s="151">
        <v>9000.0</v>
      </c>
      <c r="H566" s="134">
        <v>990000.0</v>
      </c>
      <c r="I566" s="152" t="s">
        <v>238</v>
      </c>
      <c r="J566" s="134">
        <v>550000.0</v>
      </c>
      <c r="K566" s="215" t="s">
        <v>212</v>
      </c>
      <c r="L566" s="58">
        <f t="shared" si="56"/>
        <v>440000</v>
      </c>
      <c r="M566" s="149"/>
    </row>
    <row r="567" ht="15.75" customHeight="1">
      <c r="A567" s="118">
        <v>7.0</v>
      </c>
      <c r="B567" s="142">
        <v>45878.0</v>
      </c>
      <c r="C567" s="98" t="s">
        <v>394</v>
      </c>
      <c r="D567" s="98" t="s">
        <v>531</v>
      </c>
      <c r="E567" s="98" t="s">
        <v>242</v>
      </c>
      <c r="F567" s="98" t="s">
        <v>519</v>
      </c>
      <c r="G567" s="151">
        <v>10000.0</v>
      </c>
      <c r="H567" s="134">
        <v>750000.0</v>
      </c>
      <c r="I567" s="108" t="s">
        <v>212</v>
      </c>
      <c r="J567" s="134">
        <v>400000.0</v>
      </c>
      <c r="K567" s="215" t="s">
        <v>212</v>
      </c>
      <c r="L567" s="58">
        <f t="shared" si="56"/>
        <v>350000</v>
      </c>
      <c r="M567" s="150">
        <v>27000.0</v>
      </c>
    </row>
    <row r="568" ht="15.75" customHeight="1">
      <c r="A568" s="118">
        <v>8.0</v>
      </c>
      <c r="B568" s="142">
        <v>45880.0</v>
      </c>
      <c r="C568" s="98" t="s">
        <v>394</v>
      </c>
      <c r="D568" s="98" t="s">
        <v>531</v>
      </c>
      <c r="E568" s="98" t="s">
        <v>243</v>
      </c>
      <c r="F568" s="98" t="s">
        <v>301</v>
      </c>
      <c r="G568" s="151">
        <v>9000.0</v>
      </c>
      <c r="H568" s="134">
        <v>900000.0</v>
      </c>
      <c r="I568" s="108" t="s">
        <v>212</v>
      </c>
      <c r="J568" s="134">
        <v>500000.0</v>
      </c>
      <c r="K568" s="215" t="s">
        <v>212</v>
      </c>
      <c r="L568" s="58">
        <f t="shared" si="56"/>
        <v>400000</v>
      </c>
      <c r="M568" s="149"/>
    </row>
    <row r="569" ht="15.75" customHeight="1">
      <c r="A569" s="118">
        <v>9.0</v>
      </c>
      <c r="B569" s="142">
        <v>45881.0</v>
      </c>
      <c r="C569" s="98" t="s">
        <v>394</v>
      </c>
      <c r="D569" s="98" t="s">
        <v>531</v>
      </c>
      <c r="E569" s="98" t="s">
        <v>243</v>
      </c>
      <c r="F569" s="98" t="s">
        <v>321</v>
      </c>
      <c r="G569" s="151">
        <v>10000.0</v>
      </c>
      <c r="H569" s="134">
        <v>800000.0</v>
      </c>
      <c r="I569" s="108" t="s">
        <v>212</v>
      </c>
      <c r="J569" s="134">
        <v>425000.0</v>
      </c>
      <c r="K569" s="215" t="s">
        <v>212</v>
      </c>
      <c r="L569" s="58">
        <f t="shared" si="56"/>
        <v>375000</v>
      </c>
      <c r="M569" s="149"/>
    </row>
    <row r="570" ht="15.75" customHeight="1">
      <c r="A570" s="118">
        <v>10.0</v>
      </c>
      <c r="B570" s="142">
        <v>45882.0</v>
      </c>
      <c r="C570" s="98" t="s">
        <v>394</v>
      </c>
      <c r="D570" s="98" t="s">
        <v>531</v>
      </c>
      <c r="E570" s="98" t="s">
        <v>534</v>
      </c>
      <c r="F570" s="98" t="s">
        <v>341</v>
      </c>
      <c r="G570" s="110">
        <v>7000.0</v>
      </c>
      <c r="H570" s="134">
        <v>1550003.0</v>
      </c>
      <c r="I570" s="59"/>
      <c r="J570" s="109">
        <v>640000.0</v>
      </c>
      <c r="K570" s="215" t="s">
        <v>212</v>
      </c>
      <c r="L570" s="58">
        <f t="shared" si="56"/>
        <v>910003</v>
      </c>
      <c r="M570" s="150"/>
    </row>
    <row r="571" ht="15.75" customHeight="1">
      <c r="A571" s="118">
        <v>11.0</v>
      </c>
      <c r="B571" s="142">
        <v>45883.0</v>
      </c>
      <c r="C571" s="98" t="s">
        <v>394</v>
      </c>
      <c r="D571" s="98" t="s">
        <v>531</v>
      </c>
      <c r="E571" s="98" t="s">
        <v>320</v>
      </c>
      <c r="F571" s="98" t="s">
        <v>255</v>
      </c>
      <c r="G571" s="110">
        <v>10000.0</v>
      </c>
      <c r="H571" s="134">
        <v>1500000.0</v>
      </c>
      <c r="I571" s="108" t="s">
        <v>238</v>
      </c>
      <c r="J571" s="109">
        <v>950000.0</v>
      </c>
      <c r="K571" s="109" t="s">
        <v>238</v>
      </c>
      <c r="L571" s="58">
        <f t="shared" si="56"/>
        <v>550000</v>
      </c>
      <c r="M571" s="150">
        <v>88000.0</v>
      </c>
    </row>
    <row r="572" ht="15.75" customHeight="1">
      <c r="A572" s="118">
        <v>12.0</v>
      </c>
      <c r="B572" s="142">
        <v>45884.0</v>
      </c>
      <c r="C572" s="98" t="s">
        <v>394</v>
      </c>
      <c r="D572" s="98" t="s">
        <v>531</v>
      </c>
      <c r="E572" s="98" t="s">
        <v>534</v>
      </c>
      <c r="F572" s="98" t="s">
        <v>535</v>
      </c>
      <c r="G572" s="151">
        <v>8500.0</v>
      </c>
      <c r="H572" s="150">
        <v>1882146.0</v>
      </c>
      <c r="I572" s="152"/>
      <c r="J572" s="121">
        <v>900000.0</v>
      </c>
      <c r="K572" s="109" t="s">
        <v>238</v>
      </c>
      <c r="L572" s="58">
        <f t="shared" si="56"/>
        <v>982146</v>
      </c>
      <c r="M572" s="150">
        <v>108000.0</v>
      </c>
    </row>
    <row r="573" ht="15.75" customHeight="1">
      <c r="A573" s="118">
        <v>13.0</v>
      </c>
      <c r="B573" s="142">
        <v>45887.0</v>
      </c>
      <c r="C573" s="98" t="s">
        <v>394</v>
      </c>
      <c r="D573" s="98" t="s">
        <v>531</v>
      </c>
      <c r="E573" s="98" t="s">
        <v>320</v>
      </c>
      <c r="F573" s="98" t="s">
        <v>324</v>
      </c>
      <c r="G573" s="151">
        <v>10000.0</v>
      </c>
      <c r="H573" s="150">
        <v>750000.0</v>
      </c>
      <c r="I573" s="108" t="s">
        <v>212</v>
      </c>
      <c r="J573" s="121">
        <v>350000.0</v>
      </c>
      <c r="K573" s="215" t="s">
        <v>212</v>
      </c>
      <c r="L573" s="58">
        <f t="shared" si="56"/>
        <v>400000</v>
      </c>
      <c r="M573" s="150">
        <v>1625000.0</v>
      </c>
    </row>
    <row r="574" ht="15.75" customHeight="1">
      <c r="A574" s="118">
        <v>14.0</v>
      </c>
      <c r="B574" s="142">
        <v>45888.0</v>
      </c>
      <c r="C574" s="98" t="s">
        <v>394</v>
      </c>
      <c r="D574" s="98" t="s">
        <v>531</v>
      </c>
      <c r="E574" s="98" t="s">
        <v>243</v>
      </c>
      <c r="F574" s="98" t="s">
        <v>321</v>
      </c>
      <c r="G574" s="151">
        <v>10000.0</v>
      </c>
      <c r="H574" s="150">
        <v>800000.0</v>
      </c>
      <c r="I574" s="108" t="s">
        <v>212</v>
      </c>
      <c r="J574" s="121">
        <v>425000.0</v>
      </c>
      <c r="K574" s="109" t="s">
        <v>238</v>
      </c>
      <c r="L574" s="58">
        <f t="shared" si="56"/>
        <v>375000</v>
      </c>
      <c r="M574" s="150">
        <v>23000.0</v>
      </c>
    </row>
    <row r="575" ht="15.75" customHeight="1">
      <c r="A575" s="118">
        <v>15.0</v>
      </c>
      <c r="B575" s="142">
        <v>45888.0</v>
      </c>
      <c r="C575" s="98" t="s">
        <v>394</v>
      </c>
      <c r="D575" s="98" t="s">
        <v>531</v>
      </c>
      <c r="E575" s="98" t="s">
        <v>243</v>
      </c>
      <c r="F575" s="98" t="s">
        <v>333</v>
      </c>
      <c r="G575" s="151">
        <v>9000.0</v>
      </c>
      <c r="H575" s="150">
        <v>1350000.0</v>
      </c>
      <c r="I575" s="152"/>
      <c r="J575" s="121">
        <v>850000.0</v>
      </c>
      <c r="K575" s="109" t="s">
        <v>238</v>
      </c>
      <c r="L575" s="58">
        <f t="shared" si="56"/>
        <v>500000</v>
      </c>
      <c r="M575" s="150">
        <v>48000.0</v>
      </c>
    </row>
    <row r="576" ht="15.75" customHeight="1">
      <c r="A576" s="118">
        <v>16.0</v>
      </c>
      <c r="B576" s="142">
        <v>45889.0</v>
      </c>
      <c r="C576" s="98" t="s">
        <v>394</v>
      </c>
      <c r="D576" s="98" t="s">
        <v>531</v>
      </c>
      <c r="E576" s="98" t="s">
        <v>320</v>
      </c>
      <c r="F576" s="98" t="s">
        <v>302</v>
      </c>
      <c r="G576" s="151">
        <v>10000.0</v>
      </c>
      <c r="H576" s="150">
        <v>800000.0</v>
      </c>
      <c r="I576" s="152" t="s">
        <v>238</v>
      </c>
      <c r="J576" s="121">
        <v>375000.0</v>
      </c>
      <c r="K576" s="109" t="s">
        <v>238</v>
      </c>
      <c r="L576" s="58">
        <f t="shared" si="56"/>
        <v>425000</v>
      </c>
      <c r="M576" s="150">
        <v>42000.0</v>
      </c>
    </row>
    <row r="577" ht="15.75" customHeight="1">
      <c r="A577" s="118">
        <v>17.0</v>
      </c>
      <c r="B577" s="142">
        <v>45890.0</v>
      </c>
      <c r="C577" s="98" t="s">
        <v>394</v>
      </c>
      <c r="D577" s="98" t="s">
        <v>531</v>
      </c>
      <c r="E577" s="98" t="s">
        <v>123</v>
      </c>
      <c r="F577" s="98" t="s">
        <v>316</v>
      </c>
      <c r="G577" s="151">
        <v>10000.0</v>
      </c>
      <c r="H577" s="150">
        <v>800000.0</v>
      </c>
      <c r="I577" s="108" t="s">
        <v>212</v>
      </c>
      <c r="J577" s="121">
        <v>375000.0</v>
      </c>
      <c r="K577" s="109" t="s">
        <v>238</v>
      </c>
      <c r="L577" s="58">
        <f t="shared" si="56"/>
        <v>425000</v>
      </c>
      <c r="M577" s="149"/>
    </row>
    <row r="578" ht="15.75" customHeight="1">
      <c r="A578" s="118">
        <v>18.0</v>
      </c>
      <c r="B578" s="142">
        <v>45890.0</v>
      </c>
      <c r="C578" s="98" t="s">
        <v>394</v>
      </c>
      <c r="D578" s="98" t="s">
        <v>531</v>
      </c>
      <c r="E578" s="98" t="s">
        <v>327</v>
      </c>
      <c r="F578" s="98" t="s">
        <v>303</v>
      </c>
      <c r="G578" s="110">
        <v>9000.0</v>
      </c>
      <c r="H578" s="150">
        <v>1215000.0</v>
      </c>
      <c r="I578" s="152" t="s">
        <v>238</v>
      </c>
      <c r="J578" s="121">
        <v>700000.0</v>
      </c>
      <c r="K578" s="109" t="s">
        <v>238</v>
      </c>
      <c r="L578" s="58">
        <f t="shared" si="56"/>
        <v>515000</v>
      </c>
      <c r="M578" s="150">
        <v>84000.0</v>
      </c>
    </row>
    <row r="579" ht="15.75" customHeight="1">
      <c r="A579" s="118">
        <v>19.0</v>
      </c>
      <c r="B579" s="142">
        <v>45891.0</v>
      </c>
      <c r="C579" s="98" t="s">
        <v>394</v>
      </c>
      <c r="D579" s="98" t="s">
        <v>531</v>
      </c>
      <c r="E579" s="98" t="s">
        <v>327</v>
      </c>
      <c r="F579" s="98" t="s">
        <v>328</v>
      </c>
      <c r="G579" s="151">
        <v>10000.0</v>
      </c>
      <c r="H579" s="150">
        <v>1600000.0</v>
      </c>
      <c r="I579" s="184"/>
      <c r="J579" s="121">
        <v>950000.0</v>
      </c>
      <c r="K579" s="109" t="s">
        <v>238</v>
      </c>
      <c r="L579" s="58">
        <f t="shared" si="56"/>
        <v>650000</v>
      </c>
      <c r="M579" s="150"/>
    </row>
    <row r="580" ht="15.75" customHeight="1">
      <c r="A580" s="118">
        <v>20.0</v>
      </c>
      <c r="B580" s="142">
        <v>45896.0</v>
      </c>
      <c r="C580" s="98" t="s">
        <v>394</v>
      </c>
      <c r="D580" s="98" t="s">
        <v>531</v>
      </c>
      <c r="E580" s="98" t="s">
        <v>536</v>
      </c>
      <c r="F580" s="98" t="s">
        <v>336</v>
      </c>
      <c r="G580" s="151">
        <v>6000.0</v>
      </c>
      <c r="H580" s="150">
        <v>1550003.0</v>
      </c>
      <c r="I580" s="184"/>
      <c r="J580" s="121">
        <v>750000.0</v>
      </c>
      <c r="K580" s="109" t="s">
        <v>238</v>
      </c>
      <c r="L580" s="58">
        <f t="shared" si="56"/>
        <v>800003</v>
      </c>
    </row>
    <row r="581" ht="15.75" customHeight="1">
      <c r="A581" s="118">
        <v>21.0</v>
      </c>
      <c r="B581" s="142">
        <v>45897.0</v>
      </c>
      <c r="C581" s="98" t="s">
        <v>394</v>
      </c>
      <c r="D581" s="98" t="s">
        <v>531</v>
      </c>
      <c r="E581" s="98" t="s">
        <v>123</v>
      </c>
      <c r="F581" s="98" t="s">
        <v>316</v>
      </c>
      <c r="G581" s="151">
        <v>10000.0</v>
      </c>
      <c r="H581" s="150">
        <v>800000.0</v>
      </c>
      <c r="I581" s="108" t="s">
        <v>212</v>
      </c>
      <c r="J581" s="121">
        <v>375000.0</v>
      </c>
      <c r="K581" s="109" t="s">
        <v>238</v>
      </c>
      <c r="L581" s="58">
        <f t="shared" si="56"/>
        <v>425000</v>
      </c>
    </row>
    <row r="582" ht="15.75" customHeight="1">
      <c r="A582" s="118">
        <v>22.0</v>
      </c>
      <c r="B582" s="142">
        <v>45898.0</v>
      </c>
      <c r="C582" s="98" t="s">
        <v>394</v>
      </c>
      <c r="D582" s="98" t="s">
        <v>531</v>
      </c>
      <c r="E582" s="98" t="s">
        <v>242</v>
      </c>
      <c r="F582" s="98" t="s">
        <v>348</v>
      </c>
      <c r="G582" s="151">
        <v>10000.0</v>
      </c>
      <c r="H582" s="150">
        <v>1000000.0</v>
      </c>
      <c r="I582" s="184"/>
      <c r="J582" s="121">
        <v>500000.0</v>
      </c>
      <c r="K582" s="109" t="s">
        <v>238</v>
      </c>
      <c r="L582" s="58">
        <f t="shared" si="56"/>
        <v>500000</v>
      </c>
    </row>
    <row r="583" ht="15.75" customHeight="1">
      <c r="A583" s="118">
        <v>23.0</v>
      </c>
      <c r="B583" s="142">
        <v>45899.0</v>
      </c>
      <c r="C583" s="98" t="s">
        <v>394</v>
      </c>
      <c r="D583" s="98" t="s">
        <v>531</v>
      </c>
      <c r="E583" s="98" t="s">
        <v>305</v>
      </c>
      <c r="F583" s="98" t="s">
        <v>295</v>
      </c>
      <c r="G583" s="110">
        <v>9000.0</v>
      </c>
      <c r="H583" s="150">
        <v>1125000.0</v>
      </c>
      <c r="I583" s="221"/>
      <c r="J583" s="150">
        <v>640000.0</v>
      </c>
      <c r="K583" s="109" t="s">
        <v>238</v>
      </c>
      <c r="L583" s="58">
        <f t="shared" si="56"/>
        <v>485000</v>
      </c>
      <c r="M583" s="150">
        <v>93000.0</v>
      </c>
    </row>
    <row r="584" ht="15.75" customHeight="1">
      <c r="L584" s="52">
        <f t="shared" ref="L584:M584" si="57">SUM(L561:L583)</f>
        <v>11912152</v>
      </c>
      <c r="M584" s="30">
        <f t="shared" si="57"/>
        <v>3273000</v>
      </c>
    </row>
    <row r="585" ht="15.75" customHeight="1">
      <c r="L585" s="33">
        <f>L584-M584</f>
        <v>8639152</v>
      </c>
      <c r="M585" s="26"/>
    </row>
    <row r="586" ht="15.75" customHeight="1"/>
    <row r="587" ht="15.75" customHeight="1">
      <c r="A587" s="136" t="s">
        <v>209</v>
      </c>
      <c r="B587" s="136" t="s">
        <v>0</v>
      </c>
      <c r="C587" s="136" t="s">
        <v>1</v>
      </c>
      <c r="D587" s="136" t="s">
        <v>2</v>
      </c>
      <c r="E587" s="137" t="s">
        <v>3</v>
      </c>
      <c r="F587" s="136" t="s">
        <v>4</v>
      </c>
      <c r="G587" s="138" t="s">
        <v>5</v>
      </c>
      <c r="H587" s="139" t="s">
        <v>6</v>
      </c>
      <c r="I587" s="140" t="s">
        <v>39</v>
      </c>
      <c r="J587" s="139" t="s">
        <v>7</v>
      </c>
      <c r="K587" s="138" t="s">
        <v>39</v>
      </c>
      <c r="L587" s="140" t="s">
        <v>8</v>
      </c>
      <c r="M587" s="141" t="s">
        <v>9</v>
      </c>
    </row>
    <row r="588" ht="15.75" customHeight="1">
      <c r="A588" s="17">
        <v>1.0</v>
      </c>
      <c r="B588" s="142">
        <v>45901.0</v>
      </c>
      <c r="C588" s="98" t="s">
        <v>394</v>
      </c>
      <c r="D588" s="98" t="s">
        <v>531</v>
      </c>
      <c r="E588" s="144" t="s">
        <v>320</v>
      </c>
      <c r="F588" s="144" t="s">
        <v>301</v>
      </c>
      <c r="G588" s="148">
        <v>10000.0</v>
      </c>
      <c r="H588" s="107">
        <v>1000000.0</v>
      </c>
      <c r="I588" s="153"/>
      <c r="J588" s="109">
        <v>550000.0</v>
      </c>
      <c r="K588" s="222"/>
      <c r="L588" s="58">
        <f>H588-J588</f>
        <v>450000</v>
      </c>
      <c r="M588" s="147"/>
    </row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B$225:$M$225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16.29"/>
    <col customWidth="1" min="4" max="4" width="12.43"/>
    <col customWidth="1" min="5" max="5" width="18.86"/>
    <col customWidth="1" min="6" max="6" width="31.14"/>
    <col customWidth="1" min="7" max="7" width="15.43"/>
    <col customWidth="1" min="8" max="8" width="17.29"/>
    <col customWidth="1" min="9" max="9" width="8.71"/>
    <col customWidth="1" min="10" max="10" width="17.29"/>
    <col customWidth="1" min="11" max="11" width="10.0"/>
    <col customWidth="1" min="12" max="12" width="16.71"/>
    <col customWidth="1" min="13" max="13" width="15.43"/>
    <col customWidth="1" min="14" max="14" width="8.71"/>
  </cols>
  <sheetData>
    <row r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2" t="s">
        <v>39</v>
      </c>
      <c r="J1" s="120" t="s">
        <v>7</v>
      </c>
      <c r="K1" s="91" t="s">
        <v>39</v>
      </c>
      <c r="L1" s="92" t="s">
        <v>8</v>
      </c>
      <c r="M1" s="119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6"/>
      <c r="B2" s="86">
        <v>45555.0</v>
      </c>
      <c r="C2" s="17"/>
      <c r="D2" s="17"/>
      <c r="E2" s="17"/>
      <c r="F2" s="17"/>
      <c r="G2" s="87"/>
      <c r="H2" s="101"/>
      <c r="I2" s="97"/>
      <c r="J2" s="104"/>
      <c r="K2" s="17"/>
      <c r="L2" s="61"/>
      <c r="M2" s="61">
        <v>261000.0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6"/>
      <c r="B3" s="86">
        <v>45556.0</v>
      </c>
      <c r="C3" s="17" t="s">
        <v>390</v>
      </c>
      <c r="D3" s="17" t="s">
        <v>537</v>
      </c>
      <c r="E3" s="17" t="s">
        <v>37</v>
      </c>
      <c r="F3" s="17" t="s">
        <v>66</v>
      </c>
      <c r="G3" s="87">
        <v>9000.0</v>
      </c>
      <c r="H3" s="101">
        <v>675000.0</v>
      </c>
      <c r="I3" s="97" t="s">
        <v>42</v>
      </c>
      <c r="J3" s="104">
        <v>350000.0</v>
      </c>
      <c r="K3" s="17" t="s">
        <v>42</v>
      </c>
      <c r="L3" s="61">
        <f t="shared" ref="L3:L5" si="1">H3-J3</f>
        <v>325000</v>
      </c>
      <c r="M3" s="6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6"/>
      <c r="B4" s="86">
        <v>45556.0</v>
      </c>
      <c r="C4" s="17" t="s">
        <v>390</v>
      </c>
      <c r="D4" s="17" t="s">
        <v>537</v>
      </c>
      <c r="E4" s="17" t="s">
        <v>30</v>
      </c>
      <c r="F4" s="17" t="s">
        <v>382</v>
      </c>
      <c r="G4" s="87">
        <v>9000.0</v>
      </c>
      <c r="H4" s="104">
        <v>1440000.0</v>
      </c>
      <c r="I4" s="97" t="s">
        <v>44</v>
      </c>
      <c r="J4" s="104">
        <v>900000.0</v>
      </c>
      <c r="K4" s="17" t="s">
        <v>42</v>
      </c>
      <c r="L4" s="61">
        <f t="shared" si="1"/>
        <v>540000</v>
      </c>
      <c r="M4" s="61">
        <v>150000.0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6"/>
      <c r="B5" s="86">
        <v>45558.0</v>
      </c>
      <c r="C5" s="17" t="s">
        <v>390</v>
      </c>
      <c r="D5" s="17" t="s">
        <v>537</v>
      </c>
      <c r="E5" s="17" t="s">
        <v>37</v>
      </c>
      <c r="F5" s="17" t="s">
        <v>43</v>
      </c>
      <c r="G5" s="87">
        <v>10000.0</v>
      </c>
      <c r="H5" s="104">
        <v>1500000.0</v>
      </c>
      <c r="I5" s="97" t="s">
        <v>44</v>
      </c>
      <c r="J5" s="104">
        <v>850000.0</v>
      </c>
      <c r="K5" s="17" t="s">
        <v>42</v>
      </c>
      <c r="L5" s="61">
        <f t="shared" si="1"/>
        <v>650000</v>
      </c>
      <c r="M5" s="6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6"/>
      <c r="B6" s="86">
        <v>45559.0</v>
      </c>
      <c r="C6" s="17" t="s">
        <v>390</v>
      </c>
      <c r="D6" s="17" t="s">
        <v>537</v>
      </c>
      <c r="E6" s="17"/>
      <c r="F6" s="17"/>
      <c r="G6" s="57"/>
      <c r="H6" s="104"/>
      <c r="I6" s="97"/>
      <c r="J6" s="104"/>
      <c r="K6" s="17"/>
      <c r="L6" s="61"/>
      <c r="M6" s="61">
        <v>3259000.0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6"/>
      <c r="B7" s="86">
        <v>45561.0</v>
      </c>
      <c r="C7" s="17" t="s">
        <v>390</v>
      </c>
      <c r="D7" s="17" t="s">
        <v>537</v>
      </c>
      <c r="E7" s="17" t="s">
        <v>538</v>
      </c>
      <c r="F7" s="17" t="s">
        <v>142</v>
      </c>
      <c r="G7" s="57">
        <v>8000.0</v>
      </c>
      <c r="H7" s="104">
        <v>1500000.0</v>
      </c>
      <c r="I7" s="97" t="s">
        <v>44</v>
      </c>
      <c r="J7" s="104">
        <v>900000.0</v>
      </c>
      <c r="K7" s="17" t="s">
        <v>42</v>
      </c>
      <c r="L7" s="61">
        <f t="shared" ref="L7:L10" si="2">H7-J7</f>
        <v>600000</v>
      </c>
      <c r="M7" s="61">
        <v>200000.0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6"/>
      <c r="B8" s="86">
        <v>45562.0</v>
      </c>
      <c r="C8" s="17" t="s">
        <v>390</v>
      </c>
      <c r="D8" s="17" t="s">
        <v>537</v>
      </c>
      <c r="E8" s="17" t="s">
        <v>40</v>
      </c>
      <c r="F8" s="17" t="s">
        <v>197</v>
      </c>
      <c r="G8" s="87">
        <v>10000.0</v>
      </c>
      <c r="H8" s="101">
        <v>1500000.0</v>
      </c>
      <c r="I8" s="59" t="s">
        <v>44</v>
      </c>
      <c r="J8" s="105">
        <v>750000.0</v>
      </c>
      <c r="K8" s="17" t="s">
        <v>44</v>
      </c>
      <c r="L8" s="61">
        <f t="shared" si="2"/>
        <v>750000</v>
      </c>
      <c r="M8" s="6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6"/>
      <c r="B9" s="86">
        <v>45563.0</v>
      </c>
      <c r="C9" s="17" t="s">
        <v>390</v>
      </c>
      <c r="D9" s="17" t="s">
        <v>537</v>
      </c>
      <c r="E9" s="17" t="s">
        <v>40</v>
      </c>
      <c r="F9" s="200" t="s">
        <v>43</v>
      </c>
      <c r="G9" s="87">
        <v>10000.0</v>
      </c>
      <c r="H9" s="104">
        <v>1500000.0</v>
      </c>
      <c r="I9" s="59" t="s">
        <v>44</v>
      </c>
      <c r="J9" s="104">
        <v>850000.0</v>
      </c>
      <c r="K9" s="17" t="s">
        <v>44</v>
      </c>
      <c r="L9" s="61">
        <f t="shared" si="2"/>
        <v>650000</v>
      </c>
      <c r="M9" s="61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6"/>
      <c r="B10" s="86">
        <v>45565.0</v>
      </c>
      <c r="C10" s="17" t="s">
        <v>390</v>
      </c>
      <c r="D10" s="17" t="s">
        <v>537</v>
      </c>
      <c r="E10" s="17" t="s">
        <v>30</v>
      </c>
      <c r="F10" s="17" t="s">
        <v>491</v>
      </c>
      <c r="G10" s="87">
        <v>9000.0</v>
      </c>
      <c r="H10" s="223">
        <v>765000.0</v>
      </c>
      <c r="I10" s="224" t="s">
        <v>44</v>
      </c>
      <c r="J10" s="225">
        <v>450000.0</v>
      </c>
      <c r="K10" s="17" t="s">
        <v>42</v>
      </c>
      <c r="L10" s="61">
        <f t="shared" si="2"/>
        <v>315000</v>
      </c>
      <c r="M10" s="61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/>
      <c r="B11" s="17"/>
      <c r="C11" s="17"/>
      <c r="D11" s="17"/>
      <c r="E11" s="17"/>
      <c r="F11" s="17"/>
      <c r="G11" s="87"/>
      <c r="H11" s="104"/>
      <c r="I11" s="97"/>
      <c r="J11" s="104"/>
      <c r="K11" s="17"/>
      <c r="L11" s="52">
        <f>SUM(L3:L10)</f>
        <v>3830000</v>
      </c>
      <c r="M11" s="30">
        <f>SUM(M2:M10)</f>
        <v>3870000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/>
      <c r="B12" s="7"/>
      <c r="C12" s="7"/>
      <c r="D12" s="7"/>
      <c r="E12" s="17"/>
      <c r="F12" s="17"/>
      <c r="G12" s="57"/>
      <c r="H12" s="104"/>
      <c r="I12" s="97"/>
      <c r="J12" s="104"/>
      <c r="K12" s="17"/>
      <c r="L12" s="226">
        <f>L11-M11</f>
        <v>-40000</v>
      </c>
      <c r="M12" s="61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/>
      <c r="B13" s="7"/>
      <c r="C13" s="7"/>
      <c r="D13" s="7"/>
      <c r="E13" s="17"/>
      <c r="F13" s="17"/>
      <c r="G13" s="57"/>
      <c r="H13" s="104"/>
      <c r="I13" s="97"/>
      <c r="J13" s="104"/>
      <c r="K13" s="17"/>
      <c r="L13" s="7"/>
      <c r="M13" s="61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7"/>
      <c r="B14" s="7"/>
      <c r="C14" s="7"/>
      <c r="D14" s="7"/>
      <c r="E14" s="17"/>
      <c r="F14" s="17"/>
      <c r="G14" s="57"/>
      <c r="H14" s="104"/>
      <c r="I14" s="97"/>
      <c r="J14" s="104"/>
      <c r="K14" s="17"/>
      <c r="L14" s="7"/>
      <c r="M14" s="61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/>
      <c r="B15" s="7"/>
      <c r="C15" s="7"/>
      <c r="D15" s="7"/>
      <c r="E15" s="17"/>
      <c r="F15" s="17"/>
      <c r="G15" s="57"/>
      <c r="H15" s="104"/>
      <c r="I15" s="97"/>
      <c r="J15" s="104"/>
      <c r="K15" s="17"/>
      <c r="L15" s="7"/>
      <c r="M15" s="6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/>
      <c r="B16" s="7"/>
      <c r="C16" s="7"/>
      <c r="D16" s="7"/>
      <c r="E16" s="17"/>
      <c r="F16" s="17"/>
      <c r="G16" s="57"/>
      <c r="H16" s="104"/>
      <c r="I16" s="97"/>
      <c r="J16" s="104"/>
      <c r="K16" s="17"/>
      <c r="L16" s="7"/>
      <c r="M16" s="61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9"/>
      <c r="B17" s="89" t="s">
        <v>0</v>
      </c>
      <c r="C17" s="89" t="s">
        <v>1</v>
      </c>
      <c r="D17" s="89" t="s">
        <v>2</v>
      </c>
      <c r="E17" s="90" t="s">
        <v>3</v>
      </c>
      <c r="F17" s="89" t="s">
        <v>4</v>
      </c>
      <c r="G17" s="91" t="s">
        <v>5</v>
      </c>
      <c r="H17" s="120" t="s">
        <v>6</v>
      </c>
      <c r="I17" s="92" t="s">
        <v>39</v>
      </c>
      <c r="J17" s="120" t="s">
        <v>7</v>
      </c>
      <c r="K17" s="91" t="s">
        <v>39</v>
      </c>
      <c r="L17" s="92" t="s">
        <v>8</v>
      </c>
      <c r="M17" s="119" t="s">
        <v>9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6"/>
      <c r="B18" s="86">
        <v>45566.0</v>
      </c>
      <c r="C18" s="17" t="s">
        <v>390</v>
      </c>
      <c r="D18" s="17" t="s">
        <v>537</v>
      </c>
      <c r="E18" s="17" t="s">
        <v>30</v>
      </c>
      <c r="F18" s="17" t="s">
        <v>198</v>
      </c>
      <c r="G18" s="87">
        <v>9000.0</v>
      </c>
      <c r="H18" s="58">
        <v>1215000.0</v>
      </c>
      <c r="I18" s="97" t="s">
        <v>42</v>
      </c>
      <c r="J18" s="104">
        <v>700000.0</v>
      </c>
      <c r="K18" s="17" t="s">
        <v>42</v>
      </c>
      <c r="L18" s="61">
        <f t="shared" ref="L18:L40" si="3">H18-J18</f>
        <v>515000</v>
      </c>
      <c r="M18" s="6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6"/>
      <c r="B19" s="86">
        <v>45567.0</v>
      </c>
      <c r="C19" s="17" t="s">
        <v>390</v>
      </c>
      <c r="D19" s="17" t="s">
        <v>537</v>
      </c>
      <c r="E19" s="17" t="s">
        <v>71</v>
      </c>
      <c r="F19" s="17" t="s">
        <v>498</v>
      </c>
      <c r="G19" s="57">
        <v>8500.0</v>
      </c>
      <c r="H19" s="104">
        <v>1200000.0</v>
      </c>
      <c r="I19" s="97" t="s">
        <v>42</v>
      </c>
      <c r="J19" s="104">
        <v>640000.0</v>
      </c>
      <c r="K19" s="17" t="s">
        <v>42</v>
      </c>
      <c r="L19" s="61">
        <f t="shared" si="3"/>
        <v>560000</v>
      </c>
      <c r="M19" s="6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6"/>
      <c r="B20" s="86">
        <v>45568.0</v>
      </c>
      <c r="C20" s="17" t="s">
        <v>390</v>
      </c>
      <c r="D20" s="17" t="s">
        <v>537</v>
      </c>
      <c r="E20" s="17" t="s">
        <v>40</v>
      </c>
      <c r="F20" s="17" t="s">
        <v>539</v>
      </c>
      <c r="G20" s="57">
        <v>8000.0</v>
      </c>
      <c r="H20" s="100">
        <v>800000.0</v>
      </c>
      <c r="I20" s="227" t="s">
        <v>42</v>
      </c>
      <c r="J20" s="100">
        <v>400000.0</v>
      </c>
      <c r="K20" s="17" t="s">
        <v>42</v>
      </c>
      <c r="L20" s="100">
        <f t="shared" si="3"/>
        <v>400000</v>
      </c>
      <c r="M20" s="61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6"/>
      <c r="B21" s="86">
        <v>45568.0</v>
      </c>
      <c r="C21" s="17" t="s">
        <v>390</v>
      </c>
      <c r="D21" s="17" t="s">
        <v>537</v>
      </c>
      <c r="E21" s="17" t="s">
        <v>37</v>
      </c>
      <c r="F21" s="17" t="s">
        <v>175</v>
      </c>
      <c r="G21" s="87">
        <v>9000.0</v>
      </c>
      <c r="H21" s="58">
        <v>1100000.0</v>
      </c>
      <c r="I21" s="227" t="s">
        <v>42</v>
      </c>
      <c r="J21" s="58">
        <v>650000.0</v>
      </c>
      <c r="K21" s="17" t="s">
        <v>42</v>
      </c>
      <c r="L21" s="58">
        <f t="shared" si="3"/>
        <v>450000</v>
      </c>
      <c r="M21" s="61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6"/>
      <c r="B22" s="86">
        <v>45569.0</v>
      </c>
      <c r="C22" s="17" t="s">
        <v>390</v>
      </c>
      <c r="D22" s="17" t="s">
        <v>537</v>
      </c>
      <c r="E22" s="17" t="s">
        <v>30</v>
      </c>
      <c r="F22" s="17" t="s">
        <v>540</v>
      </c>
      <c r="G22" s="57">
        <v>9000.0</v>
      </c>
      <c r="H22" s="104">
        <v>900000.0</v>
      </c>
      <c r="I22" s="227" t="s">
        <v>42</v>
      </c>
      <c r="J22" s="104">
        <v>500000.0</v>
      </c>
      <c r="K22" s="17" t="s">
        <v>42</v>
      </c>
      <c r="L22" s="58">
        <f t="shared" si="3"/>
        <v>400000</v>
      </c>
      <c r="M22" s="61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6"/>
      <c r="B23" s="86">
        <v>45570.0</v>
      </c>
      <c r="C23" s="17" t="s">
        <v>390</v>
      </c>
      <c r="D23" s="17" t="s">
        <v>537</v>
      </c>
      <c r="E23" s="17" t="s">
        <v>40</v>
      </c>
      <c r="F23" s="17" t="s">
        <v>502</v>
      </c>
      <c r="G23" s="57">
        <v>9000.0</v>
      </c>
      <c r="H23" s="104">
        <v>1125000.0</v>
      </c>
      <c r="I23" s="227" t="s">
        <v>42</v>
      </c>
      <c r="J23" s="104">
        <v>640000.0</v>
      </c>
      <c r="K23" s="17" t="s">
        <v>42</v>
      </c>
      <c r="L23" s="58">
        <f t="shared" si="3"/>
        <v>485000</v>
      </c>
      <c r="M23" s="61">
        <v>1400000.0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6"/>
      <c r="B24" s="86">
        <v>45574.0</v>
      </c>
      <c r="C24" s="17" t="s">
        <v>390</v>
      </c>
      <c r="D24" s="17" t="s">
        <v>537</v>
      </c>
      <c r="E24" s="17" t="s">
        <v>71</v>
      </c>
      <c r="F24" s="17" t="s">
        <v>498</v>
      </c>
      <c r="G24" s="57">
        <v>8500.0</v>
      </c>
      <c r="H24" s="104">
        <v>1200000.0</v>
      </c>
      <c r="I24" s="97" t="s">
        <v>42</v>
      </c>
      <c r="J24" s="104">
        <v>640000.0</v>
      </c>
      <c r="K24" s="17" t="s">
        <v>42</v>
      </c>
      <c r="L24" s="61">
        <f t="shared" si="3"/>
        <v>560000</v>
      </c>
      <c r="M24" s="61">
        <v>325000.0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6"/>
      <c r="B25" s="86">
        <v>45575.0</v>
      </c>
      <c r="C25" s="17" t="s">
        <v>390</v>
      </c>
      <c r="D25" s="17" t="s">
        <v>537</v>
      </c>
      <c r="E25" s="17" t="s">
        <v>40</v>
      </c>
      <c r="F25" s="17" t="s">
        <v>541</v>
      </c>
      <c r="G25" s="57">
        <v>10000.0</v>
      </c>
      <c r="H25" s="104">
        <v>1500000.0</v>
      </c>
      <c r="I25" s="97" t="s">
        <v>44</v>
      </c>
      <c r="J25" s="104">
        <v>850000.0</v>
      </c>
      <c r="K25" s="17" t="s">
        <v>42</v>
      </c>
      <c r="L25" s="58">
        <f t="shared" si="3"/>
        <v>650000</v>
      </c>
      <c r="M25" s="61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6"/>
      <c r="B26" s="86">
        <v>45576.0</v>
      </c>
      <c r="C26" s="17" t="s">
        <v>390</v>
      </c>
      <c r="D26" s="17" t="s">
        <v>537</v>
      </c>
      <c r="E26" s="17" t="s">
        <v>37</v>
      </c>
      <c r="F26" s="17" t="s">
        <v>542</v>
      </c>
      <c r="G26" s="57">
        <v>9000.0</v>
      </c>
      <c r="H26" s="61">
        <v>810000.0</v>
      </c>
      <c r="I26" s="97" t="s">
        <v>44</v>
      </c>
      <c r="J26" s="61">
        <v>450000.0</v>
      </c>
      <c r="K26" s="199" t="s">
        <v>44</v>
      </c>
      <c r="L26" s="100">
        <f t="shared" si="3"/>
        <v>360000</v>
      </c>
      <c r="M26" s="61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6"/>
      <c r="B27" s="86">
        <v>45577.0</v>
      </c>
      <c r="C27" s="17" t="s">
        <v>390</v>
      </c>
      <c r="D27" s="17" t="s">
        <v>537</v>
      </c>
      <c r="E27" s="17" t="s">
        <v>40</v>
      </c>
      <c r="F27" s="17" t="s">
        <v>266</v>
      </c>
      <c r="G27" s="57">
        <v>9000.0</v>
      </c>
      <c r="H27" s="104">
        <v>720000.0</v>
      </c>
      <c r="I27" s="103" t="s">
        <v>42</v>
      </c>
      <c r="J27" s="104">
        <v>400000.0</v>
      </c>
      <c r="K27" s="17" t="s">
        <v>42</v>
      </c>
      <c r="L27" s="58">
        <f t="shared" si="3"/>
        <v>320000</v>
      </c>
      <c r="M27" s="61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6"/>
      <c r="B28" s="86">
        <v>45581.0</v>
      </c>
      <c r="C28" s="17" t="s">
        <v>390</v>
      </c>
      <c r="D28" s="17" t="s">
        <v>537</v>
      </c>
      <c r="E28" s="17" t="s">
        <v>30</v>
      </c>
      <c r="F28" s="17" t="s">
        <v>382</v>
      </c>
      <c r="G28" s="57">
        <v>10000.0</v>
      </c>
      <c r="H28" s="58">
        <v>1600000.0</v>
      </c>
      <c r="I28" s="59" t="s">
        <v>44</v>
      </c>
      <c r="J28" s="60">
        <v>975000.0</v>
      </c>
      <c r="K28" s="17" t="s">
        <v>42</v>
      </c>
      <c r="L28" s="58">
        <f t="shared" si="3"/>
        <v>625000</v>
      </c>
      <c r="M28" s="61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6"/>
      <c r="B29" s="86">
        <v>45582.0</v>
      </c>
      <c r="C29" s="17" t="s">
        <v>390</v>
      </c>
      <c r="D29" s="17" t="s">
        <v>537</v>
      </c>
      <c r="E29" s="17" t="s">
        <v>37</v>
      </c>
      <c r="F29" s="17" t="s">
        <v>36</v>
      </c>
      <c r="G29" s="57">
        <v>10000.0</v>
      </c>
      <c r="H29" s="101">
        <v>1500000.0</v>
      </c>
      <c r="I29" s="59" t="s">
        <v>44</v>
      </c>
      <c r="J29" s="101">
        <v>850000.0</v>
      </c>
      <c r="K29" s="17" t="s">
        <v>44</v>
      </c>
      <c r="L29" s="58">
        <f t="shared" si="3"/>
        <v>650000</v>
      </c>
      <c r="M29" s="61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6"/>
      <c r="B30" s="86">
        <v>45584.0</v>
      </c>
      <c r="C30" s="17" t="s">
        <v>390</v>
      </c>
      <c r="D30" s="17" t="s">
        <v>537</v>
      </c>
      <c r="E30" s="17" t="s">
        <v>37</v>
      </c>
      <c r="F30" s="17" t="s">
        <v>36</v>
      </c>
      <c r="G30" s="57">
        <v>10000.0</v>
      </c>
      <c r="H30" s="101">
        <v>1500000.0</v>
      </c>
      <c r="I30" s="59" t="s">
        <v>44</v>
      </c>
      <c r="J30" s="101">
        <v>850000.0</v>
      </c>
      <c r="K30" s="17" t="s">
        <v>42</v>
      </c>
      <c r="L30" s="58">
        <f t="shared" si="3"/>
        <v>650000</v>
      </c>
      <c r="M30" s="61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6"/>
      <c r="B31" s="86">
        <v>45586.0</v>
      </c>
      <c r="C31" s="17" t="s">
        <v>390</v>
      </c>
      <c r="D31" s="17" t="s">
        <v>537</v>
      </c>
      <c r="E31" s="17" t="s">
        <v>71</v>
      </c>
      <c r="F31" s="17" t="s">
        <v>498</v>
      </c>
      <c r="G31" s="57">
        <v>8500.0</v>
      </c>
      <c r="H31" s="104">
        <v>1200000.0</v>
      </c>
      <c r="I31" s="103" t="s">
        <v>42</v>
      </c>
      <c r="J31" s="104">
        <v>640000.0</v>
      </c>
      <c r="K31" s="17" t="s">
        <v>42</v>
      </c>
      <c r="L31" s="58">
        <f t="shared" si="3"/>
        <v>560000</v>
      </c>
      <c r="M31" s="61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6"/>
      <c r="B32" s="86">
        <v>45587.0</v>
      </c>
      <c r="C32" s="17" t="s">
        <v>390</v>
      </c>
      <c r="D32" s="17" t="s">
        <v>537</v>
      </c>
      <c r="E32" s="17" t="s">
        <v>37</v>
      </c>
      <c r="F32" s="17" t="s">
        <v>474</v>
      </c>
      <c r="G32" s="57">
        <v>9000.0</v>
      </c>
      <c r="H32" s="61">
        <v>675000.0</v>
      </c>
      <c r="I32" s="103" t="s">
        <v>42</v>
      </c>
      <c r="J32" s="104">
        <v>350000.0</v>
      </c>
      <c r="K32" s="17" t="s">
        <v>42</v>
      </c>
      <c r="L32" s="58">
        <f t="shared" si="3"/>
        <v>325000</v>
      </c>
      <c r="M32" s="61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6"/>
      <c r="B33" s="86">
        <v>45588.0</v>
      </c>
      <c r="C33" s="17" t="s">
        <v>390</v>
      </c>
      <c r="D33" s="17" t="s">
        <v>537</v>
      </c>
      <c r="E33" s="17" t="s">
        <v>30</v>
      </c>
      <c r="F33" s="17" t="s">
        <v>198</v>
      </c>
      <c r="G33" s="57">
        <v>9000.0</v>
      </c>
      <c r="H33" s="104">
        <v>1200000.0</v>
      </c>
      <c r="I33" s="97" t="s">
        <v>44</v>
      </c>
      <c r="J33" s="104">
        <v>700000.0</v>
      </c>
      <c r="K33" s="17" t="s">
        <v>42</v>
      </c>
      <c r="L33" s="58">
        <f t="shared" si="3"/>
        <v>500000</v>
      </c>
      <c r="M33" s="61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6"/>
      <c r="B34" s="86">
        <v>45589.0</v>
      </c>
      <c r="C34" s="17" t="s">
        <v>390</v>
      </c>
      <c r="D34" s="17" t="s">
        <v>537</v>
      </c>
      <c r="E34" s="17" t="s">
        <v>123</v>
      </c>
      <c r="F34" s="17" t="s">
        <v>543</v>
      </c>
      <c r="G34" s="87">
        <v>9000.0</v>
      </c>
      <c r="H34" s="101">
        <v>720000.0</v>
      </c>
      <c r="I34" s="97" t="s">
        <v>42</v>
      </c>
      <c r="J34" s="101">
        <v>350000.0</v>
      </c>
      <c r="K34" s="17" t="s">
        <v>42</v>
      </c>
      <c r="L34" s="58">
        <f t="shared" si="3"/>
        <v>370000</v>
      </c>
      <c r="M34" s="61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6"/>
      <c r="B35" s="86">
        <v>45590.0</v>
      </c>
      <c r="C35" s="17" t="s">
        <v>390</v>
      </c>
      <c r="D35" s="17" t="s">
        <v>537</v>
      </c>
      <c r="E35" s="17" t="s">
        <v>37</v>
      </c>
      <c r="F35" s="17" t="s">
        <v>54</v>
      </c>
      <c r="G35" s="87">
        <v>9000.0</v>
      </c>
      <c r="H35" s="104">
        <v>1200000.0</v>
      </c>
      <c r="I35" s="97" t="s">
        <v>42</v>
      </c>
      <c r="J35" s="101">
        <v>640000.0</v>
      </c>
      <c r="K35" s="17" t="s">
        <v>42</v>
      </c>
      <c r="L35" s="58">
        <f t="shared" si="3"/>
        <v>560000</v>
      </c>
      <c r="M35" s="61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6"/>
      <c r="B36" s="86">
        <v>45591.0</v>
      </c>
      <c r="C36" s="17" t="s">
        <v>390</v>
      </c>
      <c r="D36" s="17" t="s">
        <v>537</v>
      </c>
      <c r="E36" s="17" t="s">
        <v>40</v>
      </c>
      <c r="F36" s="17" t="s">
        <v>544</v>
      </c>
      <c r="G36" s="57">
        <v>6000.0</v>
      </c>
      <c r="H36" s="104">
        <v>600000.0</v>
      </c>
      <c r="I36" s="97" t="s">
        <v>42</v>
      </c>
      <c r="J36" s="104">
        <v>300000.0</v>
      </c>
      <c r="K36" s="17" t="s">
        <v>42</v>
      </c>
      <c r="L36" s="58">
        <f t="shared" si="3"/>
        <v>300000</v>
      </c>
      <c r="M36" s="61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6"/>
      <c r="B37" s="86">
        <v>45593.0</v>
      </c>
      <c r="C37" s="17" t="s">
        <v>65</v>
      </c>
      <c r="D37" s="17" t="s">
        <v>537</v>
      </c>
      <c r="E37" s="17" t="s">
        <v>40</v>
      </c>
      <c r="F37" s="17" t="s">
        <v>545</v>
      </c>
      <c r="G37" s="87">
        <v>10000.0</v>
      </c>
      <c r="H37" s="104">
        <v>1100000.0</v>
      </c>
      <c r="I37" s="96" t="s">
        <v>44</v>
      </c>
      <c r="J37" s="104">
        <v>600000.0</v>
      </c>
      <c r="K37" s="17" t="s">
        <v>42</v>
      </c>
      <c r="L37" s="58">
        <f t="shared" si="3"/>
        <v>500000</v>
      </c>
      <c r="M37" s="61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6"/>
      <c r="B38" s="86">
        <v>45594.0</v>
      </c>
      <c r="C38" s="17" t="s">
        <v>65</v>
      </c>
      <c r="D38" s="17" t="s">
        <v>537</v>
      </c>
      <c r="E38" s="17" t="s">
        <v>40</v>
      </c>
      <c r="F38" s="17" t="s">
        <v>103</v>
      </c>
      <c r="G38" s="57">
        <v>10000.0</v>
      </c>
      <c r="H38" s="61">
        <v>750000.0</v>
      </c>
      <c r="I38" s="96" t="s">
        <v>44</v>
      </c>
      <c r="J38" s="101">
        <v>425000.0</v>
      </c>
      <c r="K38" s="17" t="s">
        <v>44</v>
      </c>
      <c r="L38" s="58">
        <f t="shared" si="3"/>
        <v>325000</v>
      </c>
      <c r="M38" s="61">
        <v>250000.0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6"/>
      <c r="B39" s="86">
        <v>45595.0</v>
      </c>
      <c r="C39" s="17" t="s">
        <v>65</v>
      </c>
      <c r="D39" s="17" t="s">
        <v>537</v>
      </c>
      <c r="E39" s="17" t="s">
        <v>546</v>
      </c>
      <c r="F39" s="17" t="s">
        <v>205</v>
      </c>
      <c r="G39" s="57">
        <v>9000.0</v>
      </c>
      <c r="H39" s="104">
        <v>1125000.0</v>
      </c>
      <c r="I39" s="59" t="s">
        <v>42</v>
      </c>
      <c r="J39" s="104">
        <v>640000.0</v>
      </c>
      <c r="K39" s="17" t="s">
        <v>42</v>
      </c>
      <c r="L39" s="58">
        <f t="shared" si="3"/>
        <v>485000</v>
      </c>
      <c r="M39" s="61">
        <v>30000.0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6"/>
      <c r="B40" s="86">
        <v>45596.0</v>
      </c>
      <c r="C40" s="17" t="s">
        <v>65</v>
      </c>
      <c r="D40" s="17" t="s">
        <v>537</v>
      </c>
      <c r="E40" s="17" t="s">
        <v>499</v>
      </c>
      <c r="F40" s="17" t="s">
        <v>500</v>
      </c>
      <c r="G40" s="57">
        <v>10000.0</v>
      </c>
      <c r="H40" s="58"/>
      <c r="I40" s="59"/>
      <c r="J40" s="101">
        <v>1035000.0</v>
      </c>
      <c r="K40" s="17" t="s">
        <v>42</v>
      </c>
      <c r="L40" s="58">
        <f t="shared" si="3"/>
        <v>-1035000</v>
      </c>
      <c r="M40" s="61">
        <v>1050000.0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7"/>
      <c r="B41" s="7"/>
      <c r="C41" s="7"/>
      <c r="D41" s="7"/>
      <c r="E41" s="17"/>
      <c r="F41" s="17"/>
      <c r="G41" s="57"/>
      <c r="H41" s="104"/>
      <c r="I41" s="97"/>
      <c r="J41" s="104"/>
      <c r="K41" s="17"/>
      <c r="L41" s="52">
        <f t="shared" ref="L41:M41" si="4">SUM(L18:L40)</f>
        <v>9515000</v>
      </c>
      <c r="M41" s="30">
        <f t="shared" si="4"/>
        <v>3055000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7"/>
      <c r="B42" s="7"/>
      <c r="C42" s="7"/>
      <c r="D42" s="7"/>
      <c r="E42" s="17"/>
      <c r="F42" s="17"/>
      <c r="G42" s="57"/>
      <c r="H42" s="104"/>
      <c r="I42" s="97"/>
      <c r="J42" s="104"/>
      <c r="K42" s="17"/>
      <c r="L42" s="226">
        <f>L41-M41</f>
        <v>6460000</v>
      </c>
      <c r="M42" s="61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7"/>
      <c r="B43" s="7"/>
      <c r="C43" s="7"/>
      <c r="D43" s="7"/>
      <c r="E43" s="17"/>
      <c r="F43" s="17"/>
      <c r="G43" s="57"/>
      <c r="H43" s="104"/>
      <c r="I43" s="97"/>
      <c r="J43" s="104"/>
      <c r="K43" s="17"/>
      <c r="L43" s="7"/>
      <c r="M43" s="61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9" t="s">
        <v>209</v>
      </c>
      <c r="B44" s="89" t="s">
        <v>0</v>
      </c>
      <c r="C44" s="89" t="s">
        <v>1</v>
      </c>
      <c r="D44" s="89" t="s">
        <v>2</v>
      </c>
      <c r="E44" s="90" t="s">
        <v>3</v>
      </c>
      <c r="F44" s="89" t="s">
        <v>4</v>
      </c>
      <c r="G44" s="91" t="s">
        <v>5</v>
      </c>
      <c r="H44" s="120" t="s">
        <v>6</v>
      </c>
      <c r="I44" s="92" t="s">
        <v>39</v>
      </c>
      <c r="J44" s="120" t="s">
        <v>7</v>
      </c>
      <c r="K44" s="91" t="s">
        <v>39</v>
      </c>
      <c r="L44" s="92" t="s">
        <v>8</v>
      </c>
      <c r="M44" s="119" t="s">
        <v>9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7">
        <v>1.0</v>
      </c>
      <c r="B45" s="86">
        <v>45600.0</v>
      </c>
      <c r="C45" s="17" t="s">
        <v>65</v>
      </c>
      <c r="D45" s="17" t="s">
        <v>537</v>
      </c>
      <c r="E45" s="17" t="s">
        <v>40</v>
      </c>
      <c r="F45" s="17" t="s">
        <v>541</v>
      </c>
      <c r="G45" s="57">
        <v>10000.0</v>
      </c>
      <c r="H45" s="104">
        <v>1500000.0</v>
      </c>
      <c r="I45" s="96" t="s">
        <v>44</v>
      </c>
      <c r="J45" s="104">
        <v>850000.0</v>
      </c>
      <c r="K45" s="17" t="s">
        <v>42</v>
      </c>
      <c r="L45" s="58">
        <f t="shared" ref="L45:L64" si="5">H45-J45</f>
        <v>650000</v>
      </c>
      <c r="M45" s="61">
        <v>60000.0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7">
        <v>2.0</v>
      </c>
      <c r="B46" s="86">
        <v>45601.0</v>
      </c>
      <c r="C46" s="17" t="s">
        <v>65</v>
      </c>
      <c r="D46" s="17" t="s">
        <v>537</v>
      </c>
      <c r="E46" s="17" t="s">
        <v>273</v>
      </c>
      <c r="F46" s="17" t="s">
        <v>547</v>
      </c>
      <c r="G46" s="87">
        <v>9000.0</v>
      </c>
      <c r="H46" s="58">
        <v>1200000.0</v>
      </c>
      <c r="I46" s="59" t="s">
        <v>42</v>
      </c>
      <c r="J46" s="58">
        <v>690000.0</v>
      </c>
      <c r="K46" s="17" t="s">
        <v>44</v>
      </c>
      <c r="L46" s="58">
        <f t="shared" si="5"/>
        <v>510000</v>
      </c>
      <c r="M46" s="61"/>
      <c r="N46" s="7" t="s">
        <v>548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7">
        <v>3.0</v>
      </c>
      <c r="B47" s="86">
        <v>45602.0</v>
      </c>
      <c r="C47" s="17" t="s">
        <v>65</v>
      </c>
      <c r="D47" s="17" t="s">
        <v>537</v>
      </c>
      <c r="E47" s="17" t="s">
        <v>37</v>
      </c>
      <c r="F47" s="17" t="s">
        <v>541</v>
      </c>
      <c r="G47" s="57">
        <v>10000.0</v>
      </c>
      <c r="H47" s="104">
        <v>1500000.0</v>
      </c>
      <c r="I47" s="97" t="s">
        <v>44</v>
      </c>
      <c r="J47" s="104">
        <v>850000.0</v>
      </c>
      <c r="K47" s="17" t="s">
        <v>42</v>
      </c>
      <c r="L47" s="58">
        <f t="shared" si="5"/>
        <v>650000</v>
      </c>
      <c r="M47" s="61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7">
        <v>4.0</v>
      </c>
      <c r="B48" s="86">
        <v>45603.0</v>
      </c>
      <c r="C48" s="17" t="s">
        <v>65</v>
      </c>
      <c r="D48" s="17" t="s">
        <v>537</v>
      </c>
      <c r="E48" s="17" t="s">
        <v>30</v>
      </c>
      <c r="F48" s="17" t="s">
        <v>549</v>
      </c>
      <c r="G48" s="57">
        <v>9000.0</v>
      </c>
      <c r="H48" s="61">
        <v>1305000.0</v>
      </c>
      <c r="I48" s="97" t="s">
        <v>44</v>
      </c>
      <c r="J48" s="61">
        <v>725000.0</v>
      </c>
      <c r="K48" s="17" t="s">
        <v>42</v>
      </c>
      <c r="L48" s="58">
        <f t="shared" si="5"/>
        <v>580000</v>
      </c>
      <c r="M48" s="61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7">
        <v>5.0</v>
      </c>
      <c r="B49" s="86">
        <v>45604.0</v>
      </c>
      <c r="C49" s="17" t="s">
        <v>65</v>
      </c>
      <c r="D49" s="17" t="s">
        <v>537</v>
      </c>
      <c r="E49" s="17" t="s">
        <v>30</v>
      </c>
      <c r="F49" s="17" t="s">
        <v>198</v>
      </c>
      <c r="G49" s="57">
        <v>9000.0</v>
      </c>
      <c r="H49" s="104">
        <v>1215000.0</v>
      </c>
      <c r="I49" s="96" t="s">
        <v>44</v>
      </c>
      <c r="J49" s="104">
        <v>700000.0</v>
      </c>
      <c r="K49" s="17" t="s">
        <v>42</v>
      </c>
      <c r="L49" s="58">
        <f t="shared" si="5"/>
        <v>515000</v>
      </c>
      <c r="M49" s="61">
        <v>1670000.0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7">
        <v>6.0</v>
      </c>
      <c r="B50" s="86">
        <v>45605.0</v>
      </c>
      <c r="C50" s="17" t="s">
        <v>65</v>
      </c>
      <c r="D50" s="17" t="s">
        <v>537</v>
      </c>
      <c r="E50" s="17" t="s">
        <v>40</v>
      </c>
      <c r="F50" s="17" t="s">
        <v>545</v>
      </c>
      <c r="G50" s="57">
        <v>10000.0</v>
      </c>
      <c r="H50" s="104">
        <v>1100000.0</v>
      </c>
      <c r="I50" s="96" t="s">
        <v>44</v>
      </c>
      <c r="J50" s="104">
        <v>600000.0</v>
      </c>
      <c r="K50" s="17" t="s">
        <v>44</v>
      </c>
      <c r="L50" s="58">
        <f t="shared" si="5"/>
        <v>500000</v>
      </c>
      <c r="M50" s="61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7">
        <v>7.0</v>
      </c>
      <c r="B51" s="86">
        <v>45607.0</v>
      </c>
      <c r="C51" s="17" t="s">
        <v>65</v>
      </c>
      <c r="D51" s="17" t="s">
        <v>537</v>
      </c>
      <c r="E51" s="17" t="s">
        <v>30</v>
      </c>
      <c r="F51" s="17" t="s">
        <v>236</v>
      </c>
      <c r="G51" s="57">
        <v>10000.0</v>
      </c>
      <c r="H51" s="61">
        <v>750000.0</v>
      </c>
      <c r="I51" s="96" t="s">
        <v>44</v>
      </c>
      <c r="J51" s="101">
        <v>400000.0</v>
      </c>
      <c r="K51" s="17" t="s">
        <v>42</v>
      </c>
      <c r="L51" s="58">
        <f t="shared" si="5"/>
        <v>350000</v>
      </c>
      <c r="M51" s="61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7">
        <v>8.0</v>
      </c>
      <c r="B52" s="86">
        <v>45608.0</v>
      </c>
      <c r="C52" s="17" t="s">
        <v>65</v>
      </c>
      <c r="D52" s="17" t="s">
        <v>537</v>
      </c>
      <c r="E52" s="17" t="s">
        <v>30</v>
      </c>
      <c r="F52" s="17" t="s">
        <v>207</v>
      </c>
      <c r="G52" s="57">
        <v>10000.0</v>
      </c>
      <c r="H52" s="58">
        <v>1600000.0</v>
      </c>
      <c r="I52" s="96" t="s">
        <v>44</v>
      </c>
      <c r="J52" s="60">
        <v>975000.0</v>
      </c>
      <c r="K52" s="17" t="s">
        <v>42</v>
      </c>
      <c r="L52" s="58">
        <f t="shared" si="5"/>
        <v>625000</v>
      </c>
      <c r="M52" s="61">
        <v>350000.0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7">
        <v>9.0</v>
      </c>
      <c r="B53" s="86">
        <v>45610.0</v>
      </c>
      <c r="C53" s="17" t="s">
        <v>65</v>
      </c>
      <c r="D53" s="17" t="s">
        <v>537</v>
      </c>
      <c r="E53" s="17" t="s">
        <v>40</v>
      </c>
      <c r="F53" s="17" t="s">
        <v>550</v>
      </c>
      <c r="G53" s="57">
        <v>9000.0</v>
      </c>
      <c r="H53" s="104">
        <v>1035000.0</v>
      </c>
      <c r="I53" s="97" t="s">
        <v>212</v>
      </c>
      <c r="J53" s="104">
        <v>600000.0</v>
      </c>
      <c r="K53" s="17" t="s">
        <v>42</v>
      </c>
      <c r="L53" s="58">
        <f t="shared" si="5"/>
        <v>435000</v>
      </c>
      <c r="M53" s="61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7">
        <v>10.0</v>
      </c>
      <c r="B54" s="86">
        <v>45611.0</v>
      </c>
      <c r="C54" s="17" t="s">
        <v>65</v>
      </c>
      <c r="D54" s="17" t="s">
        <v>537</v>
      </c>
      <c r="E54" s="17" t="s">
        <v>252</v>
      </c>
      <c r="F54" s="17" t="s">
        <v>227</v>
      </c>
      <c r="G54" s="57">
        <v>9000.0</v>
      </c>
      <c r="H54" s="104">
        <v>2520000.0</v>
      </c>
      <c r="I54" s="97" t="s">
        <v>44</v>
      </c>
      <c r="J54" s="104">
        <v>1500000.0</v>
      </c>
      <c r="K54" s="17" t="s">
        <v>42</v>
      </c>
      <c r="L54" s="58">
        <f t="shared" si="5"/>
        <v>1020000</v>
      </c>
      <c r="M54" s="61">
        <v>400000.0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7">
        <v>11.0</v>
      </c>
      <c r="B55" s="86">
        <v>45615.0</v>
      </c>
      <c r="C55" s="17" t="s">
        <v>65</v>
      </c>
      <c r="D55" s="17" t="s">
        <v>537</v>
      </c>
      <c r="E55" s="17" t="s">
        <v>273</v>
      </c>
      <c r="F55" s="17" t="s">
        <v>207</v>
      </c>
      <c r="G55" s="57">
        <v>10000.0</v>
      </c>
      <c r="H55" s="58">
        <v>1600000.0</v>
      </c>
      <c r="I55" s="97" t="s">
        <v>44</v>
      </c>
      <c r="J55" s="104">
        <v>1025000.0</v>
      </c>
      <c r="K55" s="17" t="s">
        <v>42</v>
      </c>
      <c r="L55" s="58">
        <f t="shared" si="5"/>
        <v>575000</v>
      </c>
      <c r="M55" s="61">
        <v>45000.0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7">
        <v>12.0</v>
      </c>
      <c r="B56" s="86">
        <v>45617.0</v>
      </c>
      <c r="C56" s="17" t="s">
        <v>65</v>
      </c>
      <c r="D56" s="17" t="s">
        <v>537</v>
      </c>
      <c r="E56" s="17" t="s">
        <v>37</v>
      </c>
      <c r="F56" s="17" t="s">
        <v>54</v>
      </c>
      <c r="G56" s="87">
        <v>9000.0</v>
      </c>
      <c r="H56" s="104">
        <v>1200000.0</v>
      </c>
      <c r="I56" s="97" t="s">
        <v>42</v>
      </c>
      <c r="J56" s="101">
        <v>640000.0</v>
      </c>
      <c r="K56" s="17" t="s">
        <v>42</v>
      </c>
      <c r="L56" s="58">
        <f t="shared" si="5"/>
        <v>560000</v>
      </c>
      <c r="M56" s="61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7">
        <v>13.0</v>
      </c>
      <c r="B57" s="86">
        <v>45618.0</v>
      </c>
      <c r="C57" s="17" t="s">
        <v>65</v>
      </c>
      <c r="D57" s="17" t="s">
        <v>537</v>
      </c>
      <c r="E57" s="17" t="s">
        <v>273</v>
      </c>
      <c r="F57" s="17" t="s">
        <v>474</v>
      </c>
      <c r="G57" s="57">
        <v>9000.0</v>
      </c>
      <c r="H57" s="104">
        <v>675000.0</v>
      </c>
      <c r="I57" s="97" t="s">
        <v>42</v>
      </c>
      <c r="J57" s="104">
        <v>400000.0</v>
      </c>
      <c r="K57" s="17" t="s">
        <v>42</v>
      </c>
      <c r="L57" s="58">
        <f t="shared" si="5"/>
        <v>275000</v>
      </c>
      <c r="M57" s="61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7">
        <v>14.0</v>
      </c>
      <c r="B58" s="86">
        <v>45619.0</v>
      </c>
      <c r="C58" s="17" t="s">
        <v>65</v>
      </c>
      <c r="D58" s="17" t="s">
        <v>537</v>
      </c>
      <c r="E58" s="17" t="s">
        <v>37</v>
      </c>
      <c r="F58" s="17" t="s">
        <v>541</v>
      </c>
      <c r="G58" s="57">
        <v>10000.0</v>
      </c>
      <c r="H58" s="104">
        <v>1500000.0</v>
      </c>
      <c r="I58" s="97" t="s">
        <v>44</v>
      </c>
      <c r="J58" s="104">
        <v>850000.0</v>
      </c>
      <c r="K58" s="17" t="s">
        <v>42</v>
      </c>
      <c r="L58" s="58">
        <f t="shared" si="5"/>
        <v>650000</v>
      </c>
      <c r="M58" s="61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7">
        <v>15.0</v>
      </c>
      <c r="B59" s="86">
        <v>45621.0</v>
      </c>
      <c r="C59" s="17" t="s">
        <v>65</v>
      </c>
      <c r="D59" s="17" t="s">
        <v>537</v>
      </c>
      <c r="E59" s="17" t="s">
        <v>37</v>
      </c>
      <c r="F59" s="17" t="s">
        <v>542</v>
      </c>
      <c r="G59" s="57">
        <v>10000.0</v>
      </c>
      <c r="H59" s="104">
        <v>1000000.0</v>
      </c>
      <c r="I59" s="97" t="s">
        <v>44</v>
      </c>
      <c r="J59" s="104">
        <v>500000.0</v>
      </c>
      <c r="K59" s="17" t="s">
        <v>44</v>
      </c>
      <c r="L59" s="58">
        <f t="shared" si="5"/>
        <v>500000</v>
      </c>
      <c r="M59" s="61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7">
        <v>16.0</v>
      </c>
      <c r="B60" s="86">
        <v>45622.0</v>
      </c>
      <c r="C60" s="17" t="s">
        <v>65</v>
      </c>
      <c r="D60" s="17" t="s">
        <v>537</v>
      </c>
      <c r="E60" s="17" t="s">
        <v>383</v>
      </c>
      <c r="F60" s="17" t="s">
        <v>551</v>
      </c>
      <c r="G60" s="57">
        <v>9000.0</v>
      </c>
      <c r="H60" s="104">
        <v>1200000.0</v>
      </c>
      <c r="I60" s="97" t="s">
        <v>42</v>
      </c>
      <c r="J60" s="104">
        <v>690000.0</v>
      </c>
      <c r="K60" s="17" t="s">
        <v>42</v>
      </c>
      <c r="L60" s="58">
        <f t="shared" si="5"/>
        <v>510000</v>
      </c>
      <c r="M60" s="61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7">
        <v>17.0</v>
      </c>
      <c r="B61" s="86">
        <v>45624.0</v>
      </c>
      <c r="C61" s="17" t="s">
        <v>65</v>
      </c>
      <c r="D61" s="17" t="s">
        <v>537</v>
      </c>
      <c r="E61" s="17" t="s">
        <v>30</v>
      </c>
      <c r="F61" s="17" t="s">
        <v>474</v>
      </c>
      <c r="G61" s="57">
        <v>9000.0</v>
      </c>
      <c r="H61" s="104">
        <v>675000.0</v>
      </c>
      <c r="I61" s="97" t="s">
        <v>42</v>
      </c>
      <c r="J61" s="104">
        <v>350000.0</v>
      </c>
      <c r="K61" s="17" t="s">
        <v>42</v>
      </c>
      <c r="L61" s="58">
        <f t="shared" si="5"/>
        <v>325000</v>
      </c>
      <c r="M61" s="6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7">
        <v>18.0</v>
      </c>
      <c r="B62" s="86">
        <v>45624.0</v>
      </c>
      <c r="C62" s="17" t="s">
        <v>65</v>
      </c>
      <c r="D62" s="17" t="s">
        <v>537</v>
      </c>
      <c r="E62" s="17" t="s">
        <v>40</v>
      </c>
      <c r="F62" s="17" t="s">
        <v>552</v>
      </c>
      <c r="G62" s="57">
        <v>9000.0</v>
      </c>
      <c r="H62" s="104">
        <v>1125000.0</v>
      </c>
      <c r="I62" s="59" t="s">
        <v>42</v>
      </c>
      <c r="J62" s="104">
        <v>640000.0</v>
      </c>
      <c r="K62" s="17" t="s">
        <v>42</v>
      </c>
      <c r="L62" s="58">
        <f t="shared" si="5"/>
        <v>485000</v>
      </c>
      <c r="M62" s="61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7">
        <v>19.0</v>
      </c>
      <c r="B63" s="86">
        <v>45625.0</v>
      </c>
      <c r="C63" s="17" t="s">
        <v>65</v>
      </c>
      <c r="D63" s="17" t="s">
        <v>537</v>
      </c>
      <c r="E63" s="17" t="s">
        <v>553</v>
      </c>
      <c r="F63" s="17" t="s">
        <v>194</v>
      </c>
      <c r="G63" s="57">
        <v>9000.0</v>
      </c>
      <c r="H63" s="104">
        <v>1400000.0</v>
      </c>
      <c r="I63" s="115" t="s">
        <v>238</v>
      </c>
      <c r="J63" s="104">
        <v>850000.0</v>
      </c>
      <c r="K63" s="17" t="s">
        <v>42</v>
      </c>
      <c r="L63" s="58">
        <f t="shared" si="5"/>
        <v>550000</v>
      </c>
      <c r="M63" s="61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7">
        <v>20.0</v>
      </c>
      <c r="B64" s="7"/>
      <c r="C64" s="7"/>
      <c r="D64" s="7"/>
      <c r="E64" s="17"/>
      <c r="F64" s="17"/>
      <c r="G64" s="57"/>
      <c r="H64" s="104"/>
      <c r="I64" s="97"/>
      <c r="J64" s="104"/>
      <c r="K64" s="17"/>
      <c r="L64" s="58">
        <f t="shared" si="5"/>
        <v>0</v>
      </c>
      <c r="M64" s="61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7"/>
      <c r="B65" s="7"/>
      <c r="C65" s="7"/>
      <c r="D65" s="7"/>
      <c r="E65" s="17"/>
      <c r="F65" s="17"/>
      <c r="G65" s="57"/>
      <c r="H65" s="104"/>
      <c r="I65" s="97"/>
      <c r="J65" s="104"/>
      <c r="K65" s="17"/>
      <c r="L65" s="52">
        <f t="shared" ref="L65:M65" si="6">SUM(L45:L64)</f>
        <v>10265000</v>
      </c>
      <c r="M65" s="30">
        <f t="shared" si="6"/>
        <v>2525000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7"/>
      <c r="B66" s="7"/>
      <c r="C66" s="7"/>
      <c r="D66" s="7"/>
      <c r="E66" s="17"/>
      <c r="F66" s="17"/>
      <c r="G66" s="57"/>
      <c r="H66" s="104"/>
      <c r="I66" s="97"/>
      <c r="J66" s="104"/>
      <c r="K66" s="17"/>
      <c r="L66" s="226">
        <f>L65-M65</f>
        <v>7740000</v>
      </c>
      <c r="M66" s="61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7"/>
      <c r="B67" s="7"/>
      <c r="C67" s="7"/>
      <c r="D67" s="7"/>
      <c r="E67" s="17"/>
      <c r="F67" s="17"/>
      <c r="G67" s="57"/>
      <c r="H67" s="104"/>
      <c r="I67" s="97"/>
      <c r="J67" s="104"/>
      <c r="K67" s="17"/>
      <c r="L67" s="7"/>
      <c r="M67" s="61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9" t="s">
        <v>209</v>
      </c>
      <c r="B68" s="89" t="s">
        <v>0</v>
      </c>
      <c r="C68" s="89" t="s">
        <v>1</v>
      </c>
      <c r="D68" s="89" t="s">
        <v>2</v>
      </c>
      <c r="E68" s="90" t="s">
        <v>3</v>
      </c>
      <c r="F68" s="89" t="s">
        <v>4</v>
      </c>
      <c r="G68" s="91" t="s">
        <v>5</v>
      </c>
      <c r="H68" s="120" t="s">
        <v>6</v>
      </c>
      <c r="I68" s="92" t="s">
        <v>39</v>
      </c>
      <c r="J68" s="120" t="s">
        <v>7</v>
      </c>
      <c r="K68" s="91" t="s">
        <v>39</v>
      </c>
      <c r="L68" s="92" t="s">
        <v>8</v>
      </c>
      <c r="M68" s="119" t="s">
        <v>9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7">
        <v>1.0</v>
      </c>
      <c r="B69" s="86">
        <v>45628.0</v>
      </c>
      <c r="C69" s="17" t="s">
        <v>65</v>
      </c>
      <c r="D69" s="17" t="s">
        <v>537</v>
      </c>
      <c r="E69" s="17" t="s">
        <v>37</v>
      </c>
      <c r="F69" s="17" t="s">
        <v>554</v>
      </c>
      <c r="G69" s="57">
        <v>10000.0</v>
      </c>
      <c r="H69" s="61">
        <v>1500000.0</v>
      </c>
      <c r="I69" s="93" t="s">
        <v>44</v>
      </c>
      <c r="J69" s="101">
        <v>975000.0</v>
      </c>
      <c r="K69" s="21" t="s">
        <v>42</v>
      </c>
      <c r="L69" s="61">
        <f t="shared" ref="L69:L95" si="7">H69-J69</f>
        <v>525000</v>
      </c>
      <c r="M69" s="61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7">
        <v>2.0</v>
      </c>
      <c r="B70" s="86">
        <v>45629.0</v>
      </c>
      <c r="C70" s="17" t="s">
        <v>65</v>
      </c>
      <c r="D70" s="17" t="s">
        <v>537</v>
      </c>
      <c r="E70" s="17" t="s">
        <v>505</v>
      </c>
      <c r="F70" s="17" t="s">
        <v>555</v>
      </c>
      <c r="G70" s="57">
        <v>5000.0</v>
      </c>
      <c r="H70" s="104">
        <v>1677525.0</v>
      </c>
      <c r="I70" s="97" t="s">
        <v>44</v>
      </c>
      <c r="J70" s="104">
        <v>900000.0</v>
      </c>
      <c r="K70" s="17" t="s">
        <v>42</v>
      </c>
      <c r="L70" s="61">
        <f t="shared" si="7"/>
        <v>777525</v>
      </c>
      <c r="M70" s="61">
        <v>170000.0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7">
        <v>3.0</v>
      </c>
      <c r="B71" s="86">
        <v>45630.0</v>
      </c>
      <c r="C71" s="17" t="s">
        <v>65</v>
      </c>
      <c r="D71" s="17" t="s">
        <v>537</v>
      </c>
      <c r="E71" s="17" t="s">
        <v>273</v>
      </c>
      <c r="F71" s="17" t="s">
        <v>207</v>
      </c>
      <c r="G71" s="57">
        <v>10000.0</v>
      </c>
      <c r="H71" s="104">
        <v>1600000.0</v>
      </c>
      <c r="I71" s="97" t="s">
        <v>44</v>
      </c>
      <c r="J71" s="104">
        <v>1000000.0</v>
      </c>
      <c r="K71" s="17" t="s">
        <v>44</v>
      </c>
      <c r="L71" s="61">
        <f t="shared" si="7"/>
        <v>600000</v>
      </c>
      <c r="M71" s="61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7">
        <v>4.0</v>
      </c>
      <c r="B72" s="86">
        <v>45631.0</v>
      </c>
      <c r="C72" s="17" t="s">
        <v>65</v>
      </c>
      <c r="D72" s="17" t="s">
        <v>537</v>
      </c>
      <c r="E72" s="17" t="s">
        <v>30</v>
      </c>
      <c r="F72" s="17" t="s">
        <v>549</v>
      </c>
      <c r="G72" s="57">
        <v>9000.0</v>
      </c>
      <c r="H72" s="61">
        <v>1305000.0</v>
      </c>
      <c r="I72" s="97" t="s">
        <v>44</v>
      </c>
      <c r="J72" s="61">
        <v>725000.0</v>
      </c>
      <c r="K72" s="17" t="s">
        <v>44</v>
      </c>
      <c r="L72" s="61">
        <f t="shared" si="7"/>
        <v>580000</v>
      </c>
      <c r="M72" s="61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7">
        <v>5.0</v>
      </c>
      <c r="B73" s="86">
        <v>45632.0</v>
      </c>
      <c r="C73" s="17" t="s">
        <v>65</v>
      </c>
      <c r="D73" s="17" t="s">
        <v>537</v>
      </c>
      <c r="E73" s="17" t="s">
        <v>273</v>
      </c>
      <c r="F73" s="17" t="s">
        <v>501</v>
      </c>
      <c r="G73" s="57">
        <v>10000.0</v>
      </c>
      <c r="H73" s="101">
        <v>1000000.0</v>
      </c>
      <c r="I73" s="103" t="s">
        <v>42</v>
      </c>
      <c r="J73" s="104">
        <v>550000.0</v>
      </c>
      <c r="K73" s="17" t="s">
        <v>42</v>
      </c>
      <c r="L73" s="61">
        <f t="shared" si="7"/>
        <v>450000</v>
      </c>
      <c r="M73" s="61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7">
        <v>6.0</v>
      </c>
      <c r="B74" s="86">
        <v>45633.0</v>
      </c>
      <c r="C74" s="17" t="s">
        <v>65</v>
      </c>
      <c r="D74" s="17" t="s">
        <v>537</v>
      </c>
      <c r="E74" s="17" t="s">
        <v>273</v>
      </c>
      <c r="F74" s="17" t="s">
        <v>236</v>
      </c>
      <c r="G74" s="57">
        <v>10000.0</v>
      </c>
      <c r="H74" s="104">
        <v>750000.0</v>
      </c>
      <c r="I74" s="97" t="s">
        <v>44</v>
      </c>
      <c r="J74" s="104">
        <v>640000.0</v>
      </c>
      <c r="K74" s="17" t="s">
        <v>42</v>
      </c>
      <c r="L74" s="61">
        <f t="shared" si="7"/>
        <v>110000</v>
      </c>
      <c r="M74" s="61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7">
        <v>7.0</v>
      </c>
      <c r="B75" s="86">
        <v>45635.0</v>
      </c>
      <c r="C75" s="17" t="s">
        <v>65</v>
      </c>
      <c r="D75" s="17" t="s">
        <v>537</v>
      </c>
      <c r="E75" s="17" t="s">
        <v>556</v>
      </c>
      <c r="F75" s="17" t="s">
        <v>557</v>
      </c>
      <c r="G75" s="110">
        <v>6766.5</v>
      </c>
      <c r="H75" s="121">
        <v>2029950.0</v>
      </c>
      <c r="I75" s="115" t="s">
        <v>238</v>
      </c>
      <c r="J75" s="104">
        <v>900000.0</v>
      </c>
      <c r="K75" s="17" t="s">
        <v>42</v>
      </c>
      <c r="L75" s="61">
        <f t="shared" si="7"/>
        <v>1129950</v>
      </c>
      <c r="M75" s="104">
        <v>120000.0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7">
        <v>8.0</v>
      </c>
      <c r="B76" s="86">
        <v>45636.0</v>
      </c>
      <c r="C76" s="17" t="s">
        <v>65</v>
      </c>
      <c r="D76" s="17" t="s">
        <v>537</v>
      </c>
      <c r="E76" s="17" t="s">
        <v>558</v>
      </c>
      <c r="F76" s="17" t="s">
        <v>559</v>
      </c>
      <c r="G76" s="57">
        <v>10000.0</v>
      </c>
      <c r="H76" s="121">
        <v>1500000.0</v>
      </c>
      <c r="I76" s="115" t="s">
        <v>238</v>
      </c>
      <c r="J76" s="104">
        <v>640000.0</v>
      </c>
      <c r="K76" s="17" t="s">
        <v>44</v>
      </c>
      <c r="L76" s="61">
        <f t="shared" si="7"/>
        <v>860000</v>
      </c>
      <c r="M76" s="10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7">
        <v>9.0</v>
      </c>
      <c r="B77" s="112">
        <v>45636.0</v>
      </c>
      <c r="C77" s="17" t="s">
        <v>65</v>
      </c>
      <c r="D77" s="17" t="s">
        <v>537</v>
      </c>
      <c r="E77" s="17" t="s">
        <v>204</v>
      </c>
      <c r="F77" s="17" t="s">
        <v>560</v>
      </c>
      <c r="G77" s="57">
        <v>9000.0</v>
      </c>
      <c r="H77" s="104">
        <v>1125000.0</v>
      </c>
      <c r="I77" s="115" t="s">
        <v>42</v>
      </c>
      <c r="J77" s="104">
        <v>640000.0</v>
      </c>
      <c r="K77" s="17" t="s">
        <v>42</v>
      </c>
      <c r="L77" s="61">
        <f t="shared" si="7"/>
        <v>485000</v>
      </c>
      <c r="M77" s="10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7">
        <v>10.0</v>
      </c>
      <c r="B78" s="112">
        <v>45637.0</v>
      </c>
      <c r="C78" s="17" t="s">
        <v>65</v>
      </c>
      <c r="D78" s="17" t="s">
        <v>537</v>
      </c>
      <c r="E78" s="17" t="s">
        <v>37</v>
      </c>
      <c r="F78" s="17" t="s">
        <v>561</v>
      </c>
      <c r="G78" s="57">
        <v>10000.0</v>
      </c>
      <c r="H78" s="104">
        <v>1500000.0</v>
      </c>
      <c r="I78" s="115" t="s">
        <v>44</v>
      </c>
      <c r="J78" s="104">
        <v>850000.0</v>
      </c>
      <c r="K78" s="17" t="s">
        <v>240</v>
      </c>
      <c r="L78" s="61">
        <f t="shared" si="7"/>
        <v>650000</v>
      </c>
      <c r="M78" s="15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7">
        <v>11.0</v>
      </c>
      <c r="B79" s="112">
        <v>45638.0</v>
      </c>
      <c r="C79" s="17" t="s">
        <v>65</v>
      </c>
      <c r="D79" s="17" t="s">
        <v>537</v>
      </c>
      <c r="E79" s="98" t="s">
        <v>30</v>
      </c>
      <c r="F79" s="98" t="s">
        <v>560</v>
      </c>
      <c r="G79" s="110">
        <v>9000.0</v>
      </c>
      <c r="H79" s="121">
        <v>1125000.0</v>
      </c>
      <c r="I79" s="115" t="s">
        <v>42</v>
      </c>
      <c r="J79" s="121">
        <v>640000.0</v>
      </c>
      <c r="K79" s="98" t="s">
        <v>44</v>
      </c>
      <c r="L79" s="61">
        <f t="shared" si="7"/>
        <v>485000</v>
      </c>
      <c r="M79" s="104"/>
      <c r="N79" s="117" t="s">
        <v>562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7">
        <v>12.0</v>
      </c>
      <c r="B80" s="112">
        <v>45639.0</v>
      </c>
      <c r="C80" s="17" t="s">
        <v>65</v>
      </c>
      <c r="D80" s="17" t="s">
        <v>537</v>
      </c>
      <c r="E80" s="98" t="s">
        <v>45</v>
      </c>
      <c r="F80" s="98" t="s">
        <v>207</v>
      </c>
      <c r="G80" s="110">
        <v>10000.0</v>
      </c>
      <c r="H80" s="121">
        <v>1600000.0</v>
      </c>
      <c r="I80" s="115" t="s">
        <v>238</v>
      </c>
      <c r="J80" s="104">
        <f>975000+25000</f>
        <v>1000000</v>
      </c>
      <c r="K80" s="98" t="s">
        <v>238</v>
      </c>
      <c r="L80" s="61">
        <f t="shared" si="7"/>
        <v>600000</v>
      </c>
      <c r="M80" s="10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7">
        <v>13.0</v>
      </c>
      <c r="B81" s="112">
        <v>45640.0</v>
      </c>
      <c r="C81" s="17" t="s">
        <v>65</v>
      </c>
      <c r="D81" s="17" t="s">
        <v>537</v>
      </c>
      <c r="E81" s="98" t="s">
        <v>40</v>
      </c>
      <c r="F81" s="98" t="s">
        <v>194</v>
      </c>
      <c r="G81" s="110">
        <v>9000.0</v>
      </c>
      <c r="H81" s="121">
        <v>1400000.0</v>
      </c>
      <c r="I81" s="115" t="s">
        <v>238</v>
      </c>
      <c r="J81" s="121">
        <v>850000.0</v>
      </c>
      <c r="K81" s="98" t="s">
        <v>238</v>
      </c>
      <c r="L81" s="61">
        <f t="shared" si="7"/>
        <v>550000</v>
      </c>
      <c r="M81" s="10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7">
        <v>14.0</v>
      </c>
      <c r="B82" s="112">
        <v>45642.0</v>
      </c>
      <c r="C82" s="17" t="s">
        <v>65</v>
      </c>
      <c r="D82" s="17" t="s">
        <v>537</v>
      </c>
      <c r="E82" s="98" t="s">
        <v>45</v>
      </c>
      <c r="F82" s="98" t="s">
        <v>563</v>
      </c>
      <c r="G82" s="110">
        <v>10000.0</v>
      </c>
      <c r="H82" s="121">
        <v>1100000.0</v>
      </c>
      <c r="I82" s="115" t="s">
        <v>44</v>
      </c>
      <c r="J82" s="121">
        <f>550000+25000</f>
        <v>575000</v>
      </c>
      <c r="K82" s="98" t="s">
        <v>238</v>
      </c>
      <c r="L82" s="61">
        <f t="shared" si="7"/>
        <v>525000</v>
      </c>
      <c r="M82" s="22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7">
        <v>15.0</v>
      </c>
      <c r="B83" s="112">
        <v>45643.0</v>
      </c>
      <c r="C83" s="17" t="s">
        <v>65</v>
      </c>
      <c r="D83" s="17" t="s">
        <v>537</v>
      </c>
      <c r="E83" s="98" t="s">
        <v>40</v>
      </c>
      <c r="F83" s="98" t="s">
        <v>194</v>
      </c>
      <c r="G83" s="110">
        <v>9000.0</v>
      </c>
      <c r="H83" s="173">
        <v>1400000.0</v>
      </c>
      <c r="I83" s="211" t="s">
        <v>238</v>
      </c>
      <c r="J83" s="193">
        <v>850000.0</v>
      </c>
      <c r="K83" s="98" t="s">
        <v>238</v>
      </c>
      <c r="L83" s="61">
        <f t="shared" si="7"/>
        <v>550000</v>
      </c>
      <c r="M83" s="22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7">
        <v>16.0</v>
      </c>
      <c r="B84" s="112">
        <v>45644.0</v>
      </c>
      <c r="C84" s="17" t="s">
        <v>65</v>
      </c>
      <c r="D84" s="17" t="s">
        <v>537</v>
      </c>
      <c r="E84" s="98" t="s">
        <v>242</v>
      </c>
      <c r="F84" s="98" t="s">
        <v>564</v>
      </c>
      <c r="G84" s="110">
        <v>9000.0</v>
      </c>
      <c r="H84" s="104">
        <v>1125000.0</v>
      </c>
      <c r="I84" s="115" t="s">
        <v>212</v>
      </c>
      <c r="J84" s="104">
        <v>640000.0</v>
      </c>
      <c r="K84" s="98" t="s">
        <v>212</v>
      </c>
      <c r="L84" s="61">
        <f t="shared" si="7"/>
        <v>485000</v>
      </c>
      <c r="M84" s="10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7">
        <v>17.0</v>
      </c>
      <c r="B85" s="112">
        <v>45645.0</v>
      </c>
      <c r="C85" s="17" t="s">
        <v>65</v>
      </c>
      <c r="D85" s="17" t="s">
        <v>537</v>
      </c>
      <c r="E85" s="98" t="s">
        <v>242</v>
      </c>
      <c r="F85" s="98" t="s">
        <v>565</v>
      </c>
      <c r="G85" s="110">
        <v>9000.0</v>
      </c>
      <c r="H85" s="202">
        <v>700000.0</v>
      </c>
      <c r="I85" s="115" t="s">
        <v>212</v>
      </c>
      <c r="J85" s="202">
        <v>400000.0</v>
      </c>
      <c r="K85" s="98" t="s">
        <v>212</v>
      </c>
      <c r="L85" s="61">
        <f t="shared" si="7"/>
        <v>300000</v>
      </c>
      <c r="M85" s="10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7">
        <v>18.0</v>
      </c>
      <c r="B86" s="112">
        <v>45645.0</v>
      </c>
      <c r="C86" s="17" t="s">
        <v>65</v>
      </c>
      <c r="D86" s="17" t="s">
        <v>537</v>
      </c>
      <c r="E86" s="98" t="s">
        <v>242</v>
      </c>
      <c r="F86" s="98" t="s">
        <v>236</v>
      </c>
      <c r="G86" s="110">
        <v>10000.0</v>
      </c>
      <c r="H86" s="104">
        <v>750000.0</v>
      </c>
      <c r="I86" s="115" t="s">
        <v>238</v>
      </c>
      <c r="J86" s="121">
        <v>425000.0</v>
      </c>
      <c r="K86" s="98" t="s">
        <v>212</v>
      </c>
      <c r="L86" s="61">
        <f t="shared" si="7"/>
        <v>325000</v>
      </c>
      <c r="M86" s="230">
        <v>70000.0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7">
        <v>19.0</v>
      </c>
      <c r="B87" s="112">
        <v>45646.0</v>
      </c>
      <c r="C87" s="17" t="s">
        <v>65</v>
      </c>
      <c r="D87" s="17" t="s">
        <v>537</v>
      </c>
      <c r="E87" s="98" t="s">
        <v>566</v>
      </c>
      <c r="F87" s="98" t="s">
        <v>567</v>
      </c>
      <c r="G87" s="110">
        <v>8000.0</v>
      </c>
      <c r="H87" s="121">
        <v>1700000.0</v>
      </c>
      <c r="I87" s="115" t="s">
        <v>238</v>
      </c>
      <c r="J87" s="121">
        <v>1050000.0</v>
      </c>
      <c r="K87" s="98" t="s">
        <v>238</v>
      </c>
      <c r="L87" s="61">
        <f t="shared" si="7"/>
        <v>650000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7">
        <v>20.0</v>
      </c>
      <c r="B88" s="112">
        <v>45649.0</v>
      </c>
      <c r="C88" s="17" t="s">
        <v>65</v>
      </c>
      <c r="D88" s="17" t="s">
        <v>537</v>
      </c>
      <c r="E88" s="98" t="s">
        <v>558</v>
      </c>
      <c r="F88" s="98" t="s">
        <v>511</v>
      </c>
      <c r="G88" s="110">
        <v>10000.0</v>
      </c>
      <c r="H88" s="121">
        <v>1500000.0</v>
      </c>
      <c r="I88" s="152" t="s">
        <v>238</v>
      </c>
      <c r="J88" s="121">
        <v>300000.0</v>
      </c>
      <c r="K88" s="98" t="s">
        <v>212</v>
      </c>
      <c r="L88" s="61">
        <f t="shared" si="7"/>
        <v>1200000</v>
      </c>
      <c r="M88" s="106">
        <v>150000.0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7">
        <v>21.0</v>
      </c>
      <c r="B89" s="112">
        <v>45650.0</v>
      </c>
      <c r="C89" s="17" t="s">
        <v>65</v>
      </c>
      <c r="D89" s="17" t="s">
        <v>537</v>
      </c>
      <c r="E89" s="98" t="s">
        <v>243</v>
      </c>
      <c r="F89" s="98" t="s">
        <v>568</v>
      </c>
      <c r="G89" s="110">
        <v>10000.0</v>
      </c>
      <c r="H89" s="202">
        <v>1150000.0</v>
      </c>
      <c r="I89" s="115" t="s">
        <v>212</v>
      </c>
      <c r="J89" s="202">
        <v>650000.0</v>
      </c>
      <c r="K89" s="98" t="s">
        <v>212</v>
      </c>
      <c r="L89" s="61">
        <f t="shared" si="7"/>
        <v>500000</v>
      </c>
      <c r="M89" s="61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7">
        <v>22.0</v>
      </c>
      <c r="B90" s="112">
        <v>45652.0</v>
      </c>
      <c r="C90" s="17" t="s">
        <v>65</v>
      </c>
      <c r="D90" s="17" t="s">
        <v>537</v>
      </c>
      <c r="E90" s="98" t="s">
        <v>273</v>
      </c>
      <c r="F90" s="98" t="s">
        <v>207</v>
      </c>
      <c r="G90" s="110">
        <v>10000.0</v>
      </c>
      <c r="H90" s="121">
        <v>1600000.0</v>
      </c>
      <c r="I90" s="115" t="s">
        <v>238</v>
      </c>
      <c r="J90" s="121">
        <v>1000000.0</v>
      </c>
      <c r="K90" s="98" t="s">
        <v>238</v>
      </c>
      <c r="L90" s="61">
        <f t="shared" si="7"/>
        <v>600000</v>
      </c>
      <c r="M90" s="61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7">
        <v>23.0</v>
      </c>
      <c r="B91" s="112">
        <v>45653.0</v>
      </c>
      <c r="C91" s="17" t="s">
        <v>65</v>
      </c>
      <c r="D91" s="17" t="s">
        <v>537</v>
      </c>
      <c r="E91" s="204" t="s">
        <v>254</v>
      </c>
      <c r="F91" s="204" t="s">
        <v>512</v>
      </c>
      <c r="G91" s="151">
        <v>10000.0</v>
      </c>
      <c r="H91" s="150">
        <v>1000000.0</v>
      </c>
      <c r="I91" s="115" t="s">
        <v>212</v>
      </c>
      <c r="J91" s="150">
        <v>450000.0</v>
      </c>
      <c r="K91" s="98" t="s">
        <v>212</v>
      </c>
      <c r="L91" s="61">
        <f t="shared" si="7"/>
        <v>550000</v>
      </c>
      <c r="M91" s="106">
        <v>60000.0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98">
        <v>24.0</v>
      </c>
      <c r="B92" s="112">
        <v>45654.0</v>
      </c>
      <c r="C92" s="17" t="s">
        <v>65</v>
      </c>
      <c r="D92" s="17" t="s">
        <v>537</v>
      </c>
      <c r="E92" s="213" t="s">
        <v>320</v>
      </c>
      <c r="F92" s="213" t="s">
        <v>316</v>
      </c>
      <c r="G92" s="151">
        <v>10000.0</v>
      </c>
      <c r="H92" s="58">
        <v>800000.0</v>
      </c>
      <c r="I92" s="115" t="s">
        <v>212</v>
      </c>
      <c r="J92" s="121">
        <v>375000.0</v>
      </c>
      <c r="K92" s="98" t="s">
        <v>212</v>
      </c>
      <c r="L92" s="61">
        <f t="shared" si="7"/>
        <v>425000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98">
        <v>25.0</v>
      </c>
      <c r="B93" s="112">
        <v>45654.0</v>
      </c>
      <c r="C93" s="17" t="s">
        <v>65</v>
      </c>
      <c r="D93" s="17" t="s">
        <v>537</v>
      </c>
      <c r="E93" s="98" t="s">
        <v>256</v>
      </c>
      <c r="F93" s="98" t="s">
        <v>236</v>
      </c>
      <c r="G93" s="151">
        <v>9000.0</v>
      </c>
      <c r="H93" s="58">
        <v>675000.0</v>
      </c>
      <c r="I93" s="108" t="s">
        <v>238</v>
      </c>
      <c r="J93" s="60">
        <v>375000.0</v>
      </c>
      <c r="K93" s="98" t="s">
        <v>212</v>
      </c>
      <c r="L93" s="61">
        <f t="shared" si="7"/>
        <v>300000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98">
        <v>26.0</v>
      </c>
      <c r="B94" s="112">
        <v>45656.0</v>
      </c>
      <c r="C94" s="17" t="s">
        <v>65</v>
      </c>
      <c r="D94" s="17" t="s">
        <v>537</v>
      </c>
      <c r="E94" s="98" t="s">
        <v>242</v>
      </c>
      <c r="F94" s="98" t="s">
        <v>569</v>
      </c>
      <c r="G94" s="151">
        <v>9000.0</v>
      </c>
      <c r="H94" s="202">
        <v>1200000.0</v>
      </c>
      <c r="I94" s="115" t="s">
        <v>212</v>
      </c>
      <c r="J94" s="202">
        <v>640000.0</v>
      </c>
      <c r="K94" s="98" t="s">
        <v>212</v>
      </c>
      <c r="L94" s="61">
        <f t="shared" si="7"/>
        <v>560000</v>
      </c>
      <c r="M94" s="61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98">
        <v>27.0</v>
      </c>
      <c r="B95" s="112">
        <v>45657.0</v>
      </c>
      <c r="C95" s="17" t="s">
        <v>65</v>
      </c>
      <c r="D95" s="17" t="s">
        <v>537</v>
      </c>
      <c r="E95" s="98" t="s">
        <v>242</v>
      </c>
      <c r="F95" s="98" t="s">
        <v>561</v>
      </c>
      <c r="G95" s="151">
        <v>10000.0</v>
      </c>
      <c r="H95" s="104">
        <v>1500000.0</v>
      </c>
      <c r="I95" s="115" t="s">
        <v>238</v>
      </c>
      <c r="J95" s="104">
        <v>850000.0</v>
      </c>
      <c r="K95" s="98" t="s">
        <v>212</v>
      </c>
      <c r="L95" s="61">
        <f t="shared" si="7"/>
        <v>650000</v>
      </c>
      <c r="M95" s="61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7"/>
      <c r="B96" s="7"/>
      <c r="C96" s="7"/>
      <c r="D96" s="7"/>
      <c r="E96" s="17"/>
      <c r="F96" s="17"/>
      <c r="G96" s="151"/>
      <c r="H96" s="104"/>
      <c r="I96" s="97"/>
      <c r="J96" s="104"/>
      <c r="K96" s="17"/>
      <c r="L96" s="52">
        <f>SUM(L73:L95)</f>
        <v>12939950</v>
      </c>
      <c r="M96" s="30">
        <f>SUM(M69:M95)</f>
        <v>570000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7"/>
      <c r="B97" s="7"/>
      <c r="C97" s="7"/>
      <c r="D97" s="7"/>
      <c r="E97" s="17"/>
      <c r="F97" s="17"/>
      <c r="G97" s="151"/>
      <c r="H97" s="104"/>
      <c r="I97" s="97"/>
      <c r="J97" s="104"/>
      <c r="K97" s="17"/>
      <c r="L97" s="231">
        <f>L96-M96</f>
        <v>12369950</v>
      </c>
      <c r="M97" s="61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/>
      <c r="B98" s="7"/>
      <c r="C98" s="7"/>
      <c r="D98" s="7"/>
      <c r="E98" s="17"/>
      <c r="F98" s="17"/>
      <c r="G98" s="151"/>
      <c r="H98" s="104"/>
      <c r="I98" s="97"/>
      <c r="J98" s="104"/>
      <c r="K98" s="17"/>
      <c r="L98" s="7"/>
      <c r="M98" s="61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9" t="s">
        <v>209</v>
      </c>
      <c r="B99" s="89" t="s">
        <v>0</v>
      </c>
      <c r="C99" s="89" t="s">
        <v>1</v>
      </c>
      <c r="D99" s="89" t="s">
        <v>2</v>
      </c>
      <c r="E99" s="90" t="s">
        <v>3</v>
      </c>
      <c r="F99" s="89" t="s">
        <v>4</v>
      </c>
      <c r="G99" s="91" t="s">
        <v>5</v>
      </c>
      <c r="H99" s="119" t="s">
        <v>6</v>
      </c>
      <c r="I99" s="92" t="s">
        <v>39</v>
      </c>
      <c r="J99" s="119" t="s">
        <v>7</v>
      </c>
      <c r="K99" s="91" t="s">
        <v>39</v>
      </c>
      <c r="L99" s="92" t="s">
        <v>8</v>
      </c>
      <c r="M99" s="120" t="s">
        <v>9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3">
        <v>1.0</v>
      </c>
      <c r="B100" s="112">
        <v>45659.0</v>
      </c>
      <c r="C100" s="17" t="s">
        <v>65</v>
      </c>
      <c r="D100" s="17" t="s">
        <v>537</v>
      </c>
      <c r="E100" s="204" t="s">
        <v>256</v>
      </c>
      <c r="F100" s="17" t="s">
        <v>570</v>
      </c>
      <c r="G100" s="151">
        <v>8500.0</v>
      </c>
      <c r="H100" s="104">
        <v>1200000.0</v>
      </c>
      <c r="I100" s="115" t="s">
        <v>238</v>
      </c>
      <c r="J100" s="104">
        <v>640000.0</v>
      </c>
      <c r="K100" s="98" t="s">
        <v>212</v>
      </c>
      <c r="L100" s="58">
        <f t="shared" ref="L100:L121" si="8">H100-J100</f>
        <v>560000</v>
      </c>
      <c r="M100" s="14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98">
        <v>2.0</v>
      </c>
      <c r="B101" s="112">
        <v>45660.0</v>
      </c>
      <c r="C101" s="17" t="s">
        <v>65</v>
      </c>
      <c r="D101" s="17" t="s">
        <v>537</v>
      </c>
      <c r="E101" s="98" t="s">
        <v>273</v>
      </c>
      <c r="F101" s="98" t="s">
        <v>287</v>
      </c>
      <c r="G101" s="151">
        <v>9000.0</v>
      </c>
      <c r="H101" s="149">
        <v>1200000.0</v>
      </c>
      <c r="I101" s="115" t="s">
        <v>212</v>
      </c>
      <c r="J101" s="150">
        <v>715000.0</v>
      </c>
      <c r="K101" s="98" t="s">
        <v>212</v>
      </c>
      <c r="L101" s="58">
        <f t="shared" si="8"/>
        <v>485000</v>
      </c>
      <c r="M101" s="61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98">
        <v>3.0</v>
      </c>
      <c r="B102" s="112">
        <v>45661.0</v>
      </c>
      <c r="C102" s="17" t="s">
        <v>65</v>
      </c>
      <c r="D102" s="17" t="s">
        <v>537</v>
      </c>
      <c r="E102" s="98" t="s">
        <v>571</v>
      </c>
      <c r="F102" s="98" t="s">
        <v>271</v>
      </c>
      <c r="G102" s="110">
        <v>9000.0</v>
      </c>
      <c r="H102" s="58">
        <v>675000.0</v>
      </c>
      <c r="I102" s="206" t="s">
        <v>238</v>
      </c>
      <c r="J102" s="60">
        <v>375000.0</v>
      </c>
      <c r="K102" s="98" t="s">
        <v>212</v>
      </c>
      <c r="L102" s="58">
        <f t="shared" si="8"/>
        <v>300000</v>
      </c>
      <c r="M102" s="61"/>
      <c r="N102" s="11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98">
        <v>4.0</v>
      </c>
      <c r="B103" s="112">
        <v>45663.0</v>
      </c>
      <c r="C103" s="17" t="s">
        <v>65</v>
      </c>
      <c r="D103" s="17" t="s">
        <v>537</v>
      </c>
      <c r="E103" s="98" t="s">
        <v>273</v>
      </c>
      <c r="F103" s="98" t="s">
        <v>161</v>
      </c>
      <c r="G103" s="151">
        <v>9000.0</v>
      </c>
      <c r="H103" s="135">
        <v>1215000.0</v>
      </c>
      <c r="I103" s="206" t="s">
        <v>238</v>
      </c>
      <c r="J103" s="207">
        <v>700000.0</v>
      </c>
      <c r="K103" s="98" t="s">
        <v>212</v>
      </c>
      <c r="L103" s="58">
        <f t="shared" si="8"/>
        <v>515000</v>
      </c>
      <c r="M103" s="61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98">
        <v>5.0</v>
      </c>
      <c r="B104" s="112">
        <v>45664.0</v>
      </c>
      <c r="C104" s="17" t="s">
        <v>65</v>
      </c>
      <c r="D104" s="17" t="s">
        <v>537</v>
      </c>
      <c r="E104" s="98" t="s">
        <v>242</v>
      </c>
      <c r="F104" s="98" t="s">
        <v>259</v>
      </c>
      <c r="G104" s="110">
        <v>10000.0</v>
      </c>
      <c r="H104" s="104">
        <v>1500000.0</v>
      </c>
      <c r="I104" s="115" t="s">
        <v>238</v>
      </c>
      <c r="J104" s="104">
        <v>850000.0</v>
      </c>
      <c r="K104" s="98" t="s">
        <v>212</v>
      </c>
      <c r="L104" s="58">
        <f t="shared" si="8"/>
        <v>650000</v>
      </c>
      <c r="M104" s="61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98">
        <v>6.0</v>
      </c>
      <c r="B105" s="112">
        <v>45665.0</v>
      </c>
      <c r="C105" s="17" t="s">
        <v>65</v>
      </c>
      <c r="D105" s="17" t="s">
        <v>537</v>
      </c>
      <c r="E105" s="98" t="s">
        <v>279</v>
      </c>
      <c r="F105" s="98" t="s">
        <v>271</v>
      </c>
      <c r="G105" s="110">
        <v>9000.0</v>
      </c>
      <c r="H105" s="58">
        <v>675000.0</v>
      </c>
      <c r="I105" s="115" t="s">
        <v>238</v>
      </c>
      <c r="J105" s="60">
        <v>375000.0</v>
      </c>
      <c r="K105" s="98" t="s">
        <v>238</v>
      </c>
      <c r="L105" s="58">
        <f t="shared" si="8"/>
        <v>300000</v>
      </c>
      <c r="M105" s="61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98">
        <v>7.0</v>
      </c>
      <c r="B106" s="112">
        <v>45666.0</v>
      </c>
      <c r="C106" s="17" t="s">
        <v>65</v>
      </c>
      <c r="D106" s="17" t="s">
        <v>537</v>
      </c>
      <c r="E106" s="98" t="s">
        <v>254</v>
      </c>
      <c r="F106" s="98" t="s">
        <v>348</v>
      </c>
      <c r="G106" s="110">
        <v>10000.0</v>
      </c>
      <c r="H106" s="104">
        <v>1000000.0</v>
      </c>
      <c r="I106" s="115" t="s">
        <v>238</v>
      </c>
      <c r="J106" s="121">
        <v>500000.0</v>
      </c>
      <c r="K106" s="98" t="s">
        <v>238</v>
      </c>
      <c r="L106" s="58">
        <f t="shared" si="8"/>
        <v>500000</v>
      </c>
      <c r="M106" s="61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98">
        <v>8.0</v>
      </c>
      <c r="B107" s="112">
        <v>45666.0</v>
      </c>
      <c r="C107" s="17" t="s">
        <v>65</v>
      </c>
      <c r="D107" s="17" t="s">
        <v>537</v>
      </c>
      <c r="E107" s="98" t="s">
        <v>243</v>
      </c>
      <c r="F107" s="98" t="s">
        <v>572</v>
      </c>
      <c r="G107" s="110">
        <v>9000.0</v>
      </c>
      <c r="H107" s="135">
        <v>1035000.0</v>
      </c>
      <c r="I107" s="115" t="s">
        <v>212</v>
      </c>
      <c r="J107" s="135">
        <v>600000.0</v>
      </c>
      <c r="K107" s="98" t="s">
        <v>238</v>
      </c>
      <c r="L107" s="58">
        <f t="shared" si="8"/>
        <v>435000</v>
      </c>
      <c r="M107" s="61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98">
        <v>9.0</v>
      </c>
      <c r="B108" s="112">
        <v>45667.0</v>
      </c>
      <c r="C108" s="17" t="s">
        <v>65</v>
      </c>
      <c r="D108" s="17" t="s">
        <v>537</v>
      </c>
      <c r="E108" s="98" t="s">
        <v>242</v>
      </c>
      <c r="F108" s="98" t="s">
        <v>259</v>
      </c>
      <c r="G108" s="110">
        <v>10000.0</v>
      </c>
      <c r="H108" s="104">
        <v>1500000.0</v>
      </c>
      <c r="I108" s="115" t="s">
        <v>238</v>
      </c>
      <c r="J108" s="104">
        <v>850000.0</v>
      </c>
      <c r="K108" s="98" t="s">
        <v>212</v>
      </c>
      <c r="L108" s="58">
        <f t="shared" si="8"/>
        <v>650000</v>
      </c>
      <c r="M108" s="61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98">
        <v>10.0</v>
      </c>
      <c r="B109" s="112">
        <v>45670.0</v>
      </c>
      <c r="C109" s="17" t="s">
        <v>65</v>
      </c>
      <c r="D109" s="17" t="s">
        <v>537</v>
      </c>
      <c r="E109" s="98" t="s">
        <v>280</v>
      </c>
      <c r="F109" s="98" t="s">
        <v>560</v>
      </c>
      <c r="G109" s="110">
        <v>9000.0</v>
      </c>
      <c r="H109" s="208">
        <v>1125000.0</v>
      </c>
      <c r="I109" s="211" t="s">
        <v>238</v>
      </c>
      <c r="J109" s="121">
        <v>640000.0</v>
      </c>
      <c r="K109" s="98" t="s">
        <v>212</v>
      </c>
      <c r="L109" s="58">
        <f t="shared" si="8"/>
        <v>485000</v>
      </c>
      <c r="M109" s="61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98">
        <v>11.0</v>
      </c>
      <c r="B110" s="112">
        <v>45671.0</v>
      </c>
      <c r="C110" s="17" t="s">
        <v>65</v>
      </c>
      <c r="D110" s="17" t="s">
        <v>537</v>
      </c>
      <c r="E110" s="98" t="s">
        <v>344</v>
      </c>
      <c r="F110" s="98" t="s">
        <v>573</v>
      </c>
      <c r="G110" s="110">
        <v>9000.0</v>
      </c>
      <c r="H110" s="107">
        <v>2870000.0</v>
      </c>
      <c r="I110" s="108" t="s">
        <v>238</v>
      </c>
      <c r="J110" s="60">
        <v>1500000.0</v>
      </c>
      <c r="K110" s="98" t="s">
        <v>212</v>
      </c>
      <c r="L110" s="58">
        <f t="shared" si="8"/>
        <v>1370000</v>
      </c>
      <c r="M110" s="106">
        <v>225000.0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98">
        <v>12.0</v>
      </c>
      <c r="B111" s="112">
        <v>45673.0</v>
      </c>
      <c r="C111" s="17" t="s">
        <v>65</v>
      </c>
      <c r="D111" s="17" t="s">
        <v>537</v>
      </c>
      <c r="E111" s="98" t="s">
        <v>269</v>
      </c>
      <c r="F111" s="98" t="s">
        <v>270</v>
      </c>
      <c r="G111" s="110">
        <v>6000.0</v>
      </c>
      <c r="H111" s="121">
        <v>1400000.0</v>
      </c>
      <c r="I111" s="115" t="s">
        <v>238</v>
      </c>
      <c r="J111" s="121">
        <v>640000.0</v>
      </c>
      <c r="K111" s="98" t="s">
        <v>238</v>
      </c>
      <c r="L111" s="58">
        <f t="shared" si="8"/>
        <v>760000</v>
      </c>
      <c r="M111" s="106">
        <v>70000.0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98">
        <v>13.0</v>
      </c>
      <c r="B112" s="112">
        <v>45674.0</v>
      </c>
      <c r="C112" s="17" t="s">
        <v>65</v>
      </c>
      <c r="D112" s="17" t="s">
        <v>537</v>
      </c>
      <c r="E112" s="98" t="s">
        <v>80</v>
      </c>
      <c r="F112" s="98" t="s">
        <v>574</v>
      </c>
      <c r="G112" s="110">
        <v>9000.0</v>
      </c>
      <c r="H112" s="208">
        <v>1000000.0</v>
      </c>
      <c r="I112" s="115" t="s">
        <v>212</v>
      </c>
      <c r="J112" s="121">
        <v>550000.0</v>
      </c>
      <c r="K112" s="98" t="s">
        <v>238</v>
      </c>
      <c r="L112" s="58">
        <f t="shared" si="8"/>
        <v>450000</v>
      </c>
      <c r="M112" s="61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98">
        <v>14.0</v>
      </c>
      <c r="B113" s="112">
        <v>45675.0</v>
      </c>
      <c r="C113" s="17" t="s">
        <v>65</v>
      </c>
      <c r="D113" s="17" t="s">
        <v>537</v>
      </c>
      <c r="E113" s="98" t="s">
        <v>280</v>
      </c>
      <c r="F113" s="98" t="s">
        <v>346</v>
      </c>
      <c r="G113" s="110">
        <v>9000.0</v>
      </c>
      <c r="H113" s="208">
        <v>1000000.0</v>
      </c>
      <c r="I113" s="115" t="s">
        <v>212</v>
      </c>
      <c r="J113" s="121">
        <v>550000.0</v>
      </c>
      <c r="K113" s="98" t="s">
        <v>212</v>
      </c>
      <c r="L113" s="58">
        <f t="shared" si="8"/>
        <v>450000</v>
      </c>
      <c r="M113" s="61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98">
        <v>15.0</v>
      </c>
      <c r="B114" s="112">
        <v>45677.0</v>
      </c>
      <c r="C114" s="17" t="s">
        <v>65</v>
      </c>
      <c r="D114" s="17" t="s">
        <v>537</v>
      </c>
      <c r="E114" s="98" t="s">
        <v>280</v>
      </c>
      <c r="F114" s="98" t="s">
        <v>328</v>
      </c>
      <c r="G114" s="110">
        <v>9000.0</v>
      </c>
      <c r="H114" s="104">
        <v>1440000.0</v>
      </c>
      <c r="I114" s="115" t="s">
        <v>238</v>
      </c>
      <c r="J114" s="121">
        <v>900000.0</v>
      </c>
      <c r="K114" s="98" t="s">
        <v>212</v>
      </c>
      <c r="L114" s="58">
        <f t="shared" si="8"/>
        <v>540000</v>
      </c>
      <c r="M114" s="61"/>
      <c r="N114" s="11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98">
        <v>16.0</v>
      </c>
      <c r="B115" s="112">
        <v>45678.0</v>
      </c>
      <c r="C115" s="17" t="s">
        <v>65</v>
      </c>
      <c r="D115" s="17" t="s">
        <v>537</v>
      </c>
      <c r="E115" s="98" t="s">
        <v>273</v>
      </c>
      <c r="F115" s="98" t="s">
        <v>286</v>
      </c>
      <c r="G115" s="110">
        <v>9000.0</v>
      </c>
      <c r="H115" s="128">
        <v>900000.0</v>
      </c>
      <c r="I115" s="122" t="s">
        <v>238</v>
      </c>
      <c r="J115" s="128">
        <v>475000.0</v>
      </c>
      <c r="K115" s="98" t="s">
        <v>212</v>
      </c>
      <c r="L115" s="58">
        <f t="shared" si="8"/>
        <v>425000</v>
      </c>
      <c r="M115" s="61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98">
        <v>17.0</v>
      </c>
      <c r="B116" s="112">
        <v>45679.0</v>
      </c>
      <c r="C116" s="17" t="s">
        <v>65</v>
      </c>
      <c r="D116" s="17" t="s">
        <v>537</v>
      </c>
      <c r="E116" s="98" t="s">
        <v>566</v>
      </c>
      <c r="F116" s="98" t="s">
        <v>567</v>
      </c>
      <c r="G116" s="110">
        <v>8000.0</v>
      </c>
      <c r="H116" s="121">
        <v>1700000.0</v>
      </c>
      <c r="I116" s="115" t="s">
        <v>238</v>
      </c>
      <c r="J116" s="121">
        <v>1050000.0</v>
      </c>
      <c r="K116" s="98" t="s">
        <v>212</v>
      </c>
      <c r="L116" s="61">
        <f t="shared" si="8"/>
        <v>650000</v>
      </c>
      <c r="M116" s="61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4">
        <v>18.0</v>
      </c>
      <c r="B117" s="112">
        <v>45681.0</v>
      </c>
      <c r="C117" s="17" t="s">
        <v>65</v>
      </c>
      <c r="D117" s="17" t="s">
        <v>575</v>
      </c>
      <c r="E117" s="98" t="s">
        <v>383</v>
      </c>
      <c r="F117" s="98" t="s">
        <v>259</v>
      </c>
      <c r="G117" s="110">
        <v>10000.0</v>
      </c>
      <c r="H117" s="104">
        <v>1500000.0</v>
      </c>
      <c r="I117" s="115" t="s">
        <v>238</v>
      </c>
      <c r="J117" s="121">
        <v>875000.0</v>
      </c>
      <c r="K117" s="212" t="s">
        <v>212</v>
      </c>
      <c r="L117" s="58">
        <f t="shared" si="8"/>
        <v>625000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4">
        <v>19.0</v>
      </c>
      <c r="B118" s="112">
        <v>45682.0</v>
      </c>
      <c r="C118" s="17" t="s">
        <v>65</v>
      </c>
      <c r="D118" s="17" t="s">
        <v>575</v>
      </c>
      <c r="E118" s="204" t="s">
        <v>576</v>
      </c>
      <c r="F118" s="98" t="s">
        <v>346</v>
      </c>
      <c r="G118" s="110">
        <v>9000.0</v>
      </c>
      <c r="H118" s="208">
        <v>1000000.0</v>
      </c>
      <c r="I118" s="115" t="s">
        <v>238</v>
      </c>
      <c r="J118" s="121">
        <v>550000.0</v>
      </c>
      <c r="K118" s="98" t="s">
        <v>238</v>
      </c>
      <c r="L118" s="58">
        <f t="shared" si="8"/>
        <v>450000</v>
      </c>
      <c r="M118" s="106">
        <v>200000.0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98">
        <v>20.0</v>
      </c>
      <c r="B119" s="112">
        <v>45685.0</v>
      </c>
      <c r="C119" s="17" t="s">
        <v>65</v>
      </c>
      <c r="D119" s="117" t="s">
        <v>577</v>
      </c>
      <c r="E119" s="98" t="s">
        <v>578</v>
      </c>
      <c r="F119" s="98" t="s">
        <v>579</v>
      </c>
      <c r="G119" s="110">
        <v>9000.0</v>
      </c>
      <c r="H119" s="149">
        <v>1035000.0</v>
      </c>
      <c r="I119" s="115" t="s">
        <v>238</v>
      </c>
      <c r="J119" s="149">
        <v>600000.0</v>
      </c>
      <c r="K119" s="98" t="s">
        <v>238</v>
      </c>
      <c r="L119" s="58">
        <f t="shared" si="8"/>
        <v>435000</v>
      </c>
      <c r="M119" s="61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98">
        <v>21.0</v>
      </c>
      <c r="B120" s="112">
        <v>45687.0</v>
      </c>
      <c r="C120" s="17" t="s">
        <v>65</v>
      </c>
      <c r="D120" s="117" t="s">
        <v>577</v>
      </c>
      <c r="E120" s="98" t="s">
        <v>242</v>
      </c>
      <c r="F120" s="98" t="s">
        <v>268</v>
      </c>
      <c r="G120" s="110">
        <v>9000.0</v>
      </c>
      <c r="H120" s="173">
        <v>1400000.0</v>
      </c>
      <c r="I120" s="115" t="s">
        <v>238</v>
      </c>
      <c r="J120" s="193">
        <v>850000.0</v>
      </c>
      <c r="K120" s="98" t="s">
        <v>238</v>
      </c>
      <c r="L120" s="58">
        <f t="shared" si="8"/>
        <v>550000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98">
        <v>22.0</v>
      </c>
      <c r="B121" s="112">
        <v>45688.0</v>
      </c>
      <c r="C121" s="17" t="s">
        <v>65</v>
      </c>
      <c r="D121" s="117" t="s">
        <v>577</v>
      </c>
      <c r="E121" s="98" t="s">
        <v>256</v>
      </c>
      <c r="F121" s="98" t="s">
        <v>580</v>
      </c>
      <c r="G121" s="110">
        <v>8500.0</v>
      </c>
      <c r="H121" s="104">
        <v>1200000.0</v>
      </c>
      <c r="I121" s="115" t="s">
        <v>212</v>
      </c>
      <c r="J121" s="104">
        <v>640000.0</v>
      </c>
      <c r="K121" s="98" t="s">
        <v>238</v>
      </c>
      <c r="L121" s="58">
        <f t="shared" si="8"/>
        <v>560000</v>
      </c>
      <c r="M121" s="61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/>
      <c r="B122" s="7"/>
      <c r="C122" s="7"/>
      <c r="D122" s="7"/>
      <c r="E122" s="17"/>
      <c r="F122" s="17"/>
      <c r="G122" s="57"/>
      <c r="H122" s="104"/>
      <c r="I122" s="97"/>
      <c r="J122" s="104"/>
      <c r="K122" s="17"/>
      <c r="L122" s="52">
        <f t="shared" ref="L122:M122" si="9">SUM(L99:L121)</f>
        <v>12145000</v>
      </c>
      <c r="M122" s="30">
        <f t="shared" si="9"/>
        <v>495000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/>
      <c r="B123" s="7"/>
      <c r="C123" s="7"/>
      <c r="D123" s="7"/>
      <c r="E123" s="17"/>
      <c r="F123" s="17"/>
      <c r="G123" s="57"/>
      <c r="H123" s="104"/>
      <c r="I123" s="97"/>
      <c r="J123" s="104"/>
      <c r="K123" s="17"/>
      <c r="L123" s="33">
        <f>L122-M122</f>
        <v>11650000</v>
      </c>
      <c r="M123" s="26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15"/>
      <c r="B124" s="7"/>
      <c r="C124" s="7"/>
      <c r="D124" s="7"/>
      <c r="E124" s="17"/>
      <c r="F124" s="17"/>
      <c r="G124" s="57"/>
      <c r="H124" s="104"/>
      <c r="I124" s="97"/>
      <c r="J124" s="104"/>
      <c r="K124" s="17"/>
      <c r="L124" s="7"/>
      <c r="M124" s="61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9" t="s">
        <v>209</v>
      </c>
      <c r="B125" s="89" t="s">
        <v>0</v>
      </c>
      <c r="C125" s="89" t="s">
        <v>1</v>
      </c>
      <c r="D125" s="89" t="s">
        <v>2</v>
      </c>
      <c r="E125" s="90" t="s">
        <v>3</v>
      </c>
      <c r="F125" s="89" t="s">
        <v>4</v>
      </c>
      <c r="G125" s="91" t="s">
        <v>5</v>
      </c>
      <c r="H125" s="119" t="s">
        <v>6</v>
      </c>
      <c r="I125" s="92" t="s">
        <v>39</v>
      </c>
      <c r="J125" s="119" t="s">
        <v>7</v>
      </c>
      <c r="K125" s="91" t="s">
        <v>39</v>
      </c>
      <c r="L125" s="92" t="s">
        <v>8</v>
      </c>
      <c r="M125" s="120" t="s">
        <v>9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3">
        <v>1.0</v>
      </c>
      <c r="B126" s="112">
        <v>45689.0</v>
      </c>
      <c r="C126" s="17" t="s">
        <v>65</v>
      </c>
      <c r="D126" s="117" t="s">
        <v>577</v>
      </c>
      <c r="E126" s="204" t="s">
        <v>581</v>
      </c>
      <c r="F126" s="98" t="s">
        <v>268</v>
      </c>
      <c r="G126" s="110">
        <v>9000.0</v>
      </c>
      <c r="H126" s="215">
        <v>1404000.0</v>
      </c>
      <c r="I126" s="125" t="s">
        <v>238</v>
      </c>
      <c r="J126" s="193">
        <v>850000.0</v>
      </c>
      <c r="K126" s="98" t="s">
        <v>212</v>
      </c>
      <c r="L126" s="58">
        <f t="shared" ref="L126:L145" si="10">H126-J126</f>
        <v>554000</v>
      </c>
      <c r="M126" s="14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98">
        <v>2.0</v>
      </c>
      <c r="B127" s="112">
        <v>45691.0</v>
      </c>
      <c r="C127" s="17" t="s">
        <v>65</v>
      </c>
      <c r="D127" s="117" t="s">
        <v>577</v>
      </c>
      <c r="E127" s="98" t="s">
        <v>243</v>
      </c>
      <c r="F127" s="98" t="s">
        <v>260</v>
      </c>
      <c r="G127" s="57">
        <v>10000.0</v>
      </c>
      <c r="H127" s="61">
        <v>1500000.0</v>
      </c>
      <c r="I127" s="125" t="s">
        <v>238</v>
      </c>
      <c r="J127" s="101">
        <v>975000.0</v>
      </c>
      <c r="K127" s="98" t="s">
        <v>212</v>
      </c>
      <c r="L127" s="61">
        <f t="shared" si="10"/>
        <v>525000</v>
      </c>
      <c r="M127" s="106">
        <v>1455000.0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98">
        <v>3.0</v>
      </c>
      <c r="B128" s="112">
        <v>45692.0</v>
      </c>
      <c r="C128" s="17" t="s">
        <v>65</v>
      </c>
      <c r="D128" s="117" t="s">
        <v>577</v>
      </c>
      <c r="E128" s="98" t="s">
        <v>273</v>
      </c>
      <c r="F128" s="204" t="s">
        <v>582</v>
      </c>
      <c r="G128" s="170">
        <v>9000.0</v>
      </c>
      <c r="H128" s="149">
        <v>1035000.0</v>
      </c>
      <c r="I128" s="115" t="s">
        <v>212</v>
      </c>
      <c r="J128" s="150">
        <v>625000.0</v>
      </c>
      <c r="K128" s="98" t="s">
        <v>212</v>
      </c>
      <c r="L128" s="58">
        <f t="shared" si="10"/>
        <v>410000</v>
      </c>
      <c r="M128" s="61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98">
        <v>4.0</v>
      </c>
      <c r="B129" s="112">
        <v>45693.0</v>
      </c>
      <c r="C129" s="17" t="s">
        <v>65</v>
      </c>
      <c r="D129" s="117" t="s">
        <v>577</v>
      </c>
      <c r="E129" s="98" t="s">
        <v>273</v>
      </c>
      <c r="F129" s="98" t="s">
        <v>207</v>
      </c>
      <c r="G129" s="110">
        <v>10000.0</v>
      </c>
      <c r="H129" s="121">
        <v>1600000.0</v>
      </c>
      <c r="I129" s="115" t="s">
        <v>238</v>
      </c>
      <c r="J129" s="121">
        <v>975000.0</v>
      </c>
      <c r="K129" s="98" t="s">
        <v>238</v>
      </c>
      <c r="L129" s="61">
        <f t="shared" si="10"/>
        <v>625000</v>
      </c>
      <c r="M129" s="61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98">
        <v>5.0</v>
      </c>
      <c r="B130" s="112">
        <v>45694.0</v>
      </c>
      <c r="C130" s="17" t="s">
        <v>65</v>
      </c>
      <c r="D130" s="117" t="s">
        <v>577</v>
      </c>
      <c r="E130" s="98" t="s">
        <v>256</v>
      </c>
      <c r="F130" s="98" t="s">
        <v>271</v>
      </c>
      <c r="G130" s="110">
        <v>9000.0</v>
      </c>
      <c r="H130" s="121">
        <v>675000.0</v>
      </c>
      <c r="I130" s="115" t="s">
        <v>238</v>
      </c>
      <c r="J130" s="121">
        <v>375000.0</v>
      </c>
      <c r="K130" s="98" t="s">
        <v>238</v>
      </c>
      <c r="L130" s="61">
        <f t="shared" si="10"/>
        <v>300000</v>
      </c>
      <c r="M130" s="61"/>
      <c r="N130" s="11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98">
        <v>6.0</v>
      </c>
      <c r="B131" s="112">
        <v>45695.0</v>
      </c>
      <c r="C131" s="17" t="s">
        <v>65</v>
      </c>
      <c r="D131" s="117" t="s">
        <v>577</v>
      </c>
      <c r="E131" s="98" t="s">
        <v>273</v>
      </c>
      <c r="F131" s="98" t="s">
        <v>511</v>
      </c>
      <c r="G131" s="110">
        <v>10000.0</v>
      </c>
      <c r="H131" s="104">
        <v>1500000.0</v>
      </c>
      <c r="I131" s="122" t="s">
        <v>238</v>
      </c>
      <c r="J131" s="121">
        <v>325000.0</v>
      </c>
      <c r="K131" s="98" t="s">
        <v>238</v>
      </c>
      <c r="L131" s="61">
        <f t="shared" si="10"/>
        <v>1175000</v>
      </c>
      <c r="M131" s="106">
        <v>586000.0</v>
      </c>
      <c r="N131" s="11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98">
        <v>7.0</v>
      </c>
      <c r="B132" s="112">
        <v>45696.0</v>
      </c>
      <c r="C132" s="17" t="s">
        <v>65</v>
      </c>
      <c r="D132" s="117" t="s">
        <v>577</v>
      </c>
      <c r="E132" s="98" t="s">
        <v>280</v>
      </c>
      <c r="F132" s="98" t="s">
        <v>583</v>
      </c>
      <c r="G132" s="110">
        <v>9000.0</v>
      </c>
      <c r="H132" s="121">
        <v>1200000.0</v>
      </c>
      <c r="I132" s="115" t="s">
        <v>238</v>
      </c>
      <c r="J132" s="121">
        <v>800000.0</v>
      </c>
      <c r="K132" s="98" t="s">
        <v>238</v>
      </c>
      <c r="L132" s="61">
        <f t="shared" si="10"/>
        <v>400000</v>
      </c>
      <c r="M132" s="61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98">
        <v>8.0</v>
      </c>
      <c r="B133" s="112">
        <v>45698.0</v>
      </c>
      <c r="C133" s="17" t="s">
        <v>65</v>
      </c>
      <c r="D133" s="117" t="s">
        <v>577</v>
      </c>
      <c r="E133" s="98" t="s">
        <v>273</v>
      </c>
      <c r="F133" s="98" t="s">
        <v>271</v>
      </c>
      <c r="G133" s="110">
        <v>9000.0</v>
      </c>
      <c r="H133" s="121">
        <v>675000.0</v>
      </c>
      <c r="I133" s="115" t="s">
        <v>238</v>
      </c>
      <c r="J133" s="121">
        <v>400000.0</v>
      </c>
      <c r="K133" s="213" t="s">
        <v>212</v>
      </c>
      <c r="L133" s="61">
        <f t="shared" si="10"/>
        <v>275000</v>
      </c>
      <c r="M133" s="61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98">
        <v>9.0</v>
      </c>
      <c r="B134" s="112">
        <v>45699.0</v>
      </c>
      <c r="C134" s="17" t="s">
        <v>65</v>
      </c>
      <c r="D134" s="117" t="s">
        <v>577</v>
      </c>
      <c r="E134" s="98" t="s">
        <v>254</v>
      </c>
      <c r="F134" s="98" t="s">
        <v>323</v>
      </c>
      <c r="G134" s="110">
        <v>10000.0</v>
      </c>
      <c r="H134" s="121">
        <v>1500000.0</v>
      </c>
      <c r="I134" s="115" t="s">
        <v>238</v>
      </c>
      <c r="J134" s="121">
        <v>830000.0</v>
      </c>
      <c r="K134" s="98" t="s">
        <v>238</v>
      </c>
      <c r="L134" s="61">
        <f t="shared" si="10"/>
        <v>670000</v>
      </c>
      <c r="M134" s="61"/>
      <c r="N134" s="11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98">
        <v>10.0</v>
      </c>
      <c r="B135" s="112">
        <v>45700.0</v>
      </c>
      <c r="C135" s="17" t="s">
        <v>65</v>
      </c>
      <c r="D135" s="117" t="s">
        <v>577</v>
      </c>
      <c r="E135" s="98" t="s">
        <v>242</v>
      </c>
      <c r="F135" s="98" t="s">
        <v>259</v>
      </c>
      <c r="G135" s="110">
        <v>10000.0</v>
      </c>
      <c r="H135" s="121">
        <v>1500000.0</v>
      </c>
      <c r="I135" s="115" t="s">
        <v>238</v>
      </c>
      <c r="J135" s="121">
        <v>850000.0</v>
      </c>
      <c r="K135" s="98" t="s">
        <v>238</v>
      </c>
      <c r="L135" s="61">
        <f t="shared" si="10"/>
        <v>650000</v>
      </c>
      <c r="M135" s="61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98">
        <v>11.0</v>
      </c>
      <c r="B136" s="112">
        <v>45702.0</v>
      </c>
      <c r="C136" s="17" t="s">
        <v>65</v>
      </c>
      <c r="D136" s="117" t="s">
        <v>577</v>
      </c>
      <c r="E136" s="98" t="s">
        <v>584</v>
      </c>
      <c r="F136" s="98" t="s">
        <v>323</v>
      </c>
      <c r="G136" s="110">
        <v>10000.0</v>
      </c>
      <c r="H136" s="121">
        <v>1500000.0</v>
      </c>
      <c r="I136" s="115" t="s">
        <v>238</v>
      </c>
      <c r="J136" s="121">
        <v>830000.0</v>
      </c>
      <c r="K136" s="98" t="s">
        <v>238</v>
      </c>
      <c r="L136" s="61">
        <f t="shared" si="10"/>
        <v>670000</v>
      </c>
      <c r="M136" s="61"/>
      <c r="N136" s="11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98">
        <v>12.0</v>
      </c>
      <c r="B137" s="112">
        <v>45705.0</v>
      </c>
      <c r="C137" s="17" t="s">
        <v>65</v>
      </c>
      <c r="D137" s="117" t="s">
        <v>577</v>
      </c>
      <c r="E137" s="98" t="s">
        <v>243</v>
      </c>
      <c r="F137" s="98" t="s">
        <v>268</v>
      </c>
      <c r="G137" s="110">
        <v>9000.0</v>
      </c>
      <c r="H137" s="173">
        <v>1400000.0</v>
      </c>
      <c r="I137" s="211" t="s">
        <v>238</v>
      </c>
      <c r="J137" s="193">
        <v>850000.0</v>
      </c>
      <c r="K137" s="98" t="s">
        <v>212</v>
      </c>
      <c r="L137" s="58">
        <f t="shared" si="10"/>
        <v>550000</v>
      </c>
      <c r="M137" s="61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98">
        <v>13.0</v>
      </c>
      <c r="B138" s="112">
        <v>45706.0</v>
      </c>
      <c r="C138" s="17" t="s">
        <v>65</v>
      </c>
      <c r="D138" s="117" t="s">
        <v>577</v>
      </c>
      <c r="E138" s="98" t="s">
        <v>273</v>
      </c>
      <c r="F138" s="98" t="s">
        <v>287</v>
      </c>
      <c r="G138" s="110">
        <v>10000.0</v>
      </c>
      <c r="H138" s="121">
        <v>1300000.0</v>
      </c>
      <c r="I138" s="115" t="s">
        <v>212</v>
      </c>
      <c r="J138" s="121">
        <v>765000.0</v>
      </c>
      <c r="K138" s="98" t="s">
        <v>212</v>
      </c>
      <c r="L138" s="58">
        <f t="shared" si="10"/>
        <v>535000</v>
      </c>
      <c r="M138" s="61"/>
      <c r="N138" s="11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98">
        <v>14.0</v>
      </c>
      <c r="B139" s="112">
        <v>45709.0</v>
      </c>
      <c r="C139" s="17" t="s">
        <v>65</v>
      </c>
      <c r="D139" s="117" t="s">
        <v>577</v>
      </c>
      <c r="E139" s="98" t="s">
        <v>273</v>
      </c>
      <c r="F139" s="98" t="s">
        <v>214</v>
      </c>
      <c r="G139" s="110">
        <v>10000.0</v>
      </c>
      <c r="H139" s="121">
        <v>1450000.0</v>
      </c>
      <c r="I139" s="115" t="s">
        <v>238</v>
      </c>
      <c r="J139" s="121">
        <v>975000.0</v>
      </c>
      <c r="K139" s="98" t="s">
        <v>212</v>
      </c>
      <c r="L139" s="58">
        <f t="shared" si="10"/>
        <v>475000</v>
      </c>
      <c r="M139" s="61"/>
      <c r="N139" s="11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98">
        <v>15.0</v>
      </c>
      <c r="B140" s="112">
        <v>45710.0</v>
      </c>
      <c r="C140" s="17" t="s">
        <v>65</v>
      </c>
      <c r="D140" s="117" t="s">
        <v>577</v>
      </c>
      <c r="E140" s="98" t="s">
        <v>242</v>
      </c>
      <c r="F140" s="98" t="s">
        <v>324</v>
      </c>
      <c r="G140" s="110">
        <v>9000.0</v>
      </c>
      <c r="H140" s="121">
        <v>675000.0</v>
      </c>
      <c r="I140" s="115" t="s">
        <v>212</v>
      </c>
      <c r="J140" s="121">
        <v>350000.0</v>
      </c>
      <c r="K140" s="98" t="s">
        <v>212</v>
      </c>
      <c r="L140" s="58">
        <f t="shared" si="10"/>
        <v>325000</v>
      </c>
      <c r="M140" s="106">
        <v>24000.0</v>
      </c>
      <c r="N140" s="11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98">
        <v>16.0</v>
      </c>
      <c r="B141" s="112">
        <v>45712.0</v>
      </c>
      <c r="C141" s="17" t="s">
        <v>65</v>
      </c>
      <c r="D141" s="117" t="s">
        <v>577</v>
      </c>
      <c r="E141" s="98" t="s">
        <v>273</v>
      </c>
      <c r="F141" s="98" t="s">
        <v>281</v>
      </c>
      <c r="G141" s="110">
        <v>10000.0</v>
      </c>
      <c r="H141" s="121">
        <v>1600000.0</v>
      </c>
      <c r="I141" s="115" t="s">
        <v>238</v>
      </c>
      <c r="J141" s="121">
        <v>975000.0</v>
      </c>
      <c r="K141" s="98" t="s">
        <v>212</v>
      </c>
      <c r="L141" s="58">
        <f t="shared" si="10"/>
        <v>625000</v>
      </c>
      <c r="M141" s="61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98">
        <v>17.0</v>
      </c>
      <c r="B142" s="112">
        <v>45713.0</v>
      </c>
      <c r="C142" s="17" t="s">
        <v>65</v>
      </c>
      <c r="D142" s="117" t="s">
        <v>577</v>
      </c>
      <c r="E142" s="98" t="s">
        <v>279</v>
      </c>
      <c r="F142" s="98" t="s">
        <v>585</v>
      </c>
      <c r="G142" s="110">
        <v>9000.0</v>
      </c>
      <c r="H142" s="121">
        <v>1350000.0</v>
      </c>
      <c r="I142" s="115" t="s">
        <v>212</v>
      </c>
      <c r="J142" s="121">
        <v>850000.0</v>
      </c>
      <c r="K142" s="98" t="s">
        <v>238</v>
      </c>
      <c r="L142" s="58">
        <f t="shared" si="10"/>
        <v>500000</v>
      </c>
      <c r="M142" s="61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98">
        <v>18.0</v>
      </c>
      <c r="B143" s="112">
        <v>45715.0</v>
      </c>
      <c r="C143" s="17" t="s">
        <v>65</v>
      </c>
      <c r="D143" s="117" t="s">
        <v>577</v>
      </c>
      <c r="E143" s="98" t="s">
        <v>269</v>
      </c>
      <c r="F143" s="98" t="s">
        <v>586</v>
      </c>
      <c r="G143" s="57"/>
      <c r="H143" s="121">
        <v>1400000.0</v>
      </c>
      <c r="I143" s="115" t="s">
        <v>238</v>
      </c>
      <c r="J143" s="121">
        <v>640000.0</v>
      </c>
      <c r="K143" s="98" t="s">
        <v>212</v>
      </c>
      <c r="L143" s="58">
        <f t="shared" si="10"/>
        <v>760000</v>
      </c>
      <c r="M143" s="61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98">
        <v>19.0</v>
      </c>
      <c r="B144" s="112">
        <v>45715.0</v>
      </c>
      <c r="C144" s="17" t="s">
        <v>65</v>
      </c>
      <c r="D144" s="117" t="s">
        <v>577</v>
      </c>
      <c r="E144" s="98" t="s">
        <v>243</v>
      </c>
      <c r="F144" s="98" t="s">
        <v>268</v>
      </c>
      <c r="G144" s="110">
        <v>9000.0</v>
      </c>
      <c r="H144" s="121">
        <v>1400000.0</v>
      </c>
      <c r="I144" s="115" t="s">
        <v>238</v>
      </c>
      <c r="J144" s="121">
        <v>850000.0</v>
      </c>
      <c r="K144" s="98" t="s">
        <v>212</v>
      </c>
      <c r="L144" s="58">
        <f t="shared" si="10"/>
        <v>550000</v>
      </c>
      <c r="M144" s="61"/>
      <c r="N144" s="11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98">
        <v>20.0</v>
      </c>
      <c r="B145" s="112">
        <v>45716.0</v>
      </c>
      <c r="C145" s="17" t="s">
        <v>65</v>
      </c>
      <c r="D145" s="117" t="s">
        <v>577</v>
      </c>
      <c r="E145" s="98" t="s">
        <v>279</v>
      </c>
      <c r="F145" s="98" t="s">
        <v>271</v>
      </c>
      <c r="G145" s="110">
        <v>9000.0</v>
      </c>
      <c r="H145" s="121">
        <v>675000.0</v>
      </c>
      <c r="I145" s="115" t="s">
        <v>238</v>
      </c>
      <c r="J145" s="121">
        <v>400000.0</v>
      </c>
      <c r="K145" s="98" t="s">
        <v>212</v>
      </c>
      <c r="L145" s="58">
        <f t="shared" si="10"/>
        <v>275000</v>
      </c>
      <c r="M145" s="106">
        <v>180000.0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/>
      <c r="B146" s="7"/>
      <c r="C146" s="7"/>
      <c r="D146" s="7"/>
      <c r="E146" s="17"/>
      <c r="F146" s="17"/>
      <c r="G146" s="57"/>
      <c r="H146" s="104"/>
      <c r="I146" s="97"/>
      <c r="J146" s="104"/>
      <c r="K146" s="17"/>
      <c r="L146" s="52">
        <f t="shared" ref="L146:M146" si="11">SUM(L126:L145)</f>
        <v>10849000</v>
      </c>
      <c r="M146" s="30">
        <f t="shared" si="11"/>
        <v>2245000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7"/>
      <c r="B147" s="7"/>
      <c r="C147" s="7"/>
      <c r="D147" s="7"/>
      <c r="E147" s="17"/>
      <c r="F147" s="17"/>
      <c r="G147" s="57"/>
      <c r="I147" s="97"/>
      <c r="J147" s="104"/>
      <c r="K147" s="17"/>
      <c r="L147" s="33">
        <f>L146-M146</f>
        <v>8604000</v>
      </c>
      <c r="M147" s="2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7"/>
      <c r="B148" s="7"/>
      <c r="C148" s="7"/>
      <c r="D148" s="7"/>
      <c r="E148" s="17"/>
      <c r="F148" s="17"/>
      <c r="G148" s="57"/>
      <c r="H148" s="104"/>
      <c r="I148" s="97"/>
      <c r="J148" s="104"/>
      <c r="K148" s="17"/>
      <c r="L148" s="7"/>
      <c r="M148" s="61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9" t="s">
        <v>209</v>
      </c>
      <c r="B149" s="89" t="s">
        <v>0</v>
      </c>
      <c r="C149" s="89" t="s">
        <v>1</v>
      </c>
      <c r="D149" s="89" t="s">
        <v>2</v>
      </c>
      <c r="E149" s="90" t="s">
        <v>3</v>
      </c>
      <c r="F149" s="89" t="s">
        <v>4</v>
      </c>
      <c r="G149" s="91" t="s">
        <v>5</v>
      </c>
      <c r="H149" s="119" t="s">
        <v>6</v>
      </c>
      <c r="I149" s="92" t="s">
        <v>39</v>
      </c>
      <c r="J149" s="119" t="s">
        <v>7</v>
      </c>
      <c r="K149" s="91" t="s">
        <v>39</v>
      </c>
      <c r="L149" s="92" t="s">
        <v>8</v>
      </c>
      <c r="M149" s="120" t="s">
        <v>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3">
        <v>1.0</v>
      </c>
      <c r="B150" s="112">
        <v>45717.0</v>
      </c>
      <c r="C150" s="17" t="s">
        <v>65</v>
      </c>
      <c r="D150" s="98" t="s">
        <v>577</v>
      </c>
      <c r="E150" s="204" t="s">
        <v>243</v>
      </c>
      <c r="F150" s="98" t="s">
        <v>271</v>
      </c>
      <c r="G150" s="110">
        <v>9000.0</v>
      </c>
      <c r="H150" s="215">
        <v>675000.0</v>
      </c>
      <c r="I150" s="125" t="s">
        <v>238</v>
      </c>
      <c r="J150" s="232">
        <v>375000.0</v>
      </c>
      <c r="K150" s="98" t="s">
        <v>212</v>
      </c>
      <c r="L150" s="58">
        <f t="shared" ref="L150:L167" si="12">H150-J150</f>
        <v>300000</v>
      </c>
      <c r="M150" s="14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98">
        <v>2.0</v>
      </c>
      <c r="B151" s="112">
        <v>45719.0</v>
      </c>
      <c r="C151" s="17" t="s">
        <v>65</v>
      </c>
      <c r="D151" s="98" t="s">
        <v>577</v>
      </c>
      <c r="E151" s="98" t="s">
        <v>273</v>
      </c>
      <c r="F151" s="98" t="s">
        <v>298</v>
      </c>
      <c r="G151" s="110">
        <v>9000.0</v>
      </c>
      <c r="H151" s="121">
        <v>1350000.0</v>
      </c>
      <c r="I151" s="108" t="s">
        <v>238</v>
      </c>
      <c r="J151" s="109">
        <v>925000.0</v>
      </c>
      <c r="K151" s="98" t="s">
        <v>212</v>
      </c>
      <c r="L151" s="124">
        <f t="shared" si="12"/>
        <v>425000</v>
      </c>
      <c r="M151" s="61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98">
        <v>3.0</v>
      </c>
      <c r="B152" s="112">
        <v>45721.0</v>
      </c>
      <c r="C152" s="17" t="s">
        <v>65</v>
      </c>
      <c r="D152" s="98" t="s">
        <v>577</v>
      </c>
      <c r="E152" s="98" t="s">
        <v>123</v>
      </c>
      <c r="F152" s="98" t="s">
        <v>302</v>
      </c>
      <c r="G152" s="110">
        <v>9000.0</v>
      </c>
      <c r="H152" s="121">
        <v>720000.0</v>
      </c>
      <c r="I152" s="115" t="s">
        <v>238</v>
      </c>
      <c r="J152" s="121">
        <v>350000.0</v>
      </c>
      <c r="K152" s="98" t="s">
        <v>212</v>
      </c>
      <c r="L152" s="124">
        <f t="shared" si="12"/>
        <v>370000</v>
      </c>
      <c r="M152" s="61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98">
        <v>4.0</v>
      </c>
      <c r="B153" s="112">
        <v>45722.0</v>
      </c>
      <c r="C153" s="17" t="s">
        <v>65</v>
      </c>
      <c r="D153" s="98" t="s">
        <v>577</v>
      </c>
      <c r="E153" s="98" t="s">
        <v>327</v>
      </c>
      <c r="F153" s="98" t="s">
        <v>587</v>
      </c>
      <c r="G153" s="110">
        <v>9000.0</v>
      </c>
      <c r="H153" s="121">
        <v>900000.0</v>
      </c>
      <c r="I153" s="115" t="s">
        <v>238</v>
      </c>
      <c r="J153" s="121">
        <v>425000.0</v>
      </c>
      <c r="K153" s="98" t="s">
        <v>238</v>
      </c>
      <c r="L153" s="124">
        <f t="shared" si="12"/>
        <v>475000</v>
      </c>
      <c r="M153" s="61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98">
        <v>5.0</v>
      </c>
      <c r="B154" s="112">
        <v>45723.0</v>
      </c>
      <c r="C154" s="17" t="s">
        <v>65</v>
      </c>
      <c r="D154" s="98" t="s">
        <v>577</v>
      </c>
      <c r="E154" s="98" t="s">
        <v>273</v>
      </c>
      <c r="F154" s="98" t="s">
        <v>259</v>
      </c>
      <c r="G154" s="110">
        <v>10000.0</v>
      </c>
      <c r="H154" s="121">
        <v>1500000.0</v>
      </c>
      <c r="I154" s="115" t="s">
        <v>238</v>
      </c>
      <c r="J154" s="121">
        <v>875000.0</v>
      </c>
      <c r="K154" s="98" t="s">
        <v>212</v>
      </c>
      <c r="L154" s="124">
        <f t="shared" si="12"/>
        <v>625000</v>
      </c>
      <c r="M154" s="61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98">
        <v>6.0</v>
      </c>
      <c r="B155" s="112">
        <v>45726.0</v>
      </c>
      <c r="C155" s="17" t="s">
        <v>65</v>
      </c>
      <c r="D155" s="98" t="s">
        <v>577</v>
      </c>
      <c r="E155" s="98" t="s">
        <v>273</v>
      </c>
      <c r="F155" s="98" t="s">
        <v>303</v>
      </c>
      <c r="G155" s="110">
        <v>9000.0</v>
      </c>
      <c r="H155" s="121">
        <v>1215000.0</v>
      </c>
      <c r="I155" s="115" t="s">
        <v>238</v>
      </c>
      <c r="J155" s="121">
        <v>725000.0</v>
      </c>
      <c r="K155" s="98" t="s">
        <v>212</v>
      </c>
      <c r="L155" s="124">
        <f t="shared" si="12"/>
        <v>490000</v>
      </c>
      <c r="M155" s="106">
        <v>115000.0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98">
        <v>7.0</v>
      </c>
      <c r="B156" s="112">
        <v>45727.0</v>
      </c>
      <c r="C156" s="17" t="s">
        <v>65</v>
      </c>
      <c r="D156" s="98" t="s">
        <v>577</v>
      </c>
      <c r="E156" s="98" t="s">
        <v>279</v>
      </c>
      <c r="F156" s="98" t="s">
        <v>330</v>
      </c>
      <c r="G156" s="110">
        <v>8500.0</v>
      </c>
      <c r="H156" s="121">
        <v>1200000.0</v>
      </c>
      <c r="I156" s="115" t="s">
        <v>212</v>
      </c>
      <c r="J156" s="121">
        <v>640000.0</v>
      </c>
      <c r="K156" s="98" t="s">
        <v>212</v>
      </c>
      <c r="L156" s="124">
        <f t="shared" si="12"/>
        <v>560000</v>
      </c>
      <c r="M156" s="106">
        <v>564000.0</v>
      </c>
      <c r="N156" s="11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98">
        <v>8.0</v>
      </c>
      <c r="B157" s="112">
        <v>45730.0</v>
      </c>
      <c r="C157" s="17" t="s">
        <v>65</v>
      </c>
      <c r="D157" s="98" t="s">
        <v>577</v>
      </c>
      <c r="E157" s="98" t="s">
        <v>273</v>
      </c>
      <c r="F157" s="98" t="s">
        <v>294</v>
      </c>
      <c r="G157" s="110">
        <v>9000.0</v>
      </c>
      <c r="H157" s="121">
        <v>765000.0</v>
      </c>
      <c r="I157" s="115" t="s">
        <v>212</v>
      </c>
      <c r="J157" s="121">
        <v>425000.0</v>
      </c>
      <c r="K157" s="98" t="s">
        <v>212</v>
      </c>
      <c r="L157" s="124">
        <f t="shared" si="12"/>
        <v>340000</v>
      </c>
      <c r="M157" s="61"/>
      <c r="N157" s="11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98">
        <v>9.0</v>
      </c>
      <c r="B158" s="112">
        <v>45731.0</v>
      </c>
      <c r="C158" s="17" t="s">
        <v>65</v>
      </c>
      <c r="D158" s="98" t="s">
        <v>577</v>
      </c>
      <c r="E158" s="98" t="s">
        <v>243</v>
      </c>
      <c r="F158" s="98" t="s">
        <v>268</v>
      </c>
      <c r="G158" s="110">
        <v>9000.0</v>
      </c>
      <c r="H158" s="121">
        <v>1400000.0</v>
      </c>
      <c r="I158" s="115" t="s">
        <v>238</v>
      </c>
      <c r="J158" s="121">
        <v>850000.0</v>
      </c>
      <c r="K158" s="98" t="s">
        <v>212</v>
      </c>
      <c r="L158" s="124">
        <f t="shared" si="12"/>
        <v>550000</v>
      </c>
      <c r="M158" s="61"/>
      <c r="N158" s="11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98">
        <v>10.0</v>
      </c>
      <c r="B159" s="112">
        <v>45732.0</v>
      </c>
      <c r="C159" s="17" t="s">
        <v>65</v>
      </c>
      <c r="D159" s="98" t="s">
        <v>577</v>
      </c>
      <c r="E159" s="98" t="s">
        <v>327</v>
      </c>
      <c r="F159" s="98" t="s">
        <v>304</v>
      </c>
      <c r="G159" s="110">
        <v>9000.0</v>
      </c>
      <c r="H159" s="121">
        <v>900000.0</v>
      </c>
      <c r="I159" s="115" t="s">
        <v>212</v>
      </c>
      <c r="J159" s="121">
        <v>425000.0</v>
      </c>
      <c r="K159" s="98" t="s">
        <v>212</v>
      </c>
      <c r="L159" s="124">
        <f t="shared" si="12"/>
        <v>475000</v>
      </c>
      <c r="M159" s="61"/>
      <c r="N159" s="11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98">
        <v>11.0</v>
      </c>
      <c r="B160" s="112">
        <v>45733.0</v>
      </c>
      <c r="C160" s="17" t="s">
        <v>65</v>
      </c>
      <c r="D160" s="98" t="s">
        <v>577</v>
      </c>
      <c r="E160" s="98" t="s">
        <v>320</v>
      </c>
      <c r="F160" s="98" t="s">
        <v>296</v>
      </c>
      <c r="G160" s="110">
        <v>9000.0</v>
      </c>
      <c r="H160" s="121">
        <v>765000.0</v>
      </c>
      <c r="I160" s="115" t="s">
        <v>238</v>
      </c>
      <c r="J160" s="121">
        <v>450000.0</v>
      </c>
      <c r="K160" s="98" t="s">
        <v>212</v>
      </c>
      <c r="L160" s="124">
        <f t="shared" si="12"/>
        <v>315000</v>
      </c>
      <c r="M160" s="106">
        <v>150000.0</v>
      </c>
      <c r="N160" s="11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98">
        <v>12.0</v>
      </c>
      <c r="B161" s="112">
        <v>45734.0</v>
      </c>
      <c r="C161" s="17" t="s">
        <v>65</v>
      </c>
      <c r="D161" s="98" t="s">
        <v>577</v>
      </c>
      <c r="E161" s="98" t="s">
        <v>242</v>
      </c>
      <c r="F161" s="98" t="s">
        <v>507</v>
      </c>
      <c r="G161" s="110">
        <v>10000.0</v>
      </c>
      <c r="H161" s="121">
        <v>1000000.0</v>
      </c>
      <c r="I161" s="115" t="s">
        <v>238</v>
      </c>
      <c r="J161" s="121">
        <v>475000.0</v>
      </c>
      <c r="K161" s="98" t="s">
        <v>212</v>
      </c>
      <c r="L161" s="124">
        <f t="shared" si="12"/>
        <v>525000</v>
      </c>
      <c r="M161" s="61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98">
        <v>13.0</v>
      </c>
      <c r="B162" s="112">
        <v>45735.0</v>
      </c>
      <c r="C162" s="17" t="s">
        <v>65</v>
      </c>
      <c r="D162" s="98" t="s">
        <v>577</v>
      </c>
      <c r="E162" s="98" t="s">
        <v>123</v>
      </c>
      <c r="F162" s="98" t="s">
        <v>311</v>
      </c>
      <c r="G162" s="110">
        <v>9000.0</v>
      </c>
      <c r="H162" s="121">
        <v>720000.0</v>
      </c>
      <c r="I162" s="115" t="s">
        <v>212</v>
      </c>
      <c r="J162" s="121">
        <v>350000.0</v>
      </c>
      <c r="K162" s="98" t="s">
        <v>212</v>
      </c>
      <c r="L162" s="124">
        <f t="shared" si="12"/>
        <v>370000</v>
      </c>
      <c r="M162" s="61"/>
      <c r="N162" s="11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4">
        <v>12.0</v>
      </c>
      <c r="B163" s="112">
        <v>45737.0</v>
      </c>
      <c r="C163" s="17" t="s">
        <v>65</v>
      </c>
      <c r="D163" s="143" t="s">
        <v>588</v>
      </c>
      <c r="E163" s="204" t="s">
        <v>279</v>
      </c>
      <c r="F163" s="204" t="s">
        <v>589</v>
      </c>
      <c r="G163" s="151">
        <v>9000.0</v>
      </c>
      <c r="H163" s="135">
        <v>1305000.0</v>
      </c>
      <c r="I163" s="206" t="s">
        <v>238</v>
      </c>
      <c r="J163" s="207">
        <v>725000.0</v>
      </c>
      <c r="K163" s="212" t="s">
        <v>212</v>
      </c>
      <c r="L163" s="58">
        <f t="shared" si="12"/>
        <v>580000</v>
      </c>
      <c r="M163" s="61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98">
        <v>13.0</v>
      </c>
      <c r="B164" s="112">
        <v>45740.0</v>
      </c>
      <c r="C164" s="17" t="s">
        <v>65</v>
      </c>
      <c r="D164" s="98" t="s">
        <v>590</v>
      </c>
      <c r="E164" s="98" t="s">
        <v>243</v>
      </c>
      <c r="F164" s="98" t="s">
        <v>295</v>
      </c>
      <c r="G164" s="151">
        <v>9000.0</v>
      </c>
      <c r="H164" s="121">
        <v>1125000.0</v>
      </c>
      <c r="I164" s="115" t="s">
        <v>212</v>
      </c>
      <c r="J164" s="121">
        <v>640000.0</v>
      </c>
      <c r="K164" s="212" t="s">
        <v>212</v>
      </c>
      <c r="L164" s="58">
        <f t="shared" si="12"/>
        <v>485000</v>
      </c>
      <c r="M164" s="61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98">
        <v>14.0</v>
      </c>
      <c r="B165" s="112">
        <v>45742.0</v>
      </c>
      <c r="C165" s="17" t="s">
        <v>65</v>
      </c>
      <c r="D165" s="98" t="s">
        <v>590</v>
      </c>
      <c r="E165" s="98" t="s">
        <v>243</v>
      </c>
      <c r="F165" s="98" t="s">
        <v>295</v>
      </c>
      <c r="G165" s="110">
        <v>8500.0</v>
      </c>
      <c r="H165" s="121">
        <v>1065000.0</v>
      </c>
      <c r="I165" s="115" t="s">
        <v>212</v>
      </c>
      <c r="J165" s="121">
        <v>615000.0</v>
      </c>
      <c r="K165" s="212" t="s">
        <v>212</v>
      </c>
      <c r="L165" s="58">
        <f t="shared" si="12"/>
        <v>450000</v>
      </c>
      <c r="M165" s="61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98">
        <v>15.0</v>
      </c>
      <c r="B166" s="112">
        <v>45743.0</v>
      </c>
      <c r="C166" s="17" t="s">
        <v>65</v>
      </c>
      <c r="D166" s="98" t="s">
        <v>590</v>
      </c>
      <c r="E166" s="98" t="s">
        <v>280</v>
      </c>
      <c r="F166" s="98" t="s">
        <v>346</v>
      </c>
      <c r="G166" s="110">
        <v>9000.0</v>
      </c>
      <c r="H166" s="121">
        <v>990000.0</v>
      </c>
      <c r="I166" s="206" t="s">
        <v>238</v>
      </c>
      <c r="J166" s="121">
        <v>550000.0</v>
      </c>
      <c r="K166" s="212" t="s">
        <v>212</v>
      </c>
      <c r="L166" s="58">
        <f t="shared" si="12"/>
        <v>440000</v>
      </c>
      <c r="M166" s="106">
        <v>340000.0</v>
      </c>
      <c r="N166" s="11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98">
        <v>16.0</v>
      </c>
      <c r="B167" s="112">
        <v>45744.0</v>
      </c>
      <c r="C167" s="17" t="s">
        <v>65</v>
      </c>
      <c r="D167" s="98" t="s">
        <v>590</v>
      </c>
      <c r="E167" s="98" t="s">
        <v>243</v>
      </c>
      <c r="F167" s="98" t="s">
        <v>285</v>
      </c>
      <c r="G167" s="110">
        <v>9000.0</v>
      </c>
      <c r="H167" s="121">
        <v>1350000.0</v>
      </c>
      <c r="I167" s="115" t="s">
        <v>238</v>
      </c>
      <c r="J167" s="121">
        <v>780000.0</v>
      </c>
      <c r="K167" s="98" t="s">
        <v>212</v>
      </c>
      <c r="L167" s="58">
        <f t="shared" si="12"/>
        <v>570000</v>
      </c>
      <c r="M167" s="61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7"/>
      <c r="B168" s="7"/>
      <c r="C168" s="7"/>
      <c r="D168" s="7"/>
      <c r="E168" s="17"/>
      <c r="F168" s="17"/>
      <c r="G168" s="57"/>
      <c r="H168" s="104"/>
      <c r="I168" s="97"/>
      <c r="J168" s="104"/>
      <c r="K168" s="17"/>
      <c r="L168" s="52">
        <f t="shared" ref="L168:M168" si="13">SUM(L150:L167)</f>
        <v>8345000</v>
      </c>
      <c r="M168" s="30">
        <f t="shared" si="13"/>
        <v>1169000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7"/>
      <c r="B169" s="7"/>
      <c r="C169" s="7"/>
      <c r="D169" s="7"/>
      <c r="E169" s="17"/>
      <c r="F169" s="17"/>
      <c r="G169" s="57"/>
      <c r="H169" s="104"/>
      <c r="I169" s="97"/>
      <c r="J169" s="104"/>
      <c r="K169" s="17"/>
      <c r="L169" s="33">
        <f>L168-M168</f>
        <v>7176000</v>
      </c>
      <c r="M169" s="26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7"/>
      <c r="B170" s="7"/>
      <c r="C170" s="7"/>
      <c r="D170" s="7"/>
      <c r="E170" s="17"/>
      <c r="F170" s="17"/>
      <c r="G170" s="57"/>
      <c r="H170" s="104"/>
      <c r="I170" s="97"/>
      <c r="J170" s="104"/>
      <c r="K170" s="17"/>
      <c r="L170" s="7"/>
      <c r="M170" s="61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7"/>
      <c r="B171" s="7"/>
      <c r="C171" s="7"/>
      <c r="D171" s="7"/>
      <c r="E171" s="17"/>
      <c r="F171" s="17"/>
      <c r="G171" s="57"/>
      <c r="H171" s="104"/>
      <c r="I171" s="97"/>
      <c r="J171" s="104"/>
      <c r="K171" s="17"/>
      <c r="L171" s="7"/>
      <c r="M171" s="61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9" t="s">
        <v>209</v>
      </c>
      <c r="B172" s="89" t="s">
        <v>0</v>
      </c>
      <c r="C172" s="89" t="s">
        <v>1</v>
      </c>
      <c r="D172" s="89" t="s">
        <v>2</v>
      </c>
      <c r="E172" s="90" t="s">
        <v>3</v>
      </c>
      <c r="F172" s="89" t="s">
        <v>4</v>
      </c>
      <c r="G172" s="91" t="s">
        <v>5</v>
      </c>
      <c r="H172" s="119" t="s">
        <v>6</v>
      </c>
      <c r="I172" s="92" t="s">
        <v>39</v>
      </c>
      <c r="J172" s="119" t="s">
        <v>7</v>
      </c>
      <c r="K172" s="91" t="s">
        <v>39</v>
      </c>
      <c r="L172" s="92" t="s">
        <v>8</v>
      </c>
      <c r="M172" s="120" t="s">
        <v>9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98">
        <v>6.0</v>
      </c>
      <c r="B173" s="112">
        <v>45757.0</v>
      </c>
      <c r="C173" s="17" t="s">
        <v>65</v>
      </c>
      <c r="D173" s="98" t="s">
        <v>590</v>
      </c>
      <c r="E173" s="98" t="s">
        <v>279</v>
      </c>
      <c r="F173" s="98" t="s">
        <v>324</v>
      </c>
      <c r="G173" s="110">
        <v>9000.0</v>
      </c>
      <c r="H173" s="121">
        <v>675000.0</v>
      </c>
      <c r="I173" s="115" t="s">
        <v>212</v>
      </c>
      <c r="J173" s="121">
        <v>350000.0</v>
      </c>
      <c r="K173" s="212" t="s">
        <v>212</v>
      </c>
      <c r="L173" s="58">
        <f t="shared" ref="L173:L194" si="14">H173-J173</f>
        <v>325000</v>
      </c>
      <c r="M173" s="10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3">
        <v>1.0</v>
      </c>
      <c r="B174" s="112">
        <v>45751.0</v>
      </c>
      <c r="C174" s="17" t="s">
        <v>65</v>
      </c>
      <c r="D174" s="98" t="s">
        <v>590</v>
      </c>
      <c r="E174" s="98" t="s">
        <v>273</v>
      </c>
      <c r="F174" s="98" t="s">
        <v>214</v>
      </c>
      <c r="G174" s="110">
        <v>9000.0</v>
      </c>
      <c r="H174" s="215">
        <v>1400000.0</v>
      </c>
      <c r="I174" s="125" t="s">
        <v>238</v>
      </c>
      <c r="J174" s="232">
        <v>925000.0</v>
      </c>
      <c r="K174" s="98" t="s">
        <v>238</v>
      </c>
      <c r="L174" s="58">
        <f t="shared" si="14"/>
        <v>475000</v>
      </c>
      <c r="M174" s="149"/>
      <c r="N174" s="11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98">
        <v>2.0</v>
      </c>
      <c r="B175" s="112">
        <v>45752.0</v>
      </c>
      <c r="C175" s="17" t="s">
        <v>65</v>
      </c>
      <c r="D175" s="98" t="s">
        <v>590</v>
      </c>
      <c r="E175" s="98" t="s">
        <v>243</v>
      </c>
      <c r="F175" s="98" t="s">
        <v>260</v>
      </c>
      <c r="G175" s="110">
        <v>10000.0</v>
      </c>
      <c r="H175" s="121">
        <v>1500000.0</v>
      </c>
      <c r="I175" s="108" t="s">
        <v>238</v>
      </c>
      <c r="J175" s="109">
        <v>950000.0</v>
      </c>
      <c r="K175" s="212" t="s">
        <v>212</v>
      </c>
      <c r="L175" s="58">
        <f t="shared" si="14"/>
        <v>550000</v>
      </c>
      <c r="M175" s="61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98">
        <v>3.0</v>
      </c>
      <c r="B176" s="112">
        <v>45754.0</v>
      </c>
      <c r="C176" s="17" t="s">
        <v>65</v>
      </c>
      <c r="D176" s="98" t="s">
        <v>590</v>
      </c>
      <c r="E176" s="98" t="s">
        <v>242</v>
      </c>
      <c r="F176" s="98" t="s">
        <v>259</v>
      </c>
      <c r="G176" s="110">
        <v>10000.0</v>
      </c>
      <c r="H176" s="121">
        <v>1500000.0</v>
      </c>
      <c r="I176" s="125" t="s">
        <v>238</v>
      </c>
      <c r="J176" s="121">
        <v>850000.0</v>
      </c>
      <c r="K176" s="212" t="s">
        <v>212</v>
      </c>
      <c r="L176" s="58">
        <f t="shared" si="14"/>
        <v>650000</v>
      </c>
      <c r="M176" s="61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98">
        <v>4.0</v>
      </c>
      <c r="B177" s="112">
        <v>45755.0</v>
      </c>
      <c r="C177" s="17" t="s">
        <v>65</v>
      </c>
      <c r="D177" s="98" t="s">
        <v>590</v>
      </c>
      <c r="E177" s="98" t="s">
        <v>242</v>
      </c>
      <c r="F177" s="98" t="s">
        <v>519</v>
      </c>
      <c r="G177" s="110">
        <v>10000.0</v>
      </c>
      <c r="H177" s="121">
        <v>750000.0</v>
      </c>
      <c r="I177" s="125" t="s">
        <v>238</v>
      </c>
      <c r="J177" s="121">
        <v>400000.0</v>
      </c>
      <c r="K177" s="212" t="s">
        <v>212</v>
      </c>
      <c r="L177" s="58">
        <f t="shared" si="14"/>
        <v>350000</v>
      </c>
      <c r="M177" s="61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98">
        <v>5.0</v>
      </c>
      <c r="B178" s="112">
        <v>45756.0</v>
      </c>
      <c r="C178" s="17" t="s">
        <v>65</v>
      </c>
      <c r="D178" s="98" t="s">
        <v>590</v>
      </c>
      <c r="E178" s="98" t="s">
        <v>280</v>
      </c>
      <c r="F178" s="98" t="s">
        <v>295</v>
      </c>
      <c r="G178" s="151">
        <v>9000.0</v>
      </c>
      <c r="H178" s="121">
        <v>1125000.0</v>
      </c>
      <c r="I178" s="115" t="s">
        <v>212</v>
      </c>
      <c r="J178" s="121">
        <v>640000.0</v>
      </c>
      <c r="K178" s="212" t="s">
        <v>212</v>
      </c>
      <c r="L178" s="58">
        <f t="shared" si="14"/>
        <v>485000</v>
      </c>
      <c r="M178" s="61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98">
        <v>7.0</v>
      </c>
      <c r="B179" s="112">
        <v>45757.0</v>
      </c>
      <c r="C179" s="17" t="s">
        <v>65</v>
      </c>
      <c r="D179" s="98" t="s">
        <v>590</v>
      </c>
      <c r="E179" s="98" t="s">
        <v>123</v>
      </c>
      <c r="F179" s="98" t="s">
        <v>311</v>
      </c>
      <c r="G179" s="110">
        <v>9000.0</v>
      </c>
      <c r="H179" s="121">
        <v>720000.0</v>
      </c>
      <c r="I179" s="115" t="s">
        <v>212</v>
      </c>
      <c r="J179" s="121">
        <v>350000.0</v>
      </c>
      <c r="K179" s="212" t="s">
        <v>212</v>
      </c>
      <c r="L179" s="58">
        <f t="shared" si="14"/>
        <v>370000</v>
      </c>
      <c r="M179" s="106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98">
        <v>8.0</v>
      </c>
      <c r="B180" s="112">
        <v>45758.0</v>
      </c>
      <c r="C180" s="17" t="s">
        <v>65</v>
      </c>
      <c r="D180" s="98" t="s">
        <v>590</v>
      </c>
      <c r="E180" s="98" t="s">
        <v>242</v>
      </c>
      <c r="F180" s="98" t="s">
        <v>303</v>
      </c>
      <c r="G180" s="110">
        <v>9000.0</v>
      </c>
      <c r="H180" s="121">
        <v>1215000.0</v>
      </c>
      <c r="I180" s="125" t="s">
        <v>238</v>
      </c>
      <c r="J180" s="121">
        <v>725000.0</v>
      </c>
      <c r="K180" s="212" t="s">
        <v>212</v>
      </c>
      <c r="L180" s="58">
        <f t="shared" si="14"/>
        <v>490000</v>
      </c>
      <c r="M180" s="61"/>
      <c r="N180" s="11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98">
        <v>9.0</v>
      </c>
      <c r="B181" s="112">
        <v>45761.0</v>
      </c>
      <c r="C181" s="17" t="s">
        <v>65</v>
      </c>
      <c r="D181" s="98" t="s">
        <v>590</v>
      </c>
      <c r="E181" s="98" t="s">
        <v>123</v>
      </c>
      <c r="F181" s="98" t="s">
        <v>304</v>
      </c>
      <c r="G181" s="110">
        <v>9000.0</v>
      </c>
      <c r="H181" s="121">
        <v>900000.0</v>
      </c>
      <c r="I181" s="115" t="s">
        <v>212</v>
      </c>
      <c r="J181" s="121">
        <v>425000.0</v>
      </c>
      <c r="K181" s="212" t="s">
        <v>212</v>
      </c>
      <c r="L181" s="58">
        <f t="shared" si="14"/>
        <v>475000</v>
      </c>
      <c r="M181" s="61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98">
        <v>10.0</v>
      </c>
      <c r="B182" s="112">
        <v>45762.0</v>
      </c>
      <c r="C182" s="17" t="s">
        <v>65</v>
      </c>
      <c r="D182" s="98" t="s">
        <v>590</v>
      </c>
      <c r="E182" s="98" t="s">
        <v>243</v>
      </c>
      <c r="F182" s="98" t="s">
        <v>323</v>
      </c>
      <c r="G182" s="110">
        <v>9000.0</v>
      </c>
      <c r="H182" s="121">
        <v>1350000.0</v>
      </c>
      <c r="I182" s="115" t="s">
        <v>238</v>
      </c>
      <c r="J182" s="121">
        <v>780000.0</v>
      </c>
      <c r="K182" s="212" t="s">
        <v>212</v>
      </c>
      <c r="L182" s="58">
        <f t="shared" si="14"/>
        <v>570000</v>
      </c>
      <c r="M182" s="106">
        <v>550000.0</v>
      </c>
      <c r="N182" s="11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98">
        <v>11.0</v>
      </c>
      <c r="B183" s="112">
        <v>45763.0</v>
      </c>
      <c r="C183" s="17" t="s">
        <v>65</v>
      </c>
      <c r="D183" s="98" t="s">
        <v>590</v>
      </c>
      <c r="E183" s="98" t="s">
        <v>280</v>
      </c>
      <c r="F183" s="98" t="s">
        <v>302</v>
      </c>
      <c r="G183" s="110">
        <v>9000.0</v>
      </c>
      <c r="H183" s="121">
        <v>720000.0</v>
      </c>
      <c r="I183" s="115" t="s">
        <v>238</v>
      </c>
      <c r="J183" s="121">
        <v>350000.0</v>
      </c>
      <c r="K183" s="212" t="s">
        <v>212</v>
      </c>
      <c r="L183" s="58">
        <f t="shared" si="14"/>
        <v>370000</v>
      </c>
      <c r="M183" s="106"/>
      <c r="N183" s="11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98">
        <v>12.0</v>
      </c>
      <c r="B184" s="112">
        <v>45764.0</v>
      </c>
      <c r="C184" s="17" t="s">
        <v>65</v>
      </c>
      <c r="D184" s="98" t="s">
        <v>590</v>
      </c>
      <c r="E184" s="98" t="s">
        <v>322</v>
      </c>
      <c r="F184" s="98" t="s">
        <v>214</v>
      </c>
      <c r="G184" s="110">
        <v>9000.0</v>
      </c>
      <c r="H184" s="121">
        <v>1350000.0</v>
      </c>
      <c r="I184" s="115" t="s">
        <v>238</v>
      </c>
      <c r="J184" s="121">
        <v>925000.0</v>
      </c>
      <c r="K184" s="212" t="s">
        <v>212</v>
      </c>
      <c r="L184" s="58">
        <f t="shared" si="14"/>
        <v>425000</v>
      </c>
      <c r="M184" s="61"/>
      <c r="N184" s="11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98">
        <v>13.0</v>
      </c>
      <c r="B185" s="112">
        <v>45766.0</v>
      </c>
      <c r="C185" s="17" t="s">
        <v>65</v>
      </c>
      <c r="D185" s="98" t="s">
        <v>590</v>
      </c>
      <c r="E185" s="98" t="s">
        <v>254</v>
      </c>
      <c r="F185" s="98" t="s">
        <v>309</v>
      </c>
      <c r="G185" s="110">
        <v>10000.0</v>
      </c>
      <c r="H185" s="121">
        <v>1500000.0</v>
      </c>
      <c r="I185" s="115" t="s">
        <v>212</v>
      </c>
      <c r="J185" s="121">
        <v>950000.0</v>
      </c>
      <c r="K185" s="212" t="s">
        <v>212</v>
      </c>
      <c r="L185" s="58">
        <f t="shared" si="14"/>
        <v>550000</v>
      </c>
      <c r="M185" s="61"/>
      <c r="N185" s="11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4">
        <v>12.0</v>
      </c>
      <c r="B186" s="112">
        <v>45768.0</v>
      </c>
      <c r="C186" s="17" t="s">
        <v>65</v>
      </c>
      <c r="D186" s="98" t="s">
        <v>590</v>
      </c>
      <c r="E186" s="204" t="s">
        <v>514</v>
      </c>
      <c r="F186" s="204" t="s">
        <v>259</v>
      </c>
      <c r="G186" s="151">
        <v>10000.0</v>
      </c>
      <c r="H186" s="135">
        <v>1500000.0</v>
      </c>
      <c r="I186" s="206" t="s">
        <v>238</v>
      </c>
      <c r="J186" s="207">
        <v>850000.0</v>
      </c>
      <c r="K186" s="212" t="s">
        <v>212</v>
      </c>
      <c r="L186" s="58">
        <f t="shared" si="14"/>
        <v>650000</v>
      </c>
      <c r="M186" s="61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98">
        <v>13.0</v>
      </c>
      <c r="B187" s="112">
        <v>45769.0</v>
      </c>
      <c r="C187" s="17" t="s">
        <v>65</v>
      </c>
      <c r="D187" s="98" t="s">
        <v>590</v>
      </c>
      <c r="E187" s="98" t="s">
        <v>242</v>
      </c>
      <c r="F187" s="98" t="s">
        <v>324</v>
      </c>
      <c r="G187" s="151">
        <v>10000.0</v>
      </c>
      <c r="H187" s="121">
        <v>750000.0</v>
      </c>
      <c r="I187" s="115" t="s">
        <v>212</v>
      </c>
      <c r="J187" s="121">
        <v>375000.0</v>
      </c>
      <c r="K187" s="212" t="s">
        <v>212</v>
      </c>
      <c r="L187" s="58">
        <f t="shared" si="14"/>
        <v>375000</v>
      </c>
      <c r="M187" s="61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98">
        <v>14.0</v>
      </c>
      <c r="B188" s="112">
        <v>45770.0</v>
      </c>
      <c r="C188" s="17" t="s">
        <v>65</v>
      </c>
      <c r="D188" s="98" t="s">
        <v>590</v>
      </c>
      <c r="E188" s="98" t="s">
        <v>279</v>
      </c>
      <c r="F188" s="98" t="s">
        <v>328</v>
      </c>
      <c r="G188" s="110">
        <v>9000.0</v>
      </c>
      <c r="H188" s="121">
        <v>1440000.0</v>
      </c>
      <c r="I188" s="115" t="s">
        <v>238</v>
      </c>
      <c r="J188" s="121">
        <v>900000.0</v>
      </c>
      <c r="K188" s="212" t="s">
        <v>212</v>
      </c>
      <c r="L188" s="58">
        <f t="shared" si="14"/>
        <v>540000</v>
      </c>
      <c r="M188" s="61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98">
        <v>15.0</v>
      </c>
      <c r="B189" s="112">
        <v>45771.0</v>
      </c>
      <c r="C189" s="17" t="s">
        <v>65</v>
      </c>
      <c r="D189" s="98" t="s">
        <v>590</v>
      </c>
      <c r="E189" s="98" t="s">
        <v>322</v>
      </c>
      <c r="F189" s="98" t="s">
        <v>287</v>
      </c>
      <c r="G189" s="110">
        <v>9000.0</v>
      </c>
      <c r="H189" s="121">
        <v>1200000.0</v>
      </c>
      <c r="I189" s="115" t="s">
        <v>212</v>
      </c>
      <c r="J189" s="121">
        <v>690000.0</v>
      </c>
      <c r="K189" s="212" t="s">
        <v>212</v>
      </c>
      <c r="L189" s="58">
        <f t="shared" si="14"/>
        <v>510000</v>
      </c>
      <c r="M189" s="106">
        <v>195000.0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98">
        <v>16.0</v>
      </c>
      <c r="B190" s="112">
        <v>45773.0</v>
      </c>
      <c r="C190" s="17" t="s">
        <v>65</v>
      </c>
      <c r="D190" s="98" t="s">
        <v>590</v>
      </c>
      <c r="E190" s="98" t="s">
        <v>322</v>
      </c>
      <c r="F190" s="98" t="s">
        <v>303</v>
      </c>
      <c r="G190" s="110">
        <v>9000.0</v>
      </c>
      <c r="H190" s="121">
        <v>1215000.0</v>
      </c>
      <c r="I190" s="115" t="s">
        <v>238</v>
      </c>
      <c r="J190" s="121">
        <v>725000.0</v>
      </c>
      <c r="K190" s="212" t="s">
        <v>212</v>
      </c>
      <c r="L190" s="58">
        <f t="shared" si="14"/>
        <v>490000</v>
      </c>
      <c r="M190" s="61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98">
        <v>17.0</v>
      </c>
      <c r="B191" s="112">
        <v>45775.0</v>
      </c>
      <c r="C191" s="17" t="s">
        <v>65</v>
      </c>
      <c r="D191" s="98" t="s">
        <v>590</v>
      </c>
      <c r="E191" s="98" t="s">
        <v>280</v>
      </c>
      <c r="F191" s="98" t="s">
        <v>346</v>
      </c>
      <c r="G191" s="110">
        <v>9000.0</v>
      </c>
      <c r="H191" s="121">
        <v>1000000.0</v>
      </c>
      <c r="I191" s="115" t="s">
        <v>212</v>
      </c>
      <c r="J191" s="121">
        <v>550000.0</v>
      </c>
      <c r="K191" s="212" t="s">
        <v>212</v>
      </c>
      <c r="L191" s="58">
        <f t="shared" si="14"/>
        <v>450000</v>
      </c>
      <c r="N191" s="11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98">
        <v>18.0</v>
      </c>
      <c r="B192" s="112">
        <v>45776.0</v>
      </c>
      <c r="C192" s="17" t="s">
        <v>65</v>
      </c>
      <c r="D192" s="98" t="s">
        <v>590</v>
      </c>
      <c r="E192" s="98" t="s">
        <v>123</v>
      </c>
      <c r="F192" s="98" t="s">
        <v>317</v>
      </c>
      <c r="G192" s="110">
        <v>10000.0</v>
      </c>
      <c r="H192" s="121">
        <v>750000.0</v>
      </c>
      <c r="I192" s="115" t="s">
        <v>212</v>
      </c>
      <c r="J192" s="121">
        <v>425000.0</v>
      </c>
      <c r="K192" s="212" t="s">
        <v>212</v>
      </c>
      <c r="L192" s="58">
        <f t="shared" si="14"/>
        <v>325000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98">
        <v>19.0</v>
      </c>
      <c r="B193" s="112">
        <v>45777.0</v>
      </c>
      <c r="C193" s="17" t="s">
        <v>65</v>
      </c>
      <c r="D193" s="98" t="s">
        <v>590</v>
      </c>
      <c r="E193" s="98" t="s">
        <v>242</v>
      </c>
      <c r="F193" s="98" t="s">
        <v>271</v>
      </c>
      <c r="G193" s="110">
        <v>10000.0</v>
      </c>
      <c r="H193" s="121">
        <v>750000.0</v>
      </c>
      <c r="I193" s="115" t="s">
        <v>238</v>
      </c>
      <c r="J193" s="121">
        <v>375000.0</v>
      </c>
      <c r="K193" s="212" t="s">
        <v>212</v>
      </c>
      <c r="L193" s="58">
        <f t="shared" si="14"/>
        <v>375000</v>
      </c>
      <c r="M193" s="61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98">
        <v>20.0</v>
      </c>
      <c r="B194" s="112">
        <v>45777.0</v>
      </c>
      <c r="C194" s="17" t="s">
        <v>65</v>
      </c>
      <c r="D194" s="98" t="s">
        <v>590</v>
      </c>
      <c r="E194" s="98" t="s">
        <v>242</v>
      </c>
      <c r="F194" s="98" t="s">
        <v>591</v>
      </c>
      <c r="G194" s="110">
        <v>9000.0</v>
      </c>
      <c r="H194" s="135">
        <v>1350000.0</v>
      </c>
      <c r="I194" s="206" t="s">
        <v>238</v>
      </c>
      <c r="J194" s="207">
        <v>800000.0</v>
      </c>
      <c r="K194" s="212" t="s">
        <v>212</v>
      </c>
      <c r="L194" s="58">
        <f t="shared" si="14"/>
        <v>550000</v>
      </c>
      <c r="M194" s="61"/>
      <c r="N194" s="11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7"/>
      <c r="B195" s="7"/>
      <c r="C195" s="7"/>
      <c r="D195" s="7"/>
      <c r="E195" s="17"/>
      <c r="F195" s="17"/>
      <c r="G195" s="57"/>
      <c r="I195" s="104"/>
      <c r="J195" s="104"/>
      <c r="K195" s="17"/>
      <c r="L195" s="52">
        <f t="shared" ref="L195:M195" si="15">SUM(L174:L194)</f>
        <v>10025000</v>
      </c>
      <c r="M195" s="30">
        <f t="shared" si="15"/>
        <v>745000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7"/>
      <c r="B196" s="7"/>
      <c r="C196" s="7"/>
      <c r="D196" s="7"/>
      <c r="E196" s="17"/>
      <c r="F196" s="17"/>
      <c r="G196" s="57"/>
      <c r="H196" s="104"/>
      <c r="I196" s="97"/>
      <c r="J196" s="104"/>
      <c r="K196" s="17"/>
      <c r="L196" s="33">
        <f>L195-M195</f>
        <v>9280000</v>
      </c>
      <c r="M196" s="26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7"/>
      <c r="B197" s="7"/>
      <c r="C197" s="7"/>
      <c r="D197" s="7"/>
      <c r="E197" s="17"/>
      <c r="F197" s="17"/>
      <c r="G197" s="57"/>
      <c r="H197" s="104"/>
      <c r="I197" s="97"/>
      <c r="J197" s="104"/>
      <c r="K197" s="17"/>
      <c r="L197" s="7"/>
      <c r="M197" s="61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9" t="s">
        <v>209</v>
      </c>
      <c r="B198" s="89" t="s">
        <v>0</v>
      </c>
      <c r="C198" s="89" t="s">
        <v>1</v>
      </c>
      <c r="D198" s="89" t="s">
        <v>2</v>
      </c>
      <c r="E198" s="90" t="s">
        <v>3</v>
      </c>
      <c r="F198" s="89" t="s">
        <v>4</v>
      </c>
      <c r="G198" s="91" t="s">
        <v>5</v>
      </c>
      <c r="H198" s="119" t="s">
        <v>6</v>
      </c>
      <c r="I198" s="92" t="s">
        <v>39</v>
      </c>
      <c r="J198" s="119" t="s">
        <v>7</v>
      </c>
      <c r="K198" s="91" t="s">
        <v>39</v>
      </c>
      <c r="L198" s="92" t="s">
        <v>8</v>
      </c>
      <c r="M198" s="120" t="s">
        <v>9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1">
        <v>1.0</v>
      </c>
      <c r="B199" s="112">
        <v>45779.0</v>
      </c>
      <c r="C199" s="17" t="s">
        <v>65</v>
      </c>
      <c r="D199" s="98" t="s">
        <v>590</v>
      </c>
      <c r="E199" s="98" t="s">
        <v>243</v>
      </c>
      <c r="F199" s="98" t="s">
        <v>323</v>
      </c>
      <c r="G199" s="110">
        <v>9000.0</v>
      </c>
      <c r="H199" s="121">
        <v>1350000.0</v>
      </c>
      <c r="I199" s="108" t="s">
        <v>238</v>
      </c>
      <c r="J199" s="121">
        <v>780000.0</v>
      </c>
      <c r="K199" s="212" t="s">
        <v>212</v>
      </c>
      <c r="L199" s="58">
        <f t="shared" ref="L199:L220" si="16">H199-J199</f>
        <v>570000</v>
      </c>
      <c r="M199" s="121"/>
      <c r="N199" s="11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18">
        <v>2.0</v>
      </c>
      <c r="B200" s="112">
        <v>45782.0</v>
      </c>
      <c r="C200" s="17" t="s">
        <v>65</v>
      </c>
      <c r="D200" s="98" t="s">
        <v>590</v>
      </c>
      <c r="E200" s="98" t="s">
        <v>305</v>
      </c>
      <c r="F200" s="98" t="s">
        <v>295</v>
      </c>
      <c r="G200" s="110">
        <v>9000.0</v>
      </c>
      <c r="H200" s="121">
        <v>1125000.0</v>
      </c>
      <c r="I200" s="115" t="s">
        <v>212</v>
      </c>
      <c r="J200" s="109">
        <v>640000.0</v>
      </c>
      <c r="K200" s="212" t="s">
        <v>212</v>
      </c>
      <c r="L200" s="58">
        <f t="shared" si="16"/>
        <v>485000</v>
      </c>
      <c r="M200" s="106">
        <v>225000.0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18">
        <v>3.0</v>
      </c>
      <c r="B201" s="112">
        <v>45783.0</v>
      </c>
      <c r="C201" s="17" t="s">
        <v>65</v>
      </c>
      <c r="D201" s="98" t="s">
        <v>590</v>
      </c>
      <c r="E201" s="98" t="s">
        <v>243</v>
      </c>
      <c r="F201" s="98" t="s">
        <v>323</v>
      </c>
      <c r="G201" s="110">
        <v>9000.0</v>
      </c>
      <c r="H201" s="121">
        <v>1350000.0</v>
      </c>
      <c r="I201" s="108" t="s">
        <v>238</v>
      </c>
      <c r="J201" s="121">
        <v>780000.0</v>
      </c>
      <c r="K201" s="212" t="s">
        <v>212</v>
      </c>
      <c r="L201" s="58">
        <f t="shared" si="16"/>
        <v>570000</v>
      </c>
      <c r="M201" s="61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18">
        <v>4.0</v>
      </c>
      <c r="B202" s="112">
        <v>45784.0</v>
      </c>
      <c r="C202" s="17" t="s">
        <v>65</v>
      </c>
      <c r="D202" s="98" t="s">
        <v>590</v>
      </c>
      <c r="E202" s="98" t="s">
        <v>279</v>
      </c>
      <c r="F202" s="144" t="s">
        <v>317</v>
      </c>
      <c r="G202" s="110">
        <v>9000.0</v>
      </c>
      <c r="H202" s="134">
        <v>700000.0</v>
      </c>
      <c r="I202" s="125" t="s">
        <v>238</v>
      </c>
      <c r="J202" s="134">
        <v>400000.0</v>
      </c>
      <c r="K202" s="212" t="s">
        <v>212</v>
      </c>
      <c r="L202" s="58">
        <f t="shared" si="16"/>
        <v>300000</v>
      </c>
      <c r="M202" s="106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18">
        <v>5.0</v>
      </c>
      <c r="B203" s="112">
        <v>45785.0</v>
      </c>
      <c r="C203" s="17" t="s">
        <v>65</v>
      </c>
      <c r="D203" s="98" t="s">
        <v>590</v>
      </c>
      <c r="E203" s="98" t="s">
        <v>279</v>
      </c>
      <c r="F203" s="98" t="s">
        <v>311</v>
      </c>
      <c r="G203" s="110">
        <v>10000.0</v>
      </c>
      <c r="H203" s="121">
        <v>800000.0</v>
      </c>
      <c r="I203" s="108" t="s">
        <v>212</v>
      </c>
      <c r="J203" s="121">
        <v>375000.0</v>
      </c>
      <c r="K203" s="212" t="s">
        <v>212</v>
      </c>
      <c r="L203" s="58">
        <f t="shared" si="16"/>
        <v>425000</v>
      </c>
      <c r="M203" s="61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18">
        <v>6.0</v>
      </c>
      <c r="B204" s="112">
        <v>45786.0</v>
      </c>
      <c r="C204" s="17" t="s">
        <v>65</v>
      </c>
      <c r="D204" s="98" t="s">
        <v>590</v>
      </c>
      <c r="E204" s="98" t="s">
        <v>256</v>
      </c>
      <c r="F204" s="98" t="s">
        <v>303</v>
      </c>
      <c r="G204" s="110">
        <v>9000.0</v>
      </c>
      <c r="H204" s="121">
        <v>1215000.0</v>
      </c>
      <c r="I204" s="125" t="s">
        <v>238</v>
      </c>
      <c r="J204" s="121">
        <v>725000.0</v>
      </c>
      <c r="K204" s="212" t="s">
        <v>212</v>
      </c>
      <c r="L204" s="58">
        <f t="shared" si="16"/>
        <v>490000</v>
      </c>
      <c r="M204" s="61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18">
        <v>7.0</v>
      </c>
      <c r="B205" s="112">
        <v>45787.0</v>
      </c>
      <c r="C205" s="17" t="s">
        <v>65</v>
      </c>
      <c r="D205" s="98" t="s">
        <v>590</v>
      </c>
      <c r="E205" s="98" t="s">
        <v>242</v>
      </c>
      <c r="F205" s="204" t="s">
        <v>259</v>
      </c>
      <c r="G205" s="110">
        <v>10000.0</v>
      </c>
      <c r="H205" s="121">
        <v>1500000.0</v>
      </c>
      <c r="I205" s="206" t="s">
        <v>238</v>
      </c>
      <c r="J205" s="207">
        <v>850000.0</v>
      </c>
      <c r="K205" s="212" t="s">
        <v>212</v>
      </c>
      <c r="L205" s="58">
        <f t="shared" si="16"/>
        <v>650000</v>
      </c>
      <c r="M205" s="61"/>
      <c r="N205" s="11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18">
        <v>8.0</v>
      </c>
      <c r="B206" s="112">
        <v>45790.0</v>
      </c>
      <c r="C206" s="17" t="s">
        <v>65</v>
      </c>
      <c r="D206" s="98" t="s">
        <v>590</v>
      </c>
      <c r="E206" s="98" t="s">
        <v>279</v>
      </c>
      <c r="F206" s="98" t="s">
        <v>317</v>
      </c>
      <c r="G206" s="110">
        <v>9000.0</v>
      </c>
      <c r="H206" s="121">
        <v>700000.0</v>
      </c>
      <c r="I206" s="108" t="s">
        <v>212</v>
      </c>
      <c r="J206" s="121">
        <v>400000.0</v>
      </c>
      <c r="K206" s="212" t="s">
        <v>212</v>
      </c>
      <c r="L206" s="58">
        <f t="shared" si="16"/>
        <v>300000</v>
      </c>
      <c r="M206" s="106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18">
        <v>9.0</v>
      </c>
      <c r="B207" s="112">
        <v>45790.0</v>
      </c>
      <c r="C207" s="17" t="s">
        <v>65</v>
      </c>
      <c r="D207" s="98" t="s">
        <v>590</v>
      </c>
      <c r="E207" s="98" t="s">
        <v>242</v>
      </c>
      <c r="F207" s="98" t="s">
        <v>519</v>
      </c>
      <c r="G207" s="110">
        <v>10000.0</v>
      </c>
      <c r="H207" s="121">
        <v>750000.0</v>
      </c>
      <c r="I207" s="115" t="s">
        <v>238</v>
      </c>
      <c r="J207" s="121">
        <v>400000.0</v>
      </c>
      <c r="K207" s="212" t="s">
        <v>212</v>
      </c>
      <c r="L207" s="58">
        <f t="shared" si="16"/>
        <v>350000</v>
      </c>
      <c r="M207" s="106">
        <v>717000.0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18">
        <v>10.0</v>
      </c>
      <c r="B208" s="112">
        <v>45791.0</v>
      </c>
      <c r="C208" s="17" t="s">
        <v>65</v>
      </c>
      <c r="D208" s="98" t="s">
        <v>590</v>
      </c>
      <c r="E208" s="98" t="s">
        <v>279</v>
      </c>
      <c r="F208" s="98" t="s">
        <v>295</v>
      </c>
      <c r="G208" s="110">
        <v>9000.0</v>
      </c>
      <c r="H208" s="121">
        <v>1125000.0</v>
      </c>
      <c r="I208" s="108" t="s">
        <v>212</v>
      </c>
      <c r="J208" s="121">
        <v>640000.0</v>
      </c>
      <c r="K208" s="212" t="s">
        <v>212</v>
      </c>
      <c r="L208" s="58">
        <f t="shared" si="16"/>
        <v>485000</v>
      </c>
      <c r="M208" s="106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18">
        <v>11.0</v>
      </c>
      <c r="B209" s="112">
        <v>45792.0</v>
      </c>
      <c r="C209" s="17" t="s">
        <v>65</v>
      </c>
      <c r="D209" s="98" t="s">
        <v>590</v>
      </c>
      <c r="E209" s="131" t="s">
        <v>242</v>
      </c>
      <c r="F209" s="131" t="s">
        <v>259</v>
      </c>
      <c r="G209" s="110">
        <v>10000.0</v>
      </c>
      <c r="H209" s="121">
        <v>1500000.0</v>
      </c>
      <c r="I209" s="115" t="s">
        <v>238</v>
      </c>
      <c r="J209" s="133">
        <v>850000.0</v>
      </c>
      <c r="K209" s="212" t="s">
        <v>212</v>
      </c>
      <c r="L209" s="58">
        <f t="shared" si="16"/>
        <v>650000</v>
      </c>
      <c r="M209" s="10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18">
        <v>12.0</v>
      </c>
      <c r="B210" s="112">
        <v>45793.0</v>
      </c>
      <c r="C210" s="17" t="s">
        <v>65</v>
      </c>
      <c r="D210" s="98" t="s">
        <v>590</v>
      </c>
      <c r="E210" s="98" t="s">
        <v>318</v>
      </c>
      <c r="F210" s="98" t="s">
        <v>319</v>
      </c>
      <c r="G210" s="110">
        <v>10000.0</v>
      </c>
      <c r="H210" s="121">
        <v>1993200.0</v>
      </c>
      <c r="I210" s="115" t="s">
        <v>238</v>
      </c>
      <c r="J210" s="121">
        <v>900000.0</v>
      </c>
      <c r="K210" s="212" t="s">
        <v>212</v>
      </c>
      <c r="L210" s="58">
        <f t="shared" si="16"/>
        <v>1093200</v>
      </c>
      <c r="M210" s="106">
        <v>275000.0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18">
        <v>13.0</v>
      </c>
      <c r="B211" s="112">
        <v>45796.0</v>
      </c>
      <c r="C211" s="17" t="s">
        <v>65</v>
      </c>
      <c r="D211" s="98" t="s">
        <v>590</v>
      </c>
      <c r="E211" s="98" t="s">
        <v>322</v>
      </c>
      <c r="F211" s="98" t="s">
        <v>302</v>
      </c>
      <c r="G211" s="110">
        <v>9000.0</v>
      </c>
      <c r="H211" s="121">
        <v>720000.0</v>
      </c>
      <c r="I211" s="115" t="s">
        <v>238</v>
      </c>
      <c r="J211" s="109">
        <v>375000.0</v>
      </c>
      <c r="K211" s="212" t="s">
        <v>212</v>
      </c>
      <c r="L211" s="58">
        <f t="shared" si="16"/>
        <v>345000</v>
      </c>
      <c r="M211" s="61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18">
        <v>14.0</v>
      </c>
      <c r="B212" s="112">
        <v>45797.0</v>
      </c>
      <c r="C212" s="17" t="s">
        <v>65</v>
      </c>
      <c r="D212" s="98" t="s">
        <v>590</v>
      </c>
      <c r="E212" s="98" t="s">
        <v>242</v>
      </c>
      <c r="F212" s="98" t="s">
        <v>259</v>
      </c>
      <c r="G212" s="110">
        <v>10000.0</v>
      </c>
      <c r="H212" s="121">
        <v>1500000.0</v>
      </c>
      <c r="I212" s="108" t="s">
        <v>238</v>
      </c>
      <c r="J212" s="121">
        <v>850000.0</v>
      </c>
      <c r="K212" s="212" t="s">
        <v>212</v>
      </c>
      <c r="L212" s="58">
        <f t="shared" si="16"/>
        <v>650000</v>
      </c>
      <c r="M212" s="61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18">
        <v>15.0</v>
      </c>
      <c r="B213" s="112">
        <v>45798.0</v>
      </c>
      <c r="C213" s="17" t="s">
        <v>65</v>
      </c>
      <c r="D213" s="98" t="s">
        <v>590</v>
      </c>
      <c r="E213" s="98" t="s">
        <v>320</v>
      </c>
      <c r="F213" s="98" t="s">
        <v>326</v>
      </c>
      <c r="G213" s="110">
        <v>10000.0</v>
      </c>
      <c r="H213" s="121">
        <v>1500000.0</v>
      </c>
      <c r="I213" s="115" t="s">
        <v>238</v>
      </c>
      <c r="J213" s="121">
        <v>950000.0</v>
      </c>
      <c r="K213" s="212" t="s">
        <v>212</v>
      </c>
      <c r="L213" s="58">
        <f t="shared" si="16"/>
        <v>550000</v>
      </c>
      <c r="M213" s="61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18">
        <v>16.0</v>
      </c>
      <c r="B214" s="112">
        <v>45800.0</v>
      </c>
      <c r="C214" s="17" t="s">
        <v>65</v>
      </c>
      <c r="D214" s="98" t="s">
        <v>590</v>
      </c>
      <c r="E214" s="98" t="s">
        <v>322</v>
      </c>
      <c r="F214" s="98" t="s">
        <v>271</v>
      </c>
      <c r="G214" s="110">
        <v>10000.0</v>
      </c>
      <c r="H214" s="121">
        <v>750000.0</v>
      </c>
      <c r="I214" s="115" t="s">
        <v>238</v>
      </c>
      <c r="J214" s="121">
        <v>425000.0</v>
      </c>
      <c r="K214" s="212" t="s">
        <v>212</v>
      </c>
      <c r="L214" s="58">
        <f t="shared" si="16"/>
        <v>325000</v>
      </c>
      <c r="M214" s="106">
        <v>1000000.0</v>
      </c>
      <c r="N214" s="11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18">
        <v>17.0</v>
      </c>
      <c r="B215" s="112">
        <v>45801.0</v>
      </c>
      <c r="C215" s="17" t="s">
        <v>65</v>
      </c>
      <c r="D215" s="98" t="s">
        <v>590</v>
      </c>
      <c r="E215" s="98" t="s">
        <v>123</v>
      </c>
      <c r="F215" s="98" t="s">
        <v>259</v>
      </c>
      <c r="G215" s="110">
        <v>10000.0</v>
      </c>
      <c r="H215" s="121">
        <v>1500000.0</v>
      </c>
      <c r="I215" s="115" t="s">
        <v>238</v>
      </c>
      <c r="J215" s="121">
        <v>850000.0</v>
      </c>
      <c r="K215" s="212" t="s">
        <v>212</v>
      </c>
      <c r="L215" s="58">
        <f t="shared" si="16"/>
        <v>650000</v>
      </c>
      <c r="M215" s="106"/>
      <c r="N215" s="11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18">
        <v>18.0</v>
      </c>
      <c r="B216" s="112">
        <v>45803.0</v>
      </c>
      <c r="C216" s="17" t="s">
        <v>65</v>
      </c>
      <c r="D216" s="98" t="s">
        <v>590</v>
      </c>
      <c r="E216" s="98" t="s">
        <v>242</v>
      </c>
      <c r="F216" s="98" t="s">
        <v>519</v>
      </c>
      <c r="G216" s="110">
        <v>10000.0</v>
      </c>
      <c r="H216" s="121">
        <v>750000.0</v>
      </c>
      <c r="I216" s="108" t="s">
        <v>238</v>
      </c>
      <c r="J216" s="121">
        <v>400000.0</v>
      </c>
      <c r="K216" s="212" t="s">
        <v>212</v>
      </c>
      <c r="L216" s="58">
        <f t="shared" si="16"/>
        <v>350000</v>
      </c>
      <c r="M216" s="10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18">
        <v>19.0</v>
      </c>
      <c r="B217" s="112">
        <v>45804.0</v>
      </c>
      <c r="C217" s="17" t="s">
        <v>65</v>
      </c>
      <c r="D217" s="98" t="s">
        <v>590</v>
      </c>
      <c r="E217" s="98" t="s">
        <v>242</v>
      </c>
      <c r="F217" s="98" t="s">
        <v>348</v>
      </c>
      <c r="G217" s="110">
        <v>10000.0</v>
      </c>
      <c r="H217" s="121">
        <v>1000000.0</v>
      </c>
      <c r="I217" s="108" t="s">
        <v>238</v>
      </c>
      <c r="J217" s="121">
        <v>475000.0</v>
      </c>
      <c r="K217" s="212" t="s">
        <v>212</v>
      </c>
      <c r="L217" s="58">
        <f t="shared" si="16"/>
        <v>525000</v>
      </c>
      <c r="M217" s="61"/>
      <c r="N217" s="11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18">
        <v>20.0</v>
      </c>
      <c r="B218" s="112">
        <v>45805.0</v>
      </c>
      <c r="C218" s="17" t="s">
        <v>65</v>
      </c>
      <c r="D218" s="98" t="s">
        <v>590</v>
      </c>
      <c r="E218" s="98" t="s">
        <v>279</v>
      </c>
      <c r="F218" s="98" t="s">
        <v>303</v>
      </c>
      <c r="G218" s="110">
        <v>9000.0</v>
      </c>
      <c r="H218" s="121">
        <v>1215000.0</v>
      </c>
      <c r="I218" s="115" t="s">
        <v>238</v>
      </c>
      <c r="J218" s="109">
        <v>700000.0</v>
      </c>
      <c r="K218" s="212" t="s">
        <v>212</v>
      </c>
      <c r="L218" s="58">
        <f t="shared" si="16"/>
        <v>515000</v>
      </c>
      <c r="M218" s="10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18">
        <v>21.0</v>
      </c>
      <c r="B219" s="112">
        <v>45807.0</v>
      </c>
      <c r="C219" s="17" t="s">
        <v>65</v>
      </c>
      <c r="D219" s="98" t="s">
        <v>590</v>
      </c>
      <c r="E219" s="98" t="s">
        <v>592</v>
      </c>
      <c r="F219" s="98" t="s">
        <v>346</v>
      </c>
      <c r="G219" s="110">
        <v>9000.0</v>
      </c>
      <c r="H219" s="121">
        <v>1000000.0</v>
      </c>
      <c r="I219" s="108" t="s">
        <v>212</v>
      </c>
      <c r="J219" s="121">
        <v>550000.0</v>
      </c>
      <c r="K219" s="212" t="s">
        <v>212</v>
      </c>
      <c r="L219" s="58">
        <f t="shared" si="16"/>
        <v>450000</v>
      </c>
      <c r="M219" s="10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18">
        <v>22.0</v>
      </c>
      <c r="B220" s="112">
        <v>45808.0</v>
      </c>
      <c r="C220" s="17" t="s">
        <v>65</v>
      </c>
      <c r="D220" s="98" t="s">
        <v>590</v>
      </c>
      <c r="E220" s="98" t="s">
        <v>243</v>
      </c>
      <c r="F220" s="98" t="s">
        <v>323</v>
      </c>
      <c r="G220" s="110">
        <v>9000.0</v>
      </c>
      <c r="H220" s="121">
        <v>1350000.0</v>
      </c>
      <c r="I220" s="108" t="s">
        <v>238</v>
      </c>
      <c r="J220" s="121">
        <v>780000.0</v>
      </c>
      <c r="K220" s="212" t="s">
        <v>212</v>
      </c>
      <c r="L220" s="58">
        <f t="shared" si="16"/>
        <v>570000</v>
      </c>
      <c r="M220" s="10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1"/>
      <c r="B221" s="7"/>
      <c r="C221" s="17"/>
      <c r="D221" s="17"/>
      <c r="E221" s="98"/>
      <c r="F221" s="17"/>
      <c r="G221" s="110" t="s">
        <v>24</v>
      </c>
      <c r="H221" s="58"/>
      <c r="I221" s="59"/>
      <c r="J221" s="121"/>
      <c r="K221" s="60"/>
      <c r="L221" s="52">
        <f t="shared" ref="L221:M221" si="17">SUM(L199:L220)</f>
        <v>11298200</v>
      </c>
      <c r="M221" s="30">
        <f t="shared" si="17"/>
        <v>2217000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1"/>
      <c r="B222" s="7"/>
      <c r="C222" s="17"/>
      <c r="D222" s="17"/>
      <c r="E222" s="17"/>
      <c r="F222" s="17"/>
      <c r="G222" s="57"/>
      <c r="I222" s="59"/>
      <c r="K222" s="60"/>
      <c r="L222" s="33">
        <f>L221-M221</f>
        <v>9081200</v>
      </c>
      <c r="M222" s="2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7"/>
      <c r="B223" s="7"/>
      <c r="C223" s="7"/>
      <c r="D223" s="7"/>
      <c r="E223" s="17"/>
      <c r="F223" s="17"/>
      <c r="G223" s="57"/>
      <c r="H223" s="104"/>
      <c r="I223" s="97"/>
      <c r="J223" s="104"/>
      <c r="K223" s="17"/>
      <c r="L223" s="7"/>
      <c r="M223" s="61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36" t="s">
        <v>209</v>
      </c>
      <c r="B224" s="136" t="s">
        <v>0</v>
      </c>
      <c r="C224" s="136" t="s">
        <v>1</v>
      </c>
      <c r="D224" s="136" t="s">
        <v>2</v>
      </c>
      <c r="E224" s="137" t="s">
        <v>3</v>
      </c>
      <c r="F224" s="136" t="s">
        <v>4</v>
      </c>
      <c r="G224" s="138" t="s">
        <v>5</v>
      </c>
      <c r="H224" s="139" t="s">
        <v>6</v>
      </c>
      <c r="I224" s="140" t="s">
        <v>39</v>
      </c>
      <c r="J224" s="139" t="s">
        <v>7</v>
      </c>
      <c r="K224" s="138" t="s">
        <v>39</v>
      </c>
      <c r="L224" s="140" t="s">
        <v>8</v>
      </c>
      <c r="M224" s="141" t="s">
        <v>9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7">
        <v>1.0</v>
      </c>
      <c r="B225" s="142">
        <v>45810.0</v>
      </c>
      <c r="C225" s="17" t="s">
        <v>65</v>
      </c>
      <c r="D225" s="98" t="s">
        <v>590</v>
      </c>
      <c r="E225" s="144" t="s">
        <v>243</v>
      </c>
      <c r="F225" s="144" t="s">
        <v>295</v>
      </c>
      <c r="G225" s="132">
        <v>9000.0</v>
      </c>
      <c r="H225" s="134">
        <v>1125000.0</v>
      </c>
      <c r="I225" s="108" t="s">
        <v>212</v>
      </c>
      <c r="J225" s="134">
        <v>640000.0</v>
      </c>
      <c r="K225" s="212" t="s">
        <v>212</v>
      </c>
      <c r="L225" s="146">
        <f t="shared" ref="L225:L239" si="18">H225-J225</f>
        <v>485000</v>
      </c>
      <c r="M225" s="147">
        <v>795000.0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18">
        <v>2.0</v>
      </c>
      <c r="B226" s="142">
        <v>45811.0</v>
      </c>
      <c r="C226" s="17" t="s">
        <v>65</v>
      </c>
      <c r="D226" s="98" t="s">
        <v>590</v>
      </c>
      <c r="E226" s="98" t="s">
        <v>305</v>
      </c>
      <c r="F226" s="144" t="s">
        <v>295</v>
      </c>
      <c r="G226" s="132">
        <v>9000.0</v>
      </c>
      <c r="H226" s="134">
        <v>1125000.0</v>
      </c>
      <c r="I226" s="108" t="s">
        <v>212</v>
      </c>
      <c r="J226" s="134">
        <v>640000.0</v>
      </c>
      <c r="K226" s="212" t="s">
        <v>212</v>
      </c>
      <c r="L226" s="146">
        <f t="shared" si="18"/>
        <v>485000</v>
      </c>
      <c r="M226" s="61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18">
        <v>3.0</v>
      </c>
      <c r="B227" s="142">
        <v>45812.0</v>
      </c>
      <c r="C227" s="17" t="s">
        <v>65</v>
      </c>
      <c r="D227" s="98" t="s">
        <v>590</v>
      </c>
      <c r="E227" s="98" t="s">
        <v>322</v>
      </c>
      <c r="F227" s="98" t="s">
        <v>326</v>
      </c>
      <c r="G227" s="110">
        <v>10000.0</v>
      </c>
      <c r="H227" s="121">
        <v>1500000.0</v>
      </c>
      <c r="I227" s="115" t="s">
        <v>238</v>
      </c>
      <c r="J227" s="121">
        <v>975000.0</v>
      </c>
      <c r="K227" s="212" t="s">
        <v>212</v>
      </c>
      <c r="L227" s="146">
        <f t="shared" si="18"/>
        <v>525000</v>
      </c>
      <c r="M227" s="61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18">
        <v>4.0</v>
      </c>
      <c r="B228" s="142">
        <v>45813.0</v>
      </c>
      <c r="C228" s="17" t="s">
        <v>65</v>
      </c>
      <c r="D228" s="98" t="s">
        <v>590</v>
      </c>
      <c r="E228" s="98" t="s">
        <v>242</v>
      </c>
      <c r="F228" s="98" t="s">
        <v>321</v>
      </c>
      <c r="G228" s="110">
        <v>9000.0</v>
      </c>
      <c r="H228" s="121">
        <v>800000.0</v>
      </c>
      <c r="I228" s="108" t="s">
        <v>212</v>
      </c>
      <c r="J228" s="121">
        <v>400000.0</v>
      </c>
      <c r="K228" s="212" t="s">
        <v>212</v>
      </c>
      <c r="L228" s="146">
        <f t="shared" si="18"/>
        <v>400000</v>
      </c>
      <c r="M228" s="61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18">
        <v>5.0</v>
      </c>
      <c r="B229" s="142">
        <v>45815.0</v>
      </c>
      <c r="C229" s="17" t="s">
        <v>65</v>
      </c>
      <c r="D229" s="98" t="s">
        <v>590</v>
      </c>
      <c r="E229" s="98" t="s">
        <v>242</v>
      </c>
      <c r="F229" s="98" t="s">
        <v>259</v>
      </c>
      <c r="G229" s="110">
        <v>10000.0</v>
      </c>
      <c r="H229" s="121">
        <v>1500000.0</v>
      </c>
      <c r="I229" s="115" t="s">
        <v>238</v>
      </c>
      <c r="J229" s="121">
        <v>850000.0</v>
      </c>
      <c r="K229" s="212" t="s">
        <v>212</v>
      </c>
      <c r="L229" s="146">
        <f t="shared" si="18"/>
        <v>650000</v>
      </c>
      <c r="M229" s="106">
        <v>248000.0</v>
      </c>
      <c r="N229" s="11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18">
        <v>6.0</v>
      </c>
      <c r="B230" s="142">
        <v>45822.0</v>
      </c>
      <c r="C230" s="17" t="s">
        <v>65</v>
      </c>
      <c r="D230" s="98" t="s">
        <v>593</v>
      </c>
      <c r="E230" s="98" t="s">
        <v>327</v>
      </c>
      <c r="F230" s="98" t="s">
        <v>274</v>
      </c>
      <c r="G230" s="110">
        <v>9000.0</v>
      </c>
      <c r="H230" s="121">
        <v>900000.0</v>
      </c>
      <c r="I230" s="115" t="s">
        <v>238</v>
      </c>
      <c r="J230" s="121">
        <v>500000.0</v>
      </c>
      <c r="K230" s="212" t="s">
        <v>212</v>
      </c>
      <c r="L230" s="146">
        <f t="shared" si="18"/>
        <v>400000</v>
      </c>
      <c r="M230" s="61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18">
        <v>7.0</v>
      </c>
      <c r="B231" s="142">
        <v>45824.0</v>
      </c>
      <c r="C231" s="17" t="s">
        <v>65</v>
      </c>
      <c r="D231" s="98" t="s">
        <v>593</v>
      </c>
      <c r="E231" s="98" t="s">
        <v>327</v>
      </c>
      <c r="F231" s="98" t="s">
        <v>328</v>
      </c>
      <c r="G231" s="110">
        <v>9000.0</v>
      </c>
      <c r="H231" s="121">
        <v>1440000.0</v>
      </c>
      <c r="I231" s="115" t="s">
        <v>238</v>
      </c>
      <c r="J231" s="121">
        <v>900000.0</v>
      </c>
      <c r="K231" s="212" t="s">
        <v>212</v>
      </c>
      <c r="L231" s="146">
        <f t="shared" si="18"/>
        <v>540000</v>
      </c>
      <c r="M231" s="61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18">
        <v>8.0</v>
      </c>
      <c r="B232" s="142">
        <v>45825.0</v>
      </c>
      <c r="C232" s="17" t="s">
        <v>65</v>
      </c>
      <c r="D232" s="98" t="s">
        <v>593</v>
      </c>
      <c r="E232" s="98" t="s">
        <v>327</v>
      </c>
      <c r="F232" s="98" t="s">
        <v>328</v>
      </c>
      <c r="G232" s="110">
        <v>9000.0</v>
      </c>
      <c r="H232" s="121">
        <v>1440000.0</v>
      </c>
      <c r="I232" s="115" t="s">
        <v>238</v>
      </c>
      <c r="J232" s="121">
        <v>900000.0</v>
      </c>
      <c r="K232" s="98" t="s">
        <v>238</v>
      </c>
      <c r="L232" s="146">
        <f t="shared" si="18"/>
        <v>540000</v>
      </c>
      <c r="M232" s="61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18">
        <v>9.0</v>
      </c>
      <c r="B233" s="142">
        <v>45826.0</v>
      </c>
      <c r="C233" s="17" t="s">
        <v>65</v>
      </c>
      <c r="D233" s="98" t="s">
        <v>593</v>
      </c>
      <c r="E233" s="98" t="s">
        <v>594</v>
      </c>
      <c r="F233" s="98" t="s">
        <v>292</v>
      </c>
      <c r="G233" s="110">
        <v>9000.0</v>
      </c>
      <c r="H233" s="121">
        <v>1100000.0</v>
      </c>
      <c r="I233" s="108" t="s">
        <v>212</v>
      </c>
      <c r="J233" s="121">
        <v>650000.0</v>
      </c>
      <c r="K233" s="98" t="s">
        <v>238</v>
      </c>
      <c r="L233" s="146">
        <f t="shared" si="18"/>
        <v>450000</v>
      </c>
      <c r="M233" s="61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18">
        <v>10.0</v>
      </c>
      <c r="B234" s="142">
        <v>45831.0</v>
      </c>
      <c r="C234" s="17" t="s">
        <v>65</v>
      </c>
      <c r="D234" s="98" t="s">
        <v>593</v>
      </c>
      <c r="E234" s="98" t="s">
        <v>322</v>
      </c>
      <c r="F234" s="98" t="s">
        <v>287</v>
      </c>
      <c r="G234" s="110">
        <v>9000.0</v>
      </c>
      <c r="H234" s="121">
        <v>1200000.0</v>
      </c>
      <c r="I234" s="108" t="s">
        <v>212</v>
      </c>
      <c r="J234" s="121">
        <v>715000.0</v>
      </c>
      <c r="K234" s="98" t="s">
        <v>238</v>
      </c>
      <c r="L234" s="146">
        <f t="shared" si="18"/>
        <v>485000</v>
      </c>
      <c r="M234" s="106">
        <v>50000.0</v>
      </c>
      <c r="N234" s="11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18">
        <v>11.0</v>
      </c>
      <c r="B235" s="142">
        <v>45832.0</v>
      </c>
      <c r="C235" s="17" t="s">
        <v>65</v>
      </c>
      <c r="D235" s="98" t="s">
        <v>593</v>
      </c>
      <c r="E235" s="98" t="s">
        <v>322</v>
      </c>
      <c r="F235" s="98" t="s">
        <v>328</v>
      </c>
      <c r="G235" s="110">
        <v>10000.0</v>
      </c>
      <c r="H235" s="121">
        <v>1600000.0</v>
      </c>
      <c r="I235" s="115" t="s">
        <v>238</v>
      </c>
      <c r="J235" s="121">
        <v>975000.0</v>
      </c>
      <c r="K235" s="98" t="s">
        <v>238</v>
      </c>
      <c r="L235" s="146">
        <f t="shared" si="18"/>
        <v>625000</v>
      </c>
      <c r="M235" s="61"/>
      <c r="N235" s="11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18">
        <v>12.0</v>
      </c>
      <c r="B236" s="142">
        <v>45833.0</v>
      </c>
      <c r="C236" s="17" t="s">
        <v>65</v>
      </c>
      <c r="D236" s="98" t="s">
        <v>593</v>
      </c>
      <c r="E236" s="98" t="s">
        <v>243</v>
      </c>
      <c r="F236" s="98" t="s">
        <v>264</v>
      </c>
      <c r="G236" s="110">
        <v>10000.0</v>
      </c>
      <c r="H236" s="121">
        <v>1500000.0</v>
      </c>
      <c r="I236" s="115" t="s">
        <v>238</v>
      </c>
      <c r="J236" s="121">
        <v>950000.0</v>
      </c>
      <c r="K236" s="98" t="s">
        <v>238</v>
      </c>
      <c r="L236" s="146">
        <f t="shared" si="18"/>
        <v>550000</v>
      </c>
      <c r="M236" s="106">
        <v>98000.0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18">
        <v>13.0</v>
      </c>
      <c r="B237" s="142">
        <v>45834.0</v>
      </c>
      <c r="C237" s="17" t="s">
        <v>65</v>
      </c>
      <c r="D237" s="98" t="s">
        <v>593</v>
      </c>
      <c r="E237" s="98" t="s">
        <v>327</v>
      </c>
      <c r="F237" s="98" t="s">
        <v>595</v>
      </c>
      <c r="G237" s="110">
        <v>9000.0</v>
      </c>
      <c r="H237" s="121">
        <v>1350000.0</v>
      </c>
      <c r="I237" s="115" t="s">
        <v>238</v>
      </c>
      <c r="J237" s="121">
        <v>800000.0</v>
      </c>
      <c r="K237" s="98" t="s">
        <v>238</v>
      </c>
      <c r="L237" s="146">
        <f t="shared" si="18"/>
        <v>550000</v>
      </c>
      <c r="M237" s="61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18">
        <v>14.0</v>
      </c>
      <c r="B238" s="142">
        <v>45836.0</v>
      </c>
      <c r="C238" s="17" t="s">
        <v>65</v>
      </c>
      <c r="D238" s="98" t="s">
        <v>593</v>
      </c>
      <c r="E238" s="98" t="s">
        <v>322</v>
      </c>
      <c r="F238" s="98" t="s">
        <v>303</v>
      </c>
      <c r="G238" s="110">
        <v>9000.0</v>
      </c>
      <c r="H238" s="121">
        <v>1215000.0</v>
      </c>
      <c r="I238" s="115" t="s">
        <v>238</v>
      </c>
      <c r="J238" s="121">
        <v>725000.0</v>
      </c>
      <c r="K238" s="98" t="s">
        <v>238</v>
      </c>
      <c r="L238" s="146">
        <f t="shared" si="18"/>
        <v>490000</v>
      </c>
      <c r="M238" s="61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18">
        <v>15.0</v>
      </c>
      <c r="B239" s="142">
        <v>45838.0</v>
      </c>
      <c r="C239" s="17" t="s">
        <v>65</v>
      </c>
      <c r="D239" s="98" t="s">
        <v>593</v>
      </c>
      <c r="E239" s="98" t="s">
        <v>322</v>
      </c>
      <c r="F239" s="98" t="s">
        <v>295</v>
      </c>
      <c r="G239" s="110">
        <v>9000.0</v>
      </c>
      <c r="H239" s="121">
        <v>1125000.0</v>
      </c>
      <c r="I239" s="108" t="s">
        <v>212</v>
      </c>
      <c r="J239" s="121">
        <v>640000.0</v>
      </c>
      <c r="K239" s="98" t="s">
        <v>238</v>
      </c>
      <c r="L239" s="146">
        <f t="shared" si="18"/>
        <v>485000</v>
      </c>
      <c r="M239" s="61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18"/>
      <c r="B240" s="7"/>
      <c r="C240" s="7"/>
      <c r="D240" s="7"/>
      <c r="E240" s="17"/>
      <c r="F240" s="17"/>
      <c r="G240" s="57"/>
      <c r="H240" s="104"/>
      <c r="I240" s="97"/>
      <c r="J240" s="104"/>
      <c r="K240" s="17"/>
      <c r="L240" s="52">
        <f t="shared" ref="L240:M240" si="19">SUM(L225:L239)</f>
        <v>7660000</v>
      </c>
      <c r="M240" s="30">
        <f t="shared" si="19"/>
        <v>1191000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18"/>
      <c r="B241" s="7"/>
      <c r="C241" s="7"/>
      <c r="D241" s="7"/>
      <c r="E241" s="17"/>
      <c r="F241" s="17"/>
      <c r="G241" s="57"/>
      <c r="H241" s="104"/>
      <c r="I241" s="97"/>
      <c r="J241" s="104"/>
      <c r="K241" s="17"/>
      <c r="L241" s="33">
        <f>L240-M240</f>
        <v>6469000</v>
      </c>
      <c r="M241" s="26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7"/>
      <c r="B242" s="7"/>
      <c r="C242" s="7"/>
      <c r="D242" s="7"/>
      <c r="E242" s="17"/>
      <c r="F242" s="17"/>
      <c r="G242" s="57"/>
      <c r="H242" s="104"/>
      <c r="I242" s="97"/>
      <c r="J242" s="104"/>
      <c r="K242" s="17"/>
      <c r="L242" s="7"/>
      <c r="M242" s="61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36" t="s">
        <v>209</v>
      </c>
      <c r="B243" s="136" t="s">
        <v>0</v>
      </c>
      <c r="C243" s="136" t="s">
        <v>1</v>
      </c>
      <c r="D243" s="136" t="s">
        <v>2</v>
      </c>
      <c r="E243" s="137" t="s">
        <v>3</v>
      </c>
      <c r="F243" s="136" t="s">
        <v>4</v>
      </c>
      <c r="G243" s="138" t="s">
        <v>5</v>
      </c>
      <c r="H243" s="139" t="s">
        <v>6</v>
      </c>
      <c r="I243" s="140" t="s">
        <v>39</v>
      </c>
      <c r="J243" s="139" t="s">
        <v>7</v>
      </c>
      <c r="K243" s="138" t="s">
        <v>39</v>
      </c>
      <c r="L243" s="140" t="s">
        <v>8</v>
      </c>
      <c r="M243" s="141" t="s">
        <v>9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7">
        <v>1.0</v>
      </c>
      <c r="B244" s="142">
        <v>45839.0</v>
      </c>
      <c r="C244" s="17" t="s">
        <v>65</v>
      </c>
      <c r="D244" s="98" t="s">
        <v>593</v>
      </c>
      <c r="E244" s="144" t="s">
        <v>322</v>
      </c>
      <c r="F244" s="144" t="s">
        <v>295</v>
      </c>
      <c r="G244" s="148">
        <v>9000.0</v>
      </c>
      <c r="H244" s="134">
        <v>1125000.0</v>
      </c>
      <c r="I244" s="108" t="s">
        <v>212</v>
      </c>
      <c r="J244" s="134">
        <v>640000.0</v>
      </c>
      <c r="K244" s="98" t="s">
        <v>238</v>
      </c>
      <c r="L244" s="146">
        <f t="shared" ref="L244:L269" si="20">H244-J244</f>
        <v>485000</v>
      </c>
      <c r="M244" s="14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18">
        <v>2.0</v>
      </c>
      <c r="B245" s="142">
        <v>45840.0</v>
      </c>
      <c r="C245" s="17" t="s">
        <v>65</v>
      </c>
      <c r="D245" s="98" t="s">
        <v>593</v>
      </c>
      <c r="E245" s="98" t="s">
        <v>335</v>
      </c>
      <c r="F245" s="144" t="s">
        <v>337</v>
      </c>
      <c r="G245" s="110">
        <v>8000.0</v>
      </c>
      <c r="H245" s="134">
        <v>1771432.0</v>
      </c>
      <c r="I245" s="108" t="s">
        <v>238</v>
      </c>
      <c r="J245" s="109">
        <v>750000.0</v>
      </c>
      <c r="K245" s="98" t="s">
        <v>238</v>
      </c>
      <c r="L245" s="146">
        <f t="shared" si="20"/>
        <v>1021432</v>
      </c>
      <c r="M245" s="106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18">
        <v>3.0</v>
      </c>
      <c r="B246" s="142">
        <v>45841.0</v>
      </c>
      <c r="C246" s="17" t="s">
        <v>65</v>
      </c>
      <c r="D246" s="98" t="s">
        <v>593</v>
      </c>
      <c r="E246" s="98" t="s">
        <v>243</v>
      </c>
      <c r="F246" s="144" t="s">
        <v>271</v>
      </c>
      <c r="G246" s="110">
        <v>10000.0</v>
      </c>
      <c r="H246" s="107">
        <v>750000.0</v>
      </c>
      <c r="I246" s="108" t="s">
        <v>238</v>
      </c>
      <c r="J246" s="109">
        <v>400000.0</v>
      </c>
      <c r="K246" s="98" t="s">
        <v>238</v>
      </c>
      <c r="L246" s="146">
        <f t="shared" si="20"/>
        <v>350000</v>
      </c>
      <c r="M246" s="61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18">
        <v>4.0</v>
      </c>
      <c r="B247" s="142">
        <v>45841.0</v>
      </c>
      <c r="C247" s="17" t="s">
        <v>65</v>
      </c>
      <c r="D247" s="98" t="s">
        <v>593</v>
      </c>
      <c r="E247" s="98" t="s">
        <v>279</v>
      </c>
      <c r="F247" s="144" t="s">
        <v>522</v>
      </c>
      <c r="G247" s="110">
        <v>9000.0</v>
      </c>
      <c r="H247" s="135">
        <v>1170000.0</v>
      </c>
      <c r="I247" s="108" t="s">
        <v>212</v>
      </c>
      <c r="J247" s="121">
        <v>640000.0</v>
      </c>
      <c r="K247" s="98" t="s">
        <v>238</v>
      </c>
      <c r="L247" s="146">
        <f t="shared" si="20"/>
        <v>530000</v>
      </c>
      <c r="M247" s="61"/>
      <c r="N247" s="11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18">
        <v>5.0</v>
      </c>
      <c r="B248" s="142">
        <v>45842.0</v>
      </c>
      <c r="C248" s="17" t="s">
        <v>65</v>
      </c>
      <c r="D248" s="98" t="s">
        <v>593</v>
      </c>
      <c r="E248" s="98" t="s">
        <v>243</v>
      </c>
      <c r="F248" s="144" t="s">
        <v>268</v>
      </c>
      <c r="G248" s="110">
        <v>9000.0</v>
      </c>
      <c r="H248" s="107">
        <v>1400000.0</v>
      </c>
      <c r="I248" s="233"/>
      <c r="J248" s="109">
        <v>850000.0</v>
      </c>
      <c r="K248" s="98" t="s">
        <v>238</v>
      </c>
      <c r="L248" s="146">
        <f t="shared" si="20"/>
        <v>550000</v>
      </c>
      <c r="M248" s="61"/>
      <c r="N248" s="11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18">
        <v>6.0</v>
      </c>
      <c r="B249" s="142">
        <v>45843.0</v>
      </c>
      <c r="C249" s="17" t="s">
        <v>65</v>
      </c>
      <c r="D249" s="98" t="s">
        <v>593</v>
      </c>
      <c r="E249" s="98" t="s">
        <v>243</v>
      </c>
      <c r="F249" s="144" t="s">
        <v>264</v>
      </c>
      <c r="G249" s="110">
        <v>10000.0</v>
      </c>
      <c r="H249" s="107">
        <v>1500000.0</v>
      </c>
      <c r="I249" s="115" t="s">
        <v>238</v>
      </c>
      <c r="J249" s="109">
        <v>950000.0</v>
      </c>
      <c r="K249" s="98" t="s">
        <v>238</v>
      </c>
      <c r="L249" s="146">
        <f t="shared" si="20"/>
        <v>550000</v>
      </c>
      <c r="M249" s="61"/>
      <c r="N249" s="11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18">
        <v>7.0</v>
      </c>
      <c r="B250" s="142">
        <v>45845.0</v>
      </c>
      <c r="C250" s="17" t="s">
        <v>65</v>
      </c>
      <c r="D250" s="98" t="s">
        <v>593</v>
      </c>
      <c r="E250" s="98" t="s">
        <v>320</v>
      </c>
      <c r="F250" s="144" t="s">
        <v>306</v>
      </c>
      <c r="G250" s="110">
        <v>9000.0</v>
      </c>
      <c r="H250" s="107">
        <v>1035000.0</v>
      </c>
      <c r="I250" s="108" t="s">
        <v>212</v>
      </c>
      <c r="J250" s="109">
        <v>600000.0</v>
      </c>
      <c r="K250" s="98" t="s">
        <v>238</v>
      </c>
      <c r="L250" s="146">
        <f t="shared" si="20"/>
        <v>435000</v>
      </c>
      <c r="M250" s="106"/>
      <c r="N250" s="11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18">
        <v>8.0</v>
      </c>
      <c r="B251" s="142">
        <v>45846.0</v>
      </c>
      <c r="C251" s="17" t="s">
        <v>65</v>
      </c>
      <c r="D251" s="98" t="s">
        <v>593</v>
      </c>
      <c r="E251" s="98" t="s">
        <v>322</v>
      </c>
      <c r="F251" s="144" t="s">
        <v>302</v>
      </c>
      <c r="G251" s="110">
        <v>9000.0</v>
      </c>
      <c r="H251" s="107">
        <v>900000.0</v>
      </c>
      <c r="I251" s="108" t="s">
        <v>238</v>
      </c>
      <c r="J251" s="109">
        <v>375000.0</v>
      </c>
      <c r="K251" s="212" t="s">
        <v>212</v>
      </c>
      <c r="L251" s="146">
        <f t="shared" si="20"/>
        <v>525000</v>
      </c>
      <c r="M251" s="106"/>
      <c r="N251" s="11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18">
        <v>9.0</v>
      </c>
      <c r="B252" s="142">
        <v>45847.0</v>
      </c>
      <c r="C252" s="17" t="s">
        <v>65</v>
      </c>
      <c r="D252" s="98" t="s">
        <v>593</v>
      </c>
      <c r="E252" s="98" t="s">
        <v>243</v>
      </c>
      <c r="F252" s="144" t="s">
        <v>268</v>
      </c>
      <c r="G252" s="110">
        <v>9000.0</v>
      </c>
      <c r="H252" s="107">
        <v>1400000.0</v>
      </c>
      <c r="I252" s="234"/>
      <c r="J252" s="121">
        <v>850000.0</v>
      </c>
      <c r="K252" s="212" t="s">
        <v>212</v>
      </c>
      <c r="L252" s="146">
        <f t="shared" si="20"/>
        <v>550000</v>
      </c>
      <c r="M252" s="106"/>
      <c r="N252" s="11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18">
        <v>10.0</v>
      </c>
      <c r="B253" s="142">
        <v>45849.0</v>
      </c>
      <c r="C253" s="17" t="s">
        <v>65</v>
      </c>
      <c r="D253" s="98" t="s">
        <v>593</v>
      </c>
      <c r="E253" s="98" t="s">
        <v>322</v>
      </c>
      <c r="F253" s="144" t="s">
        <v>333</v>
      </c>
      <c r="G253" s="110">
        <v>9000.0</v>
      </c>
      <c r="H253" s="107">
        <v>1350000.0</v>
      </c>
      <c r="I253" s="108" t="s">
        <v>238</v>
      </c>
      <c r="J253" s="109">
        <v>875000.0</v>
      </c>
      <c r="K253" s="212" t="s">
        <v>212</v>
      </c>
      <c r="L253" s="146">
        <f t="shared" si="20"/>
        <v>475000</v>
      </c>
      <c r="M253" s="106">
        <v>25000.0</v>
      </c>
      <c r="N253" s="11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18">
        <v>11.0</v>
      </c>
      <c r="B254" s="142">
        <v>45850.0</v>
      </c>
      <c r="C254" s="17" t="s">
        <v>65</v>
      </c>
      <c r="D254" s="98" t="s">
        <v>593</v>
      </c>
      <c r="E254" s="98" t="s">
        <v>532</v>
      </c>
      <c r="F254" s="144" t="s">
        <v>595</v>
      </c>
      <c r="G254" s="110">
        <v>9000.0</v>
      </c>
      <c r="H254" s="107">
        <v>1350000.0</v>
      </c>
      <c r="I254" s="108" t="s">
        <v>238</v>
      </c>
      <c r="J254" s="109">
        <v>800000.0</v>
      </c>
      <c r="K254" s="98" t="s">
        <v>238</v>
      </c>
      <c r="L254" s="146">
        <f t="shared" si="20"/>
        <v>550000</v>
      </c>
      <c r="M254" s="106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18">
        <v>12.0</v>
      </c>
      <c r="B255" s="142">
        <v>45852.0</v>
      </c>
      <c r="C255" s="17" t="s">
        <v>65</v>
      </c>
      <c r="D255" s="98" t="s">
        <v>593</v>
      </c>
      <c r="E255" s="98" t="s">
        <v>243</v>
      </c>
      <c r="F255" s="144" t="s">
        <v>277</v>
      </c>
      <c r="G255" s="110">
        <v>10000.0</v>
      </c>
      <c r="H255" s="107">
        <v>750000.0</v>
      </c>
      <c r="I255" s="108" t="s">
        <v>238</v>
      </c>
      <c r="J255" s="109">
        <v>400000.0</v>
      </c>
      <c r="K255" s="98" t="s">
        <v>238</v>
      </c>
      <c r="L255" s="146">
        <f t="shared" si="20"/>
        <v>350000</v>
      </c>
      <c r="M255" s="61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18">
        <v>13.0</v>
      </c>
      <c r="B256" s="142">
        <v>45853.0</v>
      </c>
      <c r="C256" s="17" t="s">
        <v>65</v>
      </c>
      <c r="D256" s="98" t="s">
        <v>593</v>
      </c>
      <c r="E256" s="98" t="s">
        <v>322</v>
      </c>
      <c r="F256" s="98" t="s">
        <v>303</v>
      </c>
      <c r="G256" s="110">
        <v>9000.0</v>
      </c>
      <c r="H256" s="107">
        <v>1215000.0</v>
      </c>
      <c r="I256" s="108" t="s">
        <v>238</v>
      </c>
      <c r="J256" s="109">
        <v>725000.0</v>
      </c>
      <c r="K256" s="98" t="s">
        <v>238</v>
      </c>
      <c r="L256" s="146">
        <f t="shared" si="20"/>
        <v>490000</v>
      </c>
      <c r="M256" s="106">
        <v>430000.0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18">
        <v>14.0</v>
      </c>
      <c r="B257" s="142">
        <v>45854.0</v>
      </c>
      <c r="C257" s="17" t="s">
        <v>65</v>
      </c>
      <c r="D257" s="98" t="s">
        <v>593</v>
      </c>
      <c r="E257" s="98" t="s">
        <v>318</v>
      </c>
      <c r="F257" s="98" t="s">
        <v>319</v>
      </c>
      <c r="G257" s="110">
        <v>5000.0</v>
      </c>
      <c r="H257" s="135">
        <v>1494000.0</v>
      </c>
      <c r="I257" s="108" t="s">
        <v>238</v>
      </c>
      <c r="J257" s="109">
        <v>900000.0</v>
      </c>
      <c r="K257" s="109" t="s">
        <v>238</v>
      </c>
      <c r="L257" s="146">
        <f t="shared" si="20"/>
        <v>594000</v>
      </c>
      <c r="M257" s="106">
        <v>150000.0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18">
        <v>15.0</v>
      </c>
      <c r="B258" s="142">
        <v>45856.0</v>
      </c>
      <c r="C258" s="17" t="s">
        <v>65</v>
      </c>
      <c r="D258" s="98" t="s">
        <v>593</v>
      </c>
      <c r="E258" s="98" t="s">
        <v>243</v>
      </c>
      <c r="F258" s="144" t="s">
        <v>306</v>
      </c>
      <c r="G258" s="110">
        <v>9000.0</v>
      </c>
      <c r="H258" s="107">
        <v>1035000.0</v>
      </c>
      <c r="I258" s="108" t="s">
        <v>212</v>
      </c>
      <c r="J258" s="109">
        <v>600000.0</v>
      </c>
      <c r="K258" s="109" t="s">
        <v>238</v>
      </c>
      <c r="L258" s="146">
        <f t="shared" si="20"/>
        <v>435000</v>
      </c>
      <c r="M258" s="106">
        <v>25000.0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18">
        <v>16.0</v>
      </c>
      <c r="B259" s="142">
        <v>45857.0</v>
      </c>
      <c r="C259" s="17" t="s">
        <v>65</v>
      </c>
      <c r="D259" s="98" t="s">
        <v>593</v>
      </c>
      <c r="E259" s="98" t="s">
        <v>322</v>
      </c>
      <c r="F259" s="98" t="s">
        <v>214</v>
      </c>
      <c r="G259" s="110">
        <v>9000.0</v>
      </c>
      <c r="H259" s="107">
        <v>1350000.0</v>
      </c>
      <c r="I259" s="108" t="s">
        <v>238</v>
      </c>
      <c r="J259" s="109">
        <v>925000.0</v>
      </c>
      <c r="K259" s="109" t="s">
        <v>238</v>
      </c>
      <c r="L259" s="146">
        <f t="shared" si="20"/>
        <v>425000</v>
      </c>
      <c r="M259" s="61"/>
      <c r="N259" s="11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18">
        <v>17.0</v>
      </c>
      <c r="B260" s="142">
        <v>45859.0</v>
      </c>
      <c r="C260" s="17" t="s">
        <v>65</v>
      </c>
      <c r="D260" s="98" t="s">
        <v>593</v>
      </c>
      <c r="E260" s="98" t="s">
        <v>242</v>
      </c>
      <c r="F260" s="98" t="s">
        <v>259</v>
      </c>
      <c r="G260" s="110">
        <v>10000.0</v>
      </c>
      <c r="H260" s="107">
        <v>1500000.0</v>
      </c>
      <c r="I260" s="108" t="s">
        <v>238</v>
      </c>
      <c r="J260" s="109">
        <v>850000.0</v>
      </c>
      <c r="K260" s="109" t="s">
        <v>238</v>
      </c>
      <c r="L260" s="146">
        <f t="shared" si="20"/>
        <v>650000</v>
      </c>
      <c r="M260" s="61"/>
      <c r="N260" s="11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18">
        <v>18.0</v>
      </c>
      <c r="B261" s="142">
        <v>45860.0</v>
      </c>
      <c r="C261" s="17" t="s">
        <v>65</v>
      </c>
      <c r="D261" s="98" t="s">
        <v>593</v>
      </c>
      <c r="E261" s="98" t="s">
        <v>243</v>
      </c>
      <c r="F261" s="98" t="s">
        <v>306</v>
      </c>
      <c r="G261" s="110">
        <v>9000.0</v>
      </c>
      <c r="H261" s="107">
        <v>1035000.0</v>
      </c>
      <c r="I261" s="108" t="s">
        <v>212</v>
      </c>
      <c r="J261" s="109">
        <v>600000.0</v>
      </c>
      <c r="K261" s="109" t="s">
        <v>238</v>
      </c>
      <c r="L261" s="146">
        <f t="shared" si="20"/>
        <v>435000</v>
      </c>
      <c r="M261" s="106">
        <v>25000.0</v>
      </c>
      <c r="N261" s="11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18">
        <v>19.0</v>
      </c>
      <c r="B262" s="142">
        <v>45861.0</v>
      </c>
      <c r="C262" s="17" t="s">
        <v>65</v>
      </c>
      <c r="D262" s="98" t="s">
        <v>593</v>
      </c>
      <c r="E262" s="98" t="s">
        <v>305</v>
      </c>
      <c r="F262" s="98" t="s">
        <v>306</v>
      </c>
      <c r="G262" s="110">
        <v>9000.0</v>
      </c>
      <c r="H262" s="107">
        <v>1035000.0</v>
      </c>
      <c r="I262" s="108" t="s">
        <v>212</v>
      </c>
      <c r="J262" s="109">
        <v>600000.0</v>
      </c>
      <c r="K262" s="109" t="s">
        <v>238</v>
      </c>
      <c r="L262" s="146">
        <f t="shared" si="20"/>
        <v>435000</v>
      </c>
      <c r="M262" s="61"/>
      <c r="N262" s="11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18">
        <v>20.0</v>
      </c>
      <c r="B263" s="142">
        <v>45862.0</v>
      </c>
      <c r="C263" s="17" t="s">
        <v>65</v>
      </c>
      <c r="D263" s="98" t="s">
        <v>593</v>
      </c>
      <c r="E263" s="98" t="s">
        <v>123</v>
      </c>
      <c r="F263" s="98" t="s">
        <v>316</v>
      </c>
      <c r="G263" s="110">
        <v>9000.0</v>
      </c>
      <c r="H263" s="107">
        <v>720000.0</v>
      </c>
      <c r="I263" s="108" t="s">
        <v>212</v>
      </c>
      <c r="J263" s="109">
        <v>350000.0</v>
      </c>
      <c r="K263" s="109" t="s">
        <v>238</v>
      </c>
      <c r="L263" s="146">
        <f t="shared" si="20"/>
        <v>370000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18">
        <v>21.0</v>
      </c>
      <c r="B264" s="142">
        <v>45863.0</v>
      </c>
      <c r="C264" s="17" t="s">
        <v>65</v>
      </c>
      <c r="D264" s="98" t="s">
        <v>593</v>
      </c>
      <c r="E264" s="98" t="s">
        <v>307</v>
      </c>
      <c r="F264" s="98" t="s">
        <v>319</v>
      </c>
      <c r="G264" s="110">
        <v>5000.0</v>
      </c>
      <c r="H264" s="135">
        <v>1383825.0</v>
      </c>
      <c r="I264" s="108" t="s">
        <v>238</v>
      </c>
      <c r="J264" s="109">
        <v>900000.0</v>
      </c>
      <c r="K264" s="109" t="s">
        <v>238</v>
      </c>
      <c r="L264" s="146">
        <f t="shared" si="20"/>
        <v>483825</v>
      </c>
      <c r="M264" s="106">
        <v>30000.0</v>
      </c>
      <c r="N264" s="11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98">
        <v>22.0</v>
      </c>
      <c r="B265" s="142">
        <v>45866.0</v>
      </c>
      <c r="C265" s="17" t="s">
        <v>65</v>
      </c>
      <c r="D265" s="98" t="s">
        <v>593</v>
      </c>
      <c r="E265" s="98" t="s">
        <v>123</v>
      </c>
      <c r="F265" s="98" t="s">
        <v>316</v>
      </c>
      <c r="G265" s="110">
        <v>9000.0</v>
      </c>
      <c r="H265" s="107">
        <v>720000.0</v>
      </c>
      <c r="I265" s="108" t="s">
        <v>212</v>
      </c>
      <c r="J265" s="109">
        <v>350000.0</v>
      </c>
      <c r="K265" s="109" t="s">
        <v>238</v>
      </c>
      <c r="L265" s="146">
        <f t="shared" si="20"/>
        <v>370000</v>
      </c>
      <c r="M265" s="61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98">
        <v>23.0</v>
      </c>
      <c r="B266" s="142">
        <v>45866.0</v>
      </c>
      <c r="C266" s="17" t="s">
        <v>65</v>
      </c>
      <c r="D266" s="98" t="s">
        <v>593</v>
      </c>
      <c r="E266" s="98" t="s">
        <v>327</v>
      </c>
      <c r="F266" s="98" t="s">
        <v>332</v>
      </c>
      <c r="G266" s="110">
        <v>9000.0</v>
      </c>
      <c r="H266" s="107">
        <v>765000.0</v>
      </c>
      <c r="I266" s="115" t="s">
        <v>238</v>
      </c>
      <c r="J266" s="121">
        <v>450000.0</v>
      </c>
      <c r="K266" s="109" t="s">
        <v>238</v>
      </c>
      <c r="L266" s="146">
        <f t="shared" si="20"/>
        <v>315000</v>
      </c>
      <c r="M266" s="61"/>
      <c r="N266" s="11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98">
        <v>24.0</v>
      </c>
      <c r="B267" s="142">
        <v>45867.0</v>
      </c>
      <c r="C267" s="17" t="s">
        <v>65</v>
      </c>
      <c r="D267" s="98" t="s">
        <v>593</v>
      </c>
      <c r="E267" s="98" t="s">
        <v>242</v>
      </c>
      <c r="F267" s="98" t="s">
        <v>346</v>
      </c>
      <c r="G267" s="110">
        <v>9000.0</v>
      </c>
      <c r="H267" s="107">
        <v>990000.0</v>
      </c>
      <c r="I267" s="108" t="s">
        <v>212</v>
      </c>
      <c r="J267" s="121">
        <v>575000.0</v>
      </c>
      <c r="K267" s="109" t="s">
        <v>238</v>
      </c>
      <c r="L267" s="146">
        <f t="shared" si="20"/>
        <v>415000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98">
        <v>25.0</v>
      </c>
      <c r="B268" s="142">
        <v>45868.0</v>
      </c>
      <c r="C268" s="17" t="s">
        <v>65</v>
      </c>
      <c r="D268" s="98" t="s">
        <v>593</v>
      </c>
      <c r="E268" s="98" t="s">
        <v>322</v>
      </c>
      <c r="F268" s="98" t="s">
        <v>302</v>
      </c>
      <c r="G268" s="110">
        <v>9000.0</v>
      </c>
      <c r="H268" s="107">
        <v>900000.0</v>
      </c>
      <c r="I268" s="115" t="s">
        <v>238</v>
      </c>
      <c r="J268" s="121">
        <v>375000.0</v>
      </c>
      <c r="K268" s="109" t="s">
        <v>238</v>
      </c>
      <c r="L268" s="146">
        <f t="shared" si="20"/>
        <v>525000</v>
      </c>
      <c r="N268" s="11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98">
        <v>26.0</v>
      </c>
      <c r="B269" s="142">
        <v>45869.0</v>
      </c>
      <c r="C269" s="17" t="s">
        <v>65</v>
      </c>
      <c r="D269" s="98" t="s">
        <v>593</v>
      </c>
      <c r="E269" s="98" t="s">
        <v>322</v>
      </c>
      <c r="F269" s="98" t="s">
        <v>297</v>
      </c>
      <c r="G269" s="110">
        <v>10000.0</v>
      </c>
      <c r="H269" s="107">
        <v>1000000.0</v>
      </c>
      <c r="I269" s="115" t="s">
        <v>238</v>
      </c>
      <c r="J269" s="121">
        <v>625000.0</v>
      </c>
      <c r="K269" s="109" t="s">
        <v>238</v>
      </c>
      <c r="L269" s="146">
        <f t="shared" si="20"/>
        <v>375000</v>
      </c>
      <c r="M269" s="61"/>
      <c r="N269" s="11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7"/>
      <c r="B270" s="7"/>
      <c r="C270" s="7"/>
      <c r="D270" s="7"/>
      <c r="E270" s="17"/>
      <c r="F270" s="17"/>
      <c r="G270" s="57"/>
      <c r="H270" s="104"/>
      <c r="I270" s="97"/>
      <c r="J270" s="104"/>
      <c r="K270" s="17"/>
      <c r="L270" s="52">
        <f>SUM(L244:L262)</f>
        <v>9835432</v>
      </c>
      <c r="M270" s="30">
        <f>SUM(M244:M265)</f>
        <v>685000</v>
      </c>
      <c r="N270" s="11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7"/>
      <c r="B271" s="7"/>
      <c r="C271" s="7"/>
      <c r="D271" s="7"/>
      <c r="E271" s="17"/>
      <c r="F271" s="17"/>
      <c r="G271" s="57"/>
      <c r="H271" s="104"/>
      <c r="I271" s="97"/>
      <c r="J271" s="104"/>
      <c r="K271" s="17"/>
      <c r="L271" s="33">
        <f>L270-M270</f>
        <v>9150432</v>
      </c>
      <c r="M271" s="26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7"/>
      <c r="B272" s="7"/>
      <c r="C272" s="7"/>
      <c r="D272" s="7"/>
      <c r="E272" s="17"/>
      <c r="F272" s="17"/>
      <c r="G272" s="57"/>
      <c r="H272" s="104"/>
      <c r="I272" s="97"/>
      <c r="J272" s="104"/>
      <c r="K272" s="17"/>
      <c r="L272" s="7"/>
      <c r="M272" s="61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36" t="s">
        <v>209</v>
      </c>
      <c r="B273" s="136" t="s">
        <v>0</v>
      </c>
      <c r="C273" s="136" t="s">
        <v>1</v>
      </c>
      <c r="D273" s="136" t="s">
        <v>2</v>
      </c>
      <c r="E273" s="137" t="s">
        <v>3</v>
      </c>
      <c r="F273" s="136" t="s">
        <v>4</v>
      </c>
      <c r="G273" s="138" t="s">
        <v>5</v>
      </c>
      <c r="H273" s="139" t="s">
        <v>6</v>
      </c>
      <c r="I273" s="140" t="s">
        <v>39</v>
      </c>
      <c r="J273" s="139" t="s">
        <v>7</v>
      </c>
      <c r="K273" s="138" t="s">
        <v>39</v>
      </c>
      <c r="L273" s="140" t="s">
        <v>8</v>
      </c>
      <c r="M273" s="141" t="s">
        <v>9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7">
        <v>1.0</v>
      </c>
      <c r="B274" s="142">
        <v>45870.0</v>
      </c>
      <c r="C274" s="17" t="s">
        <v>65</v>
      </c>
      <c r="D274" s="98" t="s">
        <v>593</v>
      </c>
      <c r="E274" s="144" t="s">
        <v>322</v>
      </c>
      <c r="F274" s="144" t="s">
        <v>323</v>
      </c>
      <c r="G274" s="148">
        <v>9000.0</v>
      </c>
      <c r="H274" s="134">
        <v>1350000.0</v>
      </c>
      <c r="I274" s="115" t="s">
        <v>238</v>
      </c>
      <c r="J274" s="134">
        <v>805000.0</v>
      </c>
      <c r="K274" s="107" t="s">
        <v>212</v>
      </c>
      <c r="L274" s="58">
        <f t="shared" ref="L274:L298" si="21">H274-J274</f>
        <v>545000</v>
      </c>
      <c r="M274" s="14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18">
        <v>2.0</v>
      </c>
      <c r="B275" s="142">
        <v>45871.0</v>
      </c>
      <c r="C275" s="17" t="s">
        <v>65</v>
      </c>
      <c r="D275" s="98" t="s">
        <v>593</v>
      </c>
      <c r="E275" s="98" t="s">
        <v>327</v>
      </c>
      <c r="F275" s="144" t="s">
        <v>249</v>
      </c>
      <c r="G275" s="110">
        <v>9000.0</v>
      </c>
      <c r="H275" s="134">
        <v>1450000.0</v>
      </c>
      <c r="I275" s="108" t="s">
        <v>212</v>
      </c>
      <c r="J275" s="134">
        <v>900000.0</v>
      </c>
      <c r="K275" s="109" t="s">
        <v>238</v>
      </c>
      <c r="L275" s="58">
        <f t="shared" si="21"/>
        <v>550000</v>
      </c>
      <c r="M275" s="14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18">
        <v>3.0</v>
      </c>
      <c r="B276" s="142">
        <v>45873.0</v>
      </c>
      <c r="C276" s="17" t="s">
        <v>65</v>
      </c>
      <c r="D276" s="98" t="s">
        <v>593</v>
      </c>
      <c r="E276" s="98" t="s">
        <v>322</v>
      </c>
      <c r="F276" s="144" t="s">
        <v>303</v>
      </c>
      <c r="G276" s="110">
        <v>9000.0</v>
      </c>
      <c r="H276" s="134">
        <v>1215000.0</v>
      </c>
      <c r="I276" s="115" t="s">
        <v>238</v>
      </c>
      <c r="J276" s="134">
        <v>725000.0</v>
      </c>
      <c r="K276" s="109" t="s">
        <v>238</v>
      </c>
      <c r="L276" s="58">
        <f t="shared" si="21"/>
        <v>490000</v>
      </c>
      <c r="M276" s="14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18">
        <v>4.0</v>
      </c>
      <c r="B277" s="142">
        <v>45874.0</v>
      </c>
      <c r="C277" s="17" t="s">
        <v>65</v>
      </c>
      <c r="D277" s="98" t="s">
        <v>593</v>
      </c>
      <c r="E277" s="98" t="s">
        <v>243</v>
      </c>
      <c r="F277" s="144" t="s">
        <v>249</v>
      </c>
      <c r="G277" s="151">
        <v>9000.0</v>
      </c>
      <c r="H277" s="134">
        <v>1450000.0</v>
      </c>
      <c r="I277" s="108" t="s">
        <v>212</v>
      </c>
      <c r="J277" s="134">
        <v>900000.0</v>
      </c>
      <c r="K277" s="109" t="s">
        <v>238</v>
      </c>
      <c r="L277" s="58">
        <f t="shared" si="21"/>
        <v>550000</v>
      </c>
      <c r="M277" s="150">
        <v>125000.0</v>
      </c>
      <c r="N277" s="11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18">
        <v>5.0</v>
      </c>
      <c r="B278" s="142">
        <v>45876.0</v>
      </c>
      <c r="C278" s="17" t="s">
        <v>65</v>
      </c>
      <c r="D278" s="98" t="s">
        <v>593</v>
      </c>
      <c r="E278" s="98" t="s">
        <v>123</v>
      </c>
      <c r="F278" s="144" t="s">
        <v>316</v>
      </c>
      <c r="G278" s="151">
        <v>9000.0</v>
      </c>
      <c r="H278" s="134">
        <v>720000.0</v>
      </c>
      <c r="I278" s="108" t="s">
        <v>212</v>
      </c>
      <c r="J278" s="134">
        <v>350000.0</v>
      </c>
      <c r="K278" s="109" t="s">
        <v>238</v>
      </c>
      <c r="L278" s="58">
        <f t="shared" si="21"/>
        <v>370000</v>
      </c>
      <c r="M278" s="14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18">
        <v>6.0</v>
      </c>
      <c r="B279" s="142">
        <v>45876.0</v>
      </c>
      <c r="C279" s="17" t="s">
        <v>65</v>
      </c>
      <c r="D279" s="98" t="s">
        <v>593</v>
      </c>
      <c r="E279" s="98" t="s">
        <v>243</v>
      </c>
      <c r="F279" s="98" t="s">
        <v>297</v>
      </c>
      <c r="G279" s="151">
        <v>10000.0</v>
      </c>
      <c r="H279" s="134">
        <v>1100000.0</v>
      </c>
      <c r="I279" s="115" t="s">
        <v>238</v>
      </c>
      <c r="J279" s="134">
        <v>600000.0</v>
      </c>
      <c r="K279" s="109" t="s">
        <v>238</v>
      </c>
      <c r="L279" s="58">
        <f t="shared" si="21"/>
        <v>500000</v>
      </c>
      <c r="M279" s="149"/>
      <c r="N279" s="11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18">
        <v>7.0</v>
      </c>
      <c r="B280" s="142">
        <v>45877.0</v>
      </c>
      <c r="C280" s="17" t="s">
        <v>65</v>
      </c>
      <c r="D280" s="98" t="s">
        <v>593</v>
      </c>
      <c r="E280" s="98" t="s">
        <v>322</v>
      </c>
      <c r="F280" s="98" t="s">
        <v>295</v>
      </c>
      <c r="G280" s="151">
        <v>9000.0</v>
      </c>
      <c r="H280" s="134">
        <v>1125000.0</v>
      </c>
      <c r="I280" s="108" t="s">
        <v>212</v>
      </c>
      <c r="J280" s="134">
        <v>665000.0</v>
      </c>
      <c r="K280" s="109" t="s">
        <v>238</v>
      </c>
      <c r="L280" s="58">
        <f t="shared" si="21"/>
        <v>460000</v>
      </c>
      <c r="M280" s="150">
        <v>65000.0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18">
        <v>8.0</v>
      </c>
      <c r="B281" s="142">
        <v>45878.0</v>
      </c>
      <c r="C281" s="17" t="s">
        <v>65</v>
      </c>
      <c r="D281" s="98" t="s">
        <v>593</v>
      </c>
      <c r="E281" s="98" t="s">
        <v>242</v>
      </c>
      <c r="F281" s="98" t="s">
        <v>325</v>
      </c>
      <c r="G281" s="151">
        <v>10000.0</v>
      </c>
      <c r="H281" s="134">
        <v>1300000.0</v>
      </c>
      <c r="I281" s="108" t="s">
        <v>212</v>
      </c>
      <c r="J281" s="134">
        <v>690000.0</v>
      </c>
      <c r="K281" s="109" t="s">
        <v>238</v>
      </c>
      <c r="L281" s="58">
        <f t="shared" si="21"/>
        <v>610000</v>
      </c>
      <c r="M281" s="149"/>
      <c r="N281" s="11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18">
        <v>9.0</v>
      </c>
      <c r="B282" s="142">
        <v>45880.0</v>
      </c>
      <c r="C282" s="17" t="s">
        <v>65</v>
      </c>
      <c r="D282" s="98" t="s">
        <v>593</v>
      </c>
      <c r="E282" s="98" t="s">
        <v>305</v>
      </c>
      <c r="F282" s="98" t="s">
        <v>346</v>
      </c>
      <c r="G282" s="151">
        <v>9000.0</v>
      </c>
      <c r="H282" s="134">
        <v>990000.0</v>
      </c>
      <c r="I282" s="108" t="s">
        <v>212</v>
      </c>
      <c r="J282" s="134">
        <v>550000.0</v>
      </c>
      <c r="K282" s="109" t="s">
        <v>238</v>
      </c>
      <c r="L282" s="58">
        <f t="shared" si="21"/>
        <v>440000</v>
      </c>
      <c r="M282" s="14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18">
        <v>10.0</v>
      </c>
      <c r="B283" s="142">
        <v>45881.0</v>
      </c>
      <c r="C283" s="17" t="s">
        <v>65</v>
      </c>
      <c r="D283" s="98" t="s">
        <v>593</v>
      </c>
      <c r="E283" s="98" t="s">
        <v>322</v>
      </c>
      <c r="F283" s="98" t="s">
        <v>328</v>
      </c>
      <c r="G283" s="110">
        <v>10000.0</v>
      </c>
      <c r="H283" s="134">
        <v>1600000.0</v>
      </c>
      <c r="I283" s="108" t="s">
        <v>238</v>
      </c>
      <c r="J283" s="109">
        <v>975000.0</v>
      </c>
      <c r="K283" s="109" t="s">
        <v>238</v>
      </c>
      <c r="L283" s="58">
        <f t="shared" si="21"/>
        <v>625000</v>
      </c>
      <c r="M283" s="150">
        <v>125000.0</v>
      </c>
      <c r="N283" s="11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18">
        <v>11.0</v>
      </c>
      <c r="B284" s="142">
        <v>45882.0</v>
      </c>
      <c r="C284" s="17" t="s">
        <v>65</v>
      </c>
      <c r="D284" s="98" t="s">
        <v>593</v>
      </c>
      <c r="E284" s="98" t="s">
        <v>327</v>
      </c>
      <c r="F284" s="98" t="s">
        <v>259</v>
      </c>
      <c r="G284" s="151">
        <v>10000.0</v>
      </c>
      <c r="H284" s="150">
        <v>1500000.0</v>
      </c>
      <c r="I284" s="152" t="s">
        <v>238</v>
      </c>
      <c r="J284" s="121">
        <v>850000.0</v>
      </c>
      <c r="K284" s="109" t="s">
        <v>238</v>
      </c>
      <c r="L284" s="58">
        <f t="shared" si="21"/>
        <v>650000</v>
      </c>
      <c r="M284" s="149"/>
      <c r="N284" s="11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18">
        <v>12.0</v>
      </c>
      <c r="B285" s="142">
        <v>45883.0</v>
      </c>
      <c r="C285" s="17" t="s">
        <v>65</v>
      </c>
      <c r="D285" s="98" t="s">
        <v>593</v>
      </c>
      <c r="E285" s="98" t="s">
        <v>322</v>
      </c>
      <c r="F285" s="98" t="s">
        <v>591</v>
      </c>
      <c r="G285" s="151">
        <v>9000.0</v>
      </c>
      <c r="H285" s="150">
        <v>1350000.0</v>
      </c>
      <c r="I285" s="152" t="s">
        <v>238</v>
      </c>
      <c r="J285" s="121">
        <v>825000.0</v>
      </c>
      <c r="K285" s="109" t="s">
        <v>238</v>
      </c>
      <c r="L285" s="58">
        <f t="shared" si="21"/>
        <v>525000</v>
      </c>
      <c r="M285" s="14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18">
        <v>13.0</v>
      </c>
      <c r="B286" s="142">
        <v>45885.0</v>
      </c>
      <c r="C286" s="17" t="s">
        <v>65</v>
      </c>
      <c r="D286" s="98" t="s">
        <v>593</v>
      </c>
      <c r="E286" s="98" t="s">
        <v>322</v>
      </c>
      <c r="F286" s="98" t="s">
        <v>295</v>
      </c>
      <c r="G286" s="151">
        <v>9000.0</v>
      </c>
      <c r="H286" s="150">
        <v>1125000.0</v>
      </c>
      <c r="I286" s="108" t="s">
        <v>212</v>
      </c>
      <c r="J286" s="121">
        <v>665000.0</v>
      </c>
      <c r="K286" s="109" t="s">
        <v>238</v>
      </c>
      <c r="L286" s="58">
        <f t="shared" si="21"/>
        <v>460000</v>
      </c>
      <c r="M286" s="14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18">
        <v>14.0</v>
      </c>
      <c r="B287" s="142">
        <v>45887.0</v>
      </c>
      <c r="C287" s="17" t="s">
        <v>65</v>
      </c>
      <c r="D287" s="98" t="s">
        <v>593</v>
      </c>
      <c r="E287" s="98" t="s">
        <v>322</v>
      </c>
      <c r="F287" s="98" t="s">
        <v>214</v>
      </c>
      <c r="G287" s="151">
        <v>9000.0</v>
      </c>
      <c r="H287" s="150">
        <v>1350000.0</v>
      </c>
      <c r="I287" s="152" t="s">
        <v>238</v>
      </c>
      <c r="J287" s="121">
        <v>925000.0</v>
      </c>
      <c r="K287" s="109" t="s">
        <v>238</v>
      </c>
      <c r="L287" s="58">
        <f t="shared" si="21"/>
        <v>425000</v>
      </c>
      <c r="M287" s="14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18">
        <v>15.0</v>
      </c>
      <c r="B288" s="142">
        <v>45888.0</v>
      </c>
      <c r="C288" s="17" t="s">
        <v>65</v>
      </c>
      <c r="D288" s="98" t="s">
        <v>593</v>
      </c>
      <c r="E288" s="98" t="s">
        <v>327</v>
      </c>
      <c r="F288" s="98" t="s">
        <v>329</v>
      </c>
      <c r="G288" s="151">
        <v>10000.0</v>
      </c>
      <c r="H288" s="150">
        <v>1100000.0</v>
      </c>
      <c r="I288" s="152" t="s">
        <v>238</v>
      </c>
      <c r="J288" s="121">
        <v>600000.0</v>
      </c>
      <c r="K288" s="109" t="s">
        <v>238</v>
      </c>
      <c r="L288" s="58">
        <f t="shared" si="21"/>
        <v>500000</v>
      </c>
      <c r="M288" s="14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18">
        <v>16.0</v>
      </c>
      <c r="B289" s="142">
        <v>45889.0</v>
      </c>
      <c r="C289" s="17" t="s">
        <v>65</v>
      </c>
      <c r="D289" s="98" t="s">
        <v>593</v>
      </c>
      <c r="E289" s="98" t="s">
        <v>322</v>
      </c>
      <c r="F289" s="98" t="s">
        <v>303</v>
      </c>
      <c r="G289" s="151">
        <v>9000.0</v>
      </c>
      <c r="H289" s="150">
        <v>1215000.0</v>
      </c>
      <c r="I289" s="152" t="s">
        <v>238</v>
      </c>
      <c r="J289" s="121">
        <v>725000.0</v>
      </c>
      <c r="K289" s="109" t="s">
        <v>238</v>
      </c>
      <c r="L289" s="58">
        <f t="shared" si="21"/>
        <v>490000</v>
      </c>
      <c r="M289" s="150">
        <v>400000.0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18">
        <v>17.0</v>
      </c>
      <c r="B290" s="142">
        <v>45890.0</v>
      </c>
      <c r="C290" s="17" t="s">
        <v>65</v>
      </c>
      <c r="D290" s="98" t="s">
        <v>593</v>
      </c>
      <c r="E290" s="98" t="s">
        <v>322</v>
      </c>
      <c r="F290" s="98" t="s">
        <v>306</v>
      </c>
      <c r="G290" s="151">
        <v>9000.0</v>
      </c>
      <c r="H290" s="150">
        <v>1035000.0</v>
      </c>
      <c r="I290" s="108" t="s">
        <v>212</v>
      </c>
      <c r="J290" s="121">
        <v>625000.0</v>
      </c>
      <c r="K290" s="109" t="s">
        <v>238</v>
      </c>
      <c r="L290" s="58">
        <f t="shared" si="21"/>
        <v>410000</v>
      </c>
      <c r="M290" s="14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18">
        <v>18.0</v>
      </c>
      <c r="B291" s="142">
        <v>45891.0</v>
      </c>
      <c r="C291" s="17" t="s">
        <v>65</v>
      </c>
      <c r="D291" s="98" t="s">
        <v>593</v>
      </c>
      <c r="E291" s="98" t="s">
        <v>242</v>
      </c>
      <c r="F291" s="98" t="s">
        <v>596</v>
      </c>
      <c r="G291" s="110">
        <v>10000.0</v>
      </c>
      <c r="H291" s="150">
        <v>1200000.0</v>
      </c>
      <c r="I291" s="108" t="s">
        <v>212</v>
      </c>
      <c r="J291" s="121">
        <v>900000.0</v>
      </c>
      <c r="K291" s="109" t="s">
        <v>238</v>
      </c>
      <c r="L291" s="58">
        <f t="shared" si="21"/>
        <v>300000</v>
      </c>
      <c r="M291" s="150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18">
        <v>19.0</v>
      </c>
      <c r="B292" s="142">
        <v>45892.0</v>
      </c>
      <c r="C292" s="17" t="s">
        <v>65</v>
      </c>
      <c r="D292" s="98" t="s">
        <v>593</v>
      </c>
      <c r="E292" s="98" t="s">
        <v>242</v>
      </c>
      <c r="F292" s="98" t="s">
        <v>259</v>
      </c>
      <c r="G292" s="151">
        <v>10000.0</v>
      </c>
      <c r="H292" s="150">
        <v>1500000.0</v>
      </c>
      <c r="I292" s="152" t="s">
        <v>238</v>
      </c>
      <c r="J292" s="121">
        <v>850000.0</v>
      </c>
      <c r="K292" s="109" t="s">
        <v>238</v>
      </c>
      <c r="L292" s="58">
        <f t="shared" si="21"/>
        <v>650000</v>
      </c>
      <c r="M292" s="150"/>
      <c r="N292" s="11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18">
        <v>20.0</v>
      </c>
      <c r="B293" s="142">
        <v>45894.0</v>
      </c>
      <c r="C293" s="17" t="s">
        <v>65</v>
      </c>
      <c r="D293" s="98" t="s">
        <v>593</v>
      </c>
      <c r="E293" s="98" t="s">
        <v>322</v>
      </c>
      <c r="F293" s="98" t="s">
        <v>343</v>
      </c>
      <c r="G293" s="110">
        <v>9000.0</v>
      </c>
      <c r="H293" s="107">
        <v>900000.0</v>
      </c>
      <c r="I293" s="108" t="s">
        <v>212</v>
      </c>
      <c r="J293" s="109">
        <v>550000.0</v>
      </c>
      <c r="K293" s="109" t="s">
        <v>238</v>
      </c>
      <c r="L293" s="58">
        <f t="shared" si="21"/>
        <v>350000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18">
        <v>21.0</v>
      </c>
      <c r="B294" s="142">
        <v>45895.0</v>
      </c>
      <c r="C294" s="17" t="s">
        <v>65</v>
      </c>
      <c r="D294" s="98" t="s">
        <v>593</v>
      </c>
      <c r="E294" s="98" t="s">
        <v>322</v>
      </c>
      <c r="F294" s="98" t="s">
        <v>303</v>
      </c>
      <c r="G294" s="151">
        <v>9000.0</v>
      </c>
      <c r="H294" s="150">
        <v>1215000.0</v>
      </c>
      <c r="I294" s="152" t="s">
        <v>238</v>
      </c>
      <c r="J294" s="121">
        <v>725000.0</v>
      </c>
      <c r="K294" s="109" t="s">
        <v>238</v>
      </c>
      <c r="L294" s="58">
        <f t="shared" si="21"/>
        <v>490000</v>
      </c>
      <c r="M294" s="150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18">
        <v>22.0</v>
      </c>
      <c r="B295" s="142">
        <v>45896.0</v>
      </c>
      <c r="C295" s="17" t="s">
        <v>65</v>
      </c>
      <c r="D295" s="98" t="s">
        <v>593</v>
      </c>
      <c r="E295" s="98" t="s">
        <v>322</v>
      </c>
      <c r="F295" s="98" t="s">
        <v>306</v>
      </c>
      <c r="G295" s="151">
        <v>9000.0</v>
      </c>
      <c r="H295" s="150">
        <v>1035000.0</v>
      </c>
      <c r="I295" s="108" t="s">
        <v>212</v>
      </c>
      <c r="J295" s="121">
        <v>625000.0</v>
      </c>
      <c r="K295" s="109" t="s">
        <v>238</v>
      </c>
      <c r="L295" s="58">
        <f t="shared" si="21"/>
        <v>410000</v>
      </c>
      <c r="M295" s="150"/>
      <c r="N295" s="11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18">
        <v>23.0</v>
      </c>
      <c r="B296" s="142">
        <v>45897.0</v>
      </c>
      <c r="C296" s="17" t="s">
        <v>65</v>
      </c>
      <c r="D296" s="98" t="s">
        <v>593</v>
      </c>
      <c r="E296" s="98" t="s">
        <v>322</v>
      </c>
      <c r="F296" s="98" t="s">
        <v>591</v>
      </c>
      <c r="G296" s="151">
        <v>9000.0</v>
      </c>
      <c r="H296" s="150">
        <v>1350000.0</v>
      </c>
      <c r="I296" s="152" t="s">
        <v>238</v>
      </c>
      <c r="J296" s="121">
        <v>825000.0</v>
      </c>
      <c r="K296" s="109" t="s">
        <v>238</v>
      </c>
      <c r="L296" s="58">
        <f t="shared" si="21"/>
        <v>525000</v>
      </c>
      <c r="M296" s="150"/>
      <c r="N296" s="11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18">
        <v>24.0</v>
      </c>
      <c r="B297" s="142">
        <v>45898.0</v>
      </c>
      <c r="C297" s="17" t="s">
        <v>65</v>
      </c>
      <c r="D297" s="98" t="s">
        <v>593</v>
      </c>
      <c r="E297" s="98" t="s">
        <v>305</v>
      </c>
      <c r="F297" s="98" t="s">
        <v>295</v>
      </c>
      <c r="G297" s="151">
        <v>9000.0</v>
      </c>
      <c r="H297" s="150">
        <v>1125000.0</v>
      </c>
      <c r="I297" s="108" t="s">
        <v>212</v>
      </c>
      <c r="J297" s="121">
        <v>640000.0</v>
      </c>
      <c r="K297" s="109" t="s">
        <v>238</v>
      </c>
      <c r="L297" s="58">
        <f t="shared" si="21"/>
        <v>485000</v>
      </c>
      <c r="M297" s="150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18">
        <v>25.0</v>
      </c>
      <c r="B298" s="142">
        <v>45899.0</v>
      </c>
      <c r="C298" s="17" t="s">
        <v>65</v>
      </c>
      <c r="D298" s="98" t="s">
        <v>593</v>
      </c>
      <c r="E298" s="98" t="s">
        <v>320</v>
      </c>
      <c r="F298" s="98" t="s">
        <v>328</v>
      </c>
      <c r="G298" s="110">
        <v>10000.0</v>
      </c>
      <c r="H298" s="150">
        <v>1600000.0</v>
      </c>
      <c r="I298" s="150"/>
      <c r="J298" s="150">
        <v>950000.0</v>
      </c>
      <c r="K298" s="109" t="s">
        <v>238</v>
      </c>
      <c r="L298" s="58">
        <f t="shared" si="21"/>
        <v>650000</v>
      </c>
      <c r="M298" s="150">
        <v>240000.0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18"/>
      <c r="B299" s="7"/>
      <c r="C299" s="7"/>
      <c r="D299" s="7"/>
      <c r="E299" s="98"/>
      <c r="F299" s="98"/>
      <c r="G299" s="7"/>
      <c r="H299" s="7"/>
      <c r="I299" s="7"/>
      <c r="J299" s="7"/>
      <c r="K299" s="7"/>
      <c r="L299" s="52">
        <f>SUM(L274:L298)</f>
        <v>12460000</v>
      </c>
      <c r="M299" s="30">
        <f>SUM(M274:M292)</f>
        <v>715000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33">
        <f>L299-M299</f>
        <v>11745000</v>
      </c>
      <c r="M300" s="26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36" t="s">
        <v>209</v>
      </c>
      <c r="B302" s="136" t="s">
        <v>0</v>
      </c>
      <c r="C302" s="136" t="s">
        <v>1</v>
      </c>
      <c r="D302" s="136" t="s">
        <v>2</v>
      </c>
      <c r="E302" s="137" t="s">
        <v>3</v>
      </c>
      <c r="F302" s="136" t="s">
        <v>4</v>
      </c>
      <c r="G302" s="138" t="s">
        <v>5</v>
      </c>
      <c r="H302" s="139" t="s">
        <v>6</v>
      </c>
      <c r="I302" s="140" t="s">
        <v>39</v>
      </c>
      <c r="J302" s="139" t="s">
        <v>7</v>
      </c>
      <c r="K302" s="138" t="s">
        <v>39</v>
      </c>
      <c r="L302" s="140" t="s">
        <v>8</v>
      </c>
      <c r="M302" s="141" t="s">
        <v>9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7">
        <v>1.0</v>
      </c>
      <c r="B303" s="142">
        <v>45901.0</v>
      </c>
      <c r="C303" s="17" t="s">
        <v>65</v>
      </c>
      <c r="D303" s="98" t="s">
        <v>593</v>
      </c>
      <c r="E303" s="144" t="s">
        <v>123</v>
      </c>
      <c r="F303" s="144" t="s">
        <v>316</v>
      </c>
      <c r="G303" s="148">
        <v>10000.0</v>
      </c>
      <c r="H303" s="107">
        <v>800000.0</v>
      </c>
      <c r="I303" s="153"/>
      <c r="J303" s="109">
        <v>375000.0</v>
      </c>
      <c r="K303" s="222"/>
      <c r="L303" s="58">
        <f>H303-J303</f>
        <v>425000</v>
      </c>
      <c r="M303" s="14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43"/>
    <col customWidth="1" min="3" max="3" width="15.86"/>
    <col customWidth="1" min="4" max="4" width="14.29"/>
    <col customWidth="1" min="5" max="5" width="24.57"/>
    <col customWidth="1" min="6" max="6" width="27.57"/>
    <col customWidth="1" min="7" max="7" width="11.29"/>
    <col customWidth="1" min="8" max="8" width="17.29"/>
    <col customWidth="1" min="9" max="9" width="11.14"/>
    <col customWidth="1" min="10" max="10" width="16.71"/>
    <col customWidth="1" min="11" max="11" width="11.43"/>
    <col customWidth="1" min="12" max="12" width="20.14"/>
    <col customWidth="1" min="13" max="13" width="18.57"/>
    <col customWidth="1" min="14" max="14" width="8.71"/>
  </cols>
  <sheetData>
    <row r="1" ht="29.25" customHeight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19" t="s">
        <v>6</v>
      </c>
      <c r="I1" s="91" t="s">
        <v>39</v>
      </c>
      <c r="J1" s="119" t="s">
        <v>7</v>
      </c>
      <c r="K1" s="91" t="s">
        <v>39</v>
      </c>
      <c r="L1" s="92" t="s">
        <v>8</v>
      </c>
      <c r="M1" s="120" t="s">
        <v>9</v>
      </c>
    </row>
    <row r="2" ht="15.75" customHeight="1">
      <c r="A2" s="21"/>
      <c r="B2" s="21" t="s">
        <v>414</v>
      </c>
      <c r="C2" s="21" t="s">
        <v>597</v>
      </c>
      <c r="D2" s="21" t="s">
        <v>598</v>
      </c>
      <c r="E2" s="235"/>
      <c r="F2" s="21"/>
      <c r="G2" s="87"/>
      <c r="H2" s="60"/>
      <c r="I2" s="236"/>
      <c r="J2" s="60"/>
      <c r="K2" s="87"/>
      <c r="L2" s="237"/>
      <c r="M2" s="105">
        <v>5495000.0</v>
      </c>
      <c r="N2" s="174"/>
    </row>
    <row r="3">
      <c r="A3" s="21"/>
      <c r="B3" s="17" t="s">
        <v>415</v>
      </c>
      <c r="C3" s="17" t="s">
        <v>597</v>
      </c>
      <c r="D3" s="17" t="s">
        <v>598</v>
      </c>
      <c r="E3" s="17" t="s">
        <v>37</v>
      </c>
      <c r="F3" s="17" t="s">
        <v>108</v>
      </c>
      <c r="G3" s="87">
        <v>9000.0</v>
      </c>
      <c r="H3" s="61">
        <v>810000.0</v>
      </c>
      <c r="I3" s="227" t="s">
        <v>42</v>
      </c>
      <c r="J3" s="61">
        <v>450000.0</v>
      </c>
      <c r="K3" s="199" t="s">
        <v>42</v>
      </c>
      <c r="L3" s="100">
        <f t="shared" ref="L3:L24" si="1">H3-J3</f>
        <v>360000</v>
      </c>
      <c r="M3" s="104">
        <v>610000.0</v>
      </c>
    </row>
    <row r="4">
      <c r="A4" s="21"/>
      <c r="B4" s="17" t="s">
        <v>416</v>
      </c>
      <c r="C4" s="17" t="s">
        <v>597</v>
      </c>
      <c r="D4" s="17" t="s">
        <v>598</v>
      </c>
      <c r="E4" s="17" t="s">
        <v>40</v>
      </c>
      <c r="F4" s="17" t="s">
        <v>103</v>
      </c>
      <c r="G4" s="87">
        <v>9000.0</v>
      </c>
      <c r="H4" s="61">
        <v>675000.0</v>
      </c>
      <c r="I4" s="227" t="s">
        <v>44</v>
      </c>
      <c r="J4" s="61">
        <v>375000.0</v>
      </c>
      <c r="K4" s="199" t="s">
        <v>42</v>
      </c>
      <c r="L4" s="100">
        <f t="shared" si="1"/>
        <v>300000</v>
      </c>
      <c r="M4" s="104"/>
    </row>
    <row r="5">
      <c r="A5" s="21"/>
      <c r="B5" s="17" t="s">
        <v>416</v>
      </c>
      <c r="C5" s="17" t="s">
        <v>597</v>
      </c>
      <c r="D5" s="17" t="s">
        <v>598</v>
      </c>
      <c r="E5" s="17" t="s">
        <v>37</v>
      </c>
      <c r="F5" s="17" t="s">
        <v>103</v>
      </c>
      <c r="G5" s="87">
        <v>9000.0</v>
      </c>
      <c r="H5" s="61">
        <v>675000.0</v>
      </c>
      <c r="I5" s="227" t="s">
        <v>44</v>
      </c>
      <c r="J5" s="61">
        <v>375000.0</v>
      </c>
      <c r="K5" s="199" t="s">
        <v>42</v>
      </c>
      <c r="L5" s="100">
        <f t="shared" si="1"/>
        <v>300000</v>
      </c>
      <c r="M5" s="104"/>
    </row>
    <row r="6">
      <c r="A6" s="21"/>
      <c r="B6" s="17" t="s">
        <v>418</v>
      </c>
      <c r="C6" s="17" t="s">
        <v>597</v>
      </c>
      <c r="D6" s="17" t="s">
        <v>598</v>
      </c>
      <c r="E6" s="17" t="s">
        <v>40</v>
      </c>
      <c r="F6" s="17" t="s">
        <v>59</v>
      </c>
      <c r="G6" s="87">
        <v>9000.0</v>
      </c>
      <c r="H6" s="61">
        <v>900000.0</v>
      </c>
      <c r="I6" s="227" t="s">
        <v>44</v>
      </c>
      <c r="J6" s="61">
        <v>350000.0</v>
      </c>
      <c r="K6" s="199" t="s">
        <v>44</v>
      </c>
      <c r="L6" s="100">
        <f t="shared" si="1"/>
        <v>550000</v>
      </c>
      <c r="M6" s="104"/>
      <c r="N6" s="174"/>
    </row>
    <row r="7">
      <c r="A7" s="21"/>
      <c r="B7" s="17" t="s">
        <v>418</v>
      </c>
      <c r="C7" s="17" t="s">
        <v>597</v>
      </c>
      <c r="D7" s="17" t="s">
        <v>598</v>
      </c>
      <c r="E7" s="17" t="s">
        <v>40</v>
      </c>
      <c r="F7" s="17" t="s">
        <v>107</v>
      </c>
      <c r="G7" s="87">
        <v>9000.0</v>
      </c>
      <c r="H7" s="61">
        <v>1125000.0</v>
      </c>
      <c r="I7" s="227" t="s">
        <v>42</v>
      </c>
      <c r="J7" s="61">
        <v>640000.0</v>
      </c>
      <c r="K7" s="199" t="s">
        <v>42</v>
      </c>
      <c r="L7" s="100">
        <f t="shared" si="1"/>
        <v>485000</v>
      </c>
      <c r="M7" s="104"/>
      <c r="N7" s="174"/>
    </row>
    <row r="8">
      <c r="A8" s="21"/>
      <c r="B8" s="17" t="s">
        <v>419</v>
      </c>
      <c r="C8" s="17" t="s">
        <v>597</v>
      </c>
      <c r="D8" s="17" t="s">
        <v>598</v>
      </c>
      <c r="E8" s="17" t="s">
        <v>83</v>
      </c>
      <c r="F8" s="17" t="s">
        <v>396</v>
      </c>
      <c r="G8" s="87">
        <v>9000.0</v>
      </c>
      <c r="H8" s="61">
        <v>1035000.0</v>
      </c>
      <c r="I8" s="227" t="s">
        <v>42</v>
      </c>
      <c r="J8" s="61">
        <v>600000.0</v>
      </c>
      <c r="K8" s="199" t="s">
        <v>42</v>
      </c>
      <c r="L8" s="100">
        <f t="shared" si="1"/>
        <v>435000</v>
      </c>
      <c r="M8" s="104"/>
    </row>
    <row r="9">
      <c r="A9" s="21"/>
      <c r="B9" s="17" t="s">
        <v>420</v>
      </c>
      <c r="C9" s="17" t="s">
        <v>597</v>
      </c>
      <c r="D9" s="17" t="s">
        <v>598</v>
      </c>
      <c r="E9" s="17" t="s">
        <v>37</v>
      </c>
      <c r="F9" s="17" t="s">
        <v>59</v>
      </c>
      <c r="G9" s="87">
        <v>9000.0</v>
      </c>
      <c r="H9" s="61">
        <v>720000.0</v>
      </c>
      <c r="I9" s="227" t="s">
        <v>44</v>
      </c>
      <c r="J9" s="61">
        <v>350000.0</v>
      </c>
      <c r="K9" s="199" t="s">
        <v>42</v>
      </c>
      <c r="L9" s="100">
        <f t="shared" si="1"/>
        <v>370000</v>
      </c>
      <c r="M9" s="104">
        <v>607000.0</v>
      </c>
    </row>
    <row r="10">
      <c r="A10" s="21"/>
      <c r="B10" s="17" t="s">
        <v>599</v>
      </c>
      <c r="C10" s="17" t="s">
        <v>597</v>
      </c>
      <c r="D10" s="17" t="s">
        <v>598</v>
      </c>
      <c r="E10" s="17" t="s">
        <v>123</v>
      </c>
      <c r="F10" s="17" t="s">
        <v>109</v>
      </c>
      <c r="G10" s="87">
        <v>9000.0</v>
      </c>
      <c r="H10" s="61">
        <v>720000.0</v>
      </c>
      <c r="I10" s="227" t="s">
        <v>42</v>
      </c>
      <c r="J10" s="58">
        <v>350000.0</v>
      </c>
      <c r="K10" s="199" t="s">
        <v>42</v>
      </c>
      <c r="L10" s="100">
        <f t="shared" si="1"/>
        <v>370000</v>
      </c>
      <c r="M10" s="104"/>
    </row>
    <row r="11">
      <c r="A11" s="21"/>
      <c r="B11" s="17" t="s">
        <v>421</v>
      </c>
      <c r="C11" s="17" t="s">
        <v>597</v>
      </c>
      <c r="D11" s="17" t="s">
        <v>598</v>
      </c>
      <c r="E11" s="17" t="s">
        <v>37</v>
      </c>
      <c r="F11" s="17" t="s">
        <v>54</v>
      </c>
      <c r="G11" s="87">
        <v>9000.0</v>
      </c>
      <c r="H11" s="61">
        <v>1200000.0</v>
      </c>
      <c r="I11" s="227" t="s">
        <v>42</v>
      </c>
      <c r="J11" s="58">
        <v>640000.0</v>
      </c>
      <c r="K11" s="199" t="s">
        <v>42</v>
      </c>
      <c r="L11" s="100">
        <f t="shared" si="1"/>
        <v>560000</v>
      </c>
      <c r="M11" s="104"/>
    </row>
    <row r="12">
      <c r="A12" s="21"/>
      <c r="B12" s="17" t="s">
        <v>600</v>
      </c>
      <c r="C12" s="17" t="s">
        <v>597</v>
      </c>
      <c r="D12" s="17" t="s">
        <v>598</v>
      </c>
      <c r="E12" s="17" t="s">
        <v>40</v>
      </c>
      <c r="F12" s="17" t="s">
        <v>59</v>
      </c>
      <c r="G12" s="87">
        <v>9000.0</v>
      </c>
      <c r="H12" s="61">
        <v>900000.0</v>
      </c>
      <c r="I12" s="227" t="s">
        <v>44</v>
      </c>
      <c r="J12" s="61">
        <v>350000.0</v>
      </c>
      <c r="K12" s="199" t="s">
        <v>42</v>
      </c>
      <c r="L12" s="100">
        <f t="shared" si="1"/>
        <v>550000</v>
      </c>
      <c r="M12" s="104"/>
    </row>
    <row r="13">
      <c r="A13" s="21"/>
      <c r="B13" s="17" t="s">
        <v>422</v>
      </c>
      <c r="C13" s="17" t="s">
        <v>597</v>
      </c>
      <c r="D13" s="17" t="s">
        <v>598</v>
      </c>
      <c r="E13" s="17" t="s">
        <v>37</v>
      </c>
      <c r="F13" s="17" t="s">
        <v>103</v>
      </c>
      <c r="G13" s="87">
        <v>9000.0</v>
      </c>
      <c r="H13" s="61">
        <v>675000.0</v>
      </c>
      <c r="I13" s="227" t="s">
        <v>44</v>
      </c>
      <c r="J13" s="61">
        <v>375000.0</v>
      </c>
      <c r="K13" s="199" t="s">
        <v>42</v>
      </c>
      <c r="L13" s="100">
        <f t="shared" si="1"/>
        <v>300000</v>
      </c>
      <c r="M13" s="104"/>
    </row>
    <row r="14">
      <c r="A14" s="21"/>
      <c r="B14" s="17" t="s">
        <v>422</v>
      </c>
      <c r="C14" s="17" t="s">
        <v>597</v>
      </c>
      <c r="D14" s="17" t="s">
        <v>598</v>
      </c>
      <c r="E14" s="17" t="s">
        <v>37</v>
      </c>
      <c r="F14" s="17" t="s">
        <v>108</v>
      </c>
      <c r="G14" s="87">
        <v>9000.0</v>
      </c>
      <c r="H14" s="61">
        <v>810000.0</v>
      </c>
      <c r="I14" s="227" t="s">
        <v>42</v>
      </c>
      <c r="J14" s="61">
        <v>450000.0</v>
      </c>
      <c r="K14" s="199" t="s">
        <v>42</v>
      </c>
      <c r="L14" s="100">
        <f t="shared" si="1"/>
        <v>360000</v>
      </c>
      <c r="M14" s="104">
        <v>25000.0</v>
      </c>
    </row>
    <row r="15">
      <c r="A15" s="21"/>
      <c r="B15" s="17" t="s">
        <v>423</v>
      </c>
      <c r="C15" s="17" t="s">
        <v>597</v>
      </c>
      <c r="D15" s="17" t="s">
        <v>598</v>
      </c>
      <c r="E15" s="17" t="s">
        <v>484</v>
      </c>
      <c r="F15" s="17" t="s">
        <v>555</v>
      </c>
      <c r="G15" s="87">
        <v>9000.0</v>
      </c>
      <c r="H15" s="61">
        <v>1000000.0</v>
      </c>
      <c r="I15" s="227" t="s">
        <v>44</v>
      </c>
      <c r="J15" s="61">
        <v>700000.0</v>
      </c>
      <c r="K15" s="199" t="s">
        <v>42</v>
      </c>
      <c r="L15" s="100">
        <f t="shared" si="1"/>
        <v>300000</v>
      </c>
      <c r="M15" s="104"/>
    </row>
    <row r="16">
      <c r="A16" s="21"/>
      <c r="B16" s="17" t="s">
        <v>424</v>
      </c>
      <c r="C16" s="17" t="s">
        <v>597</v>
      </c>
      <c r="D16" s="17" t="s">
        <v>598</v>
      </c>
      <c r="E16" s="17" t="s">
        <v>37</v>
      </c>
      <c r="F16" s="17" t="s">
        <v>103</v>
      </c>
      <c r="G16" s="87">
        <v>9000.0</v>
      </c>
      <c r="H16" s="61">
        <v>675000.0</v>
      </c>
      <c r="I16" s="227" t="s">
        <v>44</v>
      </c>
      <c r="J16" s="61">
        <v>375000.0</v>
      </c>
      <c r="K16" s="199" t="s">
        <v>44</v>
      </c>
      <c r="L16" s="100">
        <f t="shared" si="1"/>
        <v>300000</v>
      </c>
      <c r="M16" s="104"/>
    </row>
    <row r="17">
      <c r="A17" s="21"/>
      <c r="B17" s="17" t="s">
        <v>425</v>
      </c>
      <c r="C17" s="17" t="s">
        <v>597</v>
      </c>
      <c r="D17" s="17" t="s">
        <v>598</v>
      </c>
      <c r="E17" s="17" t="s">
        <v>40</v>
      </c>
      <c r="F17" s="17" t="s">
        <v>94</v>
      </c>
      <c r="G17" s="87">
        <v>8500.0</v>
      </c>
      <c r="H17" s="61">
        <v>1200000.0</v>
      </c>
      <c r="I17" s="227" t="s">
        <v>44</v>
      </c>
      <c r="J17" s="61">
        <v>640000.0</v>
      </c>
      <c r="K17" s="199" t="s">
        <v>44</v>
      </c>
      <c r="L17" s="100">
        <f t="shared" si="1"/>
        <v>560000</v>
      </c>
      <c r="M17" s="104"/>
    </row>
    <row r="18">
      <c r="A18" s="21"/>
      <c r="B18" s="17" t="s">
        <v>601</v>
      </c>
      <c r="C18" s="17" t="s">
        <v>597</v>
      </c>
      <c r="D18" s="17" t="s">
        <v>598</v>
      </c>
      <c r="E18" s="17" t="s">
        <v>37</v>
      </c>
      <c r="F18" s="17" t="s">
        <v>59</v>
      </c>
      <c r="G18" s="87">
        <v>9000.0</v>
      </c>
      <c r="H18" s="61">
        <v>900000.0</v>
      </c>
      <c r="I18" s="227" t="s">
        <v>44</v>
      </c>
      <c r="J18" s="61">
        <v>350000.0</v>
      </c>
      <c r="K18" s="199" t="s">
        <v>44</v>
      </c>
      <c r="L18" s="100">
        <f t="shared" si="1"/>
        <v>550000</v>
      </c>
      <c r="M18" s="104"/>
    </row>
    <row r="19">
      <c r="A19" s="21"/>
      <c r="B19" s="17" t="s">
        <v>426</v>
      </c>
      <c r="C19" s="17" t="s">
        <v>597</v>
      </c>
      <c r="D19" s="17" t="s">
        <v>598</v>
      </c>
      <c r="E19" s="17" t="s">
        <v>37</v>
      </c>
      <c r="F19" s="17" t="s">
        <v>43</v>
      </c>
      <c r="G19" s="87">
        <v>9000.0</v>
      </c>
      <c r="H19" s="61">
        <v>1350000.0</v>
      </c>
      <c r="I19" s="227" t="s">
        <v>44</v>
      </c>
      <c r="J19" s="61">
        <v>800000.0</v>
      </c>
      <c r="K19" s="199" t="s">
        <v>44</v>
      </c>
      <c r="L19" s="100">
        <f t="shared" si="1"/>
        <v>550000</v>
      </c>
      <c r="M19" s="104">
        <v>725000.0</v>
      </c>
    </row>
    <row r="20">
      <c r="A20" s="21"/>
      <c r="B20" s="17" t="s">
        <v>427</v>
      </c>
      <c r="C20" s="17" t="s">
        <v>597</v>
      </c>
      <c r="D20" s="17" t="s">
        <v>598</v>
      </c>
      <c r="E20" s="17" t="s">
        <v>40</v>
      </c>
      <c r="F20" s="17" t="s">
        <v>66</v>
      </c>
      <c r="G20" s="87">
        <v>9000.0</v>
      </c>
      <c r="H20" s="61">
        <v>675000.0</v>
      </c>
      <c r="I20" s="227" t="s">
        <v>42</v>
      </c>
      <c r="J20" s="61">
        <v>350000.0</v>
      </c>
      <c r="K20" s="199" t="s">
        <v>42</v>
      </c>
      <c r="L20" s="100">
        <f t="shared" si="1"/>
        <v>325000</v>
      </c>
      <c r="M20" s="104"/>
    </row>
    <row r="21" ht="15.75" customHeight="1">
      <c r="A21" s="21"/>
      <c r="B21" s="17" t="s">
        <v>602</v>
      </c>
      <c r="C21" s="17" t="s">
        <v>597</v>
      </c>
      <c r="D21" s="17" t="s">
        <v>598</v>
      </c>
      <c r="E21" s="17" t="s">
        <v>37</v>
      </c>
      <c r="F21" s="17" t="s">
        <v>103</v>
      </c>
      <c r="G21" s="87">
        <v>9000.0</v>
      </c>
      <c r="H21" s="61">
        <v>675000.0</v>
      </c>
      <c r="I21" s="227" t="s">
        <v>44</v>
      </c>
      <c r="J21" s="61">
        <v>375000.0</v>
      </c>
      <c r="K21" s="199" t="s">
        <v>42</v>
      </c>
      <c r="L21" s="100">
        <f t="shared" si="1"/>
        <v>300000</v>
      </c>
      <c r="M21" s="104">
        <v>490000.0</v>
      </c>
    </row>
    <row r="22" ht="15.75" customHeight="1">
      <c r="A22" s="21"/>
      <c r="B22" s="17" t="s">
        <v>603</v>
      </c>
      <c r="C22" s="17" t="s">
        <v>597</v>
      </c>
      <c r="D22" s="17" t="s">
        <v>598</v>
      </c>
      <c r="E22" s="17" t="s">
        <v>123</v>
      </c>
      <c r="F22" s="17" t="s">
        <v>109</v>
      </c>
      <c r="G22" s="87">
        <v>9000.0</v>
      </c>
      <c r="H22" s="61">
        <v>720000.0</v>
      </c>
      <c r="I22" s="227" t="s">
        <v>42</v>
      </c>
      <c r="J22" s="61">
        <v>350000.0</v>
      </c>
      <c r="K22" s="199" t="s">
        <v>42</v>
      </c>
      <c r="L22" s="100">
        <f t="shared" si="1"/>
        <v>370000</v>
      </c>
      <c r="M22" s="104"/>
    </row>
    <row r="23" ht="15.75" customHeight="1">
      <c r="A23" s="21"/>
      <c r="B23" s="17" t="s">
        <v>428</v>
      </c>
      <c r="C23" s="17" t="s">
        <v>597</v>
      </c>
      <c r="D23" s="17" t="s">
        <v>598</v>
      </c>
      <c r="E23" s="17" t="s">
        <v>71</v>
      </c>
      <c r="F23" s="17" t="s">
        <v>59</v>
      </c>
      <c r="G23" s="87">
        <v>10000.0</v>
      </c>
      <c r="H23" s="61">
        <v>1000000.0</v>
      </c>
      <c r="I23" s="227" t="s">
        <v>44</v>
      </c>
      <c r="J23" s="61">
        <v>375000.0</v>
      </c>
      <c r="K23" s="199" t="s">
        <v>42</v>
      </c>
      <c r="L23" s="100">
        <f t="shared" si="1"/>
        <v>625000</v>
      </c>
      <c r="M23" s="104"/>
    </row>
    <row r="24" ht="15.75" customHeight="1">
      <c r="A24" s="21"/>
      <c r="B24" s="17" t="s">
        <v>428</v>
      </c>
      <c r="C24" s="17" t="s">
        <v>597</v>
      </c>
      <c r="D24" s="17" t="s">
        <v>598</v>
      </c>
      <c r="E24" s="17" t="s">
        <v>85</v>
      </c>
      <c r="F24" s="17" t="s">
        <v>387</v>
      </c>
      <c r="G24" s="87">
        <v>8500.0</v>
      </c>
      <c r="H24" s="61">
        <v>1400000.0</v>
      </c>
      <c r="I24" s="227" t="s">
        <v>44</v>
      </c>
      <c r="J24" s="61">
        <v>900000.0</v>
      </c>
      <c r="K24" s="199" t="s">
        <v>44</v>
      </c>
      <c r="L24" s="100">
        <f t="shared" si="1"/>
        <v>500000</v>
      </c>
      <c r="M24" s="104"/>
    </row>
    <row r="25" ht="15.75" customHeight="1">
      <c r="A25" s="21"/>
      <c r="B25" s="17"/>
      <c r="C25" s="7"/>
      <c r="D25" s="7"/>
      <c r="E25" s="17"/>
      <c r="F25" s="17"/>
      <c r="G25" s="57"/>
      <c r="H25" s="61"/>
      <c r="I25" s="227"/>
      <c r="J25" s="61"/>
      <c r="K25" s="199"/>
      <c r="L25" s="52">
        <f>SUM(L3:L24)</f>
        <v>9320000</v>
      </c>
      <c r="M25" s="167">
        <f>SUM(M2:M24)</f>
        <v>7952000</v>
      </c>
    </row>
    <row r="26" ht="15.75" customHeight="1">
      <c r="A26" s="21"/>
      <c r="B26" s="7"/>
      <c r="C26" s="7"/>
      <c r="D26" s="7"/>
      <c r="E26" s="17"/>
      <c r="F26" s="17"/>
      <c r="G26" s="57"/>
      <c r="H26" s="61"/>
      <c r="I26" s="227"/>
      <c r="J26" s="61"/>
      <c r="K26" s="199"/>
      <c r="L26" s="33">
        <f>L25-M25</f>
        <v>1368000</v>
      </c>
      <c r="M26" s="149"/>
    </row>
    <row r="27" ht="15.75" customHeight="1">
      <c r="A27" s="21"/>
      <c r="B27" s="7"/>
      <c r="C27" s="7"/>
      <c r="D27" s="7"/>
      <c r="E27" s="17"/>
      <c r="F27" s="17"/>
      <c r="G27" s="57"/>
      <c r="H27" s="61"/>
      <c r="I27" s="227"/>
      <c r="J27" s="61"/>
      <c r="K27" s="199"/>
      <c r="L27" s="100"/>
      <c r="M27" s="104"/>
    </row>
    <row r="28" ht="26.25" customHeight="1">
      <c r="A28" s="89"/>
      <c r="B28" s="89" t="s">
        <v>0</v>
      </c>
      <c r="C28" s="89" t="s">
        <v>1</v>
      </c>
      <c r="D28" s="89" t="s">
        <v>2</v>
      </c>
      <c r="E28" s="90" t="s">
        <v>3</v>
      </c>
      <c r="F28" s="89" t="s">
        <v>4</v>
      </c>
      <c r="G28" s="91" t="s">
        <v>5</v>
      </c>
      <c r="H28" s="119" t="s">
        <v>6</v>
      </c>
      <c r="I28" s="91" t="s">
        <v>39</v>
      </c>
      <c r="J28" s="119" t="s">
        <v>7</v>
      </c>
      <c r="K28" s="91" t="s">
        <v>39</v>
      </c>
      <c r="L28" s="92" t="s">
        <v>8</v>
      </c>
      <c r="M28" s="120" t="s">
        <v>9</v>
      </c>
    </row>
    <row r="29" ht="15.75" customHeight="1">
      <c r="A29" s="21"/>
      <c r="B29" s="17" t="s">
        <v>429</v>
      </c>
      <c r="C29" s="21" t="s">
        <v>597</v>
      </c>
      <c r="D29" s="17" t="s">
        <v>604</v>
      </c>
      <c r="E29" s="17" t="s">
        <v>37</v>
      </c>
      <c r="F29" s="17" t="s">
        <v>43</v>
      </c>
      <c r="G29" s="87">
        <v>9000.0</v>
      </c>
      <c r="H29" s="61">
        <v>1350000.0</v>
      </c>
      <c r="I29" s="59" t="s">
        <v>44</v>
      </c>
      <c r="J29" s="61">
        <v>800000.0</v>
      </c>
      <c r="K29" s="199" t="s">
        <v>42</v>
      </c>
      <c r="L29" s="100">
        <f t="shared" ref="L29:L55" si="2">H29-J29</f>
        <v>550000</v>
      </c>
      <c r="M29" s="104">
        <v>945000.0</v>
      </c>
    </row>
    <row r="30" ht="15.75" customHeight="1">
      <c r="A30" s="21"/>
      <c r="B30" s="17" t="s">
        <v>430</v>
      </c>
      <c r="C30" s="17" t="s">
        <v>597</v>
      </c>
      <c r="D30" s="17" t="s">
        <v>604</v>
      </c>
      <c r="E30" s="17" t="s">
        <v>30</v>
      </c>
      <c r="F30" s="17" t="s">
        <v>54</v>
      </c>
      <c r="G30" s="87">
        <v>9000.0</v>
      </c>
      <c r="H30" s="61">
        <v>1200000.0</v>
      </c>
      <c r="I30" s="227" t="s">
        <v>42</v>
      </c>
      <c r="J30" s="61">
        <v>640000.0</v>
      </c>
      <c r="K30" s="199" t="s">
        <v>42</v>
      </c>
      <c r="L30" s="100">
        <f t="shared" si="2"/>
        <v>560000</v>
      </c>
      <c r="M30" s="104"/>
    </row>
    <row r="31" ht="15.75" customHeight="1">
      <c r="A31" s="21"/>
      <c r="B31" s="17" t="s">
        <v>431</v>
      </c>
      <c r="C31" s="17" t="s">
        <v>597</v>
      </c>
      <c r="D31" s="17" t="s">
        <v>604</v>
      </c>
      <c r="E31" s="17" t="s">
        <v>81</v>
      </c>
      <c r="F31" s="17" t="s">
        <v>109</v>
      </c>
      <c r="G31" s="87">
        <v>9000.0</v>
      </c>
      <c r="H31" s="61">
        <v>720000.0</v>
      </c>
      <c r="I31" s="227" t="s">
        <v>42</v>
      </c>
      <c r="J31" s="61">
        <v>350000.0</v>
      </c>
      <c r="K31" s="199" t="s">
        <v>42</v>
      </c>
      <c r="L31" s="100">
        <f t="shared" si="2"/>
        <v>370000</v>
      </c>
      <c r="M31" s="104"/>
    </row>
    <row r="32" ht="15.75" customHeight="1">
      <c r="A32" s="21"/>
      <c r="B32" s="17" t="s">
        <v>605</v>
      </c>
      <c r="C32" s="17" t="s">
        <v>597</v>
      </c>
      <c r="D32" s="17" t="s">
        <v>604</v>
      </c>
      <c r="E32" s="17" t="s">
        <v>30</v>
      </c>
      <c r="F32" s="17" t="s">
        <v>121</v>
      </c>
      <c r="G32" s="87">
        <v>9000.0</v>
      </c>
      <c r="H32" s="61">
        <v>1170000.0</v>
      </c>
      <c r="I32" s="227" t="s">
        <v>42</v>
      </c>
      <c r="J32" s="61">
        <v>640000.0</v>
      </c>
      <c r="K32" s="199" t="s">
        <v>42</v>
      </c>
      <c r="L32" s="100">
        <f t="shared" si="2"/>
        <v>530000</v>
      </c>
      <c r="M32" s="104"/>
    </row>
    <row r="33" ht="15.75" customHeight="1">
      <c r="A33" s="21"/>
      <c r="B33" s="17" t="s">
        <v>606</v>
      </c>
      <c r="C33" s="17" t="s">
        <v>597</v>
      </c>
      <c r="D33" s="17" t="s">
        <v>604</v>
      </c>
      <c r="E33" s="17" t="s">
        <v>40</v>
      </c>
      <c r="F33" s="17" t="s">
        <v>66</v>
      </c>
      <c r="G33" s="87">
        <v>9000.0</v>
      </c>
      <c r="H33" s="61">
        <v>675000.0</v>
      </c>
      <c r="I33" s="227" t="s">
        <v>42</v>
      </c>
      <c r="J33" s="61">
        <v>350000.0</v>
      </c>
      <c r="K33" s="199" t="s">
        <v>42</v>
      </c>
      <c r="L33" s="100">
        <f t="shared" si="2"/>
        <v>325000</v>
      </c>
      <c r="M33" s="104"/>
    </row>
    <row r="34" ht="15.75" customHeight="1">
      <c r="A34" s="21"/>
      <c r="B34" s="17" t="s">
        <v>432</v>
      </c>
      <c r="C34" s="17" t="s">
        <v>597</v>
      </c>
      <c r="D34" s="17" t="s">
        <v>604</v>
      </c>
      <c r="E34" s="17" t="s">
        <v>37</v>
      </c>
      <c r="F34" s="17" t="s">
        <v>43</v>
      </c>
      <c r="G34" s="87">
        <v>9000.0</v>
      </c>
      <c r="H34" s="61">
        <v>1350000.0</v>
      </c>
      <c r="I34" s="59" t="s">
        <v>44</v>
      </c>
      <c r="J34" s="61">
        <v>800000.0</v>
      </c>
      <c r="K34" s="199" t="s">
        <v>42</v>
      </c>
      <c r="L34" s="100">
        <f t="shared" si="2"/>
        <v>550000</v>
      </c>
      <c r="M34" s="104"/>
    </row>
    <row r="35" ht="15.75" customHeight="1">
      <c r="A35" s="21"/>
      <c r="B35" s="17" t="s">
        <v>433</v>
      </c>
      <c r="C35" s="17" t="s">
        <v>597</v>
      </c>
      <c r="D35" s="17" t="s">
        <v>604</v>
      </c>
      <c r="E35" s="17" t="s">
        <v>30</v>
      </c>
      <c r="F35" s="17" t="s">
        <v>103</v>
      </c>
      <c r="G35" s="87">
        <v>9000.0</v>
      </c>
      <c r="H35" s="61">
        <v>675000.0</v>
      </c>
      <c r="I35" s="59" t="s">
        <v>44</v>
      </c>
      <c r="J35" s="61">
        <v>375000.0</v>
      </c>
      <c r="K35" s="58" t="s">
        <v>44</v>
      </c>
      <c r="L35" s="100">
        <f t="shared" si="2"/>
        <v>300000</v>
      </c>
      <c r="M35" s="104"/>
    </row>
    <row r="36" ht="15.75" customHeight="1">
      <c r="A36" s="21"/>
      <c r="B36" s="17" t="s">
        <v>433</v>
      </c>
      <c r="C36" s="17" t="s">
        <v>597</v>
      </c>
      <c r="D36" s="17" t="s">
        <v>604</v>
      </c>
      <c r="E36" s="17" t="s">
        <v>30</v>
      </c>
      <c r="F36" s="17" t="s">
        <v>94</v>
      </c>
      <c r="G36" s="87">
        <v>9000.0</v>
      </c>
      <c r="H36" s="61">
        <v>1200000.0</v>
      </c>
      <c r="I36" s="227" t="s">
        <v>42</v>
      </c>
      <c r="J36" s="61">
        <v>640000.0</v>
      </c>
      <c r="K36" s="58" t="s">
        <v>44</v>
      </c>
      <c r="L36" s="100">
        <f t="shared" si="2"/>
        <v>560000</v>
      </c>
      <c r="M36" s="149"/>
    </row>
    <row r="37" ht="15.75" customHeight="1">
      <c r="A37" s="21"/>
      <c r="B37" s="17" t="s">
        <v>607</v>
      </c>
      <c r="C37" s="17" t="s">
        <v>597</v>
      </c>
      <c r="D37" s="17" t="s">
        <v>604</v>
      </c>
      <c r="E37" s="17" t="s">
        <v>40</v>
      </c>
      <c r="F37" s="17" t="s">
        <v>108</v>
      </c>
      <c r="G37" s="87">
        <v>9000.0</v>
      </c>
      <c r="H37" s="61">
        <v>810000.0</v>
      </c>
      <c r="I37" s="227" t="s">
        <v>42</v>
      </c>
      <c r="J37" s="61">
        <v>450000.0</v>
      </c>
      <c r="K37" s="199" t="s">
        <v>42</v>
      </c>
      <c r="L37" s="100">
        <f t="shared" si="2"/>
        <v>360000</v>
      </c>
      <c r="M37" s="149"/>
    </row>
    <row r="38" ht="15.75" customHeight="1">
      <c r="A38" s="21"/>
      <c r="B38" s="17" t="s">
        <v>608</v>
      </c>
      <c r="C38" s="17" t="s">
        <v>597</v>
      </c>
      <c r="D38" s="17" t="s">
        <v>604</v>
      </c>
      <c r="E38" s="17" t="s">
        <v>83</v>
      </c>
      <c r="F38" s="17" t="s">
        <v>109</v>
      </c>
      <c r="G38" s="87">
        <v>9000.0</v>
      </c>
      <c r="H38" s="61">
        <v>720000.0</v>
      </c>
      <c r="I38" s="227" t="s">
        <v>42</v>
      </c>
      <c r="J38" s="61">
        <v>350000.0</v>
      </c>
      <c r="K38" s="199" t="s">
        <v>42</v>
      </c>
      <c r="L38" s="100">
        <f t="shared" si="2"/>
        <v>370000</v>
      </c>
      <c r="M38" s="149"/>
    </row>
    <row r="39" ht="15.75" customHeight="1">
      <c r="A39" s="21"/>
      <c r="B39" s="17" t="s">
        <v>608</v>
      </c>
      <c r="C39" s="17" t="s">
        <v>597</v>
      </c>
      <c r="D39" s="17" t="s">
        <v>604</v>
      </c>
      <c r="E39" s="17" t="s">
        <v>40</v>
      </c>
      <c r="F39" s="17" t="s">
        <v>59</v>
      </c>
      <c r="G39" s="87">
        <v>9000.0</v>
      </c>
      <c r="H39" s="61">
        <v>900000.0</v>
      </c>
      <c r="I39" s="59" t="s">
        <v>44</v>
      </c>
      <c r="J39" s="61">
        <v>350000.0</v>
      </c>
      <c r="K39" s="199" t="s">
        <v>42</v>
      </c>
      <c r="L39" s="100">
        <f t="shared" si="2"/>
        <v>550000</v>
      </c>
      <c r="M39" s="149"/>
    </row>
    <row r="40" ht="15.75" customHeight="1">
      <c r="A40" s="21"/>
      <c r="B40" s="17" t="s">
        <v>609</v>
      </c>
      <c r="C40" s="17" t="s">
        <v>597</v>
      </c>
      <c r="D40" s="17" t="s">
        <v>604</v>
      </c>
      <c r="E40" s="17" t="s">
        <v>85</v>
      </c>
      <c r="F40" s="17" t="s">
        <v>59</v>
      </c>
      <c r="G40" s="87">
        <v>9000.0</v>
      </c>
      <c r="H40" s="61">
        <v>900000.0</v>
      </c>
      <c r="I40" s="59" t="s">
        <v>44</v>
      </c>
      <c r="J40" s="61">
        <v>350000.0</v>
      </c>
      <c r="K40" s="199" t="s">
        <v>42</v>
      </c>
      <c r="L40" s="100">
        <f t="shared" si="2"/>
        <v>550000</v>
      </c>
      <c r="M40" s="149"/>
    </row>
    <row r="41" ht="15.75" customHeight="1">
      <c r="A41" s="21"/>
      <c r="B41" s="17" t="s">
        <v>609</v>
      </c>
      <c r="C41" s="17" t="s">
        <v>597</v>
      </c>
      <c r="D41" s="17" t="s">
        <v>604</v>
      </c>
      <c r="E41" s="17" t="s">
        <v>85</v>
      </c>
      <c r="F41" s="17" t="s">
        <v>34</v>
      </c>
      <c r="G41" s="87">
        <v>9000.0</v>
      </c>
      <c r="H41" s="61">
        <v>1215000.0</v>
      </c>
      <c r="I41" s="59" t="s">
        <v>44</v>
      </c>
      <c r="J41" s="61">
        <v>700000.0</v>
      </c>
      <c r="K41" s="199" t="s">
        <v>42</v>
      </c>
      <c r="L41" s="100">
        <f t="shared" si="2"/>
        <v>515000</v>
      </c>
      <c r="M41" s="149"/>
    </row>
    <row r="42" ht="15.75" customHeight="1">
      <c r="A42" s="21"/>
      <c r="B42" s="17" t="s">
        <v>610</v>
      </c>
      <c r="C42" s="17" t="s">
        <v>597</v>
      </c>
      <c r="D42" s="17" t="s">
        <v>604</v>
      </c>
      <c r="E42" s="17" t="s">
        <v>85</v>
      </c>
      <c r="F42" s="17" t="s">
        <v>94</v>
      </c>
      <c r="G42" s="87">
        <v>8500.0</v>
      </c>
      <c r="H42" s="61">
        <v>1200000.0</v>
      </c>
      <c r="I42" s="227" t="s">
        <v>42</v>
      </c>
      <c r="J42" s="61">
        <v>640000.0</v>
      </c>
      <c r="K42" s="199" t="s">
        <v>42</v>
      </c>
      <c r="L42" s="100">
        <f t="shared" si="2"/>
        <v>560000</v>
      </c>
      <c r="M42" s="149"/>
    </row>
    <row r="43" ht="15.75" customHeight="1">
      <c r="A43" s="21"/>
      <c r="B43" s="17" t="s">
        <v>611</v>
      </c>
      <c r="C43" s="17" t="s">
        <v>597</v>
      </c>
      <c r="D43" s="17" t="s">
        <v>604</v>
      </c>
      <c r="E43" s="17" t="s">
        <v>96</v>
      </c>
      <c r="F43" s="17" t="s">
        <v>59</v>
      </c>
      <c r="G43" s="87">
        <v>9000.0</v>
      </c>
      <c r="H43" s="61">
        <v>900000.0</v>
      </c>
      <c r="I43" s="59" t="s">
        <v>44</v>
      </c>
      <c r="J43" s="61">
        <v>350000.0</v>
      </c>
      <c r="K43" s="199" t="s">
        <v>42</v>
      </c>
      <c r="L43" s="100">
        <f t="shared" si="2"/>
        <v>550000</v>
      </c>
      <c r="M43" s="149"/>
    </row>
    <row r="44" ht="15.75" customHeight="1">
      <c r="A44" s="21"/>
      <c r="B44" s="17" t="s">
        <v>611</v>
      </c>
      <c r="C44" s="17" t="s">
        <v>597</v>
      </c>
      <c r="D44" s="17" t="s">
        <v>604</v>
      </c>
      <c r="E44" s="17" t="s">
        <v>96</v>
      </c>
      <c r="F44" s="17" t="s">
        <v>111</v>
      </c>
      <c r="G44" s="87">
        <v>9000.0</v>
      </c>
      <c r="H44" s="61">
        <v>990000.0</v>
      </c>
      <c r="I44" s="59" t="s">
        <v>44</v>
      </c>
      <c r="J44" s="61">
        <v>500000.0</v>
      </c>
      <c r="K44" s="199" t="s">
        <v>42</v>
      </c>
      <c r="L44" s="100">
        <f t="shared" si="2"/>
        <v>490000</v>
      </c>
      <c r="M44" s="149"/>
    </row>
    <row r="45" ht="15.75" customHeight="1">
      <c r="A45" s="21"/>
      <c r="B45" s="17" t="s">
        <v>612</v>
      </c>
      <c r="C45" s="17" t="s">
        <v>597</v>
      </c>
      <c r="D45" s="17" t="s">
        <v>604</v>
      </c>
      <c r="E45" s="17" t="s">
        <v>40</v>
      </c>
      <c r="F45" s="17" t="s">
        <v>613</v>
      </c>
      <c r="G45" s="87">
        <v>9000.0</v>
      </c>
      <c r="H45" s="61">
        <v>1305000.0</v>
      </c>
      <c r="I45" s="59" t="s">
        <v>44</v>
      </c>
      <c r="J45" s="61">
        <v>700000.0</v>
      </c>
      <c r="K45" s="199" t="s">
        <v>42</v>
      </c>
      <c r="L45" s="100">
        <f t="shared" si="2"/>
        <v>605000</v>
      </c>
      <c r="M45" s="104">
        <v>305000.0</v>
      </c>
    </row>
    <row r="46" ht="15.75" customHeight="1">
      <c r="A46" s="21"/>
      <c r="B46" s="17" t="s">
        <v>614</v>
      </c>
      <c r="C46" s="17" t="s">
        <v>597</v>
      </c>
      <c r="D46" s="17" t="s">
        <v>604</v>
      </c>
      <c r="E46" s="17" t="s">
        <v>37</v>
      </c>
      <c r="F46" s="17" t="s">
        <v>87</v>
      </c>
      <c r="G46" s="87">
        <v>9000.0</v>
      </c>
      <c r="H46" s="61">
        <v>1400000.0</v>
      </c>
      <c r="I46" s="59" t="s">
        <v>44</v>
      </c>
      <c r="J46" s="61">
        <v>900000.0</v>
      </c>
      <c r="K46" s="58" t="s">
        <v>44</v>
      </c>
      <c r="L46" s="100">
        <f t="shared" si="2"/>
        <v>500000</v>
      </c>
      <c r="M46" s="149"/>
    </row>
    <row r="47" ht="15.75" customHeight="1">
      <c r="A47" s="21"/>
      <c r="B47" s="17" t="s">
        <v>615</v>
      </c>
      <c r="C47" s="17" t="s">
        <v>597</v>
      </c>
      <c r="D47" s="17" t="s">
        <v>604</v>
      </c>
      <c r="E47" s="17" t="s">
        <v>40</v>
      </c>
      <c r="F47" s="17" t="s">
        <v>145</v>
      </c>
      <c r="G47" s="87">
        <v>9000.0</v>
      </c>
      <c r="H47" s="61">
        <v>700000.0</v>
      </c>
      <c r="I47" s="59" t="s">
        <v>44</v>
      </c>
      <c r="J47" s="61">
        <v>375000.0</v>
      </c>
      <c r="K47" s="58" t="s">
        <v>44</v>
      </c>
      <c r="L47" s="100">
        <f t="shared" si="2"/>
        <v>325000</v>
      </c>
      <c r="M47" s="149"/>
    </row>
    <row r="48" ht="15.75" customHeight="1">
      <c r="A48" s="21"/>
      <c r="B48" s="17" t="s">
        <v>616</v>
      </c>
      <c r="C48" s="17" t="s">
        <v>597</v>
      </c>
      <c r="D48" s="17" t="s">
        <v>604</v>
      </c>
      <c r="E48" s="17" t="s">
        <v>37</v>
      </c>
      <c r="F48" s="17" t="s">
        <v>43</v>
      </c>
      <c r="G48" s="87">
        <v>9000.0</v>
      </c>
      <c r="H48" s="61">
        <v>1350000.0</v>
      </c>
      <c r="I48" s="59" t="s">
        <v>44</v>
      </c>
      <c r="J48" s="61">
        <v>800000.0</v>
      </c>
      <c r="K48" s="58" t="s">
        <v>44</v>
      </c>
      <c r="L48" s="100">
        <f t="shared" si="2"/>
        <v>550000</v>
      </c>
      <c r="M48" s="104">
        <v>650000.0</v>
      </c>
    </row>
    <row r="49" ht="15.75" customHeight="1">
      <c r="A49" s="21"/>
      <c r="B49" s="17" t="s">
        <v>617</v>
      </c>
      <c r="C49" s="17" t="s">
        <v>597</v>
      </c>
      <c r="D49" s="17" t="s">
        <v>604</v>
      </c>
      <c r="E49" s="17" t="s">
        <v>96</v>
      </c>
      <c r="F49" s="17" t="s">
        <v>108</v>
      </c>
      <c r="G49" s="87">
        <v>9000.0</v>
      </c>
      <c r="H49" s="61">
        <v>810000.0</v>
      </c>
      <c r="I49" s="59" t="s">
        <v>44</v>
      </c>
      <c r="J49" s="61">
        <v>450000.0</v>
      </c>
      <c r="K49" s="58" t="s">
        <v>44</v>
      </c>
      <c r="L49" s="100">
        <f t="shared" si="2"/>
        <v>360000</v>
      </c>
      <c r="M49" s="149"/>
    </row>
    <row r="50" ht="15.75" customHeight="1">
      <c r="A50" s="21"/>
      <c r="B50" s="17" t="s">
        <v>617</v>
      </c>
      <c r="C50" s="17" t="s">
        <v>597</v>
      </c>
      <c r="D50" s="17" t="s">
        <v>604</v>
      </c>
      <c r="E50" s="17" t="s">
        <v>96</v>
      </c>
      <c r="F50" s="17" t="s">
        <v>87</v>
      </c>
      <c r="G50" s="87">
        <v>9000.0</v>
      </c>
      <c r="H50" s="61">
        <v>1400000.0</v>
      </c>
      <c r="I50" s="59" t="s">
        <v>44</v>
      </c>
      <c r="J50" s="61">
        <v>900000.0</v>
      </c>
      <c r="K50" s="58" t="s">
        <v>44</v>
      </c>
      <c r="L50" s="100">
        <f t="shared" si="2"/>
        <v>500000</v>
      </c>
      <c r="M50" s="149"/>
    </row>
    <row r="51" ht="15.75" customHeight="1">
      <c r="A51" s="21"/>
      <c r="B51" s="17" t="s">
        <v>618</v>
      </c>
      <c r="C51" s="17" t="s">
        <v>597</v>
      </c>
      <c r="D51" s="17" t="s">
        <v>604</v>
      </c>
      <c r="E51" s="17" t="s">
        <v>96</v>
      </c>
      <c r="F51" s="17" t="s">
        <v>43</v>
      </c>
      <c r="G51" s="87">
        <v>9000.0</v>
      </c>
      <c r="H51" s="61">
        <v>1350000.0</v>
      </c>
      <c r="I51" s="59" t="s">
        <v>44</v>
      </c>
      <c r="J51" s="61">
        <v>800000.0</v>
      </c>
      <c r="K51" s="58" t="s">
        <v>44</v>
      </c>
      <c r="L51" s="100">
        <f t="shared" si="2"/>
        <v>550000</v>
      </c>
      <c r="M51" s="149"/>
    </row>
    <row r="52" ht="15.75" customHeight="1">
      <c r="A52" s="21"/>
      <c r="B52" s="17" t="s">
        <v>619</v>
      </c>
      <c r="C52" s="17" t="s">
        <v>597</v>
      </c>
      <c r="D52" s="17" t="s">
        <v>604</v>
      </c>
      <c r="E52" s="17" t="s">
        <v>37</v>
      </c>
      <c r="F52" s="17" t="s">
        <v>620</v>
      </c>
      <c r="G52" s="87">
        <v>10000.0</v>
      </c>
      <c r="H52" s="61">
        <v>850000.0</v>
      </c>
      <c r="I52" s="59" t="s">
        <v>44</v>
      </c>
      <c r="J52" s="61">
        <v>500000.0</v>
      </c>
      <c r="K52" s="58" t="s">
        <v>44</v>
      </c>
      <c r="L52" s="100">
        <f t="shared" si="2"/>
        <v>350000</v>
      </c>
      <c r="M52" s="149"/>
    </row>
    <row r="53" ht="15.75" customHeight="1">
      <c r="A53" s="21"/>
      <c r="B53" s="17" t="s">
        <v>621</v>
      </c>
      <c r="C53" s="17" t="s">
        <v>597</v>
      </c>
      <c r="D53" s="17" t="s">
        <v>604</v>
      </c>
      <c r="E53" s="17" t="s">
        <v>85</v>
      </c>
      <c r="F53" s="17" t="s">
        <v>94</v>
      </c>
      <c r="G53" s="87">
        <v>8500.0</v>
      </c>
      <c r="H53" s="61">
        <v>1200000.0</v>
      </c>
      <c r="I53" s="59" t="s">
        <v>44</v>
      </c>
      <c r="J53" s="61">
        <v>640000.0</v>
      </c>
      <c r="K53" s="58" t="s">
        <v>44</v>
      </c>
      <c r="L53" s="100">
        <f t="shared" si="2"/>
        <v>560000</v>
      </c>
      <c r="M53" s="149"/>
      <c r="N53" s="174"/>
    </row>
    <row r="54" ht="15.75" customHeight="1">
      <c r="A54" s="21"/>
      <c r="B54" s="17" t="s">
        <v>622</v>
      </c>
      <c r="C54" s="17" t="s">
        <v>597</v>
      </c>
      <c r="D54" s="17" t="s">
        <v>604</v>
      </c>
      <c r="E54" s="17" t="s">
        <v>40</v>
      </c>
      <c r="F54" s="17" t="s">
        <v>623</v>
      </c>
      <c r="G54" s="87">
        <v>9000.0</v>
      </c>
      <c r="H54" s="61">
        <v>765000.0</v>
      </c>
      <c r="I54" s="59" t="s">
        <v>42</v>
      </c>
      <c r="J54" s="61">
        <v>400000.0</v>
      </c>
      <c r="K54" s="58" t="s">
        <v>44</v>
      </c>
      <c r="L54" s="100">
        <f t="shared" si="2"/>
        <v>365000</v>
      </c>
      <c r="M54" s="149"/>
    </row>
    <row r="55" ht="15.75" customHeight="1">
      <c r="A55" s="21"/>
      <c r="B55" s="17" t="s">
        <v>622</v>
      </c>
      <c r="C55" s="17" t="s">
        <v>597</v>
      </c>
      <c r="D55" s="17" t="s">
        <v>604</v>
      </c>
      <c r="E55" s="17" t="s">
        <v>40</v>
      </c>
      <c r="F55" s="17" t="s">
        <v>76</v>
      </c>
      <c r="G55" s="87">
        <v>9000.0</v>
      </c>
      <c r="H55" s="61">
        <v>1350000.0</v>
      </c>
      <c r="I55" s="59" t="s">
        <v>44</v>
      </c>
      <c r="J55" s="61">
        <v>850000.0</v>
      </c>
      <c r="K55" s="58" t="s">
        <v>44</v>
      </c>
      <c r="L55" s="100">
        <f t="shared" si="2"/>
        <v>500000</v>
      </c>
      <c r="M55" s="149"/>
    </row>
    <row r="56" ht="15.75" customHeight="1">
      <c r="A56" s="203"/>
      <c r="C56" s="17"/>
      <c r="E56" s="169"/>
      <c r="F56" s="169"/>
      <c r="G56" s="170"/>
      <c r="H56" s="202"/>
      <c r="I56" s="97"/>
      <c r="J56" s="202"/>
      <c r="K56" s="17"/>
      <c r="L56" s="52">
        <f t="shared" ref="L56:M56" si="3">SUM(L28:L55)</f>
        <v>12855000</v>
      </c>
      <c r="M56" s="167">
        <f t="shared" si="3"/>
        <v>1900000</v>
      </c>
    </row>
    <row r="57" ht="15.75" customHeight="1">
      <c r="A57" s="203"/>
      <c r="E57" s="169"/>
      <c r="F57" s="169"/>
      <c r="G57" s="170"/>
      <c r="H57" s="202"/>
      <c r="I57" s="97"/>
      <c r="J57" s="202"/>
      <c r="K57" s="17"/>
      <c r="L57" s="33">
        <f>L56-M56</f>
        <v>10955000</v>
      </c>
      <c r="M57" s="149"/>
    </row>
    <row r="58" ht="15.75" customHeight="1">
      <c r="A58" s="203"/>
      <c r="E58" s="169"/>
      <c r="F58" s="169"/>
      <c r="G58" s="170"/>
      <c r="H58" s="202"/>
      <c r="I58" s="97"/>
      <c r="J58" s="202"/>
      <c r="K58" s="17"/>
      <c r="M58" s="149"/>
    </row>
    <row r="59" ht="26.25" customHeight="1">
      <c r="A59" s="89"/>
      <c r="B59" s="89" t="s">
        <v>0</v>
      </c>
      <c r="C59" s="89" t="s">
        <v>1</v>
      </c>
      <c r="D59" s="89" t="s">
        <v>2</v>
      </c>
      <c r="E59" s="90" t="s">
        <v>3</v>
      </c>
      <c r="F59" s="89" t="s">
        <v>4</v>
      </c>
      <c r="G59" s="91" t="s">
        <v>5</v>
      </c>
      <c r="H59" s="119" t="s">
        <v>6</v>
      </c>
      <c r="I59" s="91" t="s">
        <v>39</v>
      </c>
      <c r="J59" s="119" t="s">
        <v>7</v>
      </c>
      <c r="K59" s="91" t="s">
        <v>39</v>
      </c>
      <c r="L59" s="92" t="s">
        <v>8</v>
      </c>
      <c r="M59" s="120" t="s">
        <v>9</v>
      </c>
    </row>
    <row r="60" ht="15.75" customHeight="1">
      <c r="A60" s="21"/>
      <c r="B60" s="17" t="s">
        <v>139</v>
      </c>
      <c r="C60" s="17" t="s">
        <v>597</v>
      </c>
      <c r="D60" s="17" t="s">
        <v>624</v>
      </c>
      <c r="E60" s="17" t="s">
        <v>123</v>
      </c>
      <c r="F60" s="17" t="s">
        <v>118</v>
      </c>
      <c r="G60" s="87">
        <v>9000.0</v>
      </c>
      <c r="H60" s="61">
        <v>1000000.0</v>
      </c>
      <c r="I60" s="59" t="s">
        <v>44</v>
      </c>
      <c r="J60" s="61">
        <v>550000.0</v>
      </c>
      <c r="K60" s="58" t="s">
        <v>44</v>
      </c>
      <c r="L60" s="100">
        <f t="shared" ref="L60:L89" si="4">H60-J60</f>
        <v>450000</v>
      </c>
      <c r="M60" s="104">
        <v>95000.0</v>
      </c>
    </row>
    <row r="61" ht="15.75" customHeight="1">
      <c r="A61" s="21"/>
      <c r="B61" s="17" t="s">
        <v>140</v>
      </c>
      <c r="C61" s="17" t="s">
        <v>597</v>
      </c>
      <c r="D61" s="17" t="s">
        <v>624</v>
      </c>
      <c r="E61" s="17" t="s">
        <v>96</v>
      </c>
      <c r="F61" s="17" t="s">
        <v>55</v>
      </c>
      <c r="G61" s="87">
        <v>9000.0</v>
      </c>
      <c r="H61" s="61">
        <v>1305000.0</v>
      </c>
      <c r="I61" s="59" t="s">
        <v>44</v>
      </c>
      <c r="J61" s="61">
        <v>700000.0</v>
      </c>
      <c r="K61" s="58" t="s">
        <v>44</v>
      </c>
      <c r="L61" s="100">
        <f t="shared" si="4"/>
        <v>605000</v>
      </c>
      <c r="M61" s="104"/>
    </row>
    <row r="62" ht="15.75" customHeight="1">
      <c r="A62" s="21"/>
      <c r="B62" s="17" t="s">
        <v>141</v>
      </c>
      <c r="C62" s="17" t="s">
        <v>597</v>
      </c>
      <c r="D62" s="17" t="s">
        <v>624</v>
      </c>
      <c r="E62" s="17" t="s">
        <v>37</v>
      </c>
      <c r="F62" s="17" t="s">
        <v>43</v>
      </c>
      <c r="G62" s="87">
        <v>9000.0</v>
      </c>
      <c r="H62" s="61">
        <v>1500000.0</v>
      </c>
      <c r="I62" s="59" t="s">
        <v>44</v>
      </c>
      <c r="J62" s="61">
        <v>850000.0</v>
      </c>
      <c r="K62" s="58" t="s">
        <v>44</v>
      </c>
      <c r="L62" s="100">
        <f t="shared" si="4"/>
        <v>650000</v>
      </c>
      <c r="M62" s="104"/>
    </row>
    <row r="63" ht="15.75" customHeight="1">
      <c r="A63" s="21"/>
      <c r="B63" s="17" t="s">
        <v>143</v>
      </c>
      <c r="C63" s="17" t="s">
        <v>597</v>
      </c>
      <c r="D63" s="17" t="s">
        <v>624</v>
      </c>
      <c r="E63" s="17" t="s">
        <v>96</v>
      </c>
      <c r="F63" s="17" t="s">
        <v>108</v>
      </c>
      <c r="G63" s="87">
        <v>10000.0</v>
      </c>
      <c r="H63" s="61">
        <v>900000.0</v>
      </c>
      <c r="I63" s="59" t="s">
        <v>42</v>
      </c>
      <c r="J63" s="61">
        <v>500000.0</v>
      </c>
      <c r="K63" s="58" t="s">
        <v>42</v>
      </c>
      <c r="L63" s="100">
        <f t="shared" si="4"/>
        <v>400000</v>
      </c>
      <c r="M63" s="104">
        <v>200000.0</v>
      </c>
    </row>
    <row r="64" ht="15.75" customHeight="1">
      <c r="A64" s="21"/>
      <c r="B64" s="17" t="s">
        <v>144</v>
      </c>
      <c r="C64" s="17" t="s">
        <v>597</v>
      </c>
      <c r="D64" s="17" t="s">
        <v>624</v>
      </c>
      <c r="E64" s="17" t="s">
        <v>71</v>
      </c>
      <c r="F64" s="17" t="s">
        <v>103</v>
      </c>
      <c r="G64" s="87">
        <v>9000.0</v>
      </c>
      <c r="H64" s="61">
        <v>675000.0</v>
      </c>
      <c r="I64" s="59" t="s">
        <v>44</v>
      </c>
      <c r="J64" s="61">
        <v>375000.0</v>
      </c>
      <c r="K64" s="58" t="s">
        <v>44</v>
      </c>
      <c r="L64" s="100">
        <f t="shared" si="4"/>
        <v>300000</v>
      </c>
      <c r="M64" s="104"/>
    </row>
    <row r="65" ht="15.75" customHeight="1">
      <c r="A65" s="21"/>
      <c r="B65" s="17" t="s">
        <v>144</v>
      </c>
      <c r="C65" s="17" t="s">
        <v>597</v>
      </c>
      <c r="D65" s="17" t="s">
        <v>624</v>
      </c>
      <c r="E65" s="17" t="s">
        <v>37</v>
      </c>
      <c r="F65" s="17" t="s">
        <v>43</v>
      </c>
      <c r="G65" s="87">
        <v>10000.0</v>
      </c>
      <c r="H65" s="61">
        <v>1500000.0</v>
      </c>
      <c r="I65" s="59" t="s">
        <v>44</v>
      </c>
      <c r="J65" s="61">
        <v>850000.0</v>
      </c>
      <c r="K65" s="58" t="s">
        <v>44</v>
      </c>
      <c r="L65" s="100">
        <f t="shared" si="4"/>
        <v>650000</v>
      </c>
      <c r="M65" s="104"/>
    </row>
    <row r="66" ht="15.75" customHeight="1">
      <c r="A66" s="21"/>
      <c r="B66" s="17" t="s">
        <v>146</v>
      </c>
      <c r="C66" s="17" t="s">
        <v>597</v>
      </c>
      <c r="D66" s="17" t="s">
        <v>624</v>
      </c>
      <c r="E66" s="17" t="s">
        <v>96</v>
      </c>
      <c r="F66" s="17" t="s">
        <v>449</v>
      </c>
      <c r="G66" s="87">
        <v>9000.0</v>
      </c>
      <c r="H66" s="61">
        <v>920000.0</v>
      </c>
      <c r="I66" s="59" t="s">
        <v>42</v>
      </c>
      <c r="J66" s="61">
        <v>350000.0</v>
      </c>
      <c r="K66" s="58" t="s">
        <v>44</v>
      </c>
      <c r="L66" s="100">
        <f t="shared" si="4"/>
        <v>570000</v>
      </c>
      <c r="M66" s="104"/>
    </row>
    <row r="67" ht="15.75" customHeight="1">
      <c r="A67" s="21"/>
      <c r="B67" s="17" t="s">
        <v>146</v>
      </c>
      <c r="C67" s="17" t="s">
        <v>597</v>
      </c>
      <c r="D67" s="17" t="s">
        <v>624</v>
      </c>
      <c r="E67" s="17" t="s">
        <v>96</v>
      </c>
      <c r="F67" s="17" t="s">
        <v>43</v>
      </c>
      <c r="G67" s="87">
        <v>9000.0</v>
      </c>
      <c r="H67" s="61">
        <v>1350000.0</v>
      </c>
      <c r="I67" s="59" t="s">
        <v>44</v>
      </c>
      <c r="J67" s="61">
        <v>800000.0</v>
      </c>
      <c r="K67" s="58" t="s">
        <v>44</v>
      </c>
      <c r="L67" s="100">
        <f t="shared" si="4"/>
        <v>550000</v>
      </c>
      <c r="M67" s="104"/>
    </row>
    <row r="68" ht="15.75" customHeight="1">
      <c r="A68" s="21"/>
      <c r="B68" s="17" t="s">
        <v>147</v>
      </c>
      <c r="C68" s="17" t="s">
        <v>597</v>
      </c>
      <c r="D68" s="17" t="s">
        <v>624</v>
      </c>
      <c r="E68" s="17" t="s">
        <v>123</v>
      </c>
      <c r="F68" s="17" t="s">
        <v>109</v>
      </c>
      <c r="G68" s="87">
        <v>9000.0</v>
      </c>
      <c r="H68" s="61">
        <v>720000.0</v>
      </c>
      <c r="I68" s="59" t="s">
        <v>44</v>
      </c>
      <c r="J68" s="61">
        <v>350000.0</v>
      </c>
      <c r="K68" s="58" t="s">
        <v>44</v>
      </c>
      <c r="L68" s="100">
        <f t="shared" si="4"/>
        <v>370000</v>
      </c>
      <c r="M68" s="104"/>
    </row>
    <row r="69" ht="15.75" customHeight="1">
      <c r="A69" s="21"/>
      <c r="B69" s="17" t="s">
        <v>149</v>
      </c>
      <c r="C69" s="17" t="s">
        <v>597</v>
      </c>
      <c r="D69" s="17" t="s">
        <v>624</v>
      </c>
      <c r="E69" s="17" t="s">
        <v>92</v>
      </c>
      <c r="F69" s="17" t="s">
        <v>43</v>
      </c>
      <c r="G69" s="87">
        <v>9000.0</v>
      </c>
      <c r="H69" s="61">
        <v>1500000.0</v>
      </c>
      <c r="I69" s="59" t="s">
        <v>44</v>
      </c>
      <c r="J69" s="61">
        <v>850000.0</v>
      </c>
      <c r="K69" s="58" t="s">
        <v>44</v>
      </c>
      <c r="L69" s="100">
        <f t="shared" si="4"/>
        <v>650000</v>
      </c>
      <c r="M69" s="104"/>
    </row>
    <row r="70" ht="15.75" customHeight="1">
      <c r="A70" s="21"/>
      <c r="B70" s="17" t="s">
        <v>150</v>
      </c>
      <c r="C70" s="17" t="s">
        <v>597</v>
      </c>
      <c r="D70" s="17" t="s">
        <v>624</v>
      </c>
      <c r="E70" s="17" t="s">
        <v>383</v>
      </c>
      <c r="F70" s="17" t="s">
        <v>87</v>
      </c>
      <c r="G70" s="87">
        <v>9000.0</v>
      </c>
      <c r="H70" s="61">
        <v>1400000.0</v>
      </c>
      <c r="I70" s="59" t="s">
        <v>44</v>
      </c>
      <c r="J70" s="61">
        <v>900000.0</v>
      </c>
      <c r="K70" s="58" t="s">
        <v>44</v>
      </c>
      <c r="L70" s="100">
        <f t="shared" si="4"/>
        <v>500000</v>
      </c>
      <c r="M70" s="104"/>
    </row>
    <row r="71" ht="15.75" customHeight="1">
      <c r="A71" s="21"/>
      <c r="B71" s="17" t="s">
        <v>151</v>
      </c>
      <c r="C71" s="17" t="s">
        <v>597</v>
      </c>
      <c r="D71" s="17" t="s">
        <v>624</v>
      </c>
      <c r="E71" s="17" t="s">
        <v>625</v>
      </c>
      <c r="F71" s="17" t="s">
        <v>626</v>
      </c>
      <c r="G71" s="87">
        <v>10000.0</v>
      </c>
      <c r="H71" s="61">
        <v>2000000.0</v>
      </c>
      <c r="I71" s="59" t="s">
        <v>42</v>
      </c>
      <c r="J71" s="61">
        <v>1000000.0</v>
      </c>
      <c r="K71" s="199" t="s">
        <v>42</v>
      </c>
      <c r="L71" s="100">
        <f t="shared" si="4"/>
        <v>1000000</v>
      </c>
      <c r="M71" s="104"/>
    </row>
    <row r="72" ht="15.75" customHeight="1">
      <c r="A72" s="21"/>
      <c r="B72" s="17" t="s">
        <v>153</v>
      </c>
      <c r="C72" s="17" t="s">
        <v>597</v>
      </c>
      <c r="D72" s="17" t="s">
        <v>624</v>
      </c>
      <c r="E72" s="17" t="s">
        <v>96</v>
      </c>
      <c r="F72" s="17" t="s">
        <v>627</v>
      </c>
      <c r="G72" s="87">
        <v>8000.0</v>
      </c>
      <c r="H72" s="61">
        <v>700000.0</v>
      </c>
      <c r="I72" s="59" t="s">
        <v>44</v>
      </c>
      <c r="J72" s="61">
        <v>400000.0</v>
      </c>
      <c r="K72" s="58" t="s">
        <v>44</v>
      </c>
      <c r="L72" s="100">
        <f t="shared" si="4"/>
        <v>300000</v>
      </c>
      <c r="M72" s="104"/>
    </row>
    <row r="73" ht="15.75" customHeight="1">
      <c r="A73" s="21"/>
      <c r="B73" s="17" t="s">
        <v>153</v>
      </c>
      <c r="C73" s="17" t="s">
        <v>597</v>
      </c>
      <c r="D73" s="17" t="s">
        <v>624</v>
      </c>
      <c r="E73" s="17" t="s">
        <v>92</v>
      </c>
      <c r="F73" s="17" t="s">
        <v>628</v>
      </c>
      <c r="G73" s="87">
        <v>9000.0</v>
      </c>
      <c r="H73" s="61">
        <v>765000.0</v>
      </c>
      <c r="I73" s="59" t="s">
        <v>44</v>
      </c>
      <c r="J73" s="61">
        <v>450000.0</v>
      </c>
      <c r="K73" s="58" t="s">
        <v>44</v>
      </c>
      <c r="L73" s="100">
        <f t="shared" si="4"/>
        <v>315000</v>
      </c>
      <c r="M73" s="104">
        <v>50000.0</v>
      </c>
    </row>
    <row r="74" ht="15.75" customHeight="1">
      <c r="A74" s="21"/>
      <c r="B74" s="17" t="s">
        <v>458</v>
      </c>
      <c r="C74" s="17" t="s">
        <v>597</v>
      </c>
      <c r="D74" s="17" t="s">
        <v>624</v>
      </c>
      <c r="E74" s="17" t="s">
        <v>383</v>
      </c>
      <c r="F74" s="17" t="s">
        <v>87</v>
      </c>
      <c r="G74" s="87">
        <v>9000.0</v>
      </c>
      <c r="H74" s="61">
        <v>1400000.0</v>
      </c>
      <c r="I74" s="59" t="s">
        <v>44</v>
      </c>
      <c r="J74" s="61">
        <v>950000.0</v>
      </c>
      <c r="K74" s="58" t="s">
        <v>44</v>
      </c>
      <c r="L74" s="100">
        <f t="shared" si="4"/>
        <v>450000</v>
      </c>
      <c r="M74" s="104">
        <v>250000.0</v>
      </c>
    </row>
    <row r="75" ht="15.75" customHeight="1">
      <c r="A75" s="21"/>
      <c r="B75" s="17" t="s">
        <v>459</v>
      </c>
      <c r="C75" s="17" t="s">
        <v>597</v>
      </c>
      <c r="D75" s="17" t="s">
        <v>624</v>
      </c>
      <c r="E75" s="17" t="s">
        <v>383</v>
      </c>
      <c r="F75" s="17" t="s">
        <v>161</v>
      </c>
      <c r="G75" s="87">
        <v>9000.0</v>
      </c>
      <c r="H75" s="61">
        <v>1215000.0</v>
      </c>
      <c r="I75" s="59" t="s">
        <v>44</v>
      </c>
      <c r="J75" s="61">
        <v>750000.0</v>
      </c>
      <c r="K75" s="58" t="s">
        <v>44</v>
      </c>
      <c r="L75" s="100">
        <f t="shared" si="4"/>
        <v>465000</v>
      </c>
      <c r="M75" s="104"/>
    </row>
    <row r="76" ht="15.75" customHeight="1">
      <c r="A76" s="21"/>
      <c r="B76" s="17" t="s">
        <v>460</v>
      </c>
      <c r="C76" s="17" t="s">
        <v>597</v>
      </c>
      <c r="D76" s="17" t="s">
        <v>624</v>
      </c>
      <c r="E76" s="17" t="s">
        <v>629</v>
      </c>
      <c r="F76" s="17" t="s">
        <v>555</v>
      </c>
      <c r="G76" s="87">
        <v>9000.0</v>
      </c>
      <c r="H76" s="61">
        <v>1792000.0</v>
      </c>
      <c r="I76" s="59" t="s">
        <v>44</v>
      </c>
      <c r="J76" s="61">
        <v>900000.0</v>
      </c>
      <c r="K76" s="58" t="s">
        <v>44</v>
      </c>
      <c r="L76" s="100">
        <f t="shared" si="4"/>
        <v>892000</v>
      </c>
      <c r="M76" s="104"/>
      <c r="N76" s="174"/>
    </row>
    <row r="77" ht="15.75" customHeight="1">
      <c r="A77" s="21"/>
      <c r="B77" s="17" t="s">
        <v>154</v>
      </c>
      <c r="C77" s="17" t="s">
        <v>597</v>
      </c>
      <c r="D77" s="17" t="s">
        <v>624</v>
      </c>
      <c r="E77" s="17" t="s">
        <v>383</v>
      </c>
      <c r="F77" s="17" t="s">
        <v>474</v>
      </c>
      <c r="G77" s="87">
        <v>9000.0</v>
      </c>
      <c r="H77" s="61">
        <v>720000.0</v>
      </c>
      <c r="I77" s="59" t="s">
        <v>44</v>
      </c>
      <c r="J77" s="61">
        <v>400000.0</v>
      </c>
      <c r="K77" s="58" t="s">
        <v>44</v>
      </c>
      <c r="L77" s="100">
        <f t="shared" si="4"/>
        <v>320000</v>
      </c>
      <c r="M77" s="104"/>
    </row>
    <row r="78" ht="15.75" customHeight="1">
      <c r="A78" s="21"/>
      <c r="B78" s="17" t="s">
        <v>155</v>
      </c>
      <c r="C78" s="17" t="s">
        <v>597</v>
      </c>
      <c r="D78" s="17" t="s">
        <v>624</v>
      </c>
      <c r="E78" s="17" t="s">
        <v>92</v>
      </c>
      <c r="F78" s="17" t="s">
        <v>108</v>
      </c>
      <c r="G78" s="87">
        <v>10000.0</v>
      </c>
      <c r="H78" s="61">
        <v>900000.0</v>
      </c>
      <c r="I78" s="59" t="s">
        <v>44</v>
      </c>
      <c r="J78" s="61">
        <v>500000.0</v>
      </c>
      <c r="K78" s="58" t="s">
        <v>44</v>
      </c>
      <c r="L78" s="100">
        <f t="shared" si="4"/>
        <v>400000</v>
      </c>
      <c r="M78" s="104">
        <v>530000.0</v>
      </c>
    </row>
    <row r="79" ht="15.75" customHeight="1">
      <c r="A79" s="21"/>
      <c r="B79" s="17" t="s">
        <v>156</v>
      </c>
      <c r="C79" s="17" t="s">
        <v>597</v>
      </c>
      <c r="D79" s="17" t="s">
        <v>624</v>
      </c>
      <c r="E79" s="17" t="s">
        <v>30</v>
      </c>
      <c r="F79" s="17" t="s">
        <v>109</v>
      </c>
      <c r="G79" s="87">
        <v>9000.0</v>
      </c>
      <c r="H79" s="61">
        <v>720000.0</v>
      </c>
      <c r="I79" s="59" t="s">
        <v>44</v>
      </c>
      <c r="J79" s="61">
        <v>350000.0</v>
      </c>
      <c r="K79" s="58" t="s">
        <v>44</v>
      </c>
      <c r="L79" s="100">
        <f t="shared" si="4"/>
        <v>370000</v>
      </c>
      <c r="M79" s="104"/>
    </row>
    <row r="80" ht="15.75" customHeight="1">
      <c r="A80" s="21"/>
      <c r="B80" s="17" t="s">
        <v>156</v>
      </c>
      <c r="C80" s="17" t="s">
        <v>597</v>
      </c>
      <c r="D80" s="17" t="s">
        <v>624</v>
      </c>
      <c r="E80" s="17" t="s">
        <v>37</v>
      </c>
      <c r="F80" s="17" t="s">
        <v>630</v>
      </c>
      <c r="G80" s="87">
        <v>9000.0</v>
      </c>
      <c r="H80" s="61">
        <v>765000.0</v>
      </c>
      <c r="I80" s="59" t="s">
        <v>44</v>
      </c>
      <c r="J80" s="61">
        <v>450000.0</v>
      </c>
      <c r="K80" s="58" t="s">
        <v>44</v>
      </c>
      <c r="L80" s="100">
        <f t="shared" si="4"/>
        <v>315000</v>
      </c>
      <c r="M80" s="104"/>
    </row>
    <row r="81" ht="15.75" customHeight="1">
      <c r="A81" s="21"/>
      <c r="B81" s="17" t="s">
        <v>158</v>
      </c>
      <c r="C81" s="17" t="s">
        <v>597</v>
      </c>
      <c r="D81" s="17" t="s">
        <v>624</v>
      </c>
      <c r="E81" s="17" t="s">
        <v>30</v>
      </c>
      <c r="F81" s="17" t="s">
        <v>87</v>
      </c>
      <c r="G81" s="87">
        <v>9000.0</v>
      </c>
      <c r="H81" s="61">
        <v>1395000.0</v>
      </c>
      <c r="I81" s="59" t="s">
        <v>44</v>
      </c>
      <c r="J81" s="61">
        <v>900000.0</v>
      </c>
      <c r="K81" s="58" t="s">
        <v>44</v>
      </c>
      <c r="L81" s="100">
        <f t="shared" si="4"/>
        <v>495000</v>
      </c>
      <c r="M81" s="104">
        <v>1610000.0</v>
      </c>
    </row>
    <row r="82" ht="15.75" customHeight="1">
      <c r="A82" s="21"/>
      <c r="B82" s="17" t="s">
        <v>159</v>
      </c>
      <c r="C82" s="17" t="s">
        <v>597</v>
      </c>
      <c r="D82" s="17" t="s">
        <v>624</v>
      </c>
      <c r="E82" s="17" t="s">
        <v>383</v>
      </c>
      <c r="F82" s="17" t="s">
        <v>631</v>
      </c>
      <c r="G82" s="87">
        <v>9000.0</v>
      </c>
      <c r="H82" s="61">
        <v>900000.0</v>
      </c>
      <c r="I82" s="59" t="s">
        <v>44</v>
      </c>
      <c r="J82" s="61">
        <v>550000.0</v>
      </c>
      <c r="K82" s="58" t="s">
        <v>44</v>
      </c>
      <c r="L82" s="100">
        <f t="shared" si="4"/>
        <v>350000</v>
      </c>
      <c r="M82" s="104">
        <v>80000.0</v>
      </c>
    </row>
    <row r="83" ht="15.75" customHeight="1">
      <c r="A83" s="21"/>
      <c r="B83" s="17" t="s">
        <v>160</v>
      </c>
      <c r="C83" s="17" t="s">
        <v>597</v>
      </c>
      <c r="D83" s="17" t="s">
        <v>624</v>
      </c>
      <c r="E83" s="17" t="s">
        <v>71</v>
      </c>
      <c r="F83" s="17" t="s">
        <v>103</v>
      </c>
      <c r="G83" s="87">
        <v>10000.0</v>
      </c>
      <c r="H83" s="61">
        <v>750000.0</v>
      </c>
      <c r="I83" s="59" t="s">
        <v>44</v>
      </c>
      <c r="J83" s="61">
        <v>425000.0</v>
      </c>
      <c r="K83" s="58" t="s">
        <v>44</v>
      </c>
      <c r="L83" s="100">
        <f t="shared" si="4"/>
        <v>325000</v>
      </c>
      <c r="M83" s="104"/>
      <c r="N83" s="168" t="s">
        <v>632</v>
      </c>
    </row>
    <row r="84" ht="15.75" customHeight="1">
      <c r="A84" s="21"/>
      <c r="B84" s="17" t="s">
        <v>160</v>
      </c>
      <c r="C84" s="17" t="s">
        <v>597</v>
      </c>
      <c r="D84" s="17" t="s">
        <v>624</v>
      </c>
      <c r="E84" s="17" t="s">
        <v>96</v>
      </c>
      <c r="F84" s="17" t="s">
        <v>555</v>
      </c>
      <c r="G84" s="87">
        <v>9000.0</v>
      </c>
      <c r="H84" s="61">
        <v>1782000.0</v>
      </c>
      <c r="I84" s="59" t="s">
        <v>44</v>
      </c>
      <c r="J84" s="61">
        <v>900000.0</v>
      </c>
      <c r="K84" s="58" t="s">
        <v>44</v>
      </c>
      <c r="L84" s="100">
        <f t="shared" si="4"/>
        <v>882000</v>
      </c>
      <c r="M84" s="104"/>
    </row>
    <row r="85" ht="15.75" customHeight="1">
      <c r="A85" s="21"/>
      <c r="B85" s="17" t="s">
        <v>162</v>
      </c>
      <c r="C85" s="17" t="s">
        <v>597</v>
      </c>
      <c r="D85" s="17" t="s">
        <v>624</v>
      </c>
      <c r="E85" s="17" t="s">
        <v>37</v>
      </c>
      <c r="F85" s="17" t="s">
        <v>76</v>
      </c>
      <c r="G85" s="87">
        <v>9000.0</v>
      </c>
      <c r="H85" s="61">
        <v>1350000.0</v>
      </c>
      <c r="I85" s="59" t="s">
        <v>44</v>
      </c>
      <c r="J85" s="61">
        <v>875000.0</v>
      </c>
      <c r="K85" s="58" t="s">
        <v>44</v>
      </c>
      <c r="L85" s="100">
        <f t="shared" si="4"/>
        <v>475000</v>
      </c>
      <c r="M85" s="104"/>
      <c r="N85" s="174" t="s">
        <v>633</v>
      </c>
    </row>
    <row r="86" ht="15.75" customHeight="1">
      <c r="A86" s="21"/>
      <c r="B86" s="17" t="s">
        <v>164</v>
      </c>
      <c r="C86" s="17" t="s">
        <v>597</v>
      </c>
      <c r="D86" s="17" t="s">
        <v>624</v>
      </c>
      <c r="E86" s="17" t="s">
        <v>30</v>
      </c>
      <c r="F86" s="17" t="s">
        <v>449</v>
      </c>
      <c r="G86" s="87">
        <v>9000.0</v>
      </c>
      <c r="H86" s="61">
        <v>800000.0</v>
      </c>
      <c r="I86" s="59" t="s">
        <v>44</v>
      </c>
      <c r="J86" s="61">
        <v>350000.0</v>
      </c>
      <c r="K86" s="58" t="s">
        <v>44</v>
      </c>
      <c r="L86" s="100">
        <f t="shared" si="4"/>
        <v>450000</v>
      </c>
      <c r="M86" s="104"/>
    </row>
    <row r="87" ht="15.75" customHeight="1">
      <c r="A87" s="21"/>
      <c r="B87" s="17" t="s">
        <v>166</v>
      </c>
      <c r="C87" s="17" t="s">
        <v>597</v>
      </c>
      <c r="D87" s="17" t="s">
        <v>624</v>
      </c>
      <c r="E87" s="17" t="s">
        <v>71</v>
      </c>
      <c r="F87" s="17" t="s">
        <v>449</v>
      </c>
      <c r="G87" s="87">
        <v>11000.0</v>
      </c>
      <c r="H87" s="61">
        <v>1040000.0</v>
      </c>
      <c r="I87" s="59" t="s">
        <v>44</v>
      </c>
      <c r="J87" s="61">
        <v>425000.0</v>
      </c>
      <c r="K87" s="58" t="s">
        <v>44</v>
      </c>
      <c r="L87" s="100">
        <f t="shared" si="4"/>
        <v>615000</v>
      </c>
      <c r="M87" s="104"/>
    </row>
    <row r="88" ht="15.75" customHeight="1">
      <c r="A88" s="21"/>
      <c r="B88" s="17" t="s">
        <v>166</v>
      </c>
      <c r="C88" s="17" t="s">
        <v>597</v>
      </c>
      <c r="D88" s="17" t="s">
        <v>624</v>
      </c>
      <c r="E88" s="17" t="s">
        <v>30</v>
      </c>
      <c r="F88" s="17" t="s">
        <v>137</v>
      </c>
      <c r="G88" s="87">
        <v>9000.0</v>
      </c>
      <c r="H88" s="61">
        <v>1035000.0</v>
      </c>
      <c r="I88" s="59" t="s">
        <v>44</v>
      </c>
      <c r="J88" s="61">
        <v>600000.0</v>
      </c>
      <c r="K88" s="58" t="s">
        <v>44</v>
      </c>
      <c r="L88" s="100">
        <f t="shared" si="4"/>
        <v>435000</v>
      </c>
      <c r="M88" s="104"/>
    </row>
    <row r="89" ht="15.75" customHeight="1">
      <c r="A89" s="21"/>
      <c r="B89" s="17" t="s">
        <v>464</v>
      </c>
      <c r="C89" s="17" t="s">
        <v>597</v>
      </c>
      <c r="D89" s="17" t="s">
        <v>624</v>
      </c>
      <c r="E89" s="17" t="s">
        <v>484</v>
      </c>
      <c r="F89" s="17" t="s">
        <v>555</v>
      </c>
      <c r="G89" s="87">
        <v>9000.0</v>
      </c>
      <c r="H89" s="61">
        <v>1548000.0</v>
      </c>
      <c r="I89" s="59" t="s">
        <v>44</v>
      </c>
      <c r="J89" s="61">
        <v>900000.0</v>
      </c>
      <c r="K89" s="58" t="s">
        <v>44</v>
      </c>
      <c r="L89" s="100">
        <f t="shared" si="4"/>
        <v>648000</v>
      </c>
      <c r="M89" s="104"/>
    </row>
    <row r="90" ht="15.75" customHeight="1">
      <c r="A90" s="21"/>
      <c r="B90" s="7"/>
      <c r="C90" s="7"/>
      <c r="D90" s="7"/>
      <c r="E90" s="17"/>
      <c r="F90" s="17"/>
      <c r="G90" s="57"/>
      <c r="H90" s="61"/>
      <c r="I90" s="227"/>
      <c r="J90" s="61"/>
      <c r="K90" s="199"/>
      <c r="L90" s="52">
        <f>SUM(L59:L89)</f>
        <v>15197000</v>
      </c>
      <c r="M90" s="167">
        <f>SUM(M59:M87)</f>
        <v>2815000</v>
      </c>
    </row>
    <row r="91" ht="15.75" customHeight="1">
      <c r="A91" s="21"/>
      <c r="B91" s="7"/>
      <c r="C91" s="7"/>
      <c r="D91" s="7"/>
      <c r="E91" s="17"/>
      <c r="F91" s="17"/>
      <c r="G91" s="57"/>
      <c r="H91" s="61"/>
      <c r="I91" s="227"/>
      <c r="J91" s="61"/>
      <c r="K91" s="199"/>
      <c r="L91" s="33">
        <f>L90-M90</f>
        <v>12382000</v>
      </c>
      <c r="M91" s="149"/>
    </row>
    <row r="92" ht="15.75" customHeight="1">
      <c r="A92" s="21"/>
      <c r="B92" s="7"/>
      <c r="C92" s="7"/>
      <c r="D92" s="7"/>
      <c r="E92" s="17"/>
      <c r="F92" s="17"/>
      <c r="G92" s="57"/>
      <c r="H92" s="61"/>
      <c r="I92" s="97"/>
      <c r="J92" s="61"/>
      <c r="K92" s="17"/>
      <c r="L92" s="7"/>
      <c r="M92" s="104"/>
    </row>
    <row r="93" ht="28.5" customHeight="1">
      <c r="A93" s="89"/>
      <c r="B93" s="89" t="s">
        <v>0</v>
      </c>
      <c r="C93" s="89" t="s">
        <v>1</v>
      </c>
      <c r="D93" s="89" t="s">
        <v>2</v>
      </c>
      <c r="E93" s="90" t="s">
        <v>3</v>
      </c>
      <c r="F93" s="89" t="s">
        <v>4</v>
      </c>
      <c r="G93" s="91" t="s">
        <v>5</v>
      </c>
      <c r="H93" s="119" t="s">
        <v>6</v>
      </c>
      <c r="I93" s="92" t="s">
        <v>39</v>
      </c>
      <c r="J93" s="119" t="s">
        <v>7</v>
      </c>
      <c r="K93" s="91" t="s">
        <v>39</v>
      </c>
      <c r="L93" s="92" t="s">
        <v>8</v>
      </c>
      <c r="M93" s="120" t="s">
        <v>9</v>
      </c>
    </row>
    <row r="94" ht="15.75" customHeight="1">
      <c r="A94" s="21"/>
      <c r="B94" s="17" t="s">
        <v>168</v>
      </c>
      <c r="C94" s="17" t="s">
        <v>597</v>
      </c>
      <c r="D94" s="17" t="s">
        <v>604</v>
      </c>
      <c r="E94" s="17" t="s">
        <v>484</v>
      </c>
      <c r="F94" s="17" t="s">
        <v>497</v>
      </c>
      <c r="G94" s="87">
        <v>5000.0</v>
      </c>
      <c r="H94" s="58">
        <v>1513000.0</v>
      </c>
      <c r="I94" s="59" t="s">
        <v>42</v>
      </c>
      <c r="J94" s="58">
        <v>900000.0</v>
      </c>
      <c r="K94" s="58" t="s">
        <v>44</v>
      </c>
      <c r="L94" s="58">
        <f t="shared" ref="L94:L115" si="5">H94-J94</f>
        <v>613000</v>
      </c>
      <c r="M94" s="101">
        <v>100000.0</v>
      </c>
    </row>
    <row r="95" ht="15.75" customHeight="1">
      <c r="A95" s="21"/>
      <c r="B95" s="17" t="s">
        <v>171</v>
      </c>
      <c r="C95" s="17" t="s">
        <v>597</v>
      </c>
      <c r="D95" s="17" t="s">
        <v>604</v>
      </c>
      <c r="E95" s="17" t="s">
        <v>556</v>
      </c>
      <c r="F95" s="17" t="s">
        <v>497</v>
      </c>
      <c r="G95" s="87">
        <v>6480.0</v>
      </c>
      <c r="H95" s="58">
        <v>1919000.0</v>
      </c>
      <c r="I95" s="59" t="s">
        <v>42</v>
      </c>
      <c r="J95" s="58">
        <v>900000.0</v>
      </c>
      <c r="K95" s="58" t="s">
        <v>42</v>
      </c>
      <c r="L95" s="58">
        <f t="shared" si="5"/>
        <v>1019000</v>
      </c>
      <c r="M95" s="101">
        <v>0.0</v>
      </c>
    </row>
    <row r="96" ht="15.75" customHeight="1">
      <c r="A96" s="21"/>
      <c r="B96" s="17" t="s">
        <v>173</v>
      </c>
      <c r="C96" s="17" t="s">
        <v>597</v>
      </c>
      <c r="D96" s="17" t="s">
        <v>604</v>
      </c>
      <c r="E96" s="17" t="s">
        <v>634</v>
      </c>
      <c r="F96" s="17" t="s">
        <v>497</v>
      </c>
      <c r="G96" s="87">
        <v>6903.5</v>
      </c>
      <c r="H96" s="58">
        <v>2071000.0</v>
      </c>
      <c r="I96" s="59" t="s">
        <v>42</v>
      </c>
      <c r="J96" s="58">
        <v>900000.0</v>
      </c>
      <c r="K96" s="58" t="s">
        <v>42</v>
      </c>
      <c r="L96" s="58">
        <f t="shared" si="5"/>
        <v>1171000</v>
      </c>
      <c r="M96" s="101">
        <v>0.0</v>
      </c>
    </row>
    <row r="97" ht="15.75" customHeight="1">
      <c r="A97" s="21"/>
      <c r="B97" s="17" t="s">
        <v>174</v>
      </c>
      <c r="C97" s="17" t="s">
        <v>597</v>
      </c>
      <c r="D97" s="17" t="s">
        <v>604</v>
      </c>
      <c r="E97" s="17" t="s">
        <v>556</v>
      </c>
      <c r="F97" s="17" t="s">
        <v>497</v>
      </c>
      <c r="G97" s="87">
        <v>5816.5</v>
      </c>
      <c r="H97" s="58">
        <v>1745000.0</v>
      </c>
      <c r="I97" s="59" t="s">
        <v>42</v>
      </c>
      <c r="J97" s="58">
        <v>900000.0</v>
      </c>
      <c r="K97" s="58" t="s">
        <v>42</v>
      </c>
      <c r="L97" s="58">
        <f t="shared" si="5"/>
        <v>845000</v>
      </c>
      <c r="M97" s="101">
        <v>0.0</v>
      </c>
    </row>
    <row r="98" ht="15.75" customHeight="1">
      <c r="A98" s="21"/>
      <c r="B98" s="17" t="s">
        <v>635</v>
      </c>
      <c r="C98" s="17" t="s">
        <v>597</v>
      </c>
      <c r="D98" s="17" t="s">
        <v>604</v>
      </c>
      <c r="E98" s="17" t="s">
        <v>629</v>
      </c>
      <c r="F98" s="17" t="s">
        <v>497</v>
      </c>
      <c r="G98" s="87">
        <v>8961.0</v>
      </c>
      <c r="H98" s="58">
        <v>2240000.0</v>
      </c>
      <c r="I98" s="59" t="s">
        <v>42</v>
      </c>
      <c r="J98" s="58">
        <v>900000.0</v>
      </c>
      <c r="K98" s="58" t="s">
        <v>42</v>
      </c>
      <c r="L98" s="58">
        <f t="shared" si="5"/>
        <v>1340000</v>
      </c>
      <c r="M98" s="101">
        <v>0.0</v>
      </c>
    </row>
    <row r="99" ht="15.75" customHeight="1">
      <c r="A99" s="21"/>
      <c r="B99" s="17" t="s">
        <v>176</v>
      </c>
      <c r="C99" s="17" t="s">
        <v>597</v>
      </c>
      <c r="D99" s="17" t="s">
        <v>604</v>
      </c>
      <c r="E99" s="17" t="s">
        <v>629</v>
      </c>
      <c r="F99" s="17" t="s">
        <v>497</v>
      </c>
      <c r="G99" s="87">
        <v>8987.5</v>
      </c>
      <c r="H99" s="58">
        <v>2696000.0</v>
      </c>
      <c r="I99" s="59" t="s">
        <v>42</v>
      </c>
      <c r="J99" s="58">
        <v>900000.0</v>
      </c>
      <c r="K99" s="58" t="s">
        <v>42</v>
      </c>
      <c r="L99" s="58">
        <f t="shared" si="5"/>
        <v>1796000</v>
      </c>
      <c r="M99" s="101">
        <v>0.0</v>
      </c>
    </row>
    <row r="100" ht="15.75" customHeight="1">
      <c r="A100" s="21"/>
      <c r="B100" s="17" t="s">
        <v>177</v>
      </c>
      <c r="C100" s="17" t="s">
        <v>597</v>
      </c>
      <c r="D100" s="17" t="s">
        <v>604</v>
      </c>
      <c r="E100" s="17" t="s">
        <v>123</v>
      </c>
      <c r="F100" s="17" t="s">
        <v>109</v>
      </c>
      <c r="G100" s="87">
        <v>9000.0</v>
      </c>
      <c r="H100" s="58">
        <v>720000.0</v>
      </c>
      <c r="I100" s="59" t="s">
        <v>42</v>
      </c>
      <c r="J100" s="58">
        <v>350000.0</v>
      </c>
      <c r="K100" s="58" t="s">
        <v>42</v>
      </c>
      <c r="L100" s="58">
        <f t="shared" si="5"/>
        <v>370000</v>
      </c>
      <c r="M100" s="101">
        <v>0.0</v>
      </c>
    </row>
    <row r="101" ht="15.75" customHeight="1">
      <c r="A101" s="21"/>
      <c r="B101" s="17" t="s">
        <v>179</v>
      </c>
      <c r="C101" s="17" t="s">
        <v>597</v>
      </c>
      <c r="D101" s="17" t="s">
        <v>604</v>
      </c>
      <c r="E101" s="17" t="s">
        <v>504</v>
      </c>
      <c r="F101" s="17" t="s">
        <v>497</v>
      </c>
      <c r="G101" s="87">
        <v>5000.0</v>
      </c>
      <c r="H101" s="58">
        <v>1500000.0</v>
      </c>
      <c r="I101" s="59" t="s">
        <v>42</v>
      </c>
      <c r="J101" s="58">
        <v>900000.0</v>
      </c>
      <c r="K101" s="58" t="s">
        <v>42</v>
      </c>
      <c r="L101" s="58">
        <f t="shared" si="5"/>
        <v>600000</v>
      </c>
      <c r="M101" s="101">
        <v>0.0</v>
      </c>
    </row>
    <row r="102" ht="15.75" customHeight="1">
      <c r="A102" s="21"/>
      <c r="B102" s="17" t="s">
        <v>180</v>
      </c>
      <c r="C102" s="17" t="s">
        <v>597</v>
      </c>
      <c r="D102" s="17" t="s">
        <v>604</v>
      </c>
      <c r="E102" s="17" t="s">
        <v>488</v>
      </c>
      <c r="F102" s="17" t="s">
        <v>497</v>
      </c>
      <c r="G102" s="87">
        <v>6484.5</v>
      </c>
      <c r="H102" s="58">
        <v>1945350.0</v>
      </c>
      <c r="I102" s="59" t="s">
        <v>42</v>
      </c>
      <c r="J102" s="58">
        <v>900000.0</v>
      </c>
      <c r="K102" s="58" t="s">
        <v>42</v>
      </c>
      <c r="L102" s="58">
        <f t="shared" si="5"/>
        <v>1045350</v>
      </c>
      <c r="M102" s="101">
        <v>0.0</v>
      </c>
    </row>
    <row r="103" ht="15.75" customHeight="1">
      <c r="A103" s="21"/>
      <c r="B103" s="17" t="s">
        <v>183</v>
      </c>
      <c r="C103" s="17" t="s">
        <v>597</v>
      </c>
      <c r="D103" s="17" t="s">
        <v>604</v>
      </c>
      <c r="E103" s="17" t="s">
        <v>636</v>
      </c>
      <c r="F103" s="17" t="s">
        <v>497</v>
      </c>
      <c r="G103" s="87">
        <v>4990.0</v>
      </c>
      <c r="H103" s="58">
        <v>1497000.0</v>
      </c>
      <c r="I103" s="59" t="s">
        <v>42</v>
      </c>
      <c r="J103" s="58">
        <v>900000.0</v>
      </c>
      <c r="K103" s="58" t="s">
        <v>42</v>
      </c>
      <c r="L103" s="58">
        <f t="shared" si="5"/>
        <v>597000</v>
      </c>
      <c r="M103" s="101">
        <v>0.0</v>
      </c>
    </row>
    <row r="104" ht="15.75" customHeight="1">
      <c r="A104" s="21"/>
      <c r="B104" s="17" t="s">
        <v>185</v>
      </c>
      <c r="C104" s="17" t="s">
        <v>597</v>
      </c>
      <c r="D104" s="17" t="s">
        <v>604</v>
      </c>
      <c r="E104" s="17" t="s">
        <v>37</v>
      </c>
      <c r="F104" s="17" t="s">
        <v>397</v>
      </c>
      <c r="G104" s="87">
        <v>9000.0</v>
      </c>
      <c r="H104" s="58">
        <v>765000.0</v>
      </c>
      <c r="I104" s="59" t="s">
        <v>44</v>
      </c>
      <c r="J104" s="58">
        <v>450000.0</v>
      </c>
      <c r="K104" s="58" t="s">
        <v>42</v>
      </c>
      <c r="L104" s="58">
        <f t="shared" si="5"/>
        <v>315000</v>
      </c>
      <c r="M104" s="101">
        <v>0.0</v>
      </c>
    </row>
    <row r="105" ht="15.75" customHeight="1">
      <c r="A105" s="21"/>
      <c r="B105" s="17" t="s">
        <v>185</v>
      </c>
      <c r="C105" s="17" t="s">
        <v>597</v>
      </c>
      <c r="D105" s="17" t="s">
        <v>604</v>
      </c>
      <c r="E105" s="17" t="s">
        <v>629</v>
      </c>
      <c r="F105" s="17" t="s">
        <v>497</v>
      </c>
      <c r="G105" s="87">
        <v>8994.5</v>
      </c>
      <c r="H105" s="58">
        <v>2698350.0</v>
      </c>
      <c r="I105" s="59" t="s">
        <v>42</v>
      </c>
      <c r="J105" s="58">
        <v>900000.0</v>
      </c>
      <c r="K105" s="58" t="s">
        <v>42</v>
      </c>
      <c r="L105" s="58">
        <f t="shared" si="5"/>
        <v>1798350</v>
      </c>
      <c r="M105" s="101">
        <v>0.0</v>
      </c>
    </row>
    <row r="106" ht="15.75" customHeight="1">
      <c r="A106" s="21"/>
      <c r="B106" s="17" t="s">
        <v>469</v>
      </c>
      <c r="C106" s="17" t="s">
        <v>597</v>
      </c>
      <c r="D106" s="17" t="s">
        <v>604</v>
      </c>
      <c r="E106" s="17" t="s">
        <v>532</v>
      </c>
      <c r="F106" s="17" t="s">
        <v>570</v>
      </c>
      <c r="G106" s="87">
        <v>8500.0</v>
      </c>
      <c r="H106" s="58">
        <v>1200000.0</v>
      </c>
      <c r="I106" s="59" t="s">
        <v>42</v>
      </c>
      <c r="J106" s="58">
        <v>640000.0</v>
      </c>
      <c r="K106" s="58" t="s">
        <v>42</v>
      </c>
      <c r="L106" s="58">
        <f t="shared" si="5"/>
        <v>560000</v>
      </c>
      <c r="M106" s="101">
        <v>0.0</v>
      </c>
    </row>
    <row r="107" ht="15.75" customHeight="1">
      <c r="A107" s="21"/>
      <c r="B107" s="17" t="s">
        <v>470</v>
      </c>
      <c r="C107" s="17" t="s">
        <v>597</v>
      </c>
      <c r="D107" s="17" t="s">
        <v>604</v>
      </c>
      <c r="E107" s="17" t="s">
        <v>634</v>
      </c>
      <c r="F107" s="17" t="s">
        <v>497</v>
      </c>
      <c r="G107" s="87">
        <v>7591.0</v>
      </c>
      <c r="H107" s="58">
        <v>2277300.0</v>
      </c>
      <c r="I107" s="59" t="s">
        <v>42</v>
      </c>
      <c r="J107" s="58">
        <v>900000.0</v>
      </c>
      <c r="K107" s="58" t="s">
        <v>42</v>
      </c>
      <c r="L107" s="58">
        <f t="shared" si="5"/>
        <v>1377300</v>
      </c>
      <c r="M107" s="101">
        <v>0.0</v>
      </c>
      <c r="N107" s="174"/>
    </row>
    <row r="108" ht="15.75" customHeight="1">
      <c r="A108" s="21"/>
      <c r="B108" s="17" t="s">
        <v>471</v>
      </c>
      <c r="C108" s="17" t="s">
        <v>597</v>
      </c>
      <c r="D108" s="17" t="s">
        <v>604</v>
      </c>
      <c r="E108" s="17" t="s">
        <v>636</v>
      </c>
      <c r="F108" s="17" t="s">
        <v>497</v>
      </c>
      <c r="G108" s="87">
        <v>4940.0</v>
      </c>
      <c r="H108" s="58">
        <v>1482000.0</v>
      </c>
      <c r="I108" s="59" t="s">
        <v>44</v>
      </c>
      <c r="J108" s="58">
        <v>900000.0</v>
      </c>
      <c r="K108" s="58" t="s">
        <v>42</v>
      </c>
      <c r="L108" s="58">
        <f t="shared" si="5"/>
        <v>582000</v>
      </c>
      <c r="M108" s="101">
        <v>532000.0</v>
      </c>
    </row>
    <row r="109" ht="15.75" customHeight="1">
      <c r="A109" s="21"/>
      <c r="B109" s="17" t="s">
        <v>187</v>
      </c>
      <c r="C109" s="17" t="s">
        <v>597</v>
      </c>
      <c r="D109" s="17" t="s">
        <v>604</v>
      </c>
      <c r="E109" s="17" t="s">
        <v>637</v>
      </c>
      <c r="F109" s="17" t="s">
        <v>638</v>
      </c>
      <c r="G109" s="87">
        <v>9000.0</v>
      </c>
      <c r="H109" s="58">
        <v>1100000.0</v>
      </c>
      <c r="I109" s="59" t="s">
        <v>42</v>
      </c>
      <c r="J109" s="58">
        <v>640000.0</v>
      </c>
      <c r="K109" s="58" t="s">
        <v>42</v>
      </c>
      <c r="L109" s="58">
        <f t="shared" si="5"/>
        <v>460000</v>
      </c>
      <c r="M109" s="101">
        <v>0.0</v>
      </c>
    </row>
    <row r="110" ht="15.75" customHeight="1">
      <c r="A110" s="21"/>
      <c r="B110" s="17" t="s">
        <v>188</v>
      </c>
      <c r="C110" s="17" t="s">
        <v>597</v>
      </c>
      <c r="D110" s="17" t="s">
        <v>604</v>
      </c>
      <c r="E110" s="17" t="s">
        <v>532</v>
      </c>
      <c r="F110" s="17" t="s">
        <v>570</v>
      </c>
      <c r="G110" s="87">
        <v>8500.0</v>
      </c>
      <c r="H110" s="58">
        <v>1200000.0</v>
      </c>
      <c r="I110" s="59" t="s">
        <v>42</v>
      </c>
      <c r="J110" s="58">
        <v>640000.0</v>
      </c>
      <c r="K110" s="58" t="s">
        <v>42</v>
      </c>
      <c r="L110" s="58">
        <f t="shared" si="5"/>
        <v>560000</v>
      </c>
      <c r="M110" s="101">
        <v>0.0</v>
      </c>
    </row>
    <row r="111" ht="15.75" customHeight="1">
      <c r="A111" s="21"/>
      <c r="B111" s="17" t="s">
        <v>189</v>
      </c>
      <c r="C111" s="17" t="s">
        <v>597</v>
      </c>
      <c r="D111" s="17" t="s">
        <v>604</v>
      </c>
      <c r="E111" s="17" t="s">
        <v>37</v>
      </c>
      <c r="F111" s="17" t="s">
        <v>397</v>
      </c>
      <c r="G111" s="87">
        <v>9000.0</v>
      </c>
      <c r="H111" s="58">
        <v>765000.0</v>
      </c>
      <c r="I111" s="59" t="s">
        <v>44</v>
      </c>
      <c r="J111" s="58">
        <v>450000.0</v>
      </c>
      <c r="K111" s="58" t="s">
        <v>42</v>
      </c>
      <c r="L111" s="58">
        <f t="shared" si="5"/>
        <v>315000</v>
      </c>
      <c r="M111" s="101">
        <v>0.0</v>
      </c>
    </row>
    <row r="112" ht="15.75" customHeight="1">
      <c r="A112" s="21"/>
      <c r="B112" s="17" t="s">
        <v>190</v>
      </c>
      <c r="C112" s="17" t="s">
        <v>597</v>
      </c>
      <c r="D112" s="17" t="s">
        <v>604</v>
      </c>
      <c r="E112" s="17" t="s">
        <v>639</v>
      </c>
      <c r="F112" s="17" t="s">
        <v>103</v>
      </c>
      <c r="G112" s="87">
        <v>9000.0</v>
      </c>
      <c r="H112" s="58">
        <v>675000.0</v>
      </c>
      <c r="I112" s="59" t="s">
        <v>44</v>
      </c>
      <c r="J112" s="58">
        <v>375000.0</v>
      </c>
      <c r="K112" s="58" t="s">
        <v>42</v>
      </c>
      <c r="L112" s="58">
        <f t="shared" si="5"/>
        <v>300000</v>
      </c>
      <c r="M112" s="101">
        <v>0.0</v>
      </c>
    </row>
    <row r="113" ht="15.75" customHeight="1">
      <c r="A113" s="21"/>
      <c r="B113" s="17" t="s">
        <v>190</v>
      </c>
      <c r="C113" s="17" t="s">
        <v>597</v>
      </c>
      <c r="D113" s="17" t="s">
        <v>604</v>
      </c>
      <c r="E113" s="17" t="s">
        <v>504</v>
      </c>
      <c r="F113" s="17" t="s">
        <v>497</v>
      </c>
      <c r="G113" s="87">
        <v>4995.5</v>
      </c>
      <c r="H113" s="58">
        <v>1498650.0</v>
      </c>
      <c r="I113" s="59" t="s">
        <v>44</v>
      </c>
      <c r="J113" s="58">
        <v>900000.0</v>
      </c>
      <c r="K113" s="58" t="s">
        <v>42</v>
      </c>
      <c r="L113" s="58">
        <f t="shared" si="5"/>
        <v>598650</v>
      </c>
      <c r="M113" s="101">
        <v>0.0</v>
      </c>
    </row>
    <row r="114" ht="15.75" customHeight="1">
      <c r="A114" s="21"/>
      <c r="B114" s="17" t="s">
        <v>192</v>
      </c>
      <c r="C114" s="17" t="s">
        <v>597</v>
      </c>
      <c r="D114" s="17" t="s">
        <v>604</v>
      </c>
      <c r="E114" s="17" t="s">
        <v>37</v>
      </c>
      <c r="F114" s="17" t="s">
        <v>43</v>
      </c>
      <c r="G114" s="87">
        <v>10000.0</v>
      </c>
      <c r="H114" s="58">
        <v>1500000.0</v>
      </c>
      <c r="I114" s="59" t="s">
        <v>44</v>
      </c>
      <c r="J114" s="58">
        <v>850000.0</v>
      </c>
      <c r="K114" s="58" t="s">
        <v>42</v>
      </c>
      <c r="L114" s="58">
        <f t="shared" si="5"/>
        <v>650000</v>
      </c>
      <c r="M114" s="101">
        <v>1685000.0</v>
      </c>
    </row>
    <row r="115" ht="15.75" customHeight="1">
      <c r="A115" s="21"/>
      <c r="B115" s="17" t="s">
        <v>195</v>
      </c>
      <c r="C115" s="17" t="s">
        <v>597</v>
      </c>
      <c r="D115" s="17" t="s">
        <v>604</v>
      </c>
      <c r="E115" s="17" t="s">
        <v>40</v>
      </c>
      <c r="F115" s="17" t="s">
        <v>133</v>
      </c>
      <c r="G115" s="87">
        <v>10000.0</v>
      </c>
      <c r="H115" s="58">
        <v>1100000.0</v>
      </c>
      <c r="I115" s="59" t="s">
        <v>44</v>
      </c>
      <c r="J115" s="58">
        <v>600000.0</v>
      </c>
      <c r="K115" s="58" t="s">
        <v>42</v>
      </c>
      <c r="L115" s="58">
        <f t="shared" si="5"/>
        <v>500000</v>
      </c>
      <c r="M115" s="101">
        <v>0.0</v>
      </c>
    </row>
    <row r="116" ht="15.75" customHeight="1">
      <c r="A116" s="21"/>
      <c r="B116" s="7"/>
      <c r="C116" s="7"/>
      <c r="D116" s="7"/>
      <c r="E116" s="17"/>
      <c r="F116" s="17"/>
      <c r="G116" s="57"/>
      <c r="H116" s="61"/>
      <c r="I116" s="97"/>
      <c r="J116" s="202"/>
      <c r="K116" s="17"/>
      <c r="L116" s="52">
        <f t="shared" ref="L116:M116" si="6">SUM(L94:L115)</f>
        <v>17412650</v>
      </c>
      <c r="M116" s="194">
        <f t="shared" si="6"/>
        <v>2317000</v>
      </c>
    </row>
    <row r="117" ht="15.75" customHeight="1">
      <c r="A117" s="21"/>
      <c r="B117" s="7"/>
      <c r="C117" s="7"/>
      <c r="D117" s="7"/>
      <c r="E117" s="17"/>
      <c r="F117" s="17"/>
      <c r="G117" s="57"/>
      <c r="H117" s="61"/>
      <c r="I117" s="97"/>
      <c r="J117" s="202"/>
      <c r="K117" s="17"/>
      <c r="L117" s="33">
        <f>L116-M116</f>
        <v>15095650</v>
      </c>
      <c r="M117" s="149"/>
    </row>
    <row r="118" ht="15.75" customHeight="1">
      <c r="A118" s="21"/>
      <c r="B118" s="7"/>
      <c r="C118" s="7"/>
      <c r="D118" s="7"/>
      <c r="E118" s="17"/>
      <c r="F118" s="17"/>
      <c r="G118" s="57"/>
      <c r="H118" s="61"/>
      <c r="I118" s="97"/>
      <c r="J118" s="202"/>
      <c r="K118" s="17"/>
      <c r="M118" s="149"/>
    </row>
    <row r="119" ht="23.25" customHeight="1">
      <c r="A119" s="89"/>
      <c r="B119" s="89" t="s">
        <v>0</v>
      </c>
      <c r="C119" s="89" t="s">
        <v>1</v>
      </c>
      <c r="D119" s="89" t="s">
        <v>2</v>
      </c>
      <c r="E119" s="90" t="s">
        <v>3</v>
      </c>
      <c r="F119" s="89" t="s">
        <v>4</v>
      </c>
      <c r="G119" s="91" t="s">
        <v>5</v>
      </c>
      <c r="H119" s="119" t="s">
        <v>6</v>
      </c>
      <c r="I119" s="92" t="s">
        <v>39</v>
      </c>
      <c r="J119" s="119" t="s">
        <v>7</v>
      </c>
      <c r="K119" s="91" t="s">
        <v>39</v>
      </c>
      <c r="L119" s="92" t="s">
        <v>8</v>
      </c>
      <c r="M119" s="120" t="s">
        <v>9</v>
      </c>
    </row>
    <row r="120" ht="15.75" customHeight="1">
      <c r="A120" s="85"/>
      <c r="B120" s="86">
        <v>45537.0</v>
      </c>
      <c r="C120" s="17" t="s">
        <v>597</v>
      </c>
      <c r="D120" s="17" t="s">
        <v>604</v>
      </c>
      <c r="E120" s="17" t="s">
        <v>106</v>
      </c>
      <c r="F120" s="17" t="s">
        <v>640</v>
      </c>
      <c r="G120" s="87">
        <v>0.0</v>
      </c>
      <c r="H120" s="58">
        <v>1300000.0</v>
      </c>
      <c r="I120" s="59" t="s">
        <v>44</v>
      </c>
      <c r="J120" s="58">
        <v>700000.0</v>
      </c>
      <c r="K120" s="58" t="s">
        <v>44</v>
      </c>
      <c r="L120" s="199">
        <f t="shared" ref="L120:L130" si="7">H120-J120</f>
        <v>600000</v>
      </c>
      <c r="M120" s="101"/>
    </row>
    <row r="121" ht="15.75" customHeight="1">
      <c r="A121" s="85"/>
      <c r="B121" s="86">
        <v>45538.0</v>
      </c>
      <c r="C121" s="17" t="s">
        <v>597</v>
      </c>
      <c r="D121" s="17" t="s">
        <v>604</v>
      </c>
      <c r="E121" s="17" t="s">
        <v>504</v>
      </c>
      <c r="F121" s="17" t="s">
        <v>555</v>
      </c>
      <c r="G121" s="87">
        <v>4963.5</v>
      </c>
      <c r="H121" s="58">
        <v>1489050.0</v>
      </c>
      <c r="I121" s="59" t="s">
        <v>42</v>
      </c>
      <c r="J121" s="58">
        <v>900000.0</v>
      </c>
      <c r="K121" s="58" t="s">
        <v>44</v>
      </c>
      <c r="L121" s="199">
        <f t="shared" si="7"/>
        <v>589050</v>
      </c>
      <c r="M121" s="101"/>
      <c r="N121" s="174"/>
    </row>
    <row r="122" ht="15.75" customHeight="1">
      <c r="A122" s="85"/>
      <c r="B122" s="86">
        <v>45539.0</v>
      </c>
      <c r="C122" s="17" t="s">
        <v>597</v>
      </c>
      <c r="D122" s="17" t="s">
        <v>604</v>
      </c>
      <c r="E122" s="17" t="s">
        <v>45</v>
      </c>
      <c r="F122" s="17" t="s">
        <v>547</v>
      </c>
      <c r="G122" s="87">
        <v>9000.0</v>
      </c>
      <c r="H122" s="58">
        <v>1200000.0</v>
      </c>
      <c r="I122" s="59" t="s">
        <v>42</v>
      </c>
      <c r="J122" s="58">
        <v>690000.0</v>
      </c>
      <c r="K122" s="58" t="s">
        <v>42</v>
      </c>
      <c r="L122" s="199">
        <f t="shared" si="7"/>
        <v>510000</v>
      </c>
      <c r="M122" s="101"/>
    </row>
    <row r="123" ht="15.75" customHeight="1">
      <c r="A123" s="85"/>
      <c r="B123" s="86">
        <v>45540.0</v>
      </c>
      <c r="C123" s="17" t="s">
        <v>597</v>
      </c>
      <c r="D123" s="17" t="s">
        <v>604</v>
      </c>
      <c r="E123" s="17" t="s">
        <v>504</v>
      </c>
      <c r="F123" s="17" t="s">
        <v>555</v>
      </c>
      <c r="G123" s="87">
        <v>4984.0</v>
      </c>
      <c r="H123" s="58">
        <v>1495200.0</v>
      </c>
      <c r="I123" s="59" t="s">
        <v>42</v>
      </c>
      <c r="J123" s="58">
        <v>900000.0</v>
      </c>
      <c r="K123" s="58" t="s">
        <v>42</v>
      </c>
      <c r="L123" s="199">
        <f t="shared" si="7"/>
        <v>595200</v>
      </c>
      <c r="M123" s="101"/>
    </row>
    <row r="124" ht="15.75" customHeight="1">
      <c r="A124" s="85"/>
      <c r="B124" s="86">
        <v>45542.0</v>
      </c>
      <c r="C124" s="17" t="s">
        <v>597</v>
      </c>
      <c r="D124" s="17" t="s">
        <v>604</v>
      </c>
      <c r="E124" s="17" t="s">
        <v>30</v>
      </c>
      <c r="F124" s="17" t="s">
        <v>103</v>
      </c>
      <c r="G124" s="87">
        <v>9000.0</v>
      </c>
      <c r="H124" s="58">
        <v>675000.0</v>
      </c>
      <c r="I124" s="59" t="s">
        <v>44</v>
      </c>
      <c r="J124" s="58">
        <v>375000.0</v>
      </c>
      <c r="K124" s="58" t="s">
        <v>42</v>
      </c>
      <c r="L124" s="199">
        <f t="shared" si="7"/>
        <v>300000</v>
      </c>
      <c r="M124" s="101"/>
    </row>
    <row r="125" ht="15.75" customHeight="1">
      <c r="A125" s="85"/>
      <c r="B125" s="86">
        <v>45542.0</v>
      </c>
      <c r="C125" s="17" t="s">
        <v>597</v>
      </c>
      <c r="D125" s="17" t="s">
        <v>604</v>
      </c>
      <c r="E125" s="17" t="s">
        <v>40</v>
      </c>
      <c r="F125" s="17" t="s">
        <v>411</v>
      </c>
      <c r="G125" s="87">
        <v>9000.0</v>
      </c>
      <c r="H125" s="58">
        <v>1125000.0</v>
      </c>
      <c r="I125" s="59" t="s">
        <v>42</v>
      </c>
      <c r="J125" s="58">
        <v>640000.0</v>
      </c>
      <c r="K125" s="58" t="s">
        <v>42</v>
      </c>
      <c r="L125" s="199">
        <f t="shared" si="7"/>
        <v>485000</v>
      </c>
      <c r="M125" s="101"/>
    </row>
    <row r="126" ht="15.75" customHeight="1">
      <c r="A126" s="85"/>
      <c r="B126" s="86">
        <v>45544.0</v>
      </c>
      <c r="C126" s="17" t="s">
        <v>597</v>
      </c>
      <c r="D126" s="17" t="s">
        <v>604</v>
      </c>
      <c r="E126" s="17" t="s">
        <v>106</v>
      </c>
      <c r="F126" s="17" t="s">
        <v>640</v>
      </c>
      <c r="G126" s="87">
        <v>0.0</v>
      </c>
      <c r="H126" s="58">
        <v>1300000.0</v>
      </c>
      <c r="I126" s="59" t="s">
        <v>44</v>
      </c>
      <c r="J126" s="58">
        <v>750000.0</v>
      </c>
      <c r="K126" s="58" t="s">
        <v>42</v>
      </c>
      <c r="L126" s="199">
        <f t="shared" si="7"/>
        <v>550000</v>
      </c>
      <c r="M126" s="101"/>
    </row>
    <row r="127" ht="15.75" customHeight="1">
      <c r="A127" s="85"/>
      <c r="B127" s="86">
        <v>45545.0</v>
      </c>
      <c r="C127" s="17" t="s">
        <v>597</v>
      </c>
      <c r="D127" s="17" t="s">
        <v>604</v>
      </c>
      <c r="E127" s="17" t="s">
        <v>123</v>
      </c>
      <c r="F127" s="17" t="s">
        <v>109</v>
      </c>
      <c r="G127" s="87">
        <v>9000.0</v>
      </c>
      <c r="H127" s="58">
        <v>720000.0</v>
      </c>
      <c r="I127" s="59" t="s">
        <v>42</v>
      </c>
      <c r="J127" s="58">
        <v>350000.0</v>
      </c>
      <c r="K127" s="58" t="s">
        <v>42</v>
      </c>
      <c r="L127" s="199">
        <f t="shared" si="7"/>
        <v>370000</v>
      </c>
      <c r="M127" s="101"/>
    </row>
    <row r="128" ht="15.75" customHeight="1">
      <c r="A128" s="85"/>
      <c r="B128" s="86">
        <v>45545.0</v>
      </c>
      <c r="C128" s="17" t="s">
        <v>597</v>
      </c>
      <c r="D128" s="17" t="s">
        <v>604</v>
      </c>
      <c r="E128" s="17" t="s">
        <v>556</v>
      </c>
      <c r="F128" s="17" t="s">
        <v>555</v>
      </c>
      <c r="G128" s="87">
        <v>6007.0</v>
      </c>
      <c r="H128" s="58">
        <v>1802250.0</v>
      </c>
      <c r="I128" s="59" t="s">
        <v>44</v>
      </c>
      <c r="J128" s="58">
        <v>900000.0</v>
      </c>
      <c r="K128" s="58" t="s">
        <v>42</v>
      </c>
      <c r="L128" s="199">
        <f t="shared" si="7"/>
        <v>902250</v>
      </c>
      <c r="M128" s="101"/>
    </row>
    <row r="129" ht="15.75" customHeight="1">
      <c r="A129" s="85"/>
      <c r="B129" s="86">
        <v>45546.0</v>
      </c>
      <c r="C129" s="17" t="s">
        <v>597</v>
      </c>
      <c r="D129" s="17" t="s">
        <v>604</v>
      </c>
      <c r="E129" s="17" t="s">
        <v>37</v>
      </c>
      <c r="F129" s="17" t="s">
        <v>43</v>
      </c>
      <c r="G129" s="87">
        <v>10000.0</v>
      </c>
      <c r="H129" s="58">
        <v>1500000.0</v>
      </c>
      <c r="I129" s="59" t="s">
        <v>44</v>
      </c>
      <c r="J129" s="58">
        <v>850000.0</v>
      </c>
      <c r="K129" s="58" t="s">
        <v>42</v>
      </c>
      <c r="L129" s="199">
        <f t="shared" si="7"/>
        <v>650000</v>
      </c>
      <c r="M129" s="101"/>
    </row>
    <row r="130" ht="15.75" customHeight="1">
      <c r="A130" s="85"/>
      <c r="B130" s="86">
        <v>45548.0</v>
      </c>
      <c r="C130" s="17" t="s">
        <v>597</v>
      </c>
      <c r="D130" s="17" t="s">
        <v>604</v>
      </c>
      <c r="E130" s="17" t="s">
        <v>40</v>
      </c>
      <c r="F130" s="17" t="s">
        <v>411</v>
      </c>
      <c r="G130" s="87">
        <v>9000.0</v>
      </c>
      <c r="H130" s="58">
        <v>1125000.0</v>
      </c>
      <c r="I130" s="59" t="s">
        <v>42</v>
      </c>
      <c r="J130" s="58">
        <v>640000.0</v>
      </c>
      <c r="K130" s="58" t="s">
        <v>42</v>
      </c>
      <c r="L130" s="199">
        <f t="shared" si="7"/>
        <v>485000</v>
      </c>
      <c r="M130" s="101"/>
    </row>
    <row r="131" ht="15.75" customHeight="1">
      <c r="A131" s="85"/>
      <c r="B131" s="86">
        <v>45550.0</v>
      </c>
      <c r="C131" s="17" t="s">
        <v>597</v>
      </c>
      <c r="D131" s="17" t="s">
        <v>604</v>
      </c>
      <c r="E131" s="17"/>
      <c r="F131" s="17"/>
      <c r="G131" s="87"/>
      <c r="H131" s="58"/>
      <c r="I131" s="59"/>
      <c r="J131" s="58"/>
      <c r="K131" s="58"/>
      <c r="L131" s="199"/>
      <c r="M131" s="101">
        <v>3605000.0</v>
      </c>
    </row>
    <row r="132" ht="15.75" customHeight="1">
      <c r="A132" s="85"/>
      <c r="B132" s="86">
        <v>45552.0</v>
      </c>
      <c r="C132" s="17" t="s">
        <v>597</v>
      </c>
      <c r="D132" s="17" t="s">
        <v>604</v>
      </c>
      <c r="E132" s="17" t="s">
        <v>30</v>
      </c>
      <c r="F132" s="17" t="s">
        <v>477</v>
      </c>
      <c r="G132" s="87">
        <v>9000.0</v>
      </c>
      <c r="H132" s="58">
        <v>900000.0</v>
      </c>
      <c r="I132" s="59" t="s">
        <v>44</v>
      </c>
      <c r="J132" s="58">
        <v>350000.0</v>
      </c>
      <c r="K132" s="58" t="s">
        <v>44</v>
      </c>
      <c r="L132" s="199">
        <f t="shared" ref="L132:L138" si="8">H132-J132</f>
        <v>550000</v>
      </c>
      <c r="M132" s="101"/>
    </row>
    <row r="133" ht="15.75" customHeight="1">
      <c r="A133" s="85"/>
      <c r="B133" s="86">
        <v>45553.0</v>
      </c>
      <c r="C133" s="17" t="s">
        <v>597</v>
      </c>
      <c r="D133" s="17" t="s">
        <v>604</v>
      </c>
      <c r="E133" s="17" t="s">
        <v>106</v>
      </c>
      <c r="F133" s="17" t="s">
        <v>640</v>
      </c>
      <c r="G133" s="87">
        <v>0.0</v>
      </c>
      <c r="H133" s="58">
        <v>1300000.0</v>
      </c>
      <c r="I133" s="59" t="s">
        <v>44</v>
      </c>
      <c r="J133" s="58">
        <v>750000.0</v>
      </c>
      <c r="K133" s="58" t="s">
        <v>44</v>
      </c>
      <c r="L133" s="199">
        <f t="shared" si="8"/>
        <v>550000</v>
      </c>
      <c r="M133" s="101"/>
    </row>
    <row r="134" ht="15.75" customHeight="1">
      <c r="A134" s="85"/>
      <c r="B134" s="86">
        <v>45554.0</v>
      </c>
      <c r="C134" s="17" t="s">
        <v>597</v>
      </c>
      <c r="D134" s="17" t="s">
        <v>604</v>
      </c>
      <c r="E134" s="17" t="s">
        <v>40</v>
      </c>
      <c r="F134" s="17" t="s">
        <v>627</v>
      </c>
      <c r="G134" s="87">
        <v>8000.0</v>
      </c>
      <c r="H134" s="58">
        <v>800000.0</v>
      </c>
      <c r="I134" s="59" t="s">
        <v>44</v>
      </c>
      <c r="J134" s="58">
        <v>400000.0</v>
      </c>
      <c r="K134" s="58" t="s">
        <v>44</v>
      </c>
      <c r="L134" s="199">
        <f t="shared" si="8"/>
        <v>400000</v>
      </c>
      <c r="M134" s="101"/>
    </row>
    <row r="135" ht="15.75" customHeight="1">
      <c r="A135" s="85"/>
      <c r="B135" s="86">
        <v>45554.0</v>
      </c>
      <c r="C135" s="17" t="s">
        <v>597</v>
      </c>
      <c r="D135" s="17" t="s">
        <v>604</v>
      </c>
      <c r="E135" s="17" t="s">
        <v>488</v>
      </c>
      <c r="F135" s="17" t="s">
        <v>555</v>
      </c>
      <c r="G135" s="87">
        <v>6057.0</v>
      </c>
      <c r="H135" s="58">
        <v>1817100.0</v>
      </c>
      <c r="I135" s="59" t="s">
        <v>44</v>
      </c>
      <c r="J135" s="58">
        <v>900000.0</v>
      </c>
      <c r="K135" s="58" t="s">
        <v>44</v>
      </c>
      <c r="L135" s="199">
        <f t="shared" si="8"/>
        <v>917100</v>
      </c>
      <c r="M135" s="101"/>
    </row>
    <row r="136" ht="15.75" customHeight="1">
      <c r="A136" s="85"/>
      <c r="B136" s="86">
        <v>45555.0</v>
      </c>
      <c r="C136" s="17" t="s">
        <v>597</v>
      </c>
      <c r="D136" s="17" t="s">
        <v>604</v>
      </c>
      <c r="E136" s="17" t="s">
        <v>37</v>
      </c>
      <c r="F136" s="17" t="s">
        <v>43</v>
      </c>
      <c r="G136" s="87">
        <v>10000.0</v>
      </c>
      <c r="H136" s="58">
        <v>1500000.0</v>
      </c>
      <c r="I136" s="59" t="s">
        <v>44</v>
      </c>
      <c r="J136" s="58">
        <v>850000.0</v>
      </c>
      <c r="K136" s="58" t="s">
        <v>44</v>
      </c>
      <c r="L136" s="199">
        <f t="shared" si="8"/>
        <v>650000</v>
      </c>
      <c r="M136" s="101"/>
    </row>
    <row r="137" ht="15.75" customHeight="1">
      <c r="A137" s="85"/>
      <c r="B137" s="86">
        <v>45556.0</v>
      </c>
      <c r="C137" s="17" t="s">
        <v>597</v>
      </c>
      <c r="D137" s="17" t="s">
        <v>604</v>
      </c>
      <c r="E137" s="17" t="s">
        <v>37</v>
      </c>
      <c r="F137" s="17" t="s">
        <v>43</v>
      </c>
      <c r="G137" s="87">
        <v>10000.0</v>
      </c>
      <c r="H137" s="58">
        <v>1500000.0</v>
      </c>
      <c r="I137" s="59" t="s">
        <v>44</v>
      </c>
      <c r="J137" s="58">
        <v>850000.0</v>
      </c>
      <c r="K137" s="58" t="s">
        <v>44</v>
      </c>
      <c r="L137" s="199">
        <f t="shared" si="8"/>
        <v>650000</v>
      </c>
      <c r="M137" s="101"/>
    </row>
    <row r="138" ht="15.75" customHeight="1">
      <c r="A138" s="85"/>
      <c r="B138" s="86">
        <v>45558.0</v>
      </c>
      <c r="C138" s="17" t="s">
        <v>597</v>
      </c>
      <c r="D138" s="17" t="s">
        <v>604</v>
      </c>
      <c r="E138" s="17" t="s">
        <v>556</v>
      </c>
      <c r="F138" s="17" t="s">
        <v>641</v>
      </c>
      <c r="G138" s="87">
        <v>6360.0</v>
      </c>
      <c r="H138" s="58">
        <v>1908000.0</v>
      </c>
      <c r="I138" s="97" t="s">
        <v>44</v>
      </c>
      <c r="J138" s="58">
        <v>700000.0</v>
      </c>
      <c r="K138" s="17" t="s">
        <v>44</v>
      </c>
      <c r="L138" s="199">
        <f t="shared" si="8"/>
        <v>1208000</v>
      </c>
      <c r="M138" s="101"/>
    </row>
    <row r="139" ht="15.75" customHeight="1">
      <c r="A139" s="21"/>
      <c r="B139" s="17"/>
      <c r="C139" s="17"/>
      <c r="D139" s="17"/>
      <c r="E139" s="17"/>
      <c r="F139" s="17"/>
      <c r="G139" s="87"/>
      <c r="H139" s="58"/>
      <c r="I139" s="97"/>
      <c r="J139" s="58"/>
      <c r="K139" s="17"/>
      <c r="L139" s="238"/>
      <c r="M139" s="239"/>
    </row>
    <row r="140" ht="15.75" customHeight="1">
      <c r="A140" s="21"/>
      <c r="B140" s="17"/>
      <c r="C140" s="17"/>
      <c r="D140" s="17"/>
      <c r="E140" s="17"/>
      <c r="F140" s="17"/>
      <c r="G140" s="87"/>
      <c r="H140" s="58"/>
      <c r="I140" s="97"/>
      <c r="J140" s="58"/>
      <c r="K140" s="17"/>
      <c r="L140" s="52">
        <f>SUM(L120:L138)</f>
        <v>10961600</v>
      </c>
      <c r="M140" s="194">
        <f>SUM(M120:M139)</f>
        <v>3605000</v>
      </c>
    </row>
    <row r="141" ht="15.75" customHeight="1">
      <c r="A141" s="21"/>
      <c r="B141" s="17"/>
      <c r="C141" s="17"/>
      <c r="D141" s="17"/>
      <c r="E141" s="17"/>
      <c r="F141" s="17"/>
      <c r="G141" s="57"/>
      <c r="H141" s="58"/>
      <c r="I141" s="97"/>
      <c r="J141" s="58"/>
      <c r="K141" s="17"/>
      <c r="L141" s="33">
        <f>L140-M140</f>
        <v>7356600</v>
      </c>
      <c r="M141" s="101"/>
    </row>
    <row r="142" ht="15.75" customHeight="1">
      <c r="A142" s="203"/>
      <c r="E142" s="169"/>
      <c r="F142" s="169"/>
      <c r="G142" s="170"/>
      <c r="H142" s="202"/>
      <c r="I142" s="97"/>
      <c r="J142" s="202"/>
      <c r="K142" s="17"/>
      <c r="M142" s="149"/>
    </row>
    <row r="143" ht="15.75" customHeight="1">
      <c r="A143" s="89"/>
      <c r="B143" s="89" t="s">
        <v>0</v>
      </c>
      <c r="C143" s="89" t="s">
        <v>1</v>
      </c>
      <c r="D143" s="89" t="s">
        <v>2</v>
      </c>
      <c r="E143" s="90" t="s">
        <v>3</v>
      </c>
      <c r="F143" s="89" t="s">
        <v>4</v>
      </c>
      <c r="G143" s="91" t="s">
        <v>5</v>
      </c>
      <c r="H143" s="119" t="s">
        <v>6</v>
      </c>
      <c r="I143" s="92" t="s">
        <v>39</v>
      </c>
      <c r="J143" s="119" t="s">
        <v>7</v>
      </c>
      <c r="K143" s="91" t="s">
        <v>39</v>
      </c>
      <c r="L143" s="92" t="s">
        <v>8</v>
      </c>
      <c r="M143" s="120" t="s">
        <v>9</v>
      </c>
    </row>
    <row r="144" ht="15.75" customHeight="1">
      <c r="A144" s="85"/>
      <c r="B144" s="86">
        <v>45567.0</v>
      </c>
      <c r="C144" s="17" t="s">
        <v>597</v>
      </c>
      <c r="D144" s="17" t="s">
        <v>604</v>
      </c>
      <c r="E144" s="169" t="s">
        <v>503</v>
      </c>
      <c r="F144" s="17" t="s">
        <v>555</v>
      </c>
      <c r="G144" s="170">
        <v>4992.0</v>
      </c>
      <c r="H144" s="202">
        <v>1497600.0</v>
      </c>
      <c r="I144" s="97" t="s">
        <v>42</v>
      </c>
      <c r="J144" s="202">
        <v>900000.0</v>
      </c>
      <c r="K144" s="17" t="s">
        <v>42</v>
      </c>
      <c r="L144" s="199">
        <f t="shared" ref="L144:L165" si="9">H144-J144</f>
        <v>597600</v>
      </c>
      <c r="M144" s="149"/>
    </row>
    <row r="145" ht="15.75" customHeight="1">
      <c r="A145" s="85"/>
      <c r="B145" s="86">
        <v>45569.0</v>
      </c>
      <c r="C145" s="17" t="s">
        <v>597</v>
      </c>
      <c r="D145" s="17" t="s">
        <v>604</v>
      </c>
      <c r="E145" s="169" t="s">
        <v>30</v>
      </c>
      <c r="F145" s="17" t="s">
        <v>477</v>
      </c>
      <c r="G145" s="170">
        <v>9000.0</v>
      </c>
      <c r="H145" s="58">
        <v>800000.0</v>
      </c>
      <c r="I145" s="97" t="s">
        <v>44</v>
      </c>
      <c r="J145" s="58">
        <v>350000.0</v>
      </c>
      <c r="K145" s="17" t="s">
        <v>42</v>
      </c>
      <c r="L145" s="199">
        <f t="shared" si="9"/>
        <v>450000</v>
      </c>
      <c r="M145" s="149"/>
    </row>
    <row r="146" ht="15.75" customHeight="1">
      <c r="A146" s="85"/>
      <c r="B146" s="86">
        <v>45572.0</v>
      </c>
      <c r="C146" s="17" t="s">
        <v>597</v>
      </c>
      <c r="D146" s="17" t="s">
        <v>604</v>
      </c>
      <c r="E146" s="169" t="s">
        <v>30</v>
      </c>
      <c r="F146" s="169" t="s">
        <v>642</v>
      </c>
      <c r="G146" s="170">
        <v>10000.0</v>
      </c>
      <c r="H146" s="202">
        <v>1300000.0</v>
      </c>
      <c r="I146" s="97" t="s">
        <v>44</v>
      </c>
      <c r="J146" s="202">
        <v>690000.0</v>
      </c>
      <c r="K146" s="17" t="s">
        <v>42</v>
      </c>
      <c r="L146" s="199">
        <f t="shared" si="9"/>
        <v>610000</v>
      </c>
      <c r="M146" s="149">
        <v>52000.0</v>
      </c>
    </row>
    <row r="147" ht="15.75" customHeight="1">
      <c r="A147" s="85"/>
      <c r="B147" s="86">
        <v>45573.0</v>
      </c>
      <c r="C147" s="17" t="s">
        <v>597</v>
      </c>
      <c r="D147" s="17" t="s">
        <v>604</v>
      </c>
      <c r="E147" s="169" t="s">
        <v>503</v>
      </c>
      <c r="F147" s="17" t="s">
        <v>497</v>
      </c>
      <c r="G147" s="87">
        <v>5000.0</v>
      </c>
      <c r="H147" s="58">
        <v>1500000.0</v>
      </c>
      <c r="I147" s="59" t="s">
        <v>44</v>
      </c>
      <c r="J147" s="58">
        <v>900000.0</v>
      </c>
      <c r="K147" s="58" t="s">
        <v>44</v>
      </c>
      <c r="L147" s="58">
        <f t="shared" si="9"/>
        <v>600000</v>
      </c>
      <c r="M147" s="149"/>
    </row>
    <row r="148" ht="15.75" customHeight="1">
      <c r="A148" s="85"/>
      <c r="B148" s="86">
        <v>45574.0</v>
      </c>
      <c r="C148" s="17" t="s">
        <v>597</v>
      </c>
      <c r="D148" s="17" t="s">
        <v>604</v>
      </c>
      <c r="E148" s="17" t="s">
        <v>30</v>
      </c>
      <c r="F148" s="17" t="s">
        <v>203</v>
      </c>
      <c r="G148" s="87">
        <v>10000.0</v>
      </c>
      <c r="H148" s="58">
        <v>1600000.0</v>
      </c>
      <c r="I148" s="59" t="s">
        <v>44</v>
      </c>
      <c r="J148" s="60">
        <v>975000.0</v>
      </c>
      <c r="K148" s="17" t="s">
        <v>42</v>
      </c>
      <c r="L148" s="58">
        <f t="shared" si="9"/>
        <v>625000</v>
      </c>
      <c r="M148" s="149"/>
    </row>
    <row r="149" ht="15.75" customHeight="1">
      <c r="A149" s="85"/>
      <c r="B149" s="86">
        <v>45576.0</v>
      </c>
      <c r="C149" s="17" t="s">
        <v>597</v>
      </c>
      <c r="D149" s="17" t="s">
        <v>604</v>
      </c>
      <c r="E149" s="17" t="s">
        <v>30</v>
      </c>
      <c r="F149" s="169" t="s">
        <v>477</v>
      </c>
      <c r="G149" s="170">
        <v>9000.0</v>
      </c>
      <c r="H149" s="58">
        <v>800000.0</v>
      </c>
      <c r="I149" s="97" t="s">
        <v>44</v>
      </c>
      <c r="J149" s="58">
        <v>350000.0</v>
      </c>
      <c r="K149" s="17" t="s">
        <v>42</v>
      </c>
      <c r="L149" s="58">
        <f t="shared" si="9"/>
        <v>450000</v>
      </c>
      <c r="M149" s="149"/>
    </row>
    <row r="150" ht="15.75" customHeight="1">
      <c r="A150" s="85"/>
      <c r="B150" s="86">
        <v>45577.0</v>
      </c>
      <c r="C150" s="17" t="s">
        <v>597</v>
      </c>
      <c r="D150" s="17" t="s">
        <v>604</v>
      </c>
      <c r="E150" s="169" t="s">
        <v>123</v>
      </c>
      <c r="F150" s="169" t="s">
        <v>477</v>
      </c>
      <c r="G150" s="170">
        <v>8000.0</v>
      </c>
      <c r="H150" s="202">
        <v>720000.0</v>
      </c>
      <c r="I150" s="97" t="s">
        <v>44</v>
      </c>
      <c r="J150" s="58">
        <v>350000.0</v>
      </c>
      <c r="K150" s="17" t="s">
        <v>44</v>
      </c>
      <c r="L150" s="58">
        <f t="shared" si="9"/>
        <v>370000</v>
      </c>
      <c r="M150" s="149"/>
    </row>
    <row r="151" ht="15.75" customHeight="1">
      <c r="A151" s="85"/>
      <c r="B151" s="86">
        <v>45577.0</v>
      </c>
      <c r="C151" s="17" t="s">
        <v>597</v>
      </c>
      <c r="D151" s="17" t="s">
        <v>604</v>
      </c>
      <c r="E151" s="169" t="s">
        <v>30</v>
      </c>
      <c r="F151" s="169" t="s">
        <v>643</v>
      </c>
      <c r="G151" s="170">
        <v>9000.0</v>
      </c>
      <c r="H151" s="202">
        <v>1230000.0</v>
      </c>
      <c r="I151" s="97" t="s">
        <v>44</v>
      </c>
      <c r="J151" s="202">
        <v>700000.0</v>
      </c>
      <c r="K151" s="17" t="s">
        <v>44</v>
      </c>
      <c r="L151" s="58">
        <f t="shared" si="9"/>
        <v>530000</v>
      </c>
      <c r="M151" s="149"/>
    </row>
    <row r="152" ht="15.75" customHeight="1">
      <c r="A152" s="85"/>
      <c r="B152" s="86">
        <v>45580.0</v>
      </c>
      <c r="C152" s="17" t="s">
        <v>597</v>
      </c>
      <c r="D152" s="17" t="s">
        <v>604</v>
      </c>
      <c r="E152" s="169" t="s">
        <v>644</v>
      </c>
      <c r="F152" s="169" t="s">
        <v>194</v>
      </c>
      <c r="G152" s="170">
        <v>9000.0</v>
      </c>
      <c r="H152" s="58">
        <v>1400000.0</v>
      </c>
      <c r="I152" s="97" t="s">
        <v>44</v>
      </c>
      <c r="J152" s="101">
        <v>850000.0</v>
      </c>
      <c r="K152" s="17" t="s">
        <v>42</v>
      </c>
      <c r="L152" s="58">
        <f t="shared" si="9"/>
        <v>550000</v>
      </c>
      <c r="M152" s="149"/>
    </row>
    <row r="153" ht="15.75" customHeight="1">
      <c r="A153" s="85"/>
      <c r="B153" s="86">
        <v>45581.0</v>
      </c>
      <c r="C153" s="17" t="s">
        <v>597</v>
      </c>
      <c r="D153" s="17" t="s">
        <v>604</v>
      </c>
      <c r="E153" s="169" t="s">
        <v>37</v>
      </c>
      <c r="F153" s="169" t="s">
        <v>474</v>
      </c>
      <c r="G153" s="170">
        <v>10000.0</v>
      </c>
      <c r="H153" s="61">
        <v>750000.0</v>
      </c>
      <c r="I153" s="97" t="s">
        <v>212</v>
      </c>
      <c r="J153" s="104">
        <v>375000.0</v>
      </c>
      <c r="K153" s="17" t="s">
        <v>42</v>
      </c>
      <c r="L153" s="58">
        <f t="shared" si="9"/>
        <v>375000</v>
      </c>
      <c r="M153" s="149"/>
    </row>
    <row r="154" ht="15.75" customHeight="1">
      <c r="A154" s="85"/>
      <c r="B154" s="86">
        <v>45582.0</v>
      </c>
      <c r="C154" s="17" t="s">
        <v>597</v>
      </c>
      <c r="D154" s="17" t="s">
        <v>604</v>
      </c>
      <c r="E154" s="17" t="s">
        <v>123</v>
      </c>
      <c r="F154" s="17" t="s">
        <v>109</v>
      </c>
      <c r="G154" s="87">
        <v>9000.0</v>
      </c>
      <c r="H154" s="58">
        <v>720000.0</v>
      </c>
      <c r="I154" s="97" t="s">
        <v>212</v>
      </c>
      <c r="J154" s="58">
        <v>350000.0</v>
      </c>
      <c r="K154" s="17" t="s">
        <v>42</v>
      </c>
      <c r="L154" s="58">
        <f t="shared" si="9"/>
        <v>370000</v>
      </c>
      <c r="M154" s="149"/>
    </row>
    <row r="155" ht="15.75" customHeight="1">
      <c r="A155" s="85"/>
      <c r="B155" s="86">
        <v>45583.0</v>
      </c>
      <c r="C155" s="17" t="s">
        <v>597</v>
      </c>
      <c r="D155" s="17" t="s">
        <v>604</v>
      </c>
      <c r="E155" s="169" t="s">
        <v>30</v>
      </c>
      <c r="F155" s="169" t="s">
        <v>477</v>
      </c>
      <c r="G155" s="170">
        <v>9000.0</v>
      </c>
      <c r="H155" s="202">
        <v>900000.0</v>
      </c>
      <c r="I155" s="97" t="s">
        <v>44</v>
      </c>
      <c r="J155" s="202">
        <v>350000.0</v>
      </c>
      <c r="K155" s="17" t="s">
        <v>42</v>
      </c>
      <c r="L155" s="58">
        <f t="shared" si="9"/>
        <v>550000</v>
      </c>
      <c r="M155" s="149"/>
    </row>
    <row r="156" ht="15.75" customHeight="1">
      <c r="A156" s="85"/>
      <c r="B156" s="86">
        <v>45584.0</v>
      </c>
      <c r="C156" s="17" t="s">
        <v>597</v>
      </c>
      <c r="D156" s="17" t="s">
        <v>604</v>
      </c>
      <c r="E156" s="169" t="s">
        <v>499</v>
      </c>
      <c r="F156" s="169" t="s">
        <v>194</v>
      </c>
      <c r="G156" s="170">
        <v>9000.0</v>
      </c>
      <c r="H156" s="202">
        <v>1575000.0</v>
      </c>
      <c r="I156" s="97"/>
      <c r="J156" s="202">
        <v>1000000.0</v>
      </c>
      <c r="K156" s="17" t="s">
        <v>645</v>
      </c>
      <c r="L156" s="58">
        <f t="shared" si="9"/>
        <v>575000</v>
      </c>
      <c r="M156" s="149"/>
      <c r="N156" s="240" t="s">
        <v>646</v>
      </c>
    </row>
    <row r="157" ht="15.75" customHeight="1">
      <c r="A157" s="85"/>
      <c r="B157" s="86">
        <v>45584.0</v>
      </c>
      <c r="C157" s="17" t="s">
        <v>597</v>
      </c>
      <c r="D157" s="17" t="s">
        <v>604</v>
      </c>
      <c r="E157" s="169" t="s">
        <v>40</v>
      </c>
      <c r="F157" s="169" t="s">
        <v>647</v>
      </c>
      <c r="G157" s="170">
        <v>9000.0</v>
      </c>
      <c r="H157" s="104">
        <v>1125000.0</v>
      </c>
      <c r="I157" s="97" t="s">
        <v>212</v>
      </c>
      <c r="J157" s="104">
        <v>640000.0</v>
      </c>
      <c r="K157" s="17" t="s">
        <v>42</v>
      </c>
      <c r="L157" s="58">
        <f t="shared" si="9"/>
        <v>485000</v>
      </c>
      <c r="M157" s="149"/>
    </row>
    <row r="158" ht="15.75" customHeight="1">
      <c r="A158" s="85"/>
      <c r="B158" s="86">
        <v>45586.0</v>
      </c>
      <c r="C158" s="17" t="s">
        <v>597</v>
      </c>
      <c r="D158" s="17" t="s">
        <v>604</v>
      </c>
      <c r="E158" s="169" t="s">
        <v>37</v>
      </c>
      <c r="F158" s="169" t="s">
        <v>103</v>
      </c>
      <c r="G158" s="170">
        <v>10000.0</v>
      </c>
      <c r="H158" s="202">
        <v>750000.0</v>
      </c>
      <c r="I158" s="241" t="s">
        <v>44</v>
      </c>
      <c r="J158" s="172">
        <v>425000.0</v>
      </c>
      <c r="K158" s="17" t="s">
        <v>42</v>
      </c>
      <c r="L158" s="58">
        <f t="shared" si="9"/>
        <v>325000</v>
      </c>
      <c r="M158" s="149"/>
    </row>
    <row r="159" ht="15.75" customHeight="1">
      <c r="A159" s="85"/>
      <c r="B159" s="86">
        <v>45587.0</v>
      </c>
      <c r="C159" s="17" t="s">
        <v>597</v>
      </c>
      <c r="D159" s="17" t="s">
        <v>604</v>
      </c>
      <c r="E159" s="169" t="s">
        <v>40</v>
      </c>
      <c r="F159" s="169" t="s">
        <v>647</v>
      </c>
      <c r="G159" s="170">
        <v>9000.0</v>
      </c>
      <c r="H159" s="202">
        <v>1125000.0</v>
      </c>
      <c r="I159" s="97" t="s">
        <v>212</v>
      </c>
      <c r="J159" s="202">
        <v>640000.0</v>
      </c>
      <c r="K159" s="17" t="s">
        <v>42</v>
      </c>
      <c r="L159" s="58">
        <f t="shared" si="9"/>
        <v>485000</v>
      </c>
      <c r="M159" s="149"/>
    </row>
    <row r="160" ht="15.75" customHeight="1">
      <c r="A160" s="85"/>
      <c r="B160" s="86">
        <v>45588.0</v>
      </c>
      <c r="C160" s="17" t="s">
        <v>597</v>
      </c>
      <c r="D160" s="17" t="s">
        <v>604</v>
      </c>
      <c r="E160" s="169" t="s">
        <v>556</v>
      </c>
      <c r="F160" s="169" t="s">
        <v>497</v>
      </c>
      <c r="G160" s="170">
        <v>6874.0</v>
      </c>
      <c r="H160" s="242">
        <v>2062350.0</v>
      </c>
      <c r="I160" s="97" t="s">
        <v>44</v>
      </c>
      <c r="J160" s="202">
        <v>900000.0</v>
      </c>
      <c r="K160" s="17" t="s">
        <v>42</v>
      </c>
      <c r="L160" s="58">
        <f t="shared" si="9"/>
        <v>1162350</v>
      </c>
      <c r="M160" s="149">
        <v>235000.0</v>
      </c>
    </row>
    <row r="161" ht="15.75" customHeight="1">
      <c r="A161" s="85"/>
      <c r="B161" s="86">
        <v>45590.0</v>
      </c>
      <c r="C161" s="17" t="s">
        <v>597</v>
      </c>
      <c r="D161" s="17" t="s">
        <v>604</v>
      </c>
      <c r="E161" s="169" t="s">
        <v>37</v>
      </c>
      <c r="F161" s="169" t="s">
        <v>648</v>
      </c>
      <c r="G161" s="170">
        <v>8000.0</v>
      </c>
      <c r="H161" s="202">
        <v>1215000.0</v>
      </c>
      <c r="I161" s="97" t="s">
        <v>44</v>
      </c>
      <c r="J161" s="202">
        <v>640000.0</v>
      </c>
      <c r="K161" s="17" t="s">
        <v>645</v>
      </c>
      <c r="L161" s="58">
        <f t="shared" si="9"/>
        <v>575000</v>
      </c>
      <c r="M161" s="149"/>
    </row>
    <row r="162" ht="15.75" customHeight="1">
      <c r="A162" s="85"/>
      <c r="B162" s="86">
        <v>45591.0</v>
      </c>
      <c r="C162" s="17" t="s">
        <v>597</v>
      </c>
      <c r="D162" s="17" t="s">
        <v>604</v>
      </c>
      <c r="E162" s="169" t="s">
        <v>649</v>
      </c>
      <c r="F162" s="169" t="s">
        <v>497</v>
      </c>
      <c r="G162" s="170">
        <v>5000.0</v>
      </c>
      <c r="H162" s="242">
        <v>2088300.0</v>
      </c>
      <c r="I162" s="97" t="s">
        <v>44</v>
      </c>
      <c r="J162" s="202">
        <v>900000.0</v>
      </c>
      <c r="K162" s="17" t="s">
        <v>645</v>
      </c>
      <c r="L162" s="58">
        <f t="shared" si="9"/>
        <v>1188300</v>
      </c>
      <c r="M162" s="149"/>
    </row>
    <row r="163" ht="15.75" customHeight="1">
      <c r="A163" s="85"/>
      <c r="B163" s="86">
        <v>45593.0</v>
      </c>
      <c r="C163" s="17" t="s">
        <v>597</v>
      </c>
      <c r="D163" s="17" t="s">
        <v>604</v>
      </c>
      <c r="E163" s="169" t="s">
        <v>484</v>
      </c>
      <c r="F163" s="169" t="s">
        <v>497</v>
      </c>
      <c r="G163" s="170">
        <v>4959.0</v>
      </c>
      <c r="H163" s="149">
        <v>1494300.0</v>
      </c>
      <c r="I163" s="97" t="s">
        <v>44</v>
      </c>
      <c r="J163" s="104">
        <v>900000.0</v>
      </c>
      <c r="K163" s="17" t="s">
        <v>645</v>
      </c>
      <c r="L163" s="58">
        <f t="shared" si="9"/>
        <v>594300</v>
      </c>
      <c r="M163" s="149">
        <v>50000.0</v>
      </c>
    </row>
    <row r="164" ht="15.75" customHeight="1">
      <c r="A164" s="85"/>
      <c r="B164" s="86">
        <v>45595.0</v>
      </c>
      <c r="C164" s="17" t="s">
        <v>597</v>
      </c>
      <c r="D164" s="17" t="s">
        <v>604</v>
      </c>
      <c r="E164" s="169" t="s">
        <v>30</v>
      </c>
      <c r="F164" s="169" t="s">
        <v>642</v>
      </c>
      <c r="G164" s="170">
        <v>10000.0</v>
      </c>
      <c r="H164" s="202">
        <v>1300000.0</v>
      </c>
      <c r="I164" s="97" t="s">
        <v>44</v>
      </c>
      <c r="J164" s="202">
        <v>690000.0</v>
      </c>
      <c r="K164" s="17" t="s">
        <v>645</v>
      </c>
      <c r="L164" s="58">
        <f t="shared" si="9"/>
        <v>610000</v>
      </c>
      <c r="M164" s="149"/>
    </row>
    <row r="165" ht="15.75" customHeight="1">
      <c r="A165" s="85"/>
      <c r="B165" s="86">
        <v>45596.0</v>
      </c>
      <c r="C165" s="17" t="s">
        <v>597</v>
      </c>
      <c r="D165" s="17" t="s">
        <v>604</v>
      </c>
      <c r="E165" s="169" t="s">
        <v>650</v>
      </c>
      <c r="F165" s="169" t="s">
        <v>651</v>
      </c>
      <c r="G165" s="170">
        <v>9000.0</v>
      </c>
      <c r="H165" s="202">
        <v>2520000.0</v>
      </c>
      <c r="I165" s="97" t="s">
        <v>44</v>
      </c>
      <c r="J165" s="202">
        <v>1500000.0</v>
      </c>
      <c r="K165" s="17" t="s">
        <v>645</v>
      </c>
      <c r="L165" s="58">
        <f t="shared" si="9"/>
        <v>1020000</v>
      </c>
      <c r="M165" s="149">
        <v>133000.0</v>
      </c>
    </row>
    <row r="166" ht="15.75" customHeight="1">
      <c r="A166" s="203"/>
      <c r="E166" s="169"/>
      <c r="F166" s="169"/>
      <c r="G166" s="170"/>
      <c r="H166" s="202"/>
      <c r="I166" s="97"/>
      <c r="J166" s="202"/>
      <c r="K166" s="17"/>
      <c r="L166" s="52">
        <f t="shared" ref="L166:M166" si="10">SUM(L144:L165)</f>
        <v>13097550</v>
      </c>
      <c r="M166" s="194">
        <f t="shared" si="10"/>
        <v>470000</v>
      </c>
    </row>
    <row r="167" ht="15.75" customHeight="1">
      <c r="A167" s="203"/>
      <c r="E167" s="169"/>
      <c r="F167" s="169"/>
      <c r="G167" s="170"/>
      <c r="H167" s="202"/>
      <c r="I167" s="97"/>
      <c r="J167" s="202"/>
      <c r="K167" s="17"/>
      <c r="L167" s="33">
        <f>L166-M166</f>
        <v>12627550</v>
      </c>
      <c r="M167" s="101"/>
    </row>
    <row r="168" ht="15.75" customHeight="1">
      <c r="A168" s="203"/>
      <c r="E168" s="169"/>
      <c r="F168" s="169"/>
      <c r="G168" s="170"/>
      <c r="H168" s="202"/>
      <c r="I168" s="97"/>
      <c r="J168" s="202"/>
      <c r="K168" s="17"/>
      <c r="M168" s="149"/>
    </row>
    <row r="169" ht="15.75" customHeight="1">
      <c r="A169" s="89" t="s">
        <v>209</v>
      </c>
      <c r="B169" s="89" t="s">
        <v>0</v>
      </c>
      <c r="C169" s="89" t="s">
        <v>1</v>
      </c>
      <c r="D169" s="89" t="s">
        <v>2</v>
      </c>
      <c r="E169" s="90" t="s">
        <v>3</v>
      </c>
      <c r="F169" s="89" t="s">
        <v>4</v>
      </c>
      <c r="G169" s="91" t="s">
        <v>5</v>
      </c>
      <c r="H169" s="119" t="s">
        <v>6</v>
      </c>
      <c r="I169" s="92" t="s">
        <v>39</v>
      </c>
      <c r="J169" s="119" t="s">
        <v>7</v>
      </c>
      <c r="K169" s="91" t="s">
        <v>39</v>
      </c>
      <c r="L169" s="92" t="s">
        <v>8</v>
      </c>
      <c r="M169" s="120" t="s">
        <v>9</v>
      </c>
    </row>
    <row r="170" ht="15.75" customHeight="1">
      <c r="A170" s="21">
        <v>1.0</v>
      </c>
      <c r="B170" s="86">
        <v>45598.0</v>
      </c>
      <c r="C170" s="17" t="s">
        <v>597</v>
      </c>
      <c r="D170" s="17" t="s">
        <v>604</v>
      </c>
      <c r="E170" s="169" t="s">
        <v>652</v>
      </c>
      <c r="F170" s="169" t="s">
        <v>555</v>
      </c>
      <c r="G170" s="170">
        <v>5000.0</v>
      </c>
      <c r="H170" s="202">
        <v>1761675.0</v>
      </c>
      <c r="I170" s="97" t="s">
        <v>44</v>
      </c>
      <c r="J170" s="202">
        <v>900000.0</v>
      </c>
      <c r="K170" s="17" t="s">
        <v>44</v>
      </c>
      <c r="L170" s="58">
        <f t="shared" ref="L170:L187" si="11">H170-J170</f>
        <v>861675</v>
      </c>
      <c r="M170" s="149"/>
    </row>
    <row r="171" ht="15.75" customHeight="1">
      <c r="A171" s="21">
        <v>2.0</v>
      </c>
      <c r="B171" s="86">
        <v>45601.0</v>
      </c>
      <c r="C171" s="17" t="s">
        <v>597</v>
      </c>
      <c r="D171" s="17" t="s">
        <v>604</v>
      </c>
      <c r="E171" s="169" t="s">
        <v>40</v>
      </c>
      <c r="F171" s="17" t="s">
        <v>545</v>
      </c>
      <c r="G171" s="87">
        <v>9000.0</v>
      </c>
      <c r="H171" s="104">
        <v>990000.0</v>
      </c>
      <c r="I171" s="97" t="s">
        <v>44</v>
      </c>
      <c r="J171" s="104">
        <v>500000.0</v>
      </c>
      <c r="K171" s="17" t="s">
        <v>44</v>
      </c>
      <c r="L171" s="58">
        <f t="shared" si="11"/>
        <v>490000</v>
      </c>
      <c r="M171" s="149"/>
    </row>
    <row r="172" ht="15.75" customHeight="1">
      <c r="A172" s="21">
        <v>3.0</v>
      </c>
      <c r="B172" s="86">
        <v>45602.0</v>
      </c>
      <c r="C172" s="17" t="s">
        <v>597</v>
      </c>
      <c r="D172" s="17" t="s">
        <v>604</v>
      </c>
      <c r="E172" s="169" t="s">
        <v>252</v>
      </c>
      <c r="F172" s="169" t="s">
        <v>651</v>
      </c>
      <c r="G172" s="170">
        <v>10000.0</v>
      </c>
      <c r="H172" s="202">
        <v>2800000.0</v>
      </c>
      <c r="I172" s="97" t="s">
        <v>44</v>
      </c>
      <c r="J172" s="202">
        <v>1600000.0</v>
      </c>
      <c r="K172" s="17" t="s">
        <v>44</v>
      </c>
      <c r="L172" s="58">
        <f t="shared" si="11"/>
        <v>1200000</v>
      </c>
      <c r="M172" s="149"/>
    </row>
    <row r="173" ht="15.75" customHeight="1">
      <c r="A173" s="21">
        <v>4.0</v>
      </c>
      <c r="B173" s="86">
        <v>45604.0</v>
      </c>
      <c r="C173" s="17" t="s">
        <v>597</v>
      </c>
      <c r="D173" s="17" t="s">
        <v>604</v>
      </c>
      <c r="E173" s="169" t="s">
        <v>40</v>
      </c>
      <c r="F173" s="169" t="s">
        <v>36</v>
      </c>
      <c r="G173" s="170">
        <v>10000.0</v>
      </c>
      <c r="H173" s="202">
        <v>1500000.0</v>
      </c>
      <c r="I173" s="93" t="s">
        <v>44</v>
      </c>
      <c r="J173" s="172">
        <v>850000.0</v>
      </c>
      <c r="K173" s="17" t="s">
        <v>44</v>
      </c>
      <c r="L173" s="58">
        <f t="shared" si="11"/>
        <v>650000</v>
      </c>
      <c r="M173" s="149">
        <v>50000.0</v>
      </c>
    </row>
    <row r="174" ht="15.75" customHeight="1">
      <c r="A174" s="21">
        <v>5.0</v>
      </c>
      <c r="B174" s="86">
        <v>45607.0</v>
      </c>
      <c r="C174" s="17" t="s">
        <v>597</v>
      </c>
      <c r="D174" s="17" t="s">
        <v>604</v>
      </c>
      <c r="E174" s="169" t="s">
        <v>37</v>
      </c>
      <c r="F174" s="169" t="s">
        <v>36</v>
      </c>
      <c r="G174" s="170">
        <v>10000.0</v>
      </c>
      <c r="H174" s="202">
        <v>1500000.0</v>
      </c>
      <c r="I174" s="93" t="s">
        <v>44</v>
      </c>
      <c r="J174" s="202">
        <v>850000.0</v>
      </c>
      <c r="K174" s="17" t="s">
        <v>42</v>
      </c>
      <c r="L174" s="58">
        <f t="shared" si="11"/>
        <v>650000</v>
      </c>
      <c r="M174" s="149"/>
    </row>
    <row r="175" ht="15.75" customHeight="1">
      <c r="A175" s="21">
        <v>6.0</v>
      </c>
      <c r="B175" s="86">
        <v>45608.0</v>
      </c>
      <c r="C175" s="17" t="s">
        <v>597</v>
      </c>
      <c r="D175" s="17" t="s">
        <v>604</v>
      </c>
      <c r="E175" s="169" t="s">
        <v>504</v>
      </c>
      <c r="F175" s="169" t="s">
        <v>497</v>
      </c>
      <c r="G175" s="170">
        <v>5000.0</v>
      </c>
      <c r="H175" s="202">
        <v>1500000.0</v>
      </c>
      <c r="I175" s="97" t="s">
        <v>44</v>
      </c>
      <c r="J175" s="202">
        <v>900000.0</v>
      </c>
      <c r="K175" s="17" t="s">
        <v>42</v>
      </c>
      <c r="L175" s="58">
        <f t="shared" si="11"/>
        <v>600000</v>
      </c>
      <c r="M175" s="149">
        <v>255000.0</v>
      </c>
    </row>
    <row r="176" ht="15.75" customHeight="1">
      <c r="A176" s="21">
        <v>7.0</v>
      </c>
      <c r="B176" s="86">
        <v>45610.0</v>
      </c>
      <c r="C176" s="17" t="s">
        <v>597</v>
      </c>
      <c r="D176" s="17" t="s">
        <v>604</v>
      </c>
      <c r="E176" s="169" t="s">
        <v>252</v>
      </c>
      <c r="F176" s="169" t="s">
        <v>651</v>
      </c>
      <c r="G176" s="170">
        <v>9000.0</v>
      </c>
      <c r="H176" s="202">
        <v>2520000.0</v>
      </c>
      <c r="I176" s="97" t="s">
        <v>44</v>
      </c>
      <c r="J176" s="202">
        <v>1500000.0</v>
      </c>
      <c r="K176" s="17" t="s">
        <v>44</v>
      </c>
      <c r="L176" s="58">
        <f t="shared" si="11"/>
        <v>1020000</v>
      </c>
      <c r="M176" s="149"/>
    </row>
    <row r="177" ht="15.75" customHeight="1">
      <c r="A177" s="21">
        <v>8.0</v>
      </c>
      <c r="B177" s="86">
        <v>45611.0</v>
      </c>
      <c r="C177" s="17" t="s">
        <v>597</v>
      </c>
      <c r="D177" s="17" t="s">
        <v>604</v>
      </c>
      <c r="E177" s="169" t="s">
        <v>37</v>
      </c>
      <c r="F177" s="169" t="s">
        <v>474</v>
      </c>
      <c r="G177" s="170">
        <v>11000.0</v>
      </c>
      <c r="H177" s="202">
        <v>825000.0</v>
      </c>
      <c r="I177" s="97" t="s">
        <v>42</v>
      </c>
      <c r="J177" s="202">
        <v>400000.0</v>
      </c>
      <c r="K177" s="17" t="s">
        <v>42</v>
      </c>
      <c r="L177" s="58">
        <f t="shared" si="11"/>
        <v>425000</v>
      </c>
      <c r="M177" s="149"/>
    </row>
    <row r="178" ht="15.75" customHeight="1">
      <c r="A178" s="21">
        <v>9.0</v>
      </c>
      <c r="B178" s="86">
        <v>45614.0</v>
      </c>
      <c r="C178" s="17" t="s">
        <v>597</v>
      </c>
      <c r="D178" s="17" t="s">
        <v>604</v>
      </c>
      <c r="E178" s="17" t="s">
        <v>37</v>
      </c>
      <c r="F178" s="17" t="s">
        <v>491</v>
      </c>
      <c r="G178" s="87">
        <v>9000.0</v>
      </c>
      <c r="H178" s="100">
        <v>765000.0</v>
      </c>
      <c r="I178" s="97" t="s">
        <v>44</v>
      </c>
      <c r="J178" s="202">
        <v>450000.0</v>
      </c>
      <c r="K178" s="17" t="s">
        <v>44</v>
      </c>
      <c r="L178" s="58">
        <f t="shared" si="11"/>
        <v>315000</v>
      </c>
      <c r="M178" s="149">
        <v>130000.0</v>
      </c>
    </row>
    <row r="179" ht="15.75" customHeight="1">
      <c r="A179" s="21">
        <v>10.0</v>
      </c>
      <c r="B179" s="86">
        <v>45615.0</v>
      </c>
      <c r="C179" s="17" t="s">
        <v>597</v>
      </c>
      <c r="D179" s="17" t="s">
        <v>604</v>
      </c>
      <c r="E179" s="169" t="s">
        <v>503</v>
      </c>
      <c r="F179" s="169" t="s">
        <v>497</v>
      </c>
      <c r="G179" s="170">
        <v>5000.0</v>
      </c>
      <c r="H179" s="202">
        <v>1493235.0</v>
      </c>
      <c r="I179" s="97" t="s">
        <v>44</v>
      </c>
      <c r="J179" s="202">
        <v>900000.0</v>
      </c>
      <c r="K179" s="17" t="s">
        <v>42</v>
      </c>
      <c r="L179" s="58">
        <f t="shared" si="11"/>
        <v>593235</v>
      </c>
      <c r="M179" s="149"/>
    </row>
    <row r="180" ht="15.75" customHeight="1">
      <c r="A180" s="21">
        <v>11.0</v>
      </c>
      <c r="B180" s="86">
        <v>45616.0</v>
      </c>
      <c r="C180" s="17" t="s">
        <v>597</v>
      </c>
      <c r="D180" s="17" t="s">
        <v>604</v>
      </c>
      <c r="E180" s="169" t="s">
        <v>30</v>
      </c>
      <c r="F180" s="169" t="s">
        <v>653</v>
      </c>
      <c r="G180" s="170">
        <v>10000.0</v>
      </c>
      <c r="H180" s="202">
        <v>1300000.0</v>
      </c>
      <c r="I180" s="97" t="s">
        <v>44</v>
      </c>
      <c r="J180" s="202">
        <v>690000.0</v>
      </c>
      <c r="K180" s="17" t="s">
        <v>44</v>
      </c>
      <c r="L180" s="58">
        <f t="shared" si="11"/>
        <v>610000</v>
      </c>
      <c r="M180" s="149"/>
    </row>
    <row r="181" ht="15.75" customHeight="1">
      <c r="A181" s="21">
        <v>12.0</v>
      </c>
      <c r="B181" s="86">
        <v>45619.0</v>
      </c>
      <c r="C181" s="17" t="s">
        <v>597</v>
      </c>
      <c r="D181" s="17" t="s">
        <v>604</v>
      </c>
      <c r="E181" s="169" t="s">
        <v>37</v>
      </c>
      <c r="F181" s="169" t="s">
        <v>36</v>
      </c>
      <c r="G181" s="170">
        <v>10000.0</v>
      </c>
      <c r="H181" s="202">
        <v>1500000.0</v>
      </c>
      <c r="I181" s="97" t="s">
        <v>44</v>
      </c>
      <c r="J181" s="202">
        <v>850000.0</v>
      </c>
      <c r="K181" s="17" t="s">
        <v>42</v>
      </c>
      <c r="L181" s="58">
        <f t="shared" si="11"/>
        <v>650000</v>
      </c>
      <c r="M181" s="149">
        <v>38000.0</v>
      </c>
    </row>
    <row r="182" ht="15.75" customHeight="1">
      <c r="A182" s="21">
        <v>13.0</v>
      </c>
      <c r="B182" s="86">
        <v>45621.0</v>
      </c>
      <c r="C182" s="17" t="s">
        <v>597</v>
      </c>
      <c r="D182" s="17" t="s">
        <v>604</v>
      </c>
      <c r="E182" s="169" t="s">
        <v>37</v>
      </c>
      <c r="F182" s="169" t="s">
        <v>36</v>
      </c>
      <c r="G182" s="170">
        <v>10000.0</v>
      </c>
      <c r="H182" s="202">
        <v>1500000.0</v>
      </c>
      <c r="I182" s="97" t="s">
        <v>44</v>
      </c>
      <c r="J182" s="202">
        <v>850000.0</v>
      </c>
      <c r="K182" s="17" t="s">
        <v>44</v>
      </c>
      <c r="L182" s="58">
        <f t="shared" si="11"/>
        <v>650000</v>
      </c>
      <c r="M182" s="149"/>
    </row>
    <row r="183" ht="15.75" customHeight="1">
      <c r="A183" s="21">
        <v>14.0</v>
      </c>
      <c r="B183" s="86">
        <v>45622.0</v>
      </c>
      <c r="C183" s="17" t="s">
        <v>597</v>
      </c>
      <c r="D183" s="17" t="s">
        <v>604</v>
      </c>
      <c r="E183" s="169" t="s">
        <v>504</v>
      </c>
      <c r="F183" s="169" t="s">
        <v>497</v>
      </c>
      <c r="G183" s="170">
        <v>5000.0</v>
      </c>
      <c r="H183" s="149">
        <v>1619100.0</v>
      </c>
      <c r="I183" s="97" t="s">
        <v>44</v>
      </c>
      <c r="J183" s="202">
        <v>900000.0</v>
      </c>
      <c r="K183" s="17" t="s">
        <v>44</v>
      </c>
      <c r="L183" s="58">
        <f t="shared" si="11"/>
        <v>719100</v>
      </c>
      <c r="M183" s="149">
        <v>106000.0</v>
      </c>
    </row>
    <row r="184" ht="15.75" customHeight="1">
      <c r="A184" s="21">
        <v>15.0</v>
      </c>
      <c r="B184" s="86">
        <v>45624.0</v>
      </c>
      <c r="C184" s="17" t="s">
        <v>597</v>
      </c>
      <c r="D184" s="17" t="s">
        <v>604</v>
      </c>
      <c r="E184" s="169" t="s">
        <v>217</v>
      </c>
      <c r="F184" s="169" t="s">
        <v>539</v>
      </c>
      <c r="G184" s="170">
        <v>6000.0</v>
      </c>
      <c r="H184" s="202">
        <v>600000.0</v>
      </c>
      <c r="I184" s="97" t="s">
        <v>44</v>
      </c>
      <c r="J184" s="202">
        <v>360000.0</v>
      </c>
      <c r="K184" s="17" t="s">
        <v>44</v>
      </c>
      <c r="L184" s="58">
        <f t="shared" si="11"/>
        <v>240000</v>
      </c>
      <c r="M184" s="149"/>
    </row>
    <row r="185" ht="15.75" customHeight="1">
      <c r="A185" s="21">
        <v>16.0</v>
      </c>
      <c r="B185" s="86">
        <v>45624.0</v>
      </c>
      <c r="C185" s="17" t="s">
        <v>597</v>
      </c>
      <c r="D185" s="17" t="s">
        <v>604</v>
      </c>
      <c r="E185" s="169" t="s">
        <v>30</v>
      </c>
      <c r="F185" s="169" t="s">
        <v>491</v>
      </c>
      <c r="G185" s="170">
        <v>9000.0</v>
      </c>
      <c r="H185" s="202">
        <v>765000.0</v>
      </c>
      <c r="I185" s="97" t="s">
        <v>44</v>
      </c>
      <c r="J185" s="202">
        <v>450000.0</v>
      </c>
      <c r="K185" s="17" t="s">
        <v>44</v>
      </c>
      <c r="L185" s="58">
        <f t="shared" si="11"/>
        <v>315000</v>
      </c>
      <c r="M185" s="149"/>
    </row>
    <row r="186" ht="15.75" customHeight="1">
      <c r="A186" s="21">
        <v>17.0</v>
      </c>
      <c r="B186" s="86">
        <v>45625.0</v>
      </c>
      <c r="C186" s="17" t="s">
        <v>597</v>
      </c>
      <c r="D186" s="17" t="s">
        <v>604</v>
      </c>
      <c r="E186" s="169" t="s">
        <v>37</v>
      </c>
      <c r="F186" s="169" t="s">
        <v>648</v>
      </c>
      <c r="G186" s="170">
        <v>8000.0</v>
      </c>
      <c r="H186" s="202">
        <v>1200000.0</v>
      </c>
      <c r="I186" s="97" t="s">
        <v>44</v>
      </c>
      <c r="J186" s="202">
        <v>640000.0</v>
      </c>
      <c r="K186" s="17" t="s">
        <v>44</v>
      </c>
      <c r="L186" s="58">
        <f t="shared" si="11"/>
        <v>560000</v>
      </c>
      <c r="M186" s="149"/>
    </row>
    <row r="187" ht="15.75" customHeight="1">
      <c r="A187" s="21">
        <v>18.0</v>
      </c>
      <c r="B187" s="86">
        <v>45626.0</v>
      </c>
      <c r="C187" s="17" t="s">
        <v>597</v>
      </c>
      <c r="D187" s="17" t="s">
        <v>604</v>
      </c>
      <c r="E187" s="169" t="s">
        <v>40</v>
      </c>
      <c r="F187" s="169" t="s">
        <v>479</v>
      </c>
      <c r="G187" s="170">
        <v>10000.0</v>
      </c>
      <c r="H187" s="202">
        <v>1150000.0</v>
      </c>
      <c r="I187" s="97" t="s">
        <v>42</v>
      </c>
      <c r="J187" s="202">
        <v>650000.0</v>
      </c>
      <c r="K187" s="17" t="s">
        <v>42</v>
      </c>
      <c r="L187" s="58">
        <f t="shared" si="11"/>
        <v>500000</v>
      </c>
      <c r="M187" s="149">
        <v>55000.0</v>
      </c>
      <c r="N187" s="240"/>
    </row>
    <row r="188" ht="15.75" customHeight="1">
      <c r="A188" s="203"/>
      <c r="B188" s="86"/>
      <c r="E188" s="169"/>
      <c r="F188" s="169"/>
      <c r="G188" s="170"/>
      <c r="H188" s="202"/>
      <c r="I188" s="97"/>
      <c r="J188" s="202"/>
      <c r="K188" s="17"/>
      <c r="L188" s="52">
        <f t="shared" ref="L188:M188" si="12">SUM(L170:L187)</f>
        <v>11049010</v>
      </c>
      <c r="M188" s="194">
        <f t="shared" si="12"/>
        <v>634000</v>
      </c>
    </row>
    <row r="189" ht="15.75" customHeight="1">
      <c r="A189" s="203"/>
      <c r="E189" s="169"/>
      <c r="F189" s="169"/>
      <c r="G189" s="170"/>
      <c r="H189" s="202"/>
      <c r="I189" s="97"/>
      <c r="J189" s="202"/>
      <c r="K189" s="17"/>
      <c r="L189" s="33">
        <f>L188-M188</f>
        <v>10415010</v>
      </c>
      <c r="M189" s="101"/>
    </row>
    <row r="190" ht="15.75" customHeight="1">
      <c r="A190" s="203"/>
      <c r="E190" s="169"/>
      <c r="F190" s="169" t="s">
        <v>24</v>
      </c>
      <c r="G190" s="170"/>
      <c r="H190" s="202"/>
      <c r="I190" s="97"/>
      <c r="J190" s="202"/>
      <c r="K190" s="17"/>
      <c r="M190" s="149"/>
    </row>
    <row r="191" ht="15.75" customHeight="1">
      <c r="A191" s="89" t="s">
        <v>209</v>
      </c>
      <c r="B191" s="89" t="s">
        <v>0</v>
      </c>
      <c r="C191" s="89" t="s">
        <v>1</v>
      </c>
      <c r="D191" s="89" t="s">
        <v>2</v>
      </c>
      <c r="E191" s="90" t="s">
        <v>3</v>
      </c>
      <c r="F191" s="89" t="s">
        <v>4</v>
      </c>
      <c r="G191" s="91" t="s">
        <v>5</v>
      </c>
      <c r="H191" s="119" t="s">
        <v>6</v>
      </c>
      <c r="I191" s="92" t="s">
        <v>39</v>
      </c>
      <c r="J191" s="119" t="s">
        <v>7</v>
      </c>
      <c r="K191" s="91" t="s">
        <v>39</v>
      </c>
      <c r="L191" s="92" t="s">
        <v>8</v>
      </c>
      <c r="M191" s="120" t="s">
        <v>9</v>
      </c>
    </row>
    <row r="192" ht="15.75" customHeight="1">
      <c r="A192" s="203">
        <v>1.0</v>
      </c>
      <c r="B192" s="86">
        <v>45628.0</v>
      </c>
      <c r="C192" s="17" t="s">
        <v>597</v>
      </c>
      <c r="D192" s="17" t="s">
        <v>604</v>
      </c>
      <c r="E192" s="169" t="s">
        <v>654</v>
      </c>
      <c r="F192" s="169" t="s">
        <v>227</v>
      </c>
      <c r="G192" s="170">
        <v>9000.0</v>
      </c>
      <c r="H192" s="202">
        <v>2700000.0</v>
      </c>
      <c r="I192" s="97" t="s">
        <v>44</v>
      </c>
      <c r="J192" s="202">
        <v>1500000.0</v>
      </c>
      <c r="K192" s="17" t="s">
        <v>44</v>
      </c>
      <c r="L192" s="58">
        <f t="shared" ref="L192:L213" si="13">H192-J192</f>
        <v>1200000</v>
      </c>
      <c r="M192" s="149">
        <v>1490000.0</v>
      </c>
      <c r="N192" s="243" t="s">
        <v>655</v>
      </c>
    </row>
    <row r="193" ht="15.75" customHeight="1">
      <c r="A193" s="203">
        <v>2.0</v>
      </c>
      <c r="B193" s="86">
        <v>45630.0</v>
      </c>
      <c r="C193" s="17" t="s">
        <v>597</v>
      </c>
      <c r="D193" s="17" t="s">
        <v>604</v>
      </c>
      <c r="E193" s="169" t="s">
        <v>37</v>
      </c>
      <c r="F193" s="169" t="s">
        <v>656</v>
      </c>
      <c r="G193" s="170">
        <v>9000.0</v>
      </c>
      <c r="H193" s="202">
        <v>700000.0</v>
      </c>
      <c r="I193" s="97" t="s">
        <v>42</v>
      </c>
      <c r="J193" s="202">
        <v>400000.0</v>
      </c>
      <c r="K193" s="17" t="s">
        <v>44</v>
      </c>
      <c r="L193" s="58">
        <f t="shared" si="13"/>
        <v>300000</v>
      </c>
      <c r="M193" s="149"/>
    </row>
    <row r="194" ht="15.75" customHeight="1">
      <c r="A194" s="203">
        <v>3.0</v>
      </c>
      <c r="B194" s="86">
        <v>45631.0</v>
      </c>
      <c r="C194" s="17" t="s">
        <v>597</v>
      </c>
      <c r="D194" s="17" t="s">
        <v>604</v>
      </c>
      <c r="E194" s="169" t="s">
        <v>37</v>
      </c>
      <c r="F194" s="169" t="s">
        <v>239</v>
      </c>
      <c r="G194" s="170">
        <v>9000.0</v>
      </c>
      <c r="H194" s="202">
        <v>1200000.0</v>
      </c>
      <c r="I194" s="97" t="s">
        <v>42</v>
      </c>
      <c r="J194" s="202">
        <v>640000.0</v>
      </c>
      <c r="K194" s="17" t="s">
        <v>44</v>
      </c>
      <c r="L194" s="58">
        <f t="shared" si="13"/>
        <v>560000</v>
      </c>
      <c r="M194" s="149"/>
    </row>
    <row r="195" ht="15.75" customHeight="1">
      <c r="A195" s="203">
        <v>4.0</v>
      </c>
      <c r="B195" s="86">
        <v>45632.0</v>
      </c>
      <c r="C195" s="17" t="s">
        <v>597</v>
      </c>
      <c r="D195" s="17" t="s">
        <v>604</v>
      </c>
      <c r="E195" s="169" t="s">
        <v>383</v>
      </c>
      <c r="F195" s="169" t="s">
        <v>657</v>
      </c>
      <c r="G195" s="151">
        <v>9000.0</v>
      </c>
      <c r="H195" s="135">
        <v>1425000.0</v>
      </c>
      <c r="I195" s="115" t="s">
        <v>238</v>
      </c>
      <c r="J195" s="202">
        <v>640000.0</v>
      </c>
      <c r="K195" s="17" t="s">
        <v>42</v>
      </c>
      <c r="L195" s="107">
        <f t="shared" si="13"/>
        <v>785000</v>
      </c>
      <c r="M195" s="149"/>
    </row>
    <row r="196" ht="15.75" customHeight="1">
      <c r="A196" s="203">
        <v>5.0</v>
      </c>
      <c r="B196" s="86">
        <v>45632.0</v>
      </c>
      <c r="C196" s="17" t="s">
        <v>597</v>
      </c>
      <c r="D196" s="17" t="s">
        <v>604</v>
      </c>
      <c r="E196" s="169" t="s">
        <v>383</v>
      </c>
      <c r="F196" s="169" t="s">
        <v>658</v>
      </c>
      <c r="G196" s="170">
        <v>8500.0</v>
      </c>
      <c r="H196" s="104">
        <v>1200000.0</v>
      </c>
      <c r="I196" s="97" t="s">
        <v>42</v>
      </c>
      <c r="J196" s="104">
        <v>690000.0</v>
      </c>
      <c r="K196" s="17" t="s">
        <v>42</v>
      </c>
      <c r="L196" s="58">
        <f t="shared" si="13"/>
        <v>510000</v>
      </c>
      <c r="M196" s="149">
        <f>700000 + 25000</f>
        <v>725000</v>
      </c>
      <c r="N196" s="205" t="s">
        <v>655</v>
      </c>
    </row>
    <row r="197" ht="15.75" customHeight="1">
      <c r="A197" s="203">
        <v>6.0</v>
      </c>
      <c r="B197" s="86">
        <v>45635.0</v>
      </c>
      <c r="C197" s="17" t="s">
        <v>597</v>
      </c>
      <c r="D197" s="17" t="s">
        <v>604</v>
      </c>
      <c r="E197" s="169" t="s">
        <v>659</v>
      </c>
      <c r="F197" s="169" t="s">
        <v>227</v>
      </c>
      <c r="G197" s="170">
        <v>9033.0</v>
      </c>
      <c r="H197" s="135">
        <v>4516500.0</v>
      </c>
      <c r="I197" s="115" t="s">
        <v>238</v>
      </c>
      <c r="J197" s="202">
        <v>2250000.0</v>
      </c>
      <c r="K197" s="17" t="s">
        <v>44</v>
      </c>
      <c r="L197" s="58">
        <f t="shared" si="13"/>
        <v>2266500</v>
      </c>
      <c r="M197" s="149"/>
    </row>
    <row r="198" ht="15.75" customHeight="1">
      <c r="A198" s="203">
        <v>7.0</v>
      </c>
      <c r="B198" s="86">
        <v>45636.0</v>
      </c>
      <c r="C198" s="17" t="s">
        <v>597</v>
      </c>
      <c r="D198" s="17" t="s">
        <v>604</v>
      </c>
      <c r="E198" s="169" t="s">
        <v>383</v>
      </c>
      <c r="F198" s="169" t="s">
        <v>660</v>
      </c>
      <c r="G198" s="170">
        <v>10000.0</v>
      </c>
      <c r="H198" s="202">
        <v>1600000.0</v>
      </c>
      <c r="I198" s="115" t="s">
        <v>212</v>
      </c>
      <c r="J198" s="202">
        <v>950000.0</v>
      </c>
      <c r="K198" s="17" t="s">
        <v>44</v>
      </c>
      <c r="L198" s="58">
        <f t="shared" si="13"/>
        <v>650000</v>
      </c>
      <c r="M198" s="149"/>
    </row>
    <row r="199" ht="15.75" customHeight="1">
      <c r="A199" s="203">
        <v>8.0</v>
      </c>
      <c r="B199" s="86">
        <v>45637.0</v>
      </c>
      <c r="C199" s="17" t="s">
        <v>597</v>
      </c>
      <c r="D199" s="17" t="s">
        <v>604</v>
      </c>
      <c r="E199" s="169" t="s">
        <v>503</v>
      </c>
      <c r="F199" s="169" t="s">
        <v>661</v>
      </c>
      <c r="G199" s="151">
        <v>5008.5</v>
      </c>
      <c r="H199" s="135">
        <v>1502550.0</v>
      </c>
      <c r="I199" s="115" t="s">
        <v>238</v>
      </c>
      <c r="J199" s="202">
        <v>900000.0</v>
      </c>
      <c r="K199" s="17" t="s">
        <v>44</v>
      </c>
      <c r="L199" s="58">
        <f t="shared" si="13"/>
        <v>602550</v>
      </c>
      <c r="M199" s="149"/>
    </row>
    <row r="200" ht="15.75" customHeight="1">
      <c r="A200" s="203">
        <v>9.0</v>
      </c>
      <c r="B200" s="86">
        <v>45638.0</v>
      </c>
      <c r="C200" s="17" t="s">
        <v>597</v>
      </c>
      <c r="D200" s="17" t="s">
        <v>604</v>
      </c>
      <c r="E200" s="204" t="s">
        <v>383</v>
      </c>
      <c r="F200" s="204" t="s">
        <v>662</v>
      </c>
      <c r="G200" s="151">
        <v>9500.0</v>
      </c>
      <c r="H200" s="135">
        <v>1425000.0</v>
      </c>
      <c r="I200" s="115" t="s">
        <v>238</v>
      </c>
      <c r="J200" s="202">
        <f>640000+25000</f>
        <v>665000</v>
      </c>
      <c r="K200" s="98" t="s">
        <v>44</v>
      </c>
      <c r="L200" s="58">
        <f t="shared" si="13"/>
        <v>760000</v>
      </c>
      <c r="M200" s="149"/>
    </row>
    <row r="201" ht="15.75" customHeight="1">
      <c r="A201" s="203">
        <v>10.0</v>
      </c>
      <c r="B201" s="86">
        <v>45639.0</v>
      </c>
      <c r="C201" s="17" t="s">
        <v>597</v>
      </c>
      <c r="D201" s="17" t="s">
        <v>604</v>
      </c>
      <c r="E201" s="204" t="s">
        <v>40</v>
      </c>
      <c r="F201" s="204" t="s">
        <v>663</v>
      </c>
      <c r="G201" s="151">
        <v>9000.0</v>
      </c>
      <c r="H201" s="135">
        <v>1035000.0</v>
      </c>
      <c r="I201" s="115" t="s">
        <v>42</v>
      </c>
      <c r="J201" s="135">
        <v>600000.0</v>
      </c>
      <c r="K201" s="98" t="s">
        <v>42</v>
      </c>
      <c r="L201" s="58">
        <f t="shared" si="13"/>
        <v>435000</v>
      </c>
      <c r="M201" s="149"/>
    </row>
    <row r="202" ht="15.75" customHeight="1">
      <c r="A202" s="203">
        <v>11.0</v>
      </c>
      <c r="B202" s="86">
        <v>45640.0</v>
      </c>
      <c r="C202" s="17" t="s">
        <v>597</v>
      </c>
      <c r="D202" s="17" t="s">
        <v>604</v>
      </c>
      <c r="E202" s="204" t="s">
        <v>383</v>
      </c>
      <c r="F202" s="204" t="s">
        <v>664</v>
      </c>
      <c r="G202" s="151">
        <v>10000.0</v>
      </c>
      <c r="H202" s="202">
        <v>1300000.0</v>
      </c>
      <c r="I202" s="115" t="s">
        <v>44</v>
      </c>
      <c r="J202" s="202">
        <f>690000+25000</f>
        <v>715000</v>
      </c>
      <c r="K202" s="98" t="s">
        <v>240</v>
      </c>
      <c r="L202" s="58">
        <f t="shared" si="13"/>
        <v>585000</v>
      </c>
      <c r="M202" s="149"/>
    </row>
    <row r="203" ht="15.75" customHeight="1">
      <c r="A203" s="203">
        <v>12.0</v>
      </c>
      <c r="B203" s="112">
        <v>45642.0</v>
      </c>
      <c r="C203" s="17" t="s">
        <v>597</v>
      </c>
      <c r="D203" s="17" t="s">
        <v>604</v>
      </c>
      <c r="E203" s="204" t="s">
        <v>665</v>
      </c>
      <c r="F203" s="204" t="s">
        <v>227</v>
      </c>
      <c r="G203" s="151">
        <v>9000.0</v>
      </c>
      <c r="H203" s="135">
        <v>2700000.0</v>
      </c>
      <c r="I203" s="115" t="s">
        <v>238</v>
      </c>
      <c r="J203" s="135">
        <v>1500000.0</v>
      </c>
      <c r="K203" s="98" t="s">
        <v>44</v>
      </c>
      <c r="L203" s="58">
        <f t="shared" si="13"/>
        <v>1200000</v>
      </c>
      <c r="M203" s="149"/>
    </row>
    <row r="204" ht="15.75" customHeight="1">
      <c r="A204" s="203">
        <v>13.0</v>
      </c>
      <c r="B204" s="112">
        <v>45644.0</v>
      </c>
      <c r="C204" s="17" t="s">
        <v>597</v>
      </c>
      <c r="D204" s="17" t="s">
        <v>604</v>
      </c>
      <c r="E204" s="204" t="s">
        <v>383</v>
      </c>
      <c r="F204" s="204" t="s">
        <v>666</v>
      </c>
      <c r="G204" s="87">
        <v>9000.0</v>
      </c>
      <c r="H204" s="58">
        <v>1200000.0</v>
      </c>
      <c r="I204" s="108" t="s">
        <v>238</v>
      </c>
      <c r="J204" s="58">
        <v>690000.0</v>
      </c>
      <c r="K204" s="98" t="s">
        <v>44</v>
      </c>
      <c r="L204" s="58">
        <f t="shared" si="13"/>
        <v>510000</v>
      </c>
      <c r="M204" s="149">
        <f>55000+106000</f>
        <v>161000</v>
      </c>
    </row>
    <row r="205" ht="15.75" customHeight="1">
      <c r="A205" s="203">
        <v>14.0</v>
      </c>
      <c r="B205" s="112">
        <v>45645.0</v>
      </c>
      <c r="C205" s="17" t="s">
        <v>597</v>
      </c>
      <c r="D205" s="17" t="s">
        <v>604</v>
      </c>
      <c r="E205" s="204" t="s">
        <v>242</v>
      </c>
      <c r="F205" s="204" t="s">
        <v>259</v>
      </c>
      <c r="G205" s="151">
        <v>10000.0</v>
      </c>
      <c r="H205" s="107">
        <v>1500000.0</v>
      </c>
      <c r="I205" s="108" t="s">
        <v>238</v>
      </c>
      <c r="J205" s="109">
        <v>850000.0</v>
      </c>
      <c r="K205" s="98" t="s">
        <v>238</v>
      </c>
      <c r="L205" s="58">
        <f t="shared" si="13"/>
        <v>650000</v>
      </c>
      <c r="M205" s="149"/>
    </row>
    <row r="206" ht="15.75" customHeight="1">
      <c r="A206" s="203">
        <v>15.0</v>
      </c>
      <c r="B206" s="112">
        <v>45646.0</v>
      </c>
      <c r="C206" s="17" t="s">
        <v>597</v>
      </c>
      <c r="D206" s="17" t="s">
        <v>604</v>
      </c>
      <c r="E206" s="204" t="s">
        <v>556</v>
      </c>
      <c r="F206" s="204" t="s">
        <v>557</v>
      </c>
      <c r="G206" s="151">
        <v>6800.0</v>
      </c>
      <c r="H206" s="135">
        <v>1773150.0</v>
      </c>
      <c r="I206" s="115" t="s">
        <v>238</v>
      </c>
      <c r="J206" s="202">
        <v>900000.0</v>
      </c>
      <c r="K206" s="98" t="s">
        <v>238</v>
      </c>
      <c r="L206" s="58">
        <f t="shared" si="13"/>
        <v>873150</v>
      </c>
      <c r="M206" s="149">
        <f>90000+30000</f>
        <v>120000</v>
      </c>
      <c r="N206" s="205" t="s">
        <v>667</v>
      </c>
    </row>
    <row r="207" ht="15.75" customHeight="1">
      <c r="A207" s="203">
        <v>16.0</v>
      </c>
      <c r="B207" s="112">
        <v>45647.0</v>
      </c>
      <c r="C207" s="17" t="s">
        <v>597</v>
      </c>
      <c r="D207" s="17" t="s">
        <v>604</v>
      </c>
      <c r="E207" s="204" t="s">
        <v>668</v>
      </c>
      <c r="F207" s="204" t="s">
        <v>557</v>
      </c>
      <c r="G207" s="151">
        <v>5000.0</v>
      </c>
      <c r="H207" s="135">
        <v>1889475.0</v>
      </c>
      <c r="I207" s="115" t="s">
        <v>238</v>
      </c>
      <c r="J207" s="135">
        <v>900000.0</v>
      </c>
      <c r="K207" s="98" t="s">
        <v>238</v>
      </c>
      <c r="L207" s="58">
        <f t="shared" si="13"/>
        <v>989475</v>
      </c>
    </row>
    <row r="208" ht="15.75" customHeight="1">
      <c r="A208" s="203">
        <v>17.0</v>
      </c>
      <c r="B208" s="112">
        <v>45649.0</v>
      </c>
      <c r="C208" s="17" t="s">
        <v>597</v>
      </c>
      <c r="D208" s="17" t="s">
        <v>604</v>
      </c>
      <c r="E208" s="204" t="s">
        <v>254</v>
      </c>
      <c r="F208" s="204" t="s">
        <v>542</v>
      </c>
      <c r="G208" s="151">
        <v>10000.0</v>
      </c>
      <c r="H208" s="106">
        <v>1000000.0</v>
      </c>
      <c r="I208" s="108" t="s">
        <v>238</v>
      </c>
      <c r="J208" s="61">
        <v>500000.0</v>
      </c>
      <c r="K208" s="98" t="s">
        <v>238</v>
      </c>
      <c r="L208" s="58">
        <f t="shared" si="13"/>
        <v>500000</v>
      </c>
      <c r="M208" s="230">
        <v>455000.0</v>
      </c>
      <c r="N208" s="205" t="s">
        <v>669</v>
      </c>
    </row>
    <row r="209" ht="15.75" customHeight="1">
      <c r="A209" s="203">
        <v>18.0</v>
      </c>
      <c r="B209" s="112">
        <v>45650.0</v>
      </c>
      <c r="C209" s="17" t="s">
        <v>597</v>
      </c>
      <c r="D209" s="17" t="s">
        <v>604</v>
      </c>
      <c r="E209" s="204" t="s">
        <v>242</v>
      </c>
      <c r="F209" s="204" t="s">
        <v>259</v>
      </c>
      <c r="G209" s="151">
        <v>10000.0</v>
      </c>
      <c r="H209" s="107">
        <v>1500000.0</v>
      </c>
      <c r="I209" s="108" t="s">
        <v>238</v>
      </c>
      <c r="J209" s="109">
        <v>850000.0</v>
      </c>
      <c r="K209" s="98" t="s">
        <v>238</v>
      </c>
      <c r="L209" s="58">
        <f t="shared" si="13"/>
        <v>650000</v>
      </c>
      <c r="M209" s="149"/>
    </row>
    <row r="210" ht="15.75" customHeight="1">
      <c r="A210" s="203">
        <v>19.0</v>
      </c>
      <c r="B210" s="112">
        <v>45652.0</v>
      </c>
      <c r="C210" s="17" t="s">
        <v>597</v>
      </c>
      <c r="D210" s="17" t="s">
        <v>604</v>
      </c>
      <c r="E210" s="204" t="s">
        <v>30</v>
      </c>
      <c r="F210" s="204" t="s">
        <v>259</v>
      </c>
      <c r="G210" s="151">
        <v>9000.0</v>
      </c>
      <c r="H210" s="135">
        <v>765000.0</v>
      </c>
      <c r="I210" s="115" t="s">
        <v>238</v>
      </c>
      <c r="J210" s="135">
        <v>450000.0</v>
      </c>
      <c r="K210" s="98" t="s">
        <v>212</v>
      </c>
      <c r="L210" s="58">
        <f t="shared" si="13"/>
        <v>315000</v>
      </c>
      <c r="M210" s="149"/>
    </row>
    <row r="211" ht="15.75" customHeight="1">
      <c r="A211" s="212">
        <v>20.0</v>
      </c>
      <c r="B211" s="112">
        <v>45652.0</v>
      </c>
      <c r="C211" s="17" t="s">
        <v>597</v>
      </c>
      <c r="D211" s="17" t="s">
        <v>604</v>
      </c>
      <c r="E211" s="204" t="s">
        <v>242</v>
      </c>
      <c r="F211" s="204" t="s">
        <v>364</v>
      </c>
      <c r="G211" s="151">
        <v>9000.0</v>
      </c>
      <c r="H211" s="104">
        <v>765000.0</v>
      </c>
      <c r="I211" s="115" t="s">
        <v>238</v>
      </c>
      <c r="J211" s="135">
        <v>450000.0</v>
      </c>
      <c r="K211" s="98" t="s">
        <v>238</v>
      </c>
      <c r="L211" s="58">
        <f t="shared" si="13"/>
        <v>315000</v>
      </c>
      <c r="M211" s="149"/>
    </row>
    <row r="212" ht="15.75" customHeight="1">
      <c r="A212" s="212">
        <v>21.0</v>
      </c>
      <c r="B212" s="112">
        <v>45653.0</v>
      </c>
      <c r="C212" s="17" t="s">
        <v>597</v>
      </c>
      <c r="D212" s="17" t="s">
        <v>604</v>
      </c>
      <c r="E212" s="204" t="s">
        <v>256</v>
      </c>
      <c r="F212" s="204" t="s">
        <v>658</v>
      </c>
      <c r="G212" s="151">
        <v>8500.0</v>
      </c>
      <c r="H212" s="104">
        <v>1200000.0</v>
      </c>
      <c r="I212" s="115" t="s">
        <v>212</v>
      </c>
      <c r="J212" s="104">
        <v>690000.0</v>
      </c>
      <c r="K212" s="98" t="s">
        <v>238</v>
      </c>
      <c r="L212" s="58">
        <f t="shared" si="13"/>
        <v>510000</v>
      </c>
    </row>
    <row r="213" ht="15.75" customHeight="1">
      <c r="A213" s="212">
        <v>22.0</v>
      </c>
      <c r="B213" s="112">
        <v>45654.0</v>
      </c>
      <c r="C213" s="17" t="s">
        <v>597</v>
      </c>
      <c r="D213" s="17" t="s">
        <v>604</v>
      </c>
      <c r="E213" s="204" t="s">
        <v>254</v>
      </c>
      <c r="F213" s="204" t="s">
        <v>255</v>
      </c>
      <c r="G213" s="151">
        <v>10000.0</v>
      </c>
      <c r="H213" s="135">
        <v>1500000.0</v>
      </c>
      <c r="I213" s="206" t="s">
        <v>238</v>
      </c>
      <c r="J213" s="207">
        <v>975000.0</v>
      </c>
      <c r="K213" s="98" t="s">
        <v>212</v>
      </c>
      <c r="L213" s="58">
        <f t="shared" si="13"/>
        <v>525000</v>
      </c>
    </row>
    <row r="214" ht="15.75" customHeight="1">
      <c r="A214" s="212">
        <v>23.0</v>
      </c>
      <c r="B214" s="112">
        <v>45656.0</v>
      </c>
      <c r="C214" s="17" t="s">
        <v>597</v>
      </c>
      <c r="D214" s="17" t="s">
        <v>604</v>
      </c>
      <c r="E214" s="204" t="s">
        <v>318</v>
      </c>
      <c r="F214" s="204" t="s">
        <v>557</v>
      </c>
      <c r="G214" s="151">
        <v>6600.0</v>
      </c>
      <c r="H214" s="135">
        <v>1889475.0</v>
      </c>
      <c r="I214" s="115" t="s">
        <v>238</v>
      </c>
      <c r="J214" s="135">
        <v>900000.0</v>
      </c>
      <c r="K214" s="98" t="s">
        <v>212</v>
      </c>
      <c r="L214" s="58">
        <f>H206-J214</f>
        <v>873150</v>
      </c>
      <c r="M214" s="149"/>
    </row>
    <row r="215" ht="15.75" customHeight="1">
      <c r="A215" s="212">
        <v>24.0</v>
      </c>
      <c r="B215" s="112">
        <v>45657.0</v>
      </c>
      <c r="C215" s="17" t="s">
        <v>597</v>
      </c>
      <c r="D215" s="17" t="s">
        <v>604</v>
      </c>
      <c r="E215" s="204" t="s">
        <v>383</v>
      </c>
      <c r="F215" s="204" t="s">
        <v>660</v>
      </c>
      <c r="G215" s="151">
        <v>10000.0</v>
      </c>
      <c r="H215" s="202">
        <v>1600000.0</v>
      </c>
      <c r="I215" s="115" t="s">
        <v>238</v>
      </c>
      <c r="J215" s="135">
        <v>975000.0</v>
      </c>
      <c r="K215" s="98" t="s">
        <v>238</v>
      </c>
      <c r="L215" s="58">
        <f>H215-J215</f>
        <v>625000</v>
      </c>
      <c r="M215" s="150"/>
    </row>
    <row r="216" ht="15.75" customHeight="1">
      <c r="A216" s="203"/>
      <c r="E216" s="169"/>
      <c r="F216" s="169"/>
      <c r="G216" s="170"/>
      <c r="H216" s="202"/>
      <c r="I216" s="97"/>
      <c r="J216" s="202"/>
      <c r="K216" s="17"/>
      <c r="L216" s="52">
        <f>SUM(L192:L215)</f>
        <v>17189825</v>
      </c>
      <c r="M216" s="194">
        <f>SUM(M192:M211)</f>
        <v>2951000</v>
      </c>
    </row>
    <row r="217" ht="15.75" customHeight="1">
      <c r="A217" s="203"/>
      <c r="E217" s="169"/>
      <c r="F217" s="169"/>
      <c r="G217" s="170"/>
      <c r="H217" s="202"/>
      <c r="I217" s="97"/>
      <c r="J217" s="202"/>
      <c r="K217" s="17"/>
      <c r="L217" s="33">
        <f>L216-M216</f>
        <v>14238825</v>
      </c>
      <c r="M217" s="101"/>
    </row>
    <row r="218" ht="15.75" customHeight="1">
      <c r="A218" s="203"/>
      <c r="E218" s="169"/>
      <c r="F218" s="169"/>
      <c r="G218" s="170"/>
      <c r="H218" s="202"/>
      <c r="I218" s="97"/>
      <c r="J218" s="202"/>
      <c r="K218" s="17"/>
      <c r="M218" s="149"/>
    </row>
    <row r="219" ht="15.75" customHeight="1">
      <c r="A219" s="89" t="s">
        <v>209</v>
      </c>
      <c r="B219" s="89" t="s">
        <v>0</v>
      </c>
      <c r="C219" s="89" t="s">
        <v>1</v>
      </c>
      <c r="D219" s="89" t="s">
        <v>2</v>
      </c>
      <c r="E219" s="90" t="s">
        <v>3</v>
      </c>
      <c r="F219" s="89" t="s">
        <v>4</v>
      </c>
      <c r="G219" s="91" t="s">
        <v>5</v>
      </c>
      <c r="H219" s="119" t="s">
        <v>6</v>
      </c>
      <c r="I219" s="92" t="s">
        <v>39</v>
      </c>
      <c r="J219" s="119" t="s">
        <v>7</v>
      </c>
      <c r="K219" s="91" t="s">
        <v>39</v>
      </c>
      <c r="L219" s="92" t="s">
        <v>8</v>
      </c>
      <c r="M219" s="120" t="s">
        <v>9</v>
      </c>
    </row>
    <row r="220" ht="15.75" customHeight="1">
      <c r="A220" s="203">
        <v>1.0</v>
      </c>
      <c r="B220" s="112">
        <v>45659.0</v>
      </c>
      <c r="C220" s="17" t="s">
        <v>597</v>
      </c>
      <c r="D220" s="17" t="s">
        <v>604</v>
      </c>
      <c r="E220" s="204" t="s">
        <v>242</v>
      </c>
      <c r="F220" s="151" t="s">
        <v>348</v>
      </c>
      <c r="G220" s="151">
        <v>10000.0</v>
      </c>
      <c r="H220" s="106">
        <v>1000000.0</v>
      </c>
      <c r="I220" s="108" t="s">
        <v>238</v>
      </c>
      <c r="J220" s="61">
        <v>500000.0</v>
      </c>
      <c r="K220" s="98" t="s">
        <v>238</v>
      </c>
      <c r="L220" s="58">
        <f t="shared" ref="L220:L234" si="14">H220-J220</f>
        <v>500000</v>
      </c>
      <c r="M220" s="149"/>
    </row>
    <row r="221" ht="15.75" customHeight="1">
      <c r="A221" s="212">
        <v>2.0</v>
      </c>
      <c r="B221" s="112">
        <v>45660.0</v>
      </c>
      <c r="C221" s="17" t="s">
        <v>597</v>
      </c>
      <c r="D221" s="17" t="s">
        <v>604</v>
      </c>
      <c r="E221" s="204" t="s">
        <v>514</v>
      </c>
      <c r="F221" s="204" t="s">
        <v>316</v>
      </c>
      <c r="G221" s="151">
        <v>9000.0</v>
      </c>
      <c r="H221" s="150">
        <v>720000.0</v>
      </c>
      <c r="I221" s="108" t="s">
        <v>238</v>
      </c>
      <c r="J221" s="150">
        <v>350000.0</v>
      </c>
      <c r="K221" s="98" t="s">
        <v>238</v>
      </c>
      <c r="L221" s="58">
        <f t="shared" si="14"/>
        <v>370000</v>
      </c>
      <c r="M221" s="149"/>
    </row>
    <row r="222" ht="15.75" customHeight="1">
      <c r="A222" s="212">
        <v>3.0</v>
      </c>
      <c r="B222" s="112">
        <v>45660.0</v>
      </c>
      <c r="C222" s="17" t="s">
        <v>597</v>
      </c>
      <c r="D222" s="17" t="s">
        <v>604</v>
      </c>
      <c r="E222" s="204" t="s">
        <v>256</v>
      </c>
      <c r="F222" s="204" t="s">
        <v>271</v>
      </c>
      <c r="G222" s="151">
        <v>9000.0</v>
      </c>
      <c r="H222" s="58">
        <v>675000.0</v>
      </c>
      <c r="I222" s="108" t="s">
        <v>238</v>
      </c>
      <c r="J222" s="60">
        <v>375000.0</v>
      </c>
      <c r="K222" s="98" t="s">
        <v>238</v>
      </c>
      <c r="L222" s="58">
        <f t="shared" si="14"/>
        <v>300000</v>
      </c>
      <c r="M222" s="149"/>
    </row>
    <row r="223" ht="15.75" customHeight="1">
      <c r="A223" s="212">
        <v>4.0</v>
      </c>
      <c r="B223" s="112">
        <v>45661.0</v>
      </c>
      <c r="C223" s="17" t="s">
        <v>597</v>
      </c>
      <c r="D223" s="17" t="s">
        <v>604</v>
      </c>
      <c r="E223" s="204" t="s">
        <v>282</v>
      </c>
      <c r="F223" s="98" t="s">
        <v>670</v>
      </c>
      <c r="G223" s="57"/>
      <c r="H223" s="121">
        <v>1204000.0</v>
      </c>
      <c r="I223" s="122" t="s">
        <v>238</v>
      </c>
      <c r="J223" s="121">
        <v>640000.0</v>
      </c>
      <c r="K223" s="98" t="s">
        <v>238</v>
      </c>
      <c r="L223" s="58">
        <f t="shared" si="14"/>
        <v>564000</v>
      </c>
      <c r="M223" s="150">
        <v>30000.0</v>
      </c>
    </row>
    <row r="224" ht="15.75" customHeight="1">
      <c r="A224" s="212">
        <v>5.0</v>
      </c>
      <c r="B224" s="112">
        <v>45663.0</v>
      </c>
      <c r="C224" s="17" t="s">
        <v>597</v>
      </c>
      <c r="D224" s="17" t="s">
        <v>604</v>
      </c>
      <c r="E224" s="204" t="s">
        <v>307</v>
      </c>
      <c r="F224" s="204" t="s">
        <v>319</v>
      </c>
      <c r="G224" s="151">
        <v>5000.0</v>
      </c>
      <c r="H224" s="135">
        <v>1492800.0</v>
      </c>
      <c r="I224" s="122" t="s">
        <v>238</v>
      </c>
      <c r="J224" s="135">
        <v>900000.0</v>
      </c>
      <c r="K224" s="98" t="s">
        <v>238</v>
      </c>
      <c r="L224" s="58">
        <f t="shared" si="14"/>
        <v>592800</v>
      </c>
      <c r="M224" s="150">
        <v>315000.0</v>
      </c>
    </row>
    <row r="225" ht="15.75" customHeight="1">
      <c r="A225" s="212">
        <v>6.0</v>
      </c>
      <c r="B225" s="112">
        <v>45664.0</v>
      </c>
      <c r="C225" s="17" t="s">
        <v>597</v>
      </c>
      <c r="D225" s="17" t="s">
        <v>604</v>
      </c>
      <c r="E225" s="204" t="s">
        <v>256</v>
      </c>
      <c r="F225" s="204" t="s">
        <v>292</v>
      </c>
      <c r="G225" s="151">
        <v>9000.0</v>
      </c>
      <c r="H225" s="58">
        <v>1100000.0</v>
      </c>
      <c r="I225" s="108" t="s">
        <v>238</v>
      </c>
      <c r="J225" s="58">
        <v>650000.0</v>
      </c>
      <c r="K225" s="98" t="s">
        <v>238</v>
      </c>
      <c r="L225" s="58">
        <f t="shared" si="14"/>
        <v>450000</v>
      </c>
      <c r="M225" s="149"/>
    </row>
    <row r="226" ht="15.75" customHeight="1">
      <c r="A226" s="212">
        <v>7.0</v>
      </c>
      <c r="B226" s="112">
        <v>45665.0</v>
      </c>
      <c r="C226" s="17" t="s">
        <v>597</v>
      </c>
      <c r="D226" s="17" t="s">
        <v>604</v>
      </c>
      <c r="E226" s="204" t="s">
        <v>307</v>
      </c>
      <c r="F226" s="204" t="s">
        <v>319</v>
      </c>
      <c r="G226" s="151">
        <v>5000.0</v>
      </c>
      <c r="H226" s="58">
        <v>1498887.0</v>
      </c>
      <c r="I226" s="115" t="s">
        <v>238</v>
      </c>
      <c r="J226" s="135">
        <v>900000.0</v>
      </c>
      <c r="K226" s="98" t="s">
        <v>238</v>
      </c>
      <c r="L226" s="58">
        <f t="shared" si="14"/>
        <v>598887</v>
      </c>
      <c r="M226" s="149"/>
    </row>
    <row r="227" ht="15.75" customHeight="1">
      <c r="A227" s="212">
        <v>8.0</v>
      </c>
      <c r="B227" s="112">
        <v>45667.0</v>
      </c>
      <c r="C227" s="17" t="s">
        <v>597</v>
      </c>
      <c r="D227" s="17" t="s">
        <v>604</v>
      </c>
      <c r="E227" s="204" t="s">
        <v>254</v>
      </c>
      <c r="F227" s="204" t="s">
        <v>512</v>
      </c>
      <c r="G227" s="151">
        <v>10000.0</v>
      </c>
      <c r="H227" s="150">
        <v>1000000.0</v>
      </c>
      <c r="I227" s="115" t="s">
        <v>238</v>
      </c>
      <c r="J227" s="150">
        <v>500000.0</v>
      </c>
      <c r="K227" s="98" t="s">
        <v>238</v>
      </c>
      <c r="L227" s="58">
        <f t="shared" si="14"/>
        <v>500000</v>
      </c>
      <c r="M227" s="149"/>
    </row>
    <row r="228" ht="15.75" customHeight="1">
      <c r="A228" s="212">
        <v>9.0</v>
      </c>
      <c r="B228" s="112">
        <v>45667.0</v>
      </c>
      <c r="C228" s="17" t="s">
        <v>597</v>
      </c>
      <c r="D228" s="17" t="s">
        <v>604</v>
      </c>
      <c r="E228" s="204" t="s">
        <v>80</v>
      </c>
      <c r="F228" s="204" t="s">
        <v>271</v>
      </c>
      <c r="G228" s="151">
        <v>9000.0</v>
      </c>
      <c r="H228" s="58">
        <v>675000.0</v>
      </c>
      <c r="I228" s="108" t="s">
        <v>238</v>
      </c>
      <c r="J228" s="60">
        <v>375000.0</v>
      </c>
      <c r="K228" s="98" t="s">
        <v>238</v>
      </c>
      <c r="L228" s="58">
        <f t="shared" si="14"/>
        <v>300000</v>
      </c>
      <c r="M228" s="150">
        <v>250000.0</v>
      </c>
      <c r="N228" s="205" t="s">
        <v>671</v>
      </c>
    </row>
    <row r="229" ht="15.75" customHeight="1">
      <c r="A229" s="212">
        <v>10.0</v>
      </c>
      <c r="B229" s="112">
        <v>45668.0</v>
      </c>
      <c r="C229" s="17" t="s">
        <v>597</v>
      </c>
      <c r="D229" s="17" t="s">
        <v>604</v>
      </c>
      <c r="E229" s="204" t="s">
        <v>279</v>
      </c>
      <c r="F229" s="204" t="s">
        <v>255</v>
      </c>
      <c r="G229" s="151">
        <v>10000.0</v>
      </c>
      <c r="H229" s="135">
        <v>1500000.0</v>
      </c>
      <c r="I229" s="206" t="s">
        <v>238</v>
      </c>
      <c r="J229" s="207">
        <v>975000.0</v>
      </c>
      <c r="K229" s="98" t="s">
        <v>238</v>
      </c>
      <c r="L229" s="58">
        <f t="shared" si="14"/>
        <v>525000</v>
      </c>
      <c r="M229" s="149"/>
    </row>
    <row r="230" ht="15.75" customHeight="1">
      <c r="A230" s="212">
        <v>11.0</v>
      </c>
      <c r="B230" s="112">
        <v>45670.0</v>
      </c>
      <c r="C230" s="17" t="s">
        <v>597</v>
      </c>
      <c r="D230" s="17" t="s">
        <v>604</v>
      </c>
      <c r="E230" s="204" t="s">
        <v>672</v>
      </c>
      <c r="F230" s="17" t="s">
        <v>640</v>
      </c>
      <c r="G230" s="87">
        <v>0.0</v>
      </c>
      <c r="H230" s="58">
        <v>1300000.0</v>
      </c>
      <c r="I230" s="108" t="s">
        <v>238</v>
      </c>
      <c r="J230" s="58">
        <v>750000.0</v>
      </c>
      <c r="K230" s="98" t="s">
        <v>238</v>
      </c>
      <c r="L230" s="58">
        <f t="shared" si="14"/>
        <v>550000</v>
      </c>
      <c r="M230" s="149"/>
    </row>
    <row r="231" ht="15.75" customHeight="1">
      <c r="A231" s="212">
        <v>12.0</v>
      </c>
      <c r="B231" s="112">
        <v>45671.0</v>
      </c>
      <c r="C231" s="17" t="s">
        <v>597</v>
      </c>
      <c r="D231" s="17" t="s">
        <v>604</v>
      </c>
      <c r="E231" s="204" t="s">
        <v>273</v>
      </c>
      <c r="F231" s="204" t="s">
        <v>673</v>
      </c>
      <c r="G231" s="151">
        <v>9000.0</v>
      </c>
      <c r="H231" s="107">
        <v>1450000.0</v>
      </c>
      <c r="I231" s="108" t="s">
        <v>212</v>
      </c>
      <c r="J231" s="109">
        <v>925000.0</v>
      </c>
      <c r="K231" s="98" t="s">
        <v>238</v>
      </c>
      <c r="L231" s="58">
        <f t="shared" si="14"/>
        <v>525000</v>
      </c>
      <c r="M231" s="149"/>
    </row>
    <row r="232" ht="15.75" customHeight="1">
      <c r="A232" s="212">
        <v>13.0</v>
      </c>
      <c r="B232" s="112">
        <v>45672.0</v>
      </c>
      <c r="C232" s="17" t="s">
        <v>597</v>
      </c>
      <c r="D232" s="17" t="s">
        <v>604</v>
      </c>
      <c r="E232" s="204" t="s">
        <v>242</v>
      </c>
      <c r="F232" s="204" t="s">
        <v>324</v>
      </c>
      <c r="G232" s="151">
        <v>9000.0</v>
      </c>
      <c r="H232" s="104">
        <v>675000.0</v>
      </c>
      <c r="I232" s="108" t="s">
        <v>212</v>
      </c>
      <c r="J232" s="104">
        <v>350000.0</v>
      </c>
      <c r="K232" s="98" t="s">
        <v>212</v>
      </c>
      <c r="L232" s="58">
        <f t="shared" si="14"/>
        <v>325000</v>
      </c>
      <c r="M232" s="149"/>
    </row>
    <row r="233" ht="15.75" customHeight="1">
      <c r="A233" s="212">
        <v>14.0</v>
      </c>
      <c r="B233" s="112">
        <v>45673.0</v>
      </c>
      <c r="C233" s="17" t="s">
        <v>597</v>
      </c>
      <c r="D233" s="17" t="s">
        <v>604</v>
      </c>
      <c r="E233" s="204" t="s">
        <v>347</v>
      </c>
      <c r="F233" s="204" t="s">
        <v>319</v>
      </c>
      <c r="G233" s="151">
        <v>7300.0</v>
      </c>
      <c r="H233" s="135">
        <v>2181150.0</v>
      </c>
      <c r="I233" s="115" t="s">
        <v>238</v>
      </c>
      <c r="J233" s="135">
        <v>900000.0</v>
      </c>
      <c r="K233" s="98" t="s">
        <v>212</v>
      </c>
      <c r="L233" s="58">
        <f t="shared" si="14"/>
        <v>1281150</v>
      </c>
      <c r="M233" s="150"/>
      <c r="N233" s="205" t="s">
        <v>674</v>
      </c>
    </row>
    <row r="234" ht="15.75" customHeight="1">
      <c r="A234" s="212">
        <v>15.0</v>
      </c>
      <c r="B234" s="112">
        <v>45675.0</v>
      </c>
      <c r="C234" s="17" t="s">
        <v>597</v>
      </c>
      <c r="D234" s="17" t="s">
        <v>604</v>
      </c>
      <c r="E234" s="204" t="s">
        <v>254</v>
      </c>
      <c r="F234" s="204" t="s">
        <v>278</v>
      </c>
      <c r="G234" s="151">
        <v>10000.0</v>
      </c>
      <c r="H234" s="150">
        <v>675000.0</v>
      </c>
      <c r="I234" s="115" t="s">
        <v>238</v>
      </c>
      <c r="J234" s="150">
        <v>425000.0</v>
      </c>
      <c r="K234" s="98" t="s">
        <v>238</v>
      </c>
      <c r="L234" s="58">
        <f t="shared" si="14"/>
        <v>250000</v>
      </c>
      <c r="M234" s="149"/>
    </row>
    <row r="235" ht="15.75" customHeight="1">
      <c r="A235" s="212">
        <v>16.0</v>
      </c>
      <c r="B235" s="112">
        <v>45677.0</v>
      </c>
      <c r="C235" s="17" t="s">
        <v>597</v>
      </c>
      <c r="D235" s="17" t="s">
        <v>604</v>
      </c>
      <c r="E235" s="204" t="s">
        <v>307</v>
      </c>
      <c r="F235" s="204" t="s">
        <v>319</v>
      </c>
      <c r="G235" s="151">
        <v>5000.0</v>
      </c>
      <c r="H235" s="135">
        <v>2494000.0</v>
      </c>
      <c r="I235" s="115" t="s">
        <v>675</v>
      </c>
      <c r="J235" s="135">
        <v>900000.0</v>
      </c>
      <c r="K235" s="98" t="s">
        <v>238</v>
      </c>
      <c r="L235" s="58">
        <f>H233-J235</f>
        <v>1281150</v>
      </c>
      <c r="M235" s="149"/>
    </row>
    <row r="236" ht="15.75" customHeight="1">
      <c r="A236" s="212">
        <v>17.0</v>
      </c>
      <c r="B236" s="112">
        <v>45678.0</v>
      </c>
      <c r="C236" s="17" t="s">
        <v>597</v>
      </c>
      <c r="D236" s="17" t="s">
        <v>604</v>
      </c>
      <c r="E236" s="204" t="s">
        <v>273</v>
      </c>
      <c r="F236" s="204" t="s">
        <v>511</v>
      </c>
      <c r="G236" s="151">
        <v>10000.0</v>
      </c>
      <c r="H236" s="121">
        <v>1500000.0</v>
      </c>
      <c r="I236" s="115" t="s">
        <v>238</v>
      </c>
      <c r="J236" s="121">
        <v>325000.0</v>
      </c>
      <c r="K236" s="212" t="s">
        <v>238</v>
      </c>
      <c r="L236" s="127">
        <f t="shared" ref="L236:L242" si="15">H236-J236</f>
        <v>1175000</v>
      </c>
      <c r="M236" s="150">
        <v>105000.0</v>
      </c>
    </row>
    <row r="237" ht="15.75" customHeight="1">
      <c r="A237" s="212">
        <v>18.0</v>
      </c>
      <c r="B237" s="112">
        <v>45679.0</v>
      </c>
      <c r="C237" s="17" t="s">
        <v>597</v>
      </c>
      <c r="D237" s="17" t="s">
        <v>604</v>
      </c>
      <c r="E237" s="204" t="s">
        <v>273</v>
      </c>
      <c r="F237" s="204" t="s">
        <v>676</v>
      </c>
      <c r="G237" s="151">
        <v>10000.0</v>
      </c>
      <c r="H237" s="202">
        <v>1300000.0</v>
      </c>
      <c r="I237" s="115" t="s">
        <v>238</v>
      </c>
      <c r="J237" s="202">
        <f>690000+25000</f>
        <v>715000</v>
      </c>
      <c r="K237" s="98" t="s">
        <v>212</v>
      </c>
      <c r="L237" s="127">
        <f t="shared" si="15"/>
        <v>585000</v>
      </c>
      <c r="M237" s="149"/>
    </row>
    <row r="238" ht="15.75" customHeight="1">
      <c r="A238" s="212">
        <v>19.0</v>
      </c>
      <c r="B238" s="112">
        <v>45680.0</v>
      </c>
      <c r="C238" s="17" t="s">
        <v>597</v>
      </c>
      <c r="D238" s="17" t="s">
        <v>604</v>
      </c>
      <c r="E238" s="204" t="s">
        <v>282</v>
      </c>
      <c r="F238" s="204" t="s">
        <v>510</v>
      </c>
      <c r="G238" s="110" t="s">
        <v>284</v>
      </c>
      <c r="H238" s="121">
        <v>1600000.0</v>
      </c>
      <c r="I238" s="122" t="s">
        <v>238</v>
      </c>
      <c r="J238" s="121">
        <v>665000.0</v>
      </c>
      <c r="K238" s="98" t="s">
        <v>238</v>
      </c>
      <c r="L238" s="58">
        <f t="shared" si="15"/>
        <v>935000</v>
      </c>
      <c r="M238" s="149"/>
    </row>
    <row r="239" ht="15.75" customHeight="1">
      <c r="A239" s="212">
        <v>20.0</v>
      </c>
      <c r="B239" s="112">
        <v>45681.0</v>
      </c>
      <c r="C239" s="17" t="s">
        <v>597</v>
      </c>
      <c r="D239" s="17" t="s">
        <v>604</v>
      </c>
      <c r="E239" s="204" t="s">
        <v>280</v>
      </c>
      <c r="F239" s="204" t="s">
        <v>281</v>
      </c>
      <c r="G239" s="151">
        <v>9000.0</v>
      </c>
      <c r="H239" s="104">
        <v>1440000.0</v>
      </c>
      <c r="I239" s="115" t="s">
        <v>238</v>
      </c>
      <c r="J239" s="121">
        <v>900000.0</v>
      </c>
      <c r="K239" s="98" t="s">
        <v>238</v>
      </c>
      <c r="L239" s="58">
        <f t="shared" si="15"/>
        <v>540000</v>
      </c>
      <c r="M239" s="150">
        <v>130000.0</v>
      </c>
    </row>
    <row r="240" ht="15.75" customHeight="1">
      <c r="A240" s="212">
        <v>21.0</v>
      </c>
      <c r="B240" s="112">
        <v>45685.0</v>
      </c>
      <c r="C240" s="17" t="s">
        <v>597</v>
      </c>
      <c r="D240" s="17" t="s">
        <v>604</v>
      </c>
      <c r="E240" s="204" t="s">
        <v>254</v>
      </c>
      <c r="F240" s="204" t="s">
        <v>677</v>
      </c>
      <c r="G240" s="151">
        <v>10000.0</v>
      </c>
      <c r="H240" s="150">
        <v>1000000.0</v>
      </c>
      <c r="I240" s="115" t="s">
        <v>238</v>
      </c>
      <c r="J240" s="150">
        <v>500000.0</v>
      </c>
      <c r="K240" s="98" t="s">
        <v>238</v>
      </c>
      <c r="L240" s="58">
        <f t="shared" si="15"/>
        <v>500000</v>
      </c>
      <c r="M240" s="150">
        <v>60000.0</v>
      </c>
    </row>
    <row r="241" ht="15.75" customHeight="1">
      <c r="A241" s="212">
        <v>22.0</v>
      </c>
      <c r="B241" s="112">
        <v>45687.0</v>
      </c>
      <c r="C241" s="17" t="s">
        <v>597</v>
      </c>
      <c r="D241" s="17" t="s">
        <v>604</v>
      </c>
      <c r="E241" s="204" t="s">
        <v>678</v>
      </c>
      <c r="F241" s="204" t="s">
        <v>507</v>
      </c>
      <c r="G241" s="151">
        <v>10000.0</v>
      </c>
      <c r="H241" s="106">
        <v>1000000.0</v>
      </c>
      <c r="I241" s="108" t="s">
        <v>238</v>
      </c>
      <c r="J241" s="61">
        <v>500000.0</v>
      </c>
      <c r="K241" s="98" t="s">
        <v>238</v>
      </c>
      <c r="L241" s="58">
        <f t="shared" si="15"/>
        <v>500000</v>
      </c>
      <c r="M241" s="149"/>
    </row>
    <row r="242" ht="15.75" customHeight="1">
      <c r="A242" s="212">
        <v>23.0</v>
      </c>
      <c r="B242" s="112">
        <v>45688.0</v>
      </c>
      <c r="C242" s="17" t="s">
        <v>597</v>
      </c>
      <c r="D242" s="17" t="s">
        <v>604</v>
      </c>
      <c r="E242" s="204" t="s">
        <v>679</v>
      </c>
      <c r="F242" s="204" t="s">
        <v>680</v>
      </c>
      <c r="G242" s="151">
        <v>10000.0</v>
      </c>
      <c r="H242" s="135">
        <v>2993700.0</v>
      </c>
      <c r="I242" s="108" t="s">
        <v>238</v>
      </c>
      <c r="J242" s="135">
        <v>1000000.0</v>
      </c>
      <c r="K242" s="98" t="s">
        <v>238</v>
      </c>
      <c r="L242" s="58">
        <f t="shared" si="15"/>
        <v>1993700</v>
      </c>
      <c r="M242" s="149"/>
    </row>
    <row r="243" ht="15.75" customHeight="1">
      <c r="A243" s="203"/>
      <c r="E243" s="169"/>
      <c r="F243" s="169"/>
      <c r="G243" s="170"/>
      <c r="H243" s="202"/>
      <c r="I243" s="97"/>
      <c r="J243" s="202"/>
      <c r="K243" s="17"/>
      <c r="L243" s="52">
        <f t="shared" ref="L243:M243" si="16">SUM(L220:L242)</f>
        <v>15141687</v>
      </c>
      <c r="M243" s="30">
        <f t="shared" si="16"/>
        <v>890000</v>
      </c>
    </row>
    <row r="244" ht="15.75" customHeight="1">
      <c r="A244" s="203"/>
      <c r="E244" s="169"/>
      <c r="F244" s="169"/>
      <c r="G244" s="170"/>
      <c r="H244" s="202"/>
      <c r="I244" s="97"/>
      <c r="J244" s="202"/>
      <c r="K244" s="17"/>
      <c r="L244" s="33">
        <f>L243-M243</f>
        <v>14251687</v>
      </c>
      <c r="M244" s="26"/>
    </row>
    <row r="245" ht="15.75" customHeight="1">
      <c r="A245" s="203"/>
      <c r="E245" s="169"/>
      <c r="F245" s="169"/>
      <c r="G245" s="170"/>
      <c r="H245" s="202"/>
      <c r="I245" s="97"/>
      <c r="J245" s="202"/>
      <c r="K245" s="17"/>
      <c r="M245" s="149"/>
    </row>
    <row r="246" ht="15.75" customHeight="1">
      <c r="A246" s="89" t="s">
        <v>209</v>
      </c>
      <c r="B246" s="89" t="s">
        <v>0</v>
      </c>
      <c r="C246" s="89" t="s">
        <v>1</v>
      </c>
      <c r="D246" s="89" t="s">
        <v>2</v>
      </c>
      <c r="E246" s="90" t="s">
        <v>3</v>
      </c>
      <c r="F246" s="89" t="s">
        <v>4</v>
      </c>
      <c r="G246" s="91" t="s">
        <v>5</v>
      </c>
      <c r="H246" s="119" t="s">
        <v>6</v>
      </c>
      <c r="I246" s="92" t="s">
        <v>39</v>
      </c>
      <c r="J246" s="119" t="s">
        <v>7</v>
      </c>
      <c r="K246" s="91" t="s">
        <v>39</v>
      </c>
      <c r="L246" s="92" t="s">
        <v>8</v>
      </c>
      <c r="M246" s="120" t="s">
        <v>9</v>
      </c>
    </row>
    <row r="247" ht="15.75" customHeight="1">
      <c r="A247" s="203">
        <v>1.0</v>
      </c>
      <c r="B247" s="112">
        <v>45689.0</v>
      </c>
      <c r="C247" s="17" t="s">
        <v>597</v>
      </c>
      <c r="D247" s="17" t="s">
        <v>604</v>
      </c>
      <c r="E247" s="204" t="s">
        <v>273</v>
      </c>
      <c r="F247" s="204" t="s">
        <v>259</v>
      </c>
      <c r="G247" s="151">
        <v>10000.0</v>
      </c>
      <c r="H247" s="104">
        <v>1500000.0</v>
      </c>
      <c r="I247" s="115" t="s">
        <v>238</v>
      </c>
      <c r="J247" s="121">
        <v>875000.0</v>
      </c>
      <c r="K247" s="98" t="s">
        <v>238</v>
      </c>
      <c r="L247" s="127">
        <f t="shared" ref="L247:L266" si="17">H247-J247</f>
        <v>625000</v>
      </c>
      <c r="M247" s="149"/>
    </row>
    <row r="248" ht="15.75" customHeight="1">
      <c r="A248" s="212">
        <v>2.0</v>
      </c>
      <c r="B248" s="112">
        <v>45691.0</v>
      </c>
      <c r="C248" s="17" t="s">
        <v>597</v>
      </c>
      <c r="D248" s="17" t="s">
        <v>604</v>
      </c>
      <c r="E248" s="204" t="s">
        <v>80</v>
      </c>
      <c r="F248" s="204" t="s">
        <v>271</v>
      </c>
      <c r="G248" s="151">
        <v>9000.0</v>
      </c>
      <c r="H248" s="58">
        <v>675000.0</v>
      </c>
      <c r="I248" s="108" t="s">
        <v>238</v>
      </c>
      <c r="J248" s="60">
        <v>375000.0</v>
      </c>
      <c r="K248" s="98" t="s">
        <v>238</v>
      </c>
      <c r="L248" s="127">
        <f t="shared" si="17"/>
        <v>300000</v>
      </c>
      <c r="M248" s="150">
        <v>1135000.0</v>
      </c>
      <c r="N248" s="205"/>
    </row>
    <row r="249" ht="15.75" customHeight="1">
      <c r="A249" s="212">
        <v>3.0</v>
      </c>
      <c r="B249" s="112">
        <v>45692.0</v>
      </c>
      <c r="C249" s="17" t="s">
        <v>597</v>
      </c>
      <c r="D249" s="17" t="s">
        <v>604</v>
      </c>
      <c r="E249" s="204" t="s">
        <v>273</v>
      </c>
      <c r="F249" s="204" t="s">
        <v>287</v>
      </c>
      <c r="G249" s="151">
        <v>9000.0</v>
      </c>
      <c r="H249" s="149">
        <v>1200000.0</v>
      </c>
      <c r="I249" s="108" t="s">
        <v>212</v>
      </c>
      <c r="J249" s="150">
        <v>715000.0</v>
      </c>
      <c r="K249" s="98" t="s">
        <v>238</v>
      </c>
      <c r="L249" s="127">
        <f t="shared" si="17"/>
        <v>485000</v>
      </c>
      <c r="M249" s="150">
        <v>318000.0</v>
      </c>
    </row>
    <row r="250" ht="15.75" customHeight="1">
      <c r="A250" s="212">
        <v>4.0</v>
      </c>
      <c r="B250" s="112">
        <v>45693.0</v>
      </c>
      <c r="C250" s="17" t="s">
        <v>597</v>
      </c>
      <c r="D250" s="17" t="s">
        <v>604</v>
      </c>
      <c r="E250" s="204" t="s">
        <v>279</v>
      </c>
      <c r="F250" s="204" t="s">
        <v>303</v>
      </c>
      <c r="G250" s="110">
        <v>9000.0</v>
      </c>
      <c r="H250" s="202">
        <v>1215000.0</v>
      </c>
      <c r="I250" s="206" t="s">
        <v>238</v>
      </c>
      <c r="J250" s="172">
        <v>700000.0</v>
      </c>
      <c r="K250" s="98" t="s">
        <v>238</v>
      </c>
      <c r="L250" s="127">
        <f t="shared" si="17"/>
        <v>515000</v>
      </c>
      <c r="M250" s="149"/>
    </row>
    <row r="251" ht="15.75" customHeight="1">
      <c r="A251" s="212">
        <v>5.0</v>
      </c>
      <c r="B251" s="112">
        <v>45694.0</v>
      </c>
      <c r="C251" s="17" t="s">
        <v>597</v>
      </c>
      <c r="D251" s="17" t="s">
        <v>604</v>
      </c>
      <c r="E251" s="204" t="s">
        <v>282</v>
      </c>
      <c r="F251" s="204" t="s">
        <v>670</v>
      </c>
      <c r="G251" s="110" t="s">
        <v>681</v>
      </c>
      <c r="H251" s="121">
        <v>1600000.0</v>
      </c>
      <c r="I251" s="115" t="s">
        <v>238</v>
      </c>
      <c r="J251" s="121">
        <v>665000.0</v>
      </c>
      <c r="K251" s="98" t="s">
        <v>238</v>
      </c>
      <c r="L251" s="127">
        <f t="shared" si="17"/>
        <v>935000</v>
      </c>
    </row>
    <row r="252" ht="15.75" customHeight="1">
      <c r="A252" s="212">
        <v>6.0</v>
      </c>
      <c r="B252" s="142">
        <v>45695.0</v>
      </c>
      <c r="C252" s="17" t="s">
        <v>597</v>
      </c>
      <c r="D252" s="17" t="s">
        <v>604</v>
      </c>
      <c r="E252" s="210" t="s">
        <v>242</v>
      </c>
      <c r="F252" s="210" t="s">
        <v>43</v>
      </c>
      <c r="G252" s="151">
        <v>10000.0</v>
      </c>
      <c r="H252" s="104">
        <v>1500000.0</v>
      </c>
      <c r="I252" s="115" t="s">
        <v>238</v>
      </c>
      <c r="J252" s="121">
        <v>850000.0</v>
      </c>
      <c r="K252" s="212" t="s">
        <v>238</v>
      </c>
      <c r="L252" s="127">
        <f t="shared" si="17"/>
        <v>650000</v>
      </c>
      <c r="M252" s="150">
        <v>795000.0</v>
      </c>
    </row>
    <row r="253" ht="15.75" customHeight="1">
      <c r="A253" s="212">
        <v>7.0</v>
      </c>
      <c r="B253" s="142">
        <v>45698.0</v>
      </c>
      <c r="C253" s="17" t="s">
        <v>597</v>
      </c>
      <c r="D253" s="17" t="s">
        <v>604</v>
      </c>
      <c r="E253" s="204" t="s">
        <v>123</v>
      </c>
      <c r="F253" s="204" t="s">
        <v>585</v>
      </c>
      <c r="G253" s="151">
        <v>9000.0</v>
      </c>
      <c r="H253" s="135">
        <v>1350000.0</v>
      </c>
      <c r="I253" s="108" t="s">
        <v>212</v>
      </c>
      <c r="J253" s="121">
        <v>850000.0</v>
      </c>
      <c r="K253" s="212" t="s">
        <v>238</v>
      </c>
      <c r="L253" s="127">
        <f t="shared" si="17"/>
        <v>500000</v>
      </c>
      <c r="M253" s="149"/>
    </row>
    <row r="254" ht="15.75" customHeight="1">
      <c r="A254" s="212">
        <v>8.0</v>
      </c>
      <c r="B254" s="142">
        <v>45700.0</v>
      </c>
      <c r="C254" s="17" t="s">
        <v>597</v>
      </c>
      <c r="D254" s="17" t="s">
        <v>604</v>
      </c>
      <c r="E254" s="204" t="s">
        <v>307</v>
      </c>
      <c r="F254" s="210" t="s">
        <v>319</v>
      </c>
      <c r="G254" s="151">
        <v>5000.0</v>
      </c>
      <c r="H254" s="135">
        <v>2490700.0</v>
      </c>
      <c r="I254" s="115" t="s">
        <v>675</v>
      </c>
      <c r="J254" s="135">
        <v>900000.0</v>
      </c>
      <c r="K254" s="212" t="s">
        <v>238</v>
      </c>
      <c r="L254" s="127">
        <f t="shared" si="17"/>
        <v>1590700</v>
      </c>
      <c r="M254" s="150">
        <v>128000.0</v>
      </c>
      <c r="N254" s="205" t="s">
        <v>682</v>
      </c>
    </row>
    <row r="255" ht="15.75" customHeight="1">
      <c r="A255" s="212">
        <v>9.0</v>
      </c>
      <c r="B255" s="142">
        <v>45701.0</v>
      </c>
      <c r="C255" s="17" t="s">
        <v>597</v>
      </c>
      <c r="D255" s="17" t="s">
        <v>604</v>
      </c>
      <c r="E255" s="204" t="s">
        <v>347</v>
      </c>
      <c r="F255" s="210" t="s">
        <v>319</v>
      </c>
      <c r="G255" s="151">
        <v>5000.0</v>
      </c>
      <c r="H255" s="135">
        <v>2156700.0</v>
      </c>
      <c r="I255" s="115" t="s">
        <v>675</v>
      </c>
      <c r="J255" s="135">
        <v>900000.0</v>
      </c>
      <c r="K255" s="212" t="s">
        <v>238</v>
      </c>
      <c r="L255" s="127">
        <f t="shared" si="17"/>
        <v>1256700</v>
      </c>
      <c r="M255" s="149"/>
    </row>
    <row r="256" ht="15.75" customHeight="1">
      <c r="A256" s="212">
        <v>10.0</v>
      </c>
      <c r="B256" s="142">
        <v>45702.0</v>
      </c>
      <c r="C256" s="17" t="s">
        <v>597</v>
      </c>
      <c r="D256" s="17" t="s">
        <v>604</v>
      </c>
      <c r="E256" s="204" t="s">
        <v>307</v>
      </c>
      <c r="F256" s="210" t="s">
        <v>319</v>
      </c>
      <c r="G256" s="151">
        <v>5000.0</v>
      </c>
      <c r="H256" s="135">
        <v>1494000.0</v>
      </c>
      <c r="I256" s="115" t="s">
        <v>238</v>
      </c>
      <c r="J256" s="135">
        <v>900000.0</v>
      </c>
      <c r="K256" s="98" t="s">
        <v>238</v>
      </c>
      <c r="L256" s="127">
        <f t="shared" si="17"/>
        <v>594000</v>
      </c>
      <c r="M256" s="149"/>
    </row>
    <row r="257" ht="15.75" customHeight="1">
      <c r="A257" s="212">
        <v>11.0</v>
      </c>
      <c r="B257" s="142">
        <v>45703.0</v>
      </c>
      <c r="C257" s="17" t="s">
        <v>597</v>
      </c>
      <c r="D257" s="17" t="s">
        <v>604</v>
      </c>
      <c r="E257" s="204" t="s">
        <v>80</v>
      </c>
      <c r="F257" s="210" t="s">
        <v>271</v>
      </c>
      <c r="G257" s="151">
        <v>9000.0</v>
      </c>
      <c r="H257" s="135">
        <v>675000.0</v>
      </c>
      <c r="I257" s="115" t="s">
        <v>238</v>
      </c>
      <c r="J257" s="135">
        <v>375000.0</v>
      </c>
      <c r="K257" s="98" t="s">
        <v>238</v>
      </c>
      <c r="L257" s="127">
        <f t="shared" si="17"/>
        <v>300000</v>
      </c>
      <c r="M257" s="149"/>
    </row>
    <row r="258" ht="15.75" customHeight="1">
      <c r="A258" s="212">
        <v>12.0</v>
      </c>
      <c r="B258" s="142">
        <v>45705.0</v>
      </c>
      <c r="C258" s="17" t="s">
        <v>597</v>
      </c>
      <c r="D258" s="17" t="s">
        <v>604</v>
      </c>
      <c r="E258" s="204" t="s">
        <v>243</v>
      </c>
      <c r="F258" s="210" t="s">
        <v>260</v>
      </c>
      <c r="G258" s="151">
        <v>10000.0</v>
      </c>
      <c r="H258" s="135">
        <v>1500000.0</v>
      </c>
      <c r="I258" s="115" t="s">
        <v>238</v>
      </c>
      <c r="J258" s="135">
        <v>950000.0</v>
      </c>
      <c r="K258" s="98" t="s">
        <v>238</v>
      </c>
      <c r="L258" s="127">
        <f t="shared" si="17"/>
        <v>550000</v>
      </c>
      <c r="M258" s="149"/>
    </row>
    <row r="259" ht="15.75" customHeight="1">
      <c r="A259" s="212">
        <v>13.0</v>
      </c>
      <c r="B259" s="142">
        <v>45706.0</v>
      </c>
      <c r="C259" s="17" t="s">
        <v>597</v>
      </c>
      <c r="D259" s="17" t="s">
        <v>604</v>
      </c>
      <c r="E259" s="204" t="s">
        <v>242</v>
      </c>
      <c r="F259" s="210" t="s">
        <v>43</v>
      </c>
      <c r="G259" s="151">
        <v>10000.0</v>
      </c>
      <c r="H259" s="107">
        <v>1500000.0</v>
      </c>
      <c r="I259" s="108" t="s">
        <v>238</v>
      </c>
      <c r="J259" s="109">
        <v>850000.0</v>
      </c>
      <c r="K259" s="109" t="s">
        <v>238</v>
      </c>
      <c r="L259" s="127">
        <f t="shared" si="17"/>
        <v>650000</v>
      </c>
      <c r="M259" s="149"/>
    </row>
    <row r="260" ht="15.75" customHeight="1">
      <c r="A260" s="212">
        <v>14.0</v>
      </c>
      <c r="B260" s="142">
        <v>45707.0</v>
      </c>
      <c r="C260" s="17" t="s">
        <v>597</v>
      </c>
      <c r="D260" s="17" t="s">
        <v>604</v>
      </c>
      <c r="E260" s="204" t="s">
        <v>327</v>
      </c>
      <c r="F260" s="210" t="s">
        <v>585</v>
      </c>
      <c r="G260" s="151">
        <v>9000.0</v>
      </c>
      <c r="H260" s="135">
        <v>1350000.0</v>
      </c>
      <c r="I260" s="108" t="s">
        <v>212</v>
      </c>
      <c r="J260" s="135">
        <v>850000.0</v>
      </c>
      <c r="K260" s="109" t="s">
        <v>238</v>
      </c>
      <c r="L260" s="127">
        <f t="shared" si="17"/>
        <v>500000</v>
      </c>
      <c r="M260" s="149"/>
    </row>
    <row r="261" ht="15.75" customHeight="1">
      <c r="A261" s="212">
        <v>15.0</v>
      </c>
      <c r="B261" s="142">
        <v>45709.0</v>
      </c>
      <c r="C261" s="17" t="s">
        <v>597</v>
      </c>
      <c r="D261" s="17" t="s">
        <v>604</v>
      </c>
      <c r="E261" s="204" t="s">
        <v>242</v>
      </c>
      <c r="F261" s="210" t="s">
        <v>43</v>
      </c>
      <c r="G261" s="151">
        <v>10000.0</v>
      </c>
      <c r="H261" s="135">
        <v>1500000.0</v>
      </c>
      <c r="I261" s="115" t="s">
        <v>238</v>
      </c>
      <c r="J261" s="135">
        <v>850000.0</v>
      </c>
      <c r="K261" s="109" t="s">
        <v>238</v>
      </c>
      <c r="L261" s="127">
        <f t="shared" si="17"/>
        <v>650000</v>
      </c>
      <c r="M261" s="149"/>
    </row>
    <row r="262" ht="15.75" customHeight="1">
      <c r="A262" s="212">
        <v>16.0</v>
      </c>
      <c r="B262" s="142">
        <v>45710.0</v>
      </c>
      <c r="C262" s="17" t="s">
        <v>597</v>
      </c>
      <c r="D262" s="17" t="s">
        <v>604</v>
      </c>
      <c r="E262" s="204" t="s">
        <v>683</v>
      </c>
      <c r="F262" s="210" t="s">
        <v>348</v>
      </c>
      <c r="G262" s="151">
        <v>10000.0</v>
      </c>
      <c r="H262" s="135">
        <v>1000000.0</v>
      </c>
      <c r="I262" s="115" t="s">
        <v>238</v>
      </c>
      <c r="J262" s="135">
        <v>500000.0</v>
      </c>
      <c r="K262" s="109" t="s">
        <v>238</v>
      </c>
      <c r="L262" s="127">
        <f t="shared" si="17"/>
        <v>500000</v>
      </c>
      <c r="M262" s="150">
        <v>177500.0</v>
      </c>
    </row>
    <row r="263" ht="15.75" customHeight="1">
      <c r="A263" s="212">
        <v>17.0</v>
      </c>
      <c r="B263" s="142">
        <v>45712.0</v>
      </c>
      <c r="C263" s="17" t="s">
        <v>597</v>
      </c>
      <c r="D263" s="17" t="s">
        <v>604</v>
      </c>
      <c r="E263" s="204" t="s">
        <v>279</v>
      </c>
      <c r="F263" s="210" t="s">
        <v>589</v>
      </c>
      <c r="G263" s="151">
        <v>9000.0</v>
      </c>
      <c r="H263" s="135">
        <v>1305000.0</v>
      </c>
      <c r="I263" s="115" t="s">
        <v>238</v>
      </c>
      <c r="J263" s="135">
        <v>725000.0</v>
      </c>
      <c r="K263" s="98" t="s">
        <v>238</v>
      </c>
      <c r="L263" s="127">
        <f t="shared" si="17"/>
        <v>580000</v>
      </c>
      <c r="M263" s="149"/>
    </row>
    <row r="264" ht="15.75" customHeight="1">
      <c r="A264" s="212">
        <v>18.0</v>
      </c>
      <c r="B264" s="142">
        <v>45713.0</v>
      </c>
      <c r="C264" s="17" t="s">
        <v>597</v>
      </c>
      <c r="D264" s="17" t="s">
        <v>604</v>
      </c>
      <c r="E264" s="204" t="s">
        <v>679</v>
      </c>
      <c r="F264" s="210" t="s">
        <v>258</v>
      </c>
      <c r="G264" s="151">
        <v>9000.0</v>
      </c>
      <c r="H264" s="135">
        <v>2700000.0</v>
      </c>
      <c r="I264" s="115" t="s">
        <v>238</v>
      </c>
      <c r="J264" s="135">
        <v>1500000.0</v>
      </c>
      <c r="K264" s="98" t="s">
        <v>238</v>
      </c>
      <c r="L264" s="127">
        <f t="shared" si="17"/>
        <v>1200000</v>
      </c>
      <c r="M264" s="149"/>
    </row>
    <row r="265" ht="15.75" customHeight="1">
      <c r="A265" s="212">
        <v>19.0</v>
      </c>
      <c r="B265" s="142">
        <v>45715.0</v>
      </c>
      <c r="C265" s="17" t="s">
        <v>597</v>
      </c>
      <c r="D265" s="17" t="s">
        <v>604</v>
      </c>
      <c r="E265" s="204" t="s">
        <v>243</v>
      </c>
      <c r="F265" s="210" t="s">
        <v>510</v>
      </c>
      <c r="G265" s="151">
        <v>9000.0</v>
      </c>
      <c r="H265" s="135">
        <v>1125000.0</v>
      </c>
      <c r="I265" s="108" t="s">
        <v>212</v>
      </c>
      <c r="J265" s="135">
        <v>640000.0</v>
      </c>
      <c r="K265" s="98" t="s">
        <v>238</v>
      </c>
      <c r="L265" s="127">
        <f t="shared" si="17"/>
        <v>485000</v>
      </c>
      <c r="M265" s="149"/>
    </row>
    <row r="266" ht="15.75" customHeight="1">
      <c r="A266" s="212">
        <v>20.0</v>
      </c>
      <c r="B266" s="142">
        <v>45716.0</v>
      </c>
      <c r="C266" s="17" t="s">
        <v>597</v>
      </c>
      <c r="D266" s="17" t="s">
        <v>604</v>
      </c>
      <c r="E266" s="204" t="s">
        <v>684</v>
      </c>
      <c r="F266" s="210" t="s">
        <v>43</v>
      </c>
      <c r="G266" s="151">
        <v>10000.0</v>
      </c>
      <c r="H266" s="135">
        <v>1500000.0</v>
      </c>
      <c r="I266" s="115" t="s">
        <v>238</v>
      </c>
      <c r="J266" s="135">
        <v>850000.0</v>
      </c>
      <c r="K266" s="98" t="s">
        <v>238</v>
      </c>
      <c r="L266" s="127">
        <f t="shared" si="17"/>
        <v>650000</v>
      </c>
      <c r="M266" s="149"/>
    </row>
    <row r="267" ht="15.75" customHeight="1">
      <c r="A267" s="203"/>
      <c r="E267" s="204"/>
      <c r="F267" s="210"/>
      <c r="G267" s="151"/>
      <c r="H267" s="202"/>
      <c r="I267" s="97"/>
      <c r="J267" s="202"/>
      <c r="K267" s="17"/>
      <c r="L267" s="216">
        <f t="shared" ref="L267:M267" si="18">SUM(L247:L266)</f>
        <v>13516400</v>
      </c>
      <c r="M267" s="217">
        <f t="shared" si="18"/>
        <v>2553500</v>
      </c>
    </row>
    <row r="268" ht="15.75" customHeight="1">
      <c r="A268" s="203"/>
      <c r="E268" s="204"/>
      <c r="F268" s="210"/>
      <c r="G268" s="151"/>
      <c r="H268" s="202"/>
      <c r="I268" s="97"/>
      <c r="J268" s="202"/>
      <c r="K268" s="17"/>
      <c r="L268" s="218">
        <f>L267-M267</f>
        <v>10962900</v>
      </c>
      <c r="M268" s="219"/>
    </row>
    <row r="269" ht="15.75" customHeight="1">
      <c r="A269" s="203"/>
      <c r="E269" s="204"/>
      <c r="F269" s="210"/>
      <c r="G269" s="151"/>
      <c r="H269" s="202"/>
      <c r="I269" s="97"/>
      <c r="K269" s="17"/>
      <c r="M269" s="149"/>
    </row>
    <row r="270" ht="15.75" customHeight="1">
      <c r="A270" s="89" t="s">
        <v>209</v>
      </c>
      <c r="B270" s="89" t="s">
        <v>0</v>
      </c>
      <c r="C270" s="89" t="s">
        <v>1</v>
      </c>
      <c r="D270" s="89" t="s">
        <v>2</v>
      </c>
      <c r="E270" s="90" t="s">
        <v>3</v>
      </c>
      <c r="F270" s="89" t="s">
        <v>4</v>
      </c>
      <c r="G270" s="91" t="s">
        <v>5</v>
      </c>
      <c r="H270" s="119" t="s">
        <v>6</v>
      </c>
      <c r="I270" s="92" t="s">
        <v>39</v>
      </c>
      <c r="J270" s="119" t="s">
        <v>7</v>
      </c>
      <c r="K270" s="91" t="s">
        <v>39</v>
      </c>
      <c r="L270" s="92" t="s">
        <v>8</v>
      </c>
      <c r="M270" s="120" t="s">
        <v>9</v>
      </c>
    </row>
    <row r="271" ht="15.75" customHeight="1">
      <c r="A271" s="203">
        <v>1.0</v>
      </c>
      <c r="B271" s="112">
        <v>45720.0</v>
      </c>
      <c r="C271" s="17" t="s">
        <v>597</v>
      </c>
      <c r="D271" s="17" t="s">
        <v>604</v>
      </c>
      <c r="E271" s="204" t="s">
        <v>242</v>
      </c>
      <c r="F271" s="204" t="s">
        <v>259</v>
      </c>
      <c r="G271" s="151">
        <v>10000.0</v>
      </c>
      <c r="H271" s="104">
        <v>1500000.0</v>
      </c>
      <c r="I271" s="152" t="s">
        <v>238</v>
      </c>
      <c r="J271" s="121">
        <v>875000.0</v>
      </c>
      <c r="K271" s="98" t="s">
        <v>238</v>
      </c>
      <c r="L271" s="127">
        <f t="shared" ref="L271:L285" si="19">H271-J271</f>
        <v>625000</v>
      </c>
      <c r="M271" s="150">
        <v>42500.0</v>
      </c>
    </row>
    <row r="272" ht="15.75" customHeight="1">
      <c r="A272" s="212">
        <v>2.0</v>
      </c>
      <c r="B272" s="112">
        <v>45721.0</v>
      </c>
      <c r="C272" s="17" t="s">
        <v>597</v>
      </c>
      <c r="D272" s="17" t="s">
        <v>604</v>
      </c>
      <c r="E272" s="204" t="s">
        <v>269</v>
      </c>
      <c r="F272" s="210" t="s">
        <v>685</v>
      </c>
      <c r="G272" s="151"/>
      <c r="H272" s="135">
        <v>1400000.0</v>
      </c>
      <c r="I272" s="115" t="s">
        <v>238</v>
      </c>
      <c r="J272" s="135">
        <v>640000.0</v>
      </c>
      <c r="K272" s="98" t="s">
        <v>238</v>
      </c>
      <c r="L272" s="127">
        <f t="shared" si="19"/>
        <v>760000</v>
      </c>
      <c r="M272" s="149"/>
    </row>
    <row r="273" ht="15.75" customHeight="1">
      <c r="A273" s="212">
        <v>3.0</v>
      </c>
      <c r="B273" s="112">
        <v>45722.0</v>
      </c>
      <c r="C273" s="17" t="s">
        <v>597</v>
      </c>
      <c r="D273" s="17" t="s">
        <v>604</v>
      </c>
      <c r="E273" s="204" t="s">
        <v>279</v>
      </c>
      <c r="F273" s="210" t="s">
        <v>589</v>
      </c>
      <c r="G273" s="151">
        <v>9000.0</v>
      </c>
      <c r="H273" s="135">
        <v>1305000.0</v>
      </c>
      <c r="I273" s="115" t="s">
        <v>238</v>
      </c>
      <c r="J273" s="135">
        <v>725000.0</v>
      </c>
      <c r="K273" s="98" t="s">
        <v>238</v>
      </c>
      <c r="L273" s="127">
        <f t="shared" si="19"/>
        <v>580000</v>
      </c>
      <c r="M273" s="149"/>
    </row>
    <row r="274" ht="15.75" customHeight="1">
      <c r="A274" s="212">
        <v>4.0</v>
      </c>
      <c r="B274" s="112">
        <v>45727.0</v>
      </c>
      <c r="C274" s="17" t="s">
        <v>597</v>
      </c>
      <c r="D274" s="17" t="s">
        <v>604</v>
      </c>
      <c r="E274" s="204" t="s">
        <v>242</v>
      </c>
      <c r="F274" s="204" t="s">
        <v>259</v>
      </c>
      <c r="G274" s="151">
        <v>10000.0</v>
      </c>
      <c r="H274" s="104">
        <v>1500000.0</v>
      </c>
      <c r="I274" s="152" t="s">
        <v>238</v>
      </c>
      <c r="J274" s="121">
        <v>850000.0</v>
      </c>
      <c r="K274" s="98" t="s">
        <v>238</v>
      </c>
      <c r="L274" s="127">
        <f t="shared" si="19"/>
        <v>650000</v>
      </c>
      <c r="M274" s="149"/>
    </row>
    <row r="275" ht="15.75" customHeight="1">
      <c r="A275" s="212">
        <v>5.0</v>
      </c>
      <c r="B275" s="112">
        <v>45728.0</v>
      </c>
      <c r="C275" s="17" t="s">
        <v>597</v>
      </c>
      <c r="D275" s="17" t="s">
        <v>604</v>
      </c>
      <c r="E275" s="204" t="s">
        <v>307</v>
      </c>
      <c r="F275" s="210" t="s">
        <v>319</v>
      </c>
      <c r="G275" s="151">
        <v>5000.0</v>
      </c>
      <c r="H275" s="135">
        <v>1501950.0</v>
      </c>
      <c r="I275" s="115" t="s">
        <v>238</v>
      </c>
      <c r="J275" s="135">
        <v>900000.0</v>
      </c>
      <c r="K275" s="98" t="s">
        <v>238</v>
      </c>
      <c r="L275" s="127">
        <f t="shared" si="19"/>
        <v>601950</v>
      </c>
      <c r="M275" s="149"/>
    </row>
    <row r="276" ht="15.75" customHeight="1">
      <c r="A276" s="212">
        <v>6.0</v>
      </c>
      <c r="B276" s="112">
        <v>45731.0</v>
      </c>
      <c r="C276" s="17" t="s">
        <v>597</v>
      </c>
      <c r="D276" s="17" t="s">
        <v>604</v>
      </c>
      <c r="E276" s="204" t="s">
        <v>243</v>
      </c>
      <c r="F276" s="204" t="s">
        <v>264</v>
      </c>
      <c r="G276" s="151">
        <v>10000.0</v>
      </c>
      <c r="H276" s="135">
        <v>1500000.0</v>
      </c>
      <c r="I276" s="115" t="s">
        <v>238</v>
      </c>
      <c r="J276" s="135">
        <v>950000.0</v>
      </c>
      <c r="K276" s="98" t="s">
        <v>238</v>
      </c>
      <c r="L276" s="127">
        <f t="shared" si="19"/>
        <v>550000</v>
      </c>
      <c r="M276" s="149"/>
    </row>
    <row r="277" ht="15.75" customHeight="1">
      <c r="A277" s="212">
        <v>7.0</v>
      </c>
      <c r="B277" s="142">
        <v>45733.0</v>
      </c>
      <c r="C277" s="17" t="s">
        <v>597</v>
      </c>
      <c r="D277" s="17" t="s">
        <v>604</v>
      </c>
      <c r="E277" s="204" t="s">
        <v>307</v>
      </c>
      <c r="F277" s="204" t="s">
        <v>308</v>
      </c>
      <c r="G277" s="151">
        <v>5000.0</v>
      </c>
      <c r="H277" s="135">
        <v>1496250.0</v>
      </c>
      <c r="I277" s="211" t="s">
        <v>686</v>
      </c>
      <c r="J277" s="207">
        <v>900000.0</v>
      </c>
      <c r="K277" s="98" t="s">
        <v>238</v>
      </c>
      <c r="L277" s="58">
        <f t="shared" si="19"/>
        <v>596250</v>
      </c>
      <c r="M277" s="149"/>
    </row>
    <row r="278" ht="15.75" customHeight="1">
      <c r="A278" s="212">
        <v>8.0</v>
      </c>
      <c r="B278" s="142">
        <v>45734.0</v>
      </c>
      <c r="C278" s="17" t="s">
        <v>597</v>
      </c>
      <c r="D278" s="17" t="s">
        <v>604</v>
      </c>
      <c r="E278" s="204" t="s">
        <v>687</v>
      </c>
      <c r="F278" s="204" t="s">
        <v>308</v>
      </c>
      <c r="G278" s="151">
        <v>8000.0</v>
      </c>
      <c r="H278" s="135">
        <v>2102350.0</v>
      </c>
      <c r="I278" s="115" t="s">
        <v>238</v>
      </c>
      <c r="J278" s="135">
        <v>900000.0</v>
      </c>
      <c r="K278" s="98" t="s">
        <v>238</v>
      </c>
      <c r="L278" s="58">
        <f t="shared" si="19"/>
        <v>1202350</v>
      </c>
      <c r="M278" s="149"/>
    </row>
    <row r="279" ht="15.75" customHeight="1">
      <c r="A279" s="212">
        <v>9.0</v>
      </c>
      <c r="B279" s="142">
        <v>45735.0</v>
      </c>
      <c r="C279" s="17" t="s">
        <v>597</v>
      </c>
      <c r="D279" s="17" t="s">
        <v>604</v>
      </c>
      <c r="E279" s="204" t="s">
        <v>242</v>
      </c>
      <c r="F279" s="204" t="s">
        <v>264</v>
      </c>
      <c r="G279" s="151">
        <v>10000.0</v>
      </c>
      <c r="H279" s="135">
        <v>1500000.0</v>
      </c>
      <c r="I279" s="115" t="s">
        <v>238</v>
      </c>
      <c r="J279" s="135">
        <v>950000.0</v>
      </c>
      <c r="K279" s="98" t="s">
        <v>238</v>
      </c>
      <c r="L279" s="58">
        <f t="shared" si="19"/>
        <v>550000</v>
      </c>
      <c r="M279" s="149"/>
    </row>
    <row r="280" ht="15.75" customHeight="1">
      <c r="A280" s="212">
        <v>10.0</v>
      </c>
      <c r="B280" s="142">
        <v>45737.0</v>
      </c>
      <c r="C280" s="17" t="s">
        <v>597</v>
      </c>
      <c r="D280" s="17" t="s">
        <v>604</v>
      </c>
      <c r="E280" s="204" t="s">
        <v>273</v>
      </c>
      <c r="F280" s="204" t="s">
        <v>259</v>
      </c>
      <c r="G280" s="151">
        <v>10000.0</v>
      </c>
      <c r="H280" s="135">
        <v>1500000.0</v>
      </c>
      <c r="I280" s="115" t="s">
        <v>238</v>
      </c>
      <c r="J280" s="121">
        <v>875000.0</v>
      </c>
      <c r="K280" s="98" t="s">
        <v>238</v>
      </c>
      <c r="L280" s="58">
        <f t="shared" si="19"/>
        <v>625000</v>
      </c>
      <c r="M280" s="149"/>
    </row>
    <row r="281" ht="15.75" customHeight="1">
      <c r="A281" s="212">
        <v>11.0</v>
      </c>
      <c r="B281" s="142">
        <v>45738.0</v>
      </c>
      <c r="C281" s="17" t="s">
        <v>597</v>
      </c>
      <c r="D281" s="17" t="s">
        <v>604</v>
      </c>
      <c r="E281" s="204" t="s">
        <v>80</v>
      </c>
      <c r="F281" s="204" t="s">
        <v>271</v>
      </c>
      <c r="G281" s="151">
        <v>9000.0</v>
      </c>
      <c r="H281" s="135">
        <v>675000.0</v>
      </c>
      <c r="I281" s="115" t="s">
        <v>212</v>
      </c>
      <c r="J281" s="135">
        <v>375000.0</v>
      </c>
      <c r="K281" s="98" t="s">
        <v>238</v>
      </c>
      <c r="L281" s="58">
        <f t="shared" si="19"/>
        <v>300000</v>
      </c>
      <c r="M281" s="149"/>
    </row>
    <row r="282" ht="15.75" customHeight="1">
      <c r="A282" s="212">
        <v>12.0</v>
      </c>
      <c r="B282" s="142">
        <v>45741.0</v>
      </c>
      <c r="C282" s="17" t="s">
        <v>597</v>
      </c>
      <c r="D282" s="17" t="s">
        <v>604</v>
      </c>
      <c r="E282" s="204" t="s">
        <v>242</v>
      </c>
      <c r="F282" s="204" t="s">
        <v>259</v>
      </c>
      <c r="G282" s="151">
        <v>10000.0</v>
      </c>
      <c r="H282" s="135">
        <v>1500000.0</v>
      </c>
      <c r="I282" s="115" t="s">
        <v>238</v>
      </c>
      <c r="J282" s="135">
        <v>850000.0</v>
      </c>
      <c r="K282" s="98" t="s">
        <v>238</v>
      </c>
      <c r="L282" s="58">
        <f t="shared" si="19"/>
        <v>650000</v>
      </c>
      <c r="M282" s="149"/>
    </row>
    <row r="283" ht="15.75" customHeight="1">
      <c r="A283" s="212">
        <v>13.0</v>
      </c>
      <c r="B283" s="142">
        <v>45742.0</v>
      </c>
      <c r="C283" s="17" t="s">
        <v>597</v>
      </c>
      <c r="D283" s="17" t="s">
        <v>604</v>
      </c>
      <c r="E283" s="204" t="s">
        <v>81</v>
      </c>
      <c r="F283" s="204" t="s">
        <v>295</v>
      </c>
      <c r="G283" s="151">
        <v>9000.0</v>
      </c>
      <c r="H283" s="133">
        <v>1125000.0</v>
      </c>
      <c r="I283" s="115" t="s">
        <v>212</v>
      </c>
      <c r="J283" s="135">
        <v>640000.0</v>
      </c>
      <c r="K283" s="98" t="s">
        <v>238</v>
      </c>
      <c r="L283" s="58">
        <f t="shared" si="19"/>
        <v>485000</v>
      </c>
      <c r="M283" s="149"/>
    </row>
    <row r="284" ht="15.75" customHeight="1">
      <c r="A284" s="212">
        <v>14.0</v>
      </c>
      <c r="B284" s="142">
        <v>45743.0</v>
      </c>
      <c r="C284" s="17" t="s">
        <v>597</v>
      </c>
      <c r="D284" s="17" t="s">
        <v>604</v>
      </c>
      <c r="E284" s="204" t="s">
        <v>307</v>
      </c>
      <c r="F284" s="204" t="s">
        <v>308</v>
      </c>
      <c r="G284" s="151">
        <v>5000.0</v>
      </c>
      <c r="H284" s="135">
        <v>1493550.0</v>
      </c>
      <c r="I284" s="115" t="s">
        <v>523</v>
      </c>
      <c r="J284" s="135">
        <v>900000.0</v>
      </c>
      <c r="K284" s="98" t="s">
        <v>238</v>
      </c>
      <c r="L284" s="58">
        <f t="shared" si="19"/>
        <v>593550</v>
      </c>
      <c r="M284" s="149"/>
    </row>
    <row r="285" ht="15.75" customHeight="1">
      <c r="A285" s="212">
        <v>15.0</v>
      </c>
      <c r="B285" s="142">
        <v>45744.0</v>
      </c>
      <c r="C285" s="17" t="s">
        <v>597</v>
      </c>
      <c r="D285" s="17" t="s">
        <v>604</v>
      </c>
      <c r="E285" s="204" t="s">
        <v>273</v>
      </c>
      <c r="F285" s="204" t="s">
        <v>688</v>
      </c>
      <c r="G285" s="151">
        <v>9000.0</v>
      </c>
      <c r="H285" s="135">
        <v>765000.0</v>
      </c>
      <c r="I285" s="115" t="s">
        <v>238</v>
      </c>
      <c r="J285" s="135">
        <v>475000.0</v>
      </c>
      <c r="K285" s="98" t="s">
        <v>238</v>
      </c>
      <c r="L285" s="58">
        <f t="shared" si="19"/>
        <v>290000</v>
      </c>
      <c r="M285" s="150">
        <v>150000.0</v>
      </c>
    </row>
    <row r="286" ht="15.75" customHeight="1">
      <c r="A286" s="203"/>
      <c r="E286" s="169"/>
      <c r="F286" s="169"/>
      <c r="G286" s="170"/>
      <c r="H286" s="202"/>
      <c r="I286" s="97"/>
      <c r="J286" s="135"/>
      <c r="K286" s="17"/>
      <c r="L286" s="216">
        <f t="shared" ref="L286:M286" si="20">SUM(L271:L285)</f>
        <v>9059100</v>
      </c>
      <c r="M286" s="217">
        <f t="shared" si="20"/>
        <v>192500</v>
      </c>
    </row>
    <row r="287" ht="15.75" customHeight="1">
      <c r="A287" s="203"/>
      <c r="E287" s="169"/>
      <c r="F287" s="169"/>
      <c r="G287" s="170"/>
      <c r="H287" s="202"/>
      <c r="I287" s="97"/>
      <c r="J287" s="135"/>
      <c r="K287" s="17"/>
      <c r="L287" s="218">
        <f>L286-M286</f>
        <v>8866600</v>
      </c>
      <c r="M287" s="219"/>
    </row>
    <row r="288" ht="15.75" customHeight="1">
      <c r="A288" s="203"/>
      <c r="E288" s="169"/>
      <c r="F288" s="169"/>
      <c r="G288" s="170"/>
      <c r="H288" s="202"/>
      <c r="I288" s="97"/>
      <c r="J288" s="135"/>
      <c r="K288" s="17"/>
      <c r="M288" s="149"/>
    </row>
    <row r="289" ht="15.75" customHeight="1">
      <c r="A289" s="89" t="s">
        <v>209</v>
      </c>
      <c r="B289" s="89" t="s">
        <v>0</v>
      </c>
      <c r="C289" s="89" t="s">
        <v>1</v>
      </c>
      <c r="D289" s="89" t="s">
        <v>2</v>
      </c>
      <c r="E289" s="90" t="s">
        <v>3</v>
      </c>
      <c r="F289" s="89" t="s">
        <v>4</v>
      </c>
      <c r="G289" s="91" t="s">
        <v>5</v>
      </c>
      <c r="H289" s="119" t="s">
        <v>6</v>
      </c>
      <c r="I289" s="92" t="s">
        <v>39</v>
      </c>
      <c r="J289" s="119" t="s">
        <v>7</v>
      </c>
      <c r="K289" s="91" t="s">
        <v>39</v>
      </c>
      <c r="L289" s="92" t="s">
        <v>8</v>
      </c>
      <c r="M289" s="120" t="s">
        <v>9</v>
      </c>
    </row>
    <row r="290" ht="15.75" customHeight="1">
      <c r="A290" s="21">
        <v>1.0</v>
      </c>
      <c r="B290" s="112">
        <v>45751.0</v>
      </c>
      <c r="C290" s="17" t="s">
        <v>597</v>
      </c>
      <c r="D290" s="17" t="s">
        <v>604</v>
      </c>
      <c r="E290" s="98" t="s">
        <v>242</v>
      </c>
      <c r="F290" s="98" t="s">
        <v>259</v>
      </c>
      <c r="G290" s="110">
        <v>10000.0</v>
      </c>
      <c r="H290" s="121">
        <v>1500000.0</v>
      </c>
      <c r="I290" s="108" t="s">
        <v>238</v>
      </c>
      <c r="J290" s="121">
        <v>850000.0</v>
      </c>
      <c r="K290" s="98" t="s">
        <v>238</v>
      </c>
      <c r="L290" s="58">
        <f t="shared" ref="L290:L312" si="21">H290-J290</f>
        <v>650000</v>
      </c>
      <c r="M290" s="121"/>
    </row>
    <row r="291" ht="15.75" customHeight="1">
      <c r="A291" s="118">
        <v>2.0</v>
      </c>
      <c r="B291" s="112">
        <v>45752.0</v>
      </c>
      <c r="C291" s="17" t="s">
        <v>597</v>
      </c>
      <c r="D291" s="17" t="s">
        <v>604</v>
      </c>
      <c r="E291" s="98" t="s">
        <v>242</v>
      </c>
      <c r="F291" s="98" t="s">
        <v>332</v>
      </c>
      <c r="G291" s="110">
        <v>9000.0</v>
      </c>
      <c r="H291" s="121">
        <v>765000.0</v>
      </c>
      <c r="I291" s="122" t="s">
        <v>238</v>
      </c>
      <c r="J291" s="109">
        <v>450000.0</v>
      </c>
      <c r="K291" s="98" t="s">
        <v>238</v>
      </c>
      <c r="L291" s="58">
        <f t="shared" si="21"/>
        <v>315000</v>
      </c>
      <c r="M291" s="106">
        <v>204000.0</v>
      </c>
    </row>
    <row r="292" ht="15.75" customHeight="1">
      <c r="A292" s="118">
        <v>3.0</v>
      </c>
      <c r="B292" s="112">
        <v>45754.0</v>
      </c>
      <c r="C292" s="17" t="s">
        <v>597</v>
      </c>
      <c r="D292" s="17" t="s">
        <v>604</v>
      </c>
      <c r="E292" s="98" t="s">
        <v>242</v>
      </c>
      <c r="F292" s="98" t="s">
        <v>259</v>
      </c>
      <c r="G292" s="110">
        <v>10000.0</v>
      </c>
      <c r="H292" s="121">
        <v>1500000.0</v>
      </c>
      <c r="I292" s="108" t="s">
        <v>238</v>
      </c>
      <c r="J292" s="121">
        <v>850000.0</v>
      </c>
      <c r="K292" s="98" t="s">
        <v>238</v>
      </c>
      <c r="L292" s="58">
        <f t="shared" si="21"/>
        <v>650000</v>
      </c>
      <c r="M292" s="61"/>
    </row>
    <row r="293" ht="15.75" customHeight="1">
      <c r="A293" s="118">
        <v>4.0</v>
      </c>
      <c r="B293" s="112">
        <v>45755.0</v>
      </c>
      <c r="C293" s="17" t="s">
        <v>597</v>
      </c>
      <c r="D293" s="17" t="s">
        <v>604</v>
      </c>
      <c r="E293" s="98" t="s">
        <v>307</v>
      </c>
      <c r="F293" s="204" t="s">
        <v>308</v>
      </c>
      <c r="G293" s="151">
        <v>5000.0</v>
      </c>
      <c r="H293" s="135">
        <v>1592350.0</v>
      </c>
      <c r="I293" s="115" t="s">
        <v>238</v>
      </c>
      <c r="J293" s="121">
        <v>900000.0</v>
      </c>
      <c r="K293" s="98" t="s">
        <v>212</v>
      </c>
      <c r="L293" s="58">
        <f t="shared" si="21"/>
        <v>692350</v>
      </c>
      <c r="M293" s="106">
        <v>80000.0</v>
      </c>
    </row>
    <row r="294" ht="15.75" customHeight="1">
      <c r="A294" s="118">
        <v>5.0</v>
      </c>
      <c r="B294" s="112">
        <v>45756.0</v>
      </c>
      <c r="C294" s="17" t="s">
        <v>597</v>
      </c>
      <c r="D294" s="17" t="s">
        <v>604</v>
      </c>
      <c r="E294" s="98" t="s">
        <v>242</v>
      </c>
      <c r="F294" s="98" t="s">
        <v>259</v>
      </c>
      <c r="G294" s="110">
        <v>10000.0</v>
      </c>
      <c r="H294" s="121">
        <v>1500000.0</v>
      </c>
      <c r="I294" s="108" t="s">
        <v>238</v>
      </c>
      <c r="J294" s="121">
        <v>850000.0</v>
      </c>
      <c r="K294" s="98" t="s">
        <v>238</v>
      </c>
      <c r="L294" s="58">
        <f t="shared" si="21"/>
        <v>650000</v>
      </c>
      <c r="M294" s="61"/>
    </row>
    <row r="295" ht="15.75" customHeight="1">
      <c r="A295" s="118">
        <v>6.0</v>
      </c>
      <c r="B295" s="112">
        <v>45757.0</v>
      </c>
      <c r="C295" s="17" t="s">
        <v>597</v>
      </c>
      <c r="D295" s="17" t="s">
        <v>604</v>
      </c>
      <c r="E295" s="98" t="s">
        <v>242</v>
      </c>
      <c r="F295" s="98" t="s">
        <v>303</v>
      </c>
      <c r="G295" s="110">
        <v>9000.0</v>
      </c>
      <c r="H295" s="121">
        <v>1215000.0</v>
      </c>
      <c r="I295" s="122" t="s">
        <v>238</v>
      </c>
      <c r="J295" s="121">
        <v>700000.0</v>
      </c>
      <c r="K295" s="98" t="s">
        <v>238</v>
      </c>
      <c r="L295" s="58">
        <f t="shared" si="21"/>
        <v>515000</v>
      </c>
      <c r="M295" s="61"/>
    </row>
    <row r="296" ht="15.75" customHeight="1">
      <c r="A296" s="118">
        <v>7.0</v>
      </c>
      <c r="B296" s="112">
        <v>45758.0</v>
      </c>
      <c r="C296" s="17" t="s">
        <v>597</v>
      </c>
      <c r="D296" s="17" t="s">
        <v>604</v>
      </c>
      <c r="E296" s="98" t="s">
        <v>243</v>
      </c>
      <c r="F296" s="98" t="s">
        <v>323</v>
      </c>
      <c r="G296" s="110">
        <v>9000.0</v>
      </c>
      <c r="H296" s="121">
        <v>1350000.0</v>
      </c>
      <c r="I296" s="108" t="s">
        <v>238</v>
      </c>
      <c r="J296" s="121">
        <v>780000.0</v>
      </c>
      <c r="K296" s="98" t="s">
        <v>238</v>
      </c>
      <c r="L296" s="58">
        <f t="shared" si="21"/>
        <v>570000</v>
      </c>
      <c r="M296" s="106">
        <v>45000.0</v>
      </c>
    </row>
    <row r="297" ht="15.75" customHeight="1">
      <c r="A297" s="118">
        <v>8.0</v>
      </c>
      <c r="B297" s="112">
        <v>45762.0</v>
      </c>
      <c r="C297" s="17" t="s">
        <v>597</v>
      </c>
      <c r="D297" s="17" t="s">
        <v>604</v>
      </c>
      <c r="E297" s="98" t="s">
        <v>123</v>
      </c>
      <c r="F297" s="98" t="s">
        <v>689</v>
      </c>
      <c r="G297" s="110">
        <v>9000.0</v>
      </c>
      <c r="H297" s="121">
        <v>1300000.0</v>
      </c>
      <c r="I297" s="108" t="s">
        <v>238</v>
      </c>
      <c r="J297" s="121">
        <v>640000.0</v>
      </c>
      <c r="K297" s="98" t="s">
        <v>238</v>
      </c>
      <c r="L297" s="58">
        <f t="shared" si="21"/>
        <v>660000</v>
      </c>
      <c r="M297" s="106">
        <v>750000.0</v>
      </c>
    </row>
    <row r="298" ht="15.75" customHeight="1">
      <c r="A298" s="118">
        <v>9.0</v>
      </c>
      <c r="B298" s="112">
        <v>45763.0</v>
      </c>
      <c r="C298" s="17" t="s">
        <v>597</v>
      </c>
      <c r="D298" s="17" t="s">
        <v>604</v>
      </c>
      <c r="E298" s="98" t="s">
        <v>307</v>
      </c>
      <c r="F298" s="204" t="s">
        <v>308</v>
      </c>
      <c r="G298" s="151">
        <v>5000.0</v>
      </c>
      <c r="H298" s="135">
        <v>1493550.0</v>
      </c>
      <c r="I298" s="115" t="s">
        <v>523</v>
      </c>
      <c r="J298" s="121">
        <v>900000.0</v>
      </c>
      <c r="K298" s="98" t="s">
        <v>238</v>
      </c>
      <c r="L298" s="58">
        <f t="shared" si="21"/>
        <v>593550</v>
      </c>
      <c r="M298" s="61"/>
    </row>
    <row r="299" ht="15.75" customHeight="1">
      <c r="A299" s="118">
        <v>10.0</v>
      </c>
      <c r="B299" s="112">
        <v>45764.0</v>
      </c>
      <c r="C299" s="17" t="s">
        <v>597</v>
      </c>
      <c r="D299" s="17" t="s">
        <v>604</v>
      </c>
      <c r="E299" s="98" t="s">
        <v>242</v>
      </c>
      <c r="F299" s="98" t="s">
        <v>348</v>
      </c>
      <c r="G299" s="110">
        <v>9000.0</v>
      </c>
      <c r="H299" s="121">
        <v>900000.0</v>
      </c>
      <c r="I299" s="115" t="s">
        <v>238</v>
      </c>
      <c r="J299" s="121">
        <v>450000.0</v>
      </c>
      <c r="K299" s="98" t="s">
        <v>238</v>
      </c>
      <c r="L299" s="58">
        <f t="shared" si="21"/>
        <v>450000</v>
      </c>
      <c r="M299" s="106"/>
    </row>
    <row r="300" ht="15.75" customHeight="1">
      <c r="A300" s="118">
        <v>11.0</v>
      </c>
      <c r="B300" s="112">
        <v>45766.0</v>
      </c>
      <c r="C300" s="17" t="s">
        <v>597</v>
      </c>
      <c r="D300" s="17" t="s">
        <v>604</v>
      </c>
      <c r="E300" s="98" t="s">
        <v>242</v>
      </c>
      <c r="F300" s="98" t="s">
        <v>259</v>
      </c>
      <c r="G300" s="110">
        <v>10000.0</v>
      </c>
      <c r="H300" s="121">
        <v>1500000.0</v>
      </c>
      <c r="I300" s="108" t="s">
        <v>238</v>
      </c>
      <c r="J300" s="121">
        <v>850000.0</v>
      </c>
      <c r="K300" s="98" t="s">
        <v>238</v>
      </c>
      <c r="L300" s="58">
        <f t="shared" si="21"/>
        <v>650000</v>
      </c>
      <c r="M300" s="61"/>
    </row>
    <row r="301" ht="15.75" customHeight="1">
      <c r="A301" s="118">
        <v>12.0</v>
      </c>
      <c r="B301" s="112">
        <v>45768.0</v>
      </c>
      <c r="C301" s="17" t="s">
        <v>597</v>
      </c>
      <c r="D301" s="17" t="s">
        <v>604</v>
      </c>
      <c r="E301" s="98" t="s">
        <v>123</v>
      </c>
      <c r="F301" s="98" t="s">
        <v>271</v>
      </c>
      <c r="G301" s="110">
        <v>9000.0</v>
      </c>
      <c r="H301" s="121">
        <v>675000.0</v>
      </c>
      <c r="I301" s="108" t="s">
        <v>238</v>
      </c>
      <c r="J301" s="121">
        <v>375000.0</v>
      </c>
      <c r="K301" s="98" t="s">
        <v>238</v>
      </c>
      <c r="L301" s="58">
        <f t="shared" si="21"/>
        <v>300000</v>
      </c>
      <c r="M301" s="61"/>
    </row>
    <row r="302" ht="15.75" customHeight="1">
      <c r="A302" s="118">
        <v>13.0</v>
      </c>
      <c r="B302" s="112">
        <v>45768.0</v>
      </c>
      <c r="C302" s="17" t="s">
        <v>597</v>
      </c>
      <c r="D302" s="17" t="s">
        <v>604</v>
      </c>
      <c r="E302" s="98" t="s">
        <v>307</v>
      </c>
      <c r="F302" s="98" t="s">
        <v>308</v>
      </c>
      <c r="G302" s="110">
        <v>5000.0</v>
      </c>
      <c r="H302" s="135">
        <v>1494050.0</v>
      </c>
      <c r="I302" s="108" t="s">
        <v>523</v>
      </c>
      <c r="J302" s="121">
        <v>900000.0</v>
      </c>
      <c r="K302" s="98" t="s">
        <v>238</v>
      </c>
      <c r="L302" s="58">
        <f t="shared" si="21"/>
        <v>594050</v>
      </c>
      <c r="M302" s="106">
        <v>670000.0</v>
      </c>
    </row>
    <row r="303" ht="15.75" customHeight="1">
      <c r="A303" s="118">
        <v>14.0</v>
      </c>
      <c r="B303" s="112">
        <v>45769.0</v>
      </c>
      <c r="C303" s="17" t="s">
        <v>597</v>
      </c>
      <c r="D303" s="17" t="s">
        <v>604</v>
      </c>
      <c r="E303" s="98" t="s">
        <v>256</v>
      </c>
      <c r="F303" s="98" t="s">
        <v>330</v>
      </c>
      <c r="G303" s="110">
        <v>8500.0</v>
      </c>
      <c r="H303" s="121">
        <v>1200000.0</v>
      </c>
      <c r="I303" s="108" t="s">
        <v>212</v>
      </c>
      <c r="J303" s="121">
        <v>640000.0</v>
      </c>
      <c r="K303" s="98" t="s">
        <v>238</v>
      </c>
      <c r="L303" s="58">
        <f t="shared" si="21"/>
        <v>560000</v>
      </c>
      <c r="M303" s="106"/>
    </row>
    <row r="304" ht="15.75" customHeight="1">
      <c r="A304" s="118">
        <v>15.0</v>
      </c>
      <c r="B304" s="112">
        <v>45770.0</v>
      </c>
      <c r="C304" s="17" t="s">
        <v>597</v>
      </c>
      <c r="D304" s="17" t="s">
        <v>604</v>
      </c>
      <c r="E304" s="98" t="s">
        <v>242</v>
      </c>
      <c r="F304" s="98" t="s">
        <v>271</v>
      </c>
      <c r="G304" s="110">
        <v>9000.0</v>
      </c>
      <c r="H304" s="121">
        <v>675000.0</v>
      </c>
      <c r="I304" s="115" t="s">
        <v>238</v>
      </c>
      <c r="J304" s="121">
        <v>375000.0</v>
      </c>
      <c r="K304" s="98" t="s">
        <v>238</v>
      </c>
      <c r="L304" s="58">
        <f t="shared" si="21"/>
        <v>300000</v>
      </c>
      <c r="M304" s="61"/>
    </row>
    <row r="305" ht="15.75" customHeight="1">
      <c r="A305" s="118">
        <v>16.0</v>
      </c>
      <c r="B305" s="112">
        <v>45770.0</v>
      </c>
      <c r="C305" s="17" t="s">
        <v>597</v>
      </c>
      <c r="D305" s="17" t="s">
        <v>604</v>
      </c>
      <c r="E305" s="98" t="s">
        <v>242</v>
      </c>
      <c r="F305" s="98" t="s">
        <v>259</v>
      </c>
      <c r="G305" s="110">
        <v>10000.0</v>
      </c>
      <c r="H305" s="121">
        <v>1500000.0</v>
      </c>
      <c r="I305" s="108" t="s">
        <v>238</v>
      </c>
      <c r="J305" s="121">
        <v>850000.0</v>
      </c>
      <c r="K305" s="98" t="s">
        <v>238</v>
      </c>
      <c r="L305" s="58">
        <f t="shared" si="21"/>
        <v>650000</v>
      </c>
      <c r="M305" s="106">
        <v>50000.0</v>
      </c>
    </row>
    <row r="306" ht="15.75" customHeight="1">
      <c r="A306" s="118">
        <v>17.0</v>
      </c>
      <c r="B306" s="112">
        <v>45771.0</v>
      </c>
      <c r="C306" s="17" t="s">
        <v>597</v>
      </c>
      <c r="D306" s="17" t="s">
        <v>604</v>
      </c>
      <c r="E306" s="98" t="s">
        <v>307</v>
      </c>
      <c r="F306" s="98" t="s">
        <v>308</v>
      </c>
      <c r="G306" s="110">
        <v>5000.0</v>
      </c>
      <c r="H306" s="135">
        <v>1470550.0</v>
      </c>
      <c r="I306" s="108" t="s">
        <v>523</v>
      </c>
      <c r="J306" s="121">
        <v>900000.0</v>
      </c>
      <c r="K306" s="98" t="s">
        <v>238</v>
      </c>
      <c r="L306" s="58">
        <f t="shared" si="21"/>
        <v>570550</v>
      </c>
      <c r="M306" s="61"/>
    </row>
    <row r="307" ht="15.75" customHeight="1">
      <c r="A307" s="118">
        <v>18.0</v>
      </c>
      <c r="B307" s="112">
        <v>45772.0</v>
      </c>
      <c r="C307" s="17" t="s">
        <v>597</v>
      </c>
      <c r="D307" s="17" t="s">
        <v>604</v>
      </c>
      <c r="E307" s="98" t="s">
        <v>243</v>
      </c>
      <c r="F307" s="98" t="s">
        <v>249</v>
      </c>
      <c r="G307" s="110">
        <v>9000.0</v>
      </c>
      <c r="H307" s="121">
        <v>1450000.0</v>
      </c>
      <c r="I307" s="108" t="s">
        <v>212</v>
      </c>
      <c r="J307" s="121">
        <v>900000.0</v>
      </c>
      <c r="K307" s="98" t="s">
        <v>212</v>
      </c>
      <c r="L307" s="58">
        <f t="shared" si="21"/>
        <v>550000</v>
      </c>
      <c r="M307" s="61"/>
    </row>
    <row r="308" ht="15.75" customHeight="1">
      <c r="A308" s="118">
        <v>19.0</v>
      </c>
      <c r="B308" s="112">
        <v>45773.0</v>
      </c>
      <c r="C308" s="17" t="s">
        <v>597</v>
      </c>
      <c r="D308" s="17" t="s">
        <v>604</v>
      </c>
      <c r="E308" s="98" t="s">
        <v>123</v>
      </c>
      <c r="F308" s="98" t="s">
        <v>292</v>
      </c>
      <c r="G308" s="110">
        <v>9000.0</v>
      </c>
      <c r="H308" s="121">
        <v>1100000.0</v>
      </c>
      <c r="I308" s="108" t="s">
        <v>212</v>
      </c>
      <c r="J308" s="121">
        <v>650000.0</v>
      </c>
      <c r="K308" s="98" t="s">
        <v>212</v>
      </c>
      <c r="L308" s="58">
        <f t="shared" si="21"/>
        <v>450000</v>
      </c>
      <c r="M308" s="61"/>
    </row>
    <row r="309" ht="15.75" customHeight="1">
      <c r="A309" s="118">
        <v>20.0</v>
      </c>
      <c r="B309" s="112">
        <v>45775.0</v>
      </c>
      <c r="C309" s="17" t="s">
        <v>597</v>
      </c>
      <c r="D309" s="17" t="s">
        <v>604</v>
      </c>
      <c r="E309" s="98" t="s">
        <v>322</v>
      </c>
      <c r="F309" s="98" t="s">
        <v>249</v>
      </c>
      <c r="G309" s="110">
        <v>9000.0</v>
      </c>
      <c r="H309" s="121">
        <v>1450000.0</v>
      </c>
      <c r="I309" s="108" t="s">
        <v>212</v>
      </c>
      <c r="J309" s="121">
        <v>925000.0</v>
      </c>
      <c r="K309" s="98" t="s">
        <v>212</v>
      </c>
      <c r="L309" s="58">
        <f t="shared" si="21"/>
        <v>525000</v>
      </c>
      <c r="M309" s="106">
        <v>288000.0</v>
      </c>
    </row>
    <row r="310" ht="15.75" customHeight="1">
      <c r="A310" s="118">
        <v>21.0</v>
      </c>
      <c r="B310" s="112">
        <v>45776.0</v>
      </c>
      <c r="C310" s="17" t="s">
        <v>597</v>
      </c>
      <c r="D310" s="17" t="s">
        <v>604</v>
      </c>
      <c r="E310" s="98" t="s">
        <v>123</v>
      </c>
      <c r="F310" s="98" t="s">
        <v>271</v>
      </c>
      <c r="G310" s="110">
        <v>9000.0</v>
      </c>
      <c r="H310" s="121">
        <v>675000.0</v>
      </c>
      <c r="I310" s="108" t="s">
        <v>238</v>
      </c>
      <c r="J310" s="121">
        <v>375000.0</v>
      </c>
      <c r="K310" s="98" t="s">
        <v>212</v>
      </c>
      <c r="L310" s="58">
        <f t="shared" si="21"/>
        <v>300000</v>
      </c>
      <c r="M310" s="61"/>
    </row>
    <row r="311" ht="15.75" customHeight="1">
      <c r="A311" s="118">
        <v>22.0</v>
      </c>
      <c r="B311" s="112">
        <v>45776.0</v>
      </c>
      <c r="C311" s="17" t="s">
        <v>597</v>
      </c>
      <c r="D311" s="17" t="s">
        <v>604</v>
      </c>
      <c r="E311" s="98" t="s">
        <v>242</v>
      </c>
      <c r="F311" s="98" t="s">
        <v>332</v>
      </c>
      <c r="G311" s="110">
        <v>10000.0</v>
      </c>
      <c r="H311" s="107">
        <v>850000.0</v>
      </c>
      <c r="I311" s="108" t="s">
        <v>238</v>
      </c>
      <c r="J311" s="121">
        <v>475000.0</v>
      </c>
      <c r="K311" s="98" t="s">
        <v>212</v>
      </c>
      <c r="L311" s="58">
        <f t="shared" si="21"/>
        <v>375000</v>
      </c>
    </row>
    <row r="312" ht="15.75" customHeight="1">
      <c r="A312" s="118">
        <v>23.0</v>
      </c>
      <c r="B312" s="112">
        <v>45777.0</v>
      </c>
      <c r="C312" s="17" t="s">
        <v>597</v>
      </c>
      <c r="D312" s="17" t="s">
        <v>604</v>
      </c>
      <c r="E312" s="98" t="s">
        <v>242</v>
      </c>
      <c r="F312" s="98" t="s">
        <v>259</v>
      </c>
      <c r="G312" s="110">
        <v>10000.0</v>
      </c>
      <c r="H312" s="121">
        <v>1500000.0</v>
      </c>
      <c r="I312" s="108" t="s">
        <v>238</v>
      </c>
      <c r="J312" s="121">
        <v>850000.0</v>
      </c>
      <c r="K312" s="98" t="s">
        <v>212</v>
      </c>
      <c r="L312" s="58">
        <f t="shared" si="21"/>
        <v>650000</v>
      </c>
    </row>
    <row r="313" ht="15.75" customHeight="1">
      <c r="A313" s="203"/>
      <c r="E313" s="169"/>
      <c r="F313" s="169"/>
      <c r="G313" s="170"/>
      <c r="H313" s="202"/>
      <c r="I313" s="97"/>
      <c r="J313" s="202"/>
      <c r="K313" s="17"/>
      <c r="L313" s="52">
        <f t="shared" ref="L313:M313" si="22">SUM(L290:L312)</f>
        <v>12220500</v>
      </c>
      <c r="M313" s="30">
        <f t="shared" si="22"/>
        <v>2087000</v>
      </c>
    </row>
    <row r="314" ht="15.75" customHeight="1">
      <c r="A314" s="203"/>
      <c r="E314" s="169"/>
      <c r="F314" s="169"/>
      <c r="G314" s="170"/>
      <c r="H314" s="202"/>
      <c r="I314" s="97"/>
      <c r="J314" s="202"/>
      <c r="K314" s="17"/>
      <c r="L314" s="33">
        <f>L313-M313</f>
        <v>10133500</v>
      </c>
      <c r="M314" s="26"/>
    </row>
    <row r="315" ht="15.75" customHeight="1">
      <c r="A315" s="203"/>
      <c r="E315" s="169"/>
      <c r="F315" s="169"/>
      <c r="G315" s="170"/>
      <c r="H315" s="202"/>
      <c r="I315" s="97"/>
      <c r="J315" s="202"/>
      <c r="K315" s="17"/>
    </row>
    <row r="316" ht="15.75" customHeight="1">
      <c r="A316" s="89" t="s">
        <v>209</v>
      </c>
      <c r="B316" s="89" t="s">
        <v>0</v>
      </c>
      <c r="C316" s="89" t="s">
        <v>1</v>
      </c>
      <c r="D316" s="89" t="s">
        <v>2</v>
      </c>
      <c r="E316" s="90" t="s">
        <v>3</v>
      </c>
      <c r="F316" s="89" t="s">
        <v>4</v>
      </c>
      <c r="G316" s="91" t="s">
        <v>5</v>
      </c>
      <c r="H316" s="119" t="s">
        <v>6</v>
      </c>
      <c r="I316" s="92" t="s">
        <v>39</v>
      </c>
      <c r="J316" s="119" t="s">
        <v>7</v>
      </c>
      <c r="K316" s="91" t="s">
        <v>39</v>
      </c>
      <c r="L316" s="92" t="s">
        <v>8</v>
      </c>
      <c r="M316" s="120" t="s">
        <v>9</v>
      </c>
    </row>
    <row r="317" ht="15.75" customHeight="1">
      <c r="A317" s="21">
        <v>1.0</v>
      </c>
      <c r="B317" s="112">
        <v>45779.0</v>
      </c>
      <c r="C317" s="17" t="s">
        <v>597</v>
      </c>
      <c r="D317" s="17" t="s">
        <v>604</v>
      </c>
      <c r="E317" s="98" t="s">
        <v>279</v>
      </c>
      <c r="F317" s="98" t="s">
        <v>292</v>
      </c>
      <c r="G317" s="110">
        <v>9000.0</v>
      </c>
      <c r="H317" s="121">
        <v>1100000.0</v>
      </c>
      <c r="I317" s="108" t="s">
        <v>212</v>
      </c>
      <c r="J317" s="121">
        <v>650000.0</v>
      </c>
      <c r="K317" s="98" t="s">
        <v>238</v>
      </c>
      <c r="L317" s="58">
        <f t="shared" ref="L317:L343" si="23">H317-J317</f>
        <v>450000</v>
      </c>
      <c r="M317" s="121">
        <v>720000.0</v>
      </c>
    </row>
    <row r="318" ht="15.75" customHeight="1">
      <c r="A318" s="118">
        <v>2.0</v>
      </c>
      <c r="B318" s="112">
        <v>45780.0</v>
      </c>
      <c r="C318" s="17" t="s">
        <v>597</v>
      </c>
      <c r="D318" s="17" t="s">
        <v>604</v>
      </c>
      <c r="E318" s="98" t="s">
        <v>243</v>
      </c>
      <c r="F318" s="98" t="s">
        <v>271</v>
      </c>
      <c r="G318" s="110">
        <v>9000.0</v>
      </c>
      <c r="H318" s="121">
        <v>675000.0</v>
      </c>
      <c r="I318" s="115" t="s">
        <v>238</v>
      </c>
      <c r="J318" s="109">
        <v>375000.0</v>
      </c>
      <c r="K318" s="98" t="s">
        <v>238</v>
      </c>
      <c r="L318" s="58">
        <f t="shared" si="23"/>
        <v>300000</v>
      </c>
      <c r="M318" s="106">
        <v>225000.0</v>
      </c>
    </row>
    <row r="319" ht="15.75" customHeight="1">
      <c r="A319" s="118">
        <v>3.0</v>
      </c>
      <c r="B319" s="112">
        <v>45782.0</v>
      </c>
      <c r="C319" s="17" t="s">
        <v>597</v>
      </c>
      <c r="D319" s="17" t="s">
        <v>604</v>
      </c>
      <c r="E319" s="98" t="s">
        <v>123</v>
      </c>
      <c r="F319" s="98" t="s">
        <v>317</v>
      </c>
      <c r="G319" s="110">
        <v>10000.0</v>
      </c>
      <c r="H319" s="121">
        <v>750000.0</v>
      </c>
      <c r="I319" s="108" t="s">
        <v>212</v>
      </c>
      <c r="J319" s="121">
        <v>425000.0</v>
      </c>
      <c r="K319" s="109" t="s">
        <v>238</v>
      </c>
      <c r="L319" s="58">
        <f t="shared" si="23"/>
        <v>325000</v>
      </c>
      <c r="M319" s="61"/>
    </row>
    <row r="320" ht="15.75" customHeight="1">
      <c r="A320" s="118">
        <v>4.0</v>
      </c>
      <c r="B320" s="112">
        <v>45782.0</v>
      </c>
      <c r="C320" s="17" t="s">
        <v>597</v>
      </c>
      <c r="D320" s="17" t="s">
        <v>604</v>
      </c>
      <c r="E320" s="98" t="s">
        <v>318</v>
      </c>
      <c r="F320" s="98" t="s">
        <v>319</v>
      </c>
      <c r="G320" s="110">
        <v>5000.0</v>
      </c>
      <c r="H320" s="135">
        <v>1495950.0</v>
      </c>
      <c r="I320" s="115" t="s">
        <v>238</v>
      </c>
      <c r="J320" s="121">
        <v>900000.0</v>
      </c>
      <c r="K320" s="109" t="s">
        <v>238</v>
      </c>
      <c r="L320" s="58">
        <f t="shared" si="23"/>
        <v>595950</v>
      </c>
      <c r="M320" s="106"/>
    </row>
    <row r="321" ht="15.75" customHeight="1">
      <c r="A321" s="118">
        <v>5.0</v>
      </c>
      <c r="B321" s="112">
        <v>45783.0</v>
      </c>
      <c r="C321" s="17" t="s">
        <v>597</v>
      </c>
      <c r="D321" s="17" t="s">
        <v>604</v>
      </c>
      <c r="E321" s="98" t="s">
        <v>318</v>
      </c>
      <c r="F321" s="98" t="s">
        <v>319</v>
      </c>
      <c r="G321" s="110">
        <v>5000.0</v>
      </c>
      <c r="H321" s="135">
        <v>1491150.0</v>
      </c>
      <c r="I321" s="115" t="s">
        <v>533</v>
      </c>
      <c r="J321" s="121">
        <v>900000.0</v>
      </c>
      <c r="K321" s="109" t="s">
        <v>238</v>
      </c>
      <c r="L321" s="58">
        <f t="shared" si="23"/>
        <v>591150</v>
      </c>
      <c r="M321" s="61"/>
    </row>
    <row r="322" ht="15.75" customHeight="1">
      <c r="A322" s="118">
        <v>6.0</v>
      </c>
      <c r="B322" s="112">
        <v>45784.0</v>
      </c>
      <c r="C322" s="17" t="s">
        <v>597</v>
      </c>
      <c r="D322" s="17" t="s">
        <v>604</v>
      </c>
      <c r="E322" s="98" t="s">
        <v>322</v>
      </c>
      <c r="F322" s="98" t="s">
        <v>328</v>
      </c>
      <c r="G322" s="110">
        <v>9000.0</v>
      </c>
      <c r="H322" s="121">
        <v>1440000.0</v>
      </c>
      <c r="I322" s="122" t="s">
        <v>238</v>
      </c>
      <c r="J322" s="121">
        <v>925000.0</v>
      </c>
      <c r="K322" s="109" t="s">
        <v>238</v>
      </c>
      <c r="L322" s="58">
        <f t="shared" si="23"/>
        <v>515000</v>
      </c>
      <c r="M322" s="61"/>
    </row>
    <row r="323" ht="15.75" customHeight="1">
      <c r="A323" s="118">
        <v>7.0</v>
      </c>
      <c r="B323" s="112">
        <v>45785.0</v>
      </c>
      <c r="C323" s="17" t="s">
        <v>597</v>
      </c>
      <c r="D323" s="17" t="s">
        <v>604</v>
      </c>
      <c r="E323" s="98" t="s">
        <v>242</v>
      </c>
      <c r="F323" s="98" t="s">
        <v>325</v>
      </c>
      <c r="G323" s="110">
        <v>10000.0</v>
      </c>
      <c r="H323" s="121">
        <v>1200000.0</v>
      </c>
      <c r="I323" s="108" t="s">
        <v>212</v>
      </c>
      <c r="J323" s="121">
        <v>640000.0</v>
      </c>
      <c r="K323" s="109" t="s">
        <v>238</v>
      </c>
      <c r="L323" s="58">
        <f t="shared" si="23"/>
        <v>560000</v>
      </c>
      <c r="M323" s="61"/>
    </row>
    <row r="324" ht="15.75" customHeight="1">
      <c r="A324" s="118">
        <v>8.0</v>
      </c>
      <c r="B324" s="112">
        <v>45786.0</v>
      </c>
      <c r="C324" s="17" t="s">
        <v>597</v>
      </c>
      <c r="D324" s="17" t="s">
        <v>604</v>
      </c>
      <c r="E324" s="98" t="s">
        <v>527</v>
      </c>
      <c r="F324" s="98" t="s">
        <v>349</v>
      </c>
      <c r="G324" s="110">
        <v>10000.0</v>
      </c>
      <c r="H324" s="244">
        <v>1500000.0</v>
      </c>
      <c r="I324" s="115" t="s">
        <v>238</v>
      </c>
      <c r="J324" s="134">
        <v>700000.0</v>
      </c>
      <c r="K324" s="109" t="s">
        <v>238</v>
      </c>
      <c r="L324" s="58">
        <f t="shared" si="23"/>
        <v>800000</v>
      </c>
      <c r="M324" s="106">
        <v>83000.0</v>
      </c>
    </row>
    <row r="325" ht="15.75" customHeight="1">
      <c r="A325" s="118">
        <v>9.0</v>
      </c>
      <c r="B325" s="112">
        <v>45787.0</v>
      </c>
      <c r="C325" s="17" t="s">
        <v>597</v>
      </c>
      <c r="D325" s="17" t="s">
        <v>604</v>
      </c>
      <c r="E325" s="98" t="s">
        <v>242</v>
      </c>
      <c r="F325" s="98" t="s">
        <v>294</v>
      </c>
      <c r="G325" s="110">
        <v>9000.0</v>
      </c>
      <c r="H325" s="121">
        <v>720000.0</v>
      </c>
      <c r="I325" s="108" t="s">
        <v>212</v>
      </c>
      <c r="J325" s="121">
        <v>400000.0</v>
      </c>
      <c r="K325" s="109" t="s">
        <v>238</v>
      </c>
      <c r="L325" s="58">
        <f t="shared" si="23"/>
        <v>320000</v>
      </c>
      <c r="M325" s="61"/>
    </row>
    <row r="326" ht="15.75" customHeight="1">
      <c r="A326" s="118">
        <v>10.0</v>
      </c>
      <c r="B326" s="112">
        <v>45790.0</v>
      </c>
      <c r="C326" s="17" t="s">
        <v>597</v>
      </c>
      <c r="D326" s="17" t="s">
        <v>604</v>
      </c>
      <c r="E326" s="98" t="s">
        <v>318</v>
      </c>
      <c r="F326" s="98" t="s">
        <v>319</v>
      </c>
      <c r="G326" s="110">
        <v>5000.0</v>
      </c>
      <c r="H326" s="135">
        <v>1494000.0</v>
      </c>
      <c r="I326" s="115" t="s">
        <v>523</v>
      </c>
      <c r="J326" s="121">
        <v>900000.0</v>
      </c>
      <c r="K326" s="109" t="s">
        <v>238</v>
      </c>
      <c r="L326" s="58">
        <f t="shared" si="23"/>
        <v>594000</v>
      </c>
      <c r="M326" s="106"/>
    </row>
    <row r="327" ht="15.75" customHeight="1">
      <c r="A327" s="118">
        <v>11.0</v>
      </c>
      <c r="B327" s="112">
        <v>45791.0</v>
      </c>
      <c r="C327" s="17" t="s">
        <v>597</v>
      </c>
      <c r="D327" s="17" t="s">
        <v>604</v>
      </c>
      <c r="E327" s="98" t="s">
        <v>527</v>
      </c>
      <c r="F327" s="98" t="s">
        <v>690</v>
      </c>
      <c r="G327" s="110">
        <v>10000.0</v>
      </c>
      <c r="H327" s="121">
        <v>1500000.0</v>
      </c>
      <c r="I327" s="115" t="s">
        <v>238</v>
      </c>
      <c r="J327" s="121">
        <v>700000.0</v>
      </c>
      <c r="K327" s="109" t="s">
        <v>238</v>
      </c>
      <c r="L327" s="58">
        <f t="shared" si="23"/>
        <v>800000</v>
      </c>
      <c r="M327" s="106"/>
    </row>
    <row r="328" ht="15.75" customHeight="1">
      <c r="A328" s="118">
        <v>12.0</v>
      </c>
      <c r="B328" s="112">
        <v>45792.0</v>
      </c>
      <c r="C328" s="17" t="s">
        <v>597</v>
      </c>
      <c r="D328" s="17" t="s">
        <v>604</v>
      </c>
      <c r="E328" s="98" t="s">
        <v>318</v>
      </c>
      <c r="F328" s="98" t="s">
        <v>319</v>
      </c>
      <c r="G328" s="110">
        <v>9000.0</v>
      </c>
      <c r="H328" s="135">
        <v>1498050.0</v>
      </c>
      <c r="I328" s="115" t="s">
        <v>523</v>
      </c>
      <c r="J328" s="121">
        <v>900000.0</v>
      </c>
      <c r="K328" s="109" t="s">
        <v>238</v>
      </c>
      <c r="L328" s="58">
        <f t="shared" si="23"/>
        <v>598050</v>
      </c>
      <c r="M328" s="61"/>
    </row>
    <row r="329" ht="15.75" customHeight="1">
      <c r="A329" s="118">
        <v>13.0</v>
      </c>
      <c r="B329" s="112">
        <v>45793.0</v>
      </c>
      <c r="C329" s="17" t="s">
        <v>597</v>
      </c>
      <c r="D329" s="17" t="s">
        <v>604</v>
      </c>
      <c r="E329" s="98" t="s">
        <v>242</v>
      </c>
      <c r="F329" s="98" t="s">
        <v>348</v>
      </c>
      <c r="G329" s="110">
        <v>10000.0</v>
      </c>
      <c r="H329" s="121">
        <v>1000000.0</v>
      </c>
      <c r="I329" s="115" t="s">
        <v>238</v>
      </c>
      <c r="J329" s="109">
        <v>475000.0</v>
      </c>
      <c r="K329" s="109" t="s">
        <v>238</v>
      </c>
      <c r="L329" s="58">
        <f t="shared" si="23"/>
        <v>525000</v>
      </c>
      <c r="M329" s="61"/>
    </row>
    <row r="330" ht="15.75" customHeight="1">
      <c r="A330" s="118">
        <v>14.0</v>
      </c>
      <c r="B330" s="112">
        <v>45793.0</v>
      </c>
      <c r="C330" s="17" t="s">
        <v>597</v>
      </c>
      <c r="D330" s="17" t="s">
        <v>604</v>
      </c>
      <c r="E330" s="98" t="s">
        <v>527</v>
      </c>
      <c r="F330" s="98" t="s">
        <v>349</v>
      </c>
      <c r="G330" s="110">
        <v>10000.0</v>
      </c>
      <c r="H330" s="107">
        <v>1500000.0</v>
      </c>
      <c r="I330" s="108" t="s">
        <v>238</v>
      </c>
      <c r="J330" s="134">
        <v>700000.0</v>
      </c>
      <c r="K330" s="109" t="s">
        <v>238</v>
      </c>
      <c r="L330" s="58">
        <f t="shared" si="23"/>
        <v>800000</v>
      </c>
      <c r="M330" s="61"/>
    </row>
    <row r="331" ht="15.75" customHeight="1">
      <c r="A331" s="118">
        <v>15.0</v>
      </c>
      <c r="B331" s="112">
        <v>45794.0</v>
      </c>
      <c r="C331" s="17" t="s">
        <v>597</v>
      </c>
      <c r="D331" s="17" t="s">
        <v>604</v>
      </c>
      <c r="E331" s="98" t="s">
        <v>527</v>
      </c>
      <c r="F331" s="98" t="s">
        <v>349</v>
      </c>
      <c r="G331" s="110">
        <v>10000.0</v>
      </c>
      <c r="H331" s="107">
        <v>1500000.0</v>
      </c>
      <c r="I331" s="108" t="s">
        <v>238</v>
      </c>
      <c r="J331" s="134">
        <v>700000.0</v>
      </c>
      <c r="K331" s="109" t="s">
        <v>238</v>
      </c>
      <c r="L331" s="58">
        <f t="shared" si="23"/>
        <v>800000</v>
      </c>
      <c r="M331" s="61"/>
    </row>
    <row r="332" ht="15.75" customHeight="1">
      <c r="A332" s="118">
        <v>16.0</v>
      </c>
      <c r="B332" s="112">
        <v>45796.0</v>
      </c>
      <c r="C332" s="17" t="s">
        <v>597</v>
      </c>
      <c r="D332" s="17" t="s">
        <v>604</v>
      </c>
      <c r="E332" s="98" t="s">
        <v>279</v>
      </c>
      <c r="F332" s="98" t="s">
        <v>317</v>
      </c>
      <c r="G332" s="110">
        <v>9000.0</v>
      </c>
      <c r="H332" s="107">
        <v>700000.0</v>
      </c>
      <c r="I332" s="108" t="s">
        <v>212</v>
      </c>
      <c r="J332" s="121">
        <v>400000.0</v>
      </c>
      <c r="K332" s="98" t="s">
        <v>212</v>
      </c>
      <c r="L332" s="58">
        <f t="shared" si="23"/>
        <v>300000</v>
      </c>
      <c r="M332" s="106">
        <v>165000.0</v>
      </c>
    </row>
    <row r="333" ht="15.75" customHeight="1">
      <c r="A333" s="118">
        <v>17.0</v>
      </c>
      <c r="B333" s="112">
        <v>45796.0</v>
      </c>
      <c r="C333" s="17" t="s">
        <v>597</v>
      </c>
      <c r="D333" s="17" t="s">
        <v>604</v>
      </c>
      <c r="E333" s="98" t="s">
        <v>320</v>
      </c>
      <c r="F333" s="98" t="s">
        <v>317</v>
      </c>
      <c r="G333" s="110">
        <v>9000.0</v>
      </c>
      <c r="H333" s="107">
        <v>750000.0</v>
      </c>
      <c r="I333" s="108" t="s">
        <v>212</v>
      </c>
      <c r="J333" s="121">
        <v>475000.0</v>
      </c>
      <c r="K333" s="98" t="s">
        <v>212</v>
      </c>
      <c r="L333" s="58">
        <f t="shared" si="23"/>
        <v>275000</v>
      </c>
      <c r="M333" s="106"/>
    </row>
    <row r="334" ht="15.75" customHeight="1">
      <c r="A334" s="118">
        <v>18.0</v>
      </c>
      <c r="B334" s="112">
        <v>45797.0</v>
      </c>
      <c r="C334" s="17" t="s">
        <v>597</v>
      </c>
      <c r="D334" s="17" t="s">
        <v>604</v>
      </c>
      <c r="E334" s="98" t="s">
        <v>318</v>
      </c>
      <c r="F334" s="98" t="s">
        <v>319</v>
      </c>
      <c r="G334" s="110">
        <v>5000.0</v>
      </c>
      <c r="H334" s="135">
        <v>1997900.0</v>
      </c>
      <c r="I334" s="115" t="s">
        <v>523</v>
      </c>
      <c r="J334" s="121">
        <v>900000.0</v>
      </c>
      <c r="K334" s="98" t="s">
        <v>212</v>
      </c>
      <c r="L334" s="58">
        <f t="shared" si="23"/>
        <v>1097900</v>
      </c>
      <c r="M334" s="106">
        <v>40000.0</v>
      </c>
    </row>
    <row r="335" ht="15.75" customHeight="1">
      <c r="A335" s="118">
        <v>19.0</v>
      </c>
      <c r="B335" s="112">
        <v>45799.0</v>
      </c>
      <c r="C335" s="17" t="s">
        <v>597</v>
      </c>
      <c r="D335" s="17" t="s">
        <v>604</v>
      </c>
      <c r="E335" s="98" t="s">
        <v>318</v>
      </c>
      <c r="F335" s="98" t="s">
        <v>319</v>
      </c>
      <c r="G335" s="110">
        <v>5000.0</v>
      </c>
      <c r="H335" s="135">
        <v>1496700.0</v>
      </c>
      <c r="I335" s="115" t="s">
        <v>523</v>
      </c>
      <c r="J335" s="121">
        <v>900000.0</v>
      </c>
      <c r="K335" s="109" t="s">
        <v>238</v>
      </c>
      <c r="L335" s="58">
        <f t="shared" si="23"/>
        <v>596700</v>
      </c>
      <c r="M335" s="106">
        <v>350000.0</v>
      </c>
    </row>
    <row r="336" ht="15.75" customHeight="1">
      <c r="A336" s="118">
        <v>20.0</v>
      </c>
      <c r="B336" s="112">
        <v>45800.0</v>
      </c>
      <c r="C336" s="17" t="s">
        <v>597</v>
      </c>
      <c r="D336" s="17" t="s">
        <v>604</v>
      </c>
      <c r="E336" s="98" t="s">
        <v>318</v>
      </c>
      <c r="F336" s="98" t="s">
        <v>319</v>
      </c>
      <c r="G336" s="110">
        <v>5000.0</v>
      </c>
      <c r="H336" s="135">
        <v>1494000.0</v>
      </c>
      <c r="I336" s="108" t="s">
        <v>238</v>
      </c>
      <c r="J336" s="121">
        <v>900000.0</v>
      </c>
      <c r="K336" s="109" t="s">
        <v>238</v>
      </c>
      <c r="L336" s="58">
        <f t="shared" si="23"/>
        <v>594000</v>
      </c>
      <c r="M336" s="106"/>
    </row>
    <row r="337" ht="15.75" customHeight="1">
      <c r="A337" s="118">
        <v>21.0</v>
      </c>
      <c r="B337" s="112">
        <v>45801.0</v>
      </c>
      <c r="C337" s="17" t="s">
        <v>597</v>
      </c>
      <c r="D337" s="17" t="s">
        <v>604</v>
      </c>
      <c r="E337" s="98" t="s">
        <v>527</v>
      </c>
      <c r="F337" s="98" t="s">
        <v>349</v>
      </c>
      <c r="G337" s="110">
        <v>10000.0</v>
      </c>
      <c r="H337" s="107">
        <v>1500000.0</v>
      </c>
      <c r="I337" s="108" t="s">
        <v>238</v>
      </c>
      <c r="J337" s="134">
        <v>700000.0</v>
      </c>
      <c r="K337" s="109" t="s">
        <v>238</v>
      </c>
      <c r="L337" s="58">
        <f t="shared" si="23"/>
        <v>800000</v>
      </c>
      <c r="M337" s="106"/>
    </row>
    <row r="338" ht="15.75" customHeight="1">
      <c r="A338" s="118">
        <v>22.0</v>
      </c>
      <c r="B338" s="112">
        <v>45803.0</v>
      </c>
      <c r="C338" s="17" t="s">
        <v>597</v>
      </c>
      <c r="D338" s="17" t="s">
        <v>604</v>
      </c>
      <c r="E338" s="98" t="s">
        <v>679</v>
      </c>
      <c r="F338" s="98" t="s">
        <v>319</v>
      </c>
      <c r="G338" s="110">
        <v>10000.0</v>
      </c>
      <c r="H338" s="135">
        <v>1990700.0</v>
      </c>
      <c r="I338" s="108" t="s">
        <v>238</v>
      </c>
      <c r="J338" s="135">
        <v>1000000.0</v>
      </c>
      <c r="K338" s="109" t="s">
        <v>238</v>
      </c>
      <c r="L338" s="58">
        <f t="shared" si="23"/>
        <v>990700</v>
      </c>
      <c r="M338" s="106"/>
    </row>
    <row r="339" ht="15.75" customHeight="1">
      <c r="A339" s="118">
        <v>23.0</v>
      </c>
      <c r="B339" s="112">
        <v>45804.0</v>
      </c>
      <c r="C339" s="17" t="s">
        <v>597</v>
      </c>
      <c r="D339" s="17" t="s">
        <v>604</v>
      </c>
      <c r="E339" s="98" t="s">
        <v>320</v>
      </c>
      <c r="F339" s="98" t="s">
        <v>329</v>
      </c>
      <c r="G339" s="110">
        <v>10000.0</v>
      </c>
      <c r="H339" s="107">
        <v>1100000.0</v>
      </c>
      <c r="I339" s="108" t="s">
        <v>238</v>
      </c>
      <c r="J339" s="121">
        <v>600000.0</v>
      </c>
      <c r="K339" s="109" t="s">
        <v>238</v>
      </c>
      <c r="L339" s="58">
        <f t="shared" si="23"/>
        <v>500000</v>
      </c>
      <c r="M339" s="106">
        <v>1880000.0</v>
      </c>
    </row>
    <row r="340" ht="15.75" customHeight="1">
      <c r="A340" s="118">
        <v>24.0</v>
      </c>
      <c r="B340" s="112">
        <v>45805.0</v>
      </c>
      <c r="C340" s="17" t="s">
        <v>597</v>
      </c>
      <c r="D340" s="17" t="s">
        <v>604</v>
      </c>
      <c r="E340" s="98" t="s">
        <v>243</v>
      </c>
      <c r="F340" s="98" t="s">
        <v>323</v>
      </c>
      <c r="G340" s="110">
        <v>9000.0</v>
      </c>
      <c r="H340" s="107">
        <v>1350000.0</v>
      </c>
      <c r="I340" s="108" t="s">
        <v>238</v>
      </c>
      <c r="J340" s="121">
        <v>780000.0</v>
      </c>
      <c r="K340" s="109" t="s">
        <v>238</v>
      </c>
      <c r="L340" s="58">
        <f t="shared" si="23"/>
        <v>570000</v>
      </c>
    </row>
    <row r="341" ht="15.75" customHeight="1">
      <c r="A341" s="212">
        <v>25.0</v>
      </c>
      <c r="B341" s="112">
        <v>45807.0</v>
      </c>
      <c r="C341" s="17" t="s">
        <v>597</v>
      </c>
      <c r="D341" s="17" t="s">
        <v>604</v>
      </c>
      <c r="E341" s="98" t="s">
        <v>279</v>
      </c>
      <c r="F341" s="98" t="s">
        <v>311</v>
      </c>
      <c r="G341" s="151">
        <v>9000.0</v>
      </c>
      <c r="H341" s="135">
        <v>720000.0</v>
      </c>
      <c r="I341" s="108" t="s">
        <v>212</v>
      </c>
      <c r="J341" s="121">
        <v>350000.0</v>
      </c>
      <c r="K341" s="109" t="s">
        <v>238</v>
      </c>
      <c r="L341" s="58">
        <f t="shared" si="23"/>
        <v>370000</v>
      </c>
      <c r="M341" s="106">
        <v>300000.0</v>
      </c>
    </row>
    <row r="342" ht="15.75" customHeight="1">
      <c r="A342" s="212">
        <v>26.0</v>
      </c>
      <c r="B342" s="112">
        <v>45807.0</v>
      </c>
      <c r="C342" s="17" t="s">
        <v>597</v>
      </c>
      <c r="D342" s="17" t="s">
        <v>604</v>
      </c>
      <c r="E342" s="98" t="s">
        <v>318</v>
      </c>
      <c r="F342" s="98" t="s">
        <v>308</v>
      </c>
      <c r="G342" s="110">
        <v>5000.0</v>
      </c>
      <c r="H342" s="135">
        <v>1493400.0</v>
      </c>
      <c r="I342" s="115" t="s">
        <v>523</v>
      </c>
      <c r="J342" s="121">
        <v>900000.0</v>
      </c>
      <c r="K342" s="109" t="s">
        <v>238</v>
      </c>
      <c r="L342" s="58">
        <f t="shared" si="23"/>
        <v>593400</v>
      </c>
    </row>
    <row r="343" ht="15.75" customHeight="1">
      <c r="A343" s="212">
        <v>27.0</v>
      </c>
      <c r="B343" s="112">
        <v>45808.0</v>
      </c>
      <c r="C343" s="17" t="s">
        <v>597</v>
      </c>
      <c r="D343" s="17" t="s">
        <v>604</v>
      </c>
      <c r="E343" s="98" t="s">
        <v>242</v>
      </c>
      <c r="F343" s="98" t="s">
        <v>259</v>
      </c>
      <c r="G343" s="151">
        <v>10000.0</v>
      </c>
      <c r="H343" s="135">
        <v>1500000.0</v>
      </c>
      <c r="I343" s="115" t="s">
        <v>238</v>
      </c>
      <c r="J343" s="121">
        <v>850000.0</v>
      </c>
      <c r="K343" s="109" t="s">
        <v>238</v>
      </c>
      <c r="L343" s="58">
        <f t="shared" si="23"/>
        <v>650000</v>
      </c>
    </row>
    <row r="344" ht="15.75" customHeight="1">
      <c r="A344" s="203"/>
      <c r="E344" s="169"/>
      <c r="F344" s="169"/>
      <c r="G344" s="170"/>
      <c r="H344" s="202"/>
      <c r="I344" s="97"/>
      <c r="J344" s="202"/>
      <c r="K344" s="17"/>
      <c r="L344" s="52">
        <f>SUM(L317:L338)</f>
        <v>13228450</v>
      </c>
      <c r="M344" s="30">
        <f>SUM(M317:M341)</f>
        <v>3763000</v>
      </c>
    </row>
    <row r="345" ht="15.75" customHeight="1">
      <c r="A345" s="203"/>
      <c r="E345" s="169"/>
      <c r="F345" s="169"/>
      <c r="G345" s="170"/>
      <c r="H345" s="202"/>
      <c r="I345" s="97"/>
      <c r="J345" s="202"/>
      <c r="K345" s="17"/>
      <c r="L345" s="33">
        <f>L344-M344</f>
        <v>9465450</v>
      </c>
      <c r="M345" s="26"/>
    </row>
    <row r="346" ht="15.75" customHeight="1">
      <c r="A346" s="203"/>
      <c r="E346" s="169"/>
      <c r="F346" s="169"/>
      <c r="G346" s="170"/>
      <c r="H346" s="202"/>
      <c r="I346" s="97"/>
      <c r="J346" s="202"/>
      <c r="K346" s="17"/>
      <c r="M346" s="149"/>
    </row>
    <row r="347" ht="15.75" customHeight="1">
      <c r="A347" s="136" t="s">
        <v>209</v>
      </c>
      <c r="B347" s="136" t="s">
        <v>0</v>
      </c>
      <c r="C347" s="136" t="s">
        <v>1</v>
      </c>
      <c r="D347" s="136" t="s">
        <v>2</v>
      </c>
      <c r="E347" s="137" t="s">
        <v>3</v>
      </c>
      <c r="F347" s="136" t="s">
        <v>4</v>
      </c>
      <c r="G347" s="138" t="s">
        <v>5</v>
      </c>
      <c r="H347" s="139" t="s">
        <v>6</v>
      </c>
      <c r="I347" s="140" t="s">
        <v>39</v>
      </c>
      <c r="J347" s="139" t="s">
        <v>7</v>
      </c>
      <c r="K347" s="138" t="s">
        <v>39</v>
      </c>
      <c r="L347" s="140" t="s">
        <v>8</v>
      </c>
      <c r="M347" s="141" t="s">
        <v>9</v>
      </c>
    </row>
    <row r="348" ht="15.75" customHeight="1">
      <c r="A348" s="17">
        <v>1.0</v>
      </c>
      <c r="B348" s="142">
        <v>45810.0</v>
      </c>
      <c r="C348" s="17" t="s">
        <v>597</v>
      </c>
      <c r="D348" s="17" t="s">
        <v>604</v>
      </c>
      <c r="E348" s="144" t="s">
        <v>672</v>
      </c>
      <c r="F348" s="144" t="s">
        <v>691</v>
      </c>
      <c r="G348" s="132"/>
      <c r="H348" s="134">
        <v>1400000.0</v>
      </c>
      <c r="I348" s="115" t="s">
        <v>238</v>
      </c>
      <c r="J348" s="134">
        <v>750000.0</v>
      </c>
      <c r="K348" s="109" t="s">
        <v>238</v>
      </c>
      <c r="L348" s="146">
        <f t="shared" ref="L348:L370" si="24">H348-J348</f>
        <v>650000</v>
      </c>
      <c r="M348" s="147">
        <v>93000.0</v>
      </c>
    </row>
    <row r="349" ht="15.75" customHeight="1">
      <c r="A349" s="118">
        <v>2.0</v>
      </c>
      <c r="B349" s="142">
        <v>45811.0</v>
      </c>
      <c r="C349" s="17" t="s">
        <v>597</v>
      </c>
      <c r="D349" s="17" t="s">
        <v>604</v>
      </c>
      <c r="E349" s="144" t="s">
        <v>672</v>
      </c>
      <c r="F349" s="144" t="s">
        <v>691</v>
      </c>
      <c r="G349" s="132"/>
      <c r="H349" s="134">
        <v>1400000.0</v>
      </c>
      <c r="I349" s="115" t="s">
        <v>238</v>
      </c>
      <c r="J349" s="134">
        <v>750000.0</v>
      </c>
      <c r="K349" s="109" t="s">
        <v>238</v>
      </c>
      <c r="L349" s="146">
        <f t="shared" si="24"/>
        <v>650000</v>
      </c>
      <c r="M349" s="149"/>
    </row>
    <row r="350" ht="15.75" customHeight="1">
      <c r="A350" s="118">
        <v>3.0</v>
      </c>
      <c r="B350" s="142">
        <v>45812.0</v>
      </c>
      <c r="C350" s="17" t="s">
        <v>597</v>
      </c>
      <c r="D350" s="17" t="s">
        <v>604</v>
      </c>
      <c r="E350" s="144" t="s">
        <v>672</v>
      </c>
      <c r="F350" s="144" t="s">
        <v>691</v>
      </c>
      <c r="G350" s="132"/>
      <c r="H350" s="134">
        <v>1400000.0</v>
      </c>
      <c r="I350" s="145" t="s">
        <v>238</v>
      </c>
      <c r="J350" s="134">
        <v>750000.0</v>
      </c>
      <c r="K350" s="98" t="s">
        <v>238</v>
      </c>
      <c r="L350" s="146">
        <f t="shared" si="24"/>
        <v>650000</v>
      </c>
      <c r="M350" s="150">
        <v>2555000.0</v>
      </c>
    </row>
    <row r="351" ht="15.75" customHeight="1">
      <c r="A351" s="118">
        <v>4.0</v>
      </c>
      <c r="B351" s="142">
        <v>45813.0</v>
      </c>
      <c r="C351" s="17" t="s">
        <v>597</v>
      </c>
      <c r="D351" s="17" t="s">
        <v>604</v>
      </c>
      <c r="E351" s="144" t="s">
        <v>320</v>
      </c>
      <c r="F351" s="144" t="s">
        <v>348</v>
      </c>
      <c r="G351" s="110">
        <v>10000.0</v>
      </c>
      <c r="H351" s="134">
        <v>1000000.0</v>
      </c>
      <c r="I351" s="145" t="s">
        <v>238</v>
      </c>
      <c r="J351" s="134">
        <v>500000.0</v>
      </c>
      <c r="K351" s="98" t="s">
        <v>238</v>
      </c>
      <c r="L351" s="146">
        <f t="shared" si="24"/>
        <v>500000</v>
      </c>
      <c r="M351" s="149"/>
    </row>
    <row r="352" ht="15.75" customHeight="1">
      <c r="A352" s="118">
        <v>5.0</v>
      </c>
      <c r="B352" s="142">
        <v>45813.0</v>
      </c>
      <c r="C352" s="17" t="s">
        <v>597</v>
      </c>
      <c r="D352" s="17" t="s">
        <v>604</v>
      </c>
      <c r="E352" s="204" t="s">
        <v>318</v>
      </c>
      <c r="F352" s="144" t="s">
        <v>319</v>
      </c>
      <c r="G352" s="151">
        <v>5000.0</v>
      </c>
      <c r="H352" s="135">
        <v>1491000.0</v>
      </c>
      <c r="I352" s="115" t="s">
        <v>523</v>
      </c>
      <c r="J352" s="121">
        <v>900000.0</v>
      </c>
      <c r="K352" s="98" t="s">
        <v>238</v>
      </c>
      <c r="L352" s="146">
        <f t="shared" si="24"/>
        <v>591000</v>
      </c>
      <c r="M352" s="149"/>
    </row>
    <row r="353" ht="15.75" customHeight="1">
      <c r="A353" s="118">
        <v>6.0</v>
      </c>
      <c r="B353" s="142">
        <v>45815.0</v>
      </c>
      <c r="C353" s="17" t="s">
        <v>597</v>
      </c>
      <c r="D353" s="17" t="s">
        <v>604</v>
      </c>
      <c r="E353" s="204" t="s">
        <v>242</v>
      </c>
      <c r="F353" s="144" t="s">
        <v>271</v>
      </c>
      <c r="G353" s="151">
        <v>9000.0</v>
      </c>
      <c r="H353" s="121">
        <v>675000.0</v>
      </c>
      <c r="I353" s="115" t="s">
        <v>238</v>
      </c>
      <c r="J353" s="109">
        <v>375000.0</v>
      </c>
      <c r="K353" s="98" t="s">
        <v>238</v>
      </c>
      <c r="L353" s="146">
        <f t="shared" si="24"/>
        <v>300000</v>
      </c>
      <c r="M353" s="149"/>
    </row>
    <row r="354" ht="15.75" customHeight="1">
      <c r="A354" s="118">
        <v>7.0</v>
      </c>
      <c r="B354" s="142">
        <v>45815.0</v>
      </c>
      <c r="C354" s="17" t="s">
        <v>597</v>
      </c>
      <c r="D354" s="17" t="s">
        <v>604</v>
      </c>
      <c r="E354" s="204" t="s">
        <v>318</v>
      </c>
      <c r="F354" s="144" t="s">
        <v>319</v>
      </c>
      <c r="G354" s="151">
        <v>5000.0</v>
      </c>
      <c r="H354" s="135">
        <v>1495350.0</v>
      </c>
      <c r="I354" s="115" t="s">
        <v>523</v>
      </c>
      <c r="J354" s="121">
        <v>900000.0</v>
      </c>
      <c r="K354" s="98" t="s">
        <v>238</v>
      </c>
      <c r="L354" s="146">
        <f t="shared" si="24"/>
        <v>595350</v>
      </c>
      <c r="M354" s="149"/>
    </row>
    <row r="355" ht="15.75" customHeight="1">
      <c r="A355" s="118">
        <v>8.0</v>
      </c>
      <c r="B355" s="142">
        <v>45817.0</v>
      </c>
      <c r="C355" s="17" t="s">
        <v>597</v>
      </c>
      <c r="D355" s="17" t="s">
        <v>604</v>
      </c>
      <c r="E355" s="98" t="s">
        <v>279</v>
      </c>
      <c r="F355" s="144" t="s">
        <v>303</v>
      </c>
      <c r="G355" s="110">
        <v>9000.0</v>
      </c>
      <c r="H355" s="107">
        <v>1215000.0</v>
      </c>
      <c r="I355" s="108" t="s">
        <v>238</v>
      </c>
      <c r="J355" s="121">
        <v>700000.0</v>
      </c>
      <c r="K355" s="98" t="s">
        <v>238</v>
      </c>
      <c r="L355" s="146">
        <f t="shared" si="24"/>
        <v>515000</v>
      </c>
      <c r="M355" s="150">
        <v>55000.0</v>
      </c>
    </row>
    <row r="356" ht="15.75" customHeight="1">
      <c r="A356" s="118">
        <v>9.0</v>
      </c>
      <c r="B356" s="142">
        <v>45818.0</v>
      </c>
      <c r="C356" s="17" t="s">
        <v>597</v>
      </c>
      <c r="D356" s="17" t="s">
        <v>604</v>
      </c>
      <c r="E356" s="204" t="s">
        <v>347</v>
      </c>
      <c r="F356" s="144" t="s">
        <v>319</v>
      </c>
      <c r="G356" s="151">
        <v>7000.0</v>
      </c>
      <c r="H356" s="135">
        <v>1495950.0</v>
      </c>
      <c r="I356" s="115" t="s">
        <v>523</v>
      </c>
      <c r="J356" s="121">
        <v>900000.0</v>
      </c>
      <c r="K356" s="98" t="s">
        <v>238</v>
      </c>
      <c r="L356" s="146">
        <f t="shared" si="24"/>
        <v>595950</v>
      </c>
      <c r="M356" s="149"/>
    </row>
    <row r="357" ht="15.75" customHeight="1">
      <c r="A357" s="118">
        <v>10.0</v>
      </c>
      <c r="B357" s="142">
        <v>45819.0</v>
      </c>
      <c r="C357" s="17" t="s">
        <v>597</v>
      </c>
      <c r="D357" s="17" t="s">
        <v>604</v>
      </c>
      <c r="E357" s="204" t="s">
        <v>527</v>
      </c>
      <c r="F357" s="144" t="s">
        <v>319</v>
      </c>
      <c r="G357" s="151">
        <v>10000.0</v>
      </c>
      <c r="H357" s="135">
        <v>2226900.0</v>
      </c>
      <c r="I357" s="115" t="s">
        <v>523</v>
      </c>
      <c r="J357" s="135">
        <v>1000000.0</v>
      </c>
      <c r="K357" s="98" t="s">
        <v>238</v>
      </c>
      <c r="L357" s="146">
        <f t="shared" si="24"/>
        <v>1226900</v>
      </c>
      <c r="M357" s="150">
        <v>90000.0</v>
      </c>
    </row>
    <row r="358" ht="15.75" customHeight="1">
      <c r="A358" s="118">
        <v>11.0</v>
      </c>
      <c r="B358" s="142">
        <v>45820.0</v>
      </c>
      <c r="C358" s="17" t="s">
        <v>597</v>
      </c>
      <c r="D358" s="17" t="s">
        <v>604</v>
      </c>
      <c r="E358" s="204" t="s">
        <v>242</v>
      </c>
      <c r="F358" s="144" t="s">
        <v>348</v>
      </c>
      <c r="G358" s="151">
        <v>10000.0</v>
      </c>
      <c r="H358" s="135">
        <v>1000000.0</v>
      </c>
      <c r="I358" s="115" t="s">
        <v>238</v>
      </c>
      <c r="J358" s="135">
        <v>500000.0</v>
      </c>
      <c r="K358" s="98" t="s">
        <v>238</v>
      </c>
      <c r="L358" s="146">
        <f t="shared" si="24"/>
        <v>500000</v>
      </c>
      <c r="M358" s="149"/>
    </row>
    <row r="359" ht="15.75" customHeight="1">
      <c r="A359" s="118">
        <v>12.0</v>
      </c>
      <c r="B359" s="142">
        <v>45820.0</v>
      </c>
      <c r="C359" s="17" t="s">
        <v>597</v>
      </c>
      <c r="D359" s="17" t="s">
        <v>604</v>
      </c>
      <c r="E359" s="204" t="s">
        <v>242</v>
      </c>
      <c r="F359" s="144" t="s">
        <v>325</v>
      </c>
      <c r="G359" s="151">
        <v>10000.0</v>
      </c>
      <c r="H359" s="107">
        <v>1200000.0</v>
      </c>
      <c r="I359" s="108" t="s">
        <v>212</v>
      </c>
      <c r="J359" s="121">
        <v>690000.0</v>
      </c>
      <c r="K359" s="98" t="s">
        <v>238</v>
      </c>
      <c r="L359" s="146">
        <f t="shared" si="24"/>
        <v>510000</v>
      </c>
      <c r="M359" s="149"/>
    </row>
    <row r="360" ht="15.75" customHeight="1">
      <c r="A360" s="118">
        <v>13.0</v>
      </c>
      <c r="B360" s="142">
        <v>45821.0</v>
      </c>
      <c r="C360" s="17" t="s">
        <v>597</v>
      </c>
      <c r="D360" s="17" t="s">
        <v>604</v>
      </c>
      <c r="E360" s="98" t="s">
        <v>242</v>
      </c>
      <c r="F360" s="144" t="s">
        <v>259</v>
      </c>
      <c r="G360" s="110">
        <v>10000.0</v>
      </c>
      <c r="H360" s="107">
        <v>1500000.0</v>
      </c>
      <c r="I360" s="108" t="s">
        <v>238</v>
      </c>
      <c r="J360" s="109">
        <v>850000.0</v>
      </c>
      <c r="K360" s="98" t="s">
        <v>238</v>
      </c>
      <c r="L360" s="146">
        <f t="shared" si="24"/>
        <v>650000</v>
      </c>
      <c r="M360" s="149"/>
    </row>
    <row r="361" ht="15.75" customHeight="1">
      <c r="A361" s="118">
        <v>14.0</v>
      </c>
      <c r="B361" s="142">
        <v>45822.0</v>
      </c>
      <c r="C361" s="17" t="s">
        <v>597</v>
      </c>
      <c r="D361" s="17" t="s">
        <v>604</v>
      </c>
      <c r="E361" s="204" t="s">
        <v>243</v>
      </c>
      <c r="F361" s="144" t="s">
        <v>271</v>
      </c>
      <c r="G361" s="151">
        <v>9000.0</v>
      </c>
      <c r="H361" s="135">
        <v>675000.0</v>
      </c>
      <c r="I361" s="115" t="s">
        <v>238</v>
      </c>
      <c r="J361" s="135">
        <v>375000.0</v>
      </c>
      <c r="K361" s="98" t="s">
        <v>238</v>
      </c>
      <c r="L361" s="146">
        <f t="shared" si="24"/>
        <v>300000</v>
      </c>
      <c r="M361" s="150">
        <v>173000.0</v>
      </c>
    </row>
    <row r="362" ht="15.75" customHeight="1">
      <c r="A362" s="118">
        <v>15.0</v>
      </c>
      <c r="B362" s="142">
        <v>45825.0</v>
      </c>
      <c r="C362" s="17" t="s">
        <v>597</v>
      </c>
      <c r="D362" s="17" t="s">
        <v>604</v>
      </c>
      <c r="E362" s="98" t="s">
        <v>243</v>
      </c>
      <c r="F362" s="144" t="s">
        <v>295</v>
      </c>
      <c r="G362" s="110">
        <v>9000.0</v>
      </c>
      <c r="H362" s="107">
        <v>1125000.0</v>
      </c>
      <c r="I362" s="108" t="s">
        <v>212</v>
      </c>
      <c r="J362" s="109">
        <v>640000.0</v>
      </c>
      <c r="K362" s="98" t="s">
        <v>238</v>
      </c>
      <c r="L362" s="146">
        <f t="shared" si="24"/>
        <v>485000</v>
      </c>
      <c r="M362" s="150">
        <v>125000.0</v>
      </c>
    </row>
    <row r="363" ht="15.75" customHeight="1">
      <c r="A363" s="118">
        <v>16.0</v>
      </c>
      <c r="B363" s="142">
        <v>45826.0</v>
      </c>
      <c r="C363" s="17" t="s">
        <v>597</v>
      </c>
      <c r="D363" s="17" t="s">
        <v>604</v>
      </c>
      <c r="E363" s="204" t="s">
        <v>242</v>
      </c>
      <c r="F363" s="204" t="s">
        <v>264</v>
      </c>
      <c r="G363" s="151">
        <v>10000.0</v>
      </c>
      <c r="H363" s="135">
        <v>1500000.0</v>
      </c>
      <c r="I363" s="115" t="s">
        <v>238</v>
      </c>
      <c r="J363" s="135">
        <v>950000.0</v>
      </c>
      <c r="K363" s="98" t="s">
        <v>238</v>
      </c>
      <c r="L363" s="146">
        <f t="shared" si="24"/>
        <v>550000</v>
      </c>
      <c r="M363" s="150">
        <v>263000.0</v>
      </c>
    </row>
    <row r="364" ht="15.75" customHeight="1">
      <c r="A364" s="118">
        <v>17.0</v>
      </c>
      <c r="B364" s="142">
        <v>45831.0</v>
      </c>
      <c r="C364" s="17" t="s">
        <v>597</v>
      </c>
      <c r="D364" s="17" t="s">
        <v>604</v>
      </c>
      <c r="E364" s="204" t="s">
        <v>242</v>
      </c>
      <c r="F364" s="204" t="s">
        <v>348</v>
      </c>
      <c r="G364" s="151">
        <v>10000.0</v>
      </c>
      <c r="H364" s="135">
        <v>1000000.0</v>
      </c>
      <c r="I364" s="115" t="s">
        <v>238</v>
      </c>
      <c r="J364" s="135">
        <v>500000.0</v>
      </c>
      <c r="K364" s="98" t="s">
        <v>238</v>
      </c>
      <c r="L364" s="146">
        <f t="shared" si="24"/>
        <v>500000</v>
      </c>
      <c r="M364" s="149"/>
    </row>
    <row r="365" ht="15.75" customHeight="1">
      <c r="A365" s="212">
        <v>18.0</v>
      </c>
      <c r="B365" s="142">
        <v>45832.0</v>
      </c>
      <c r="C365" s="17" t="s">
        <v>597</v>
      </c>
      <c r="D365" s="17" t="s">
        <v>604</v>
      </c>
      <c r="E365" s="204" t="s">
        <v>320</v>
      </c>
      <c r="F365" s="204" t="s">
        <v>324</v>
      </c>
      <c r="G365" s="151">
        <v>10000.0</v>
      </c>
      <c r="H365" s="135">
        <v>750000.0</v>
      </c>
      <c r="I365" s="108" t="s">
        <v>212</v>
      </c>
      <c r="J365" s="135">
        <v>375000.0</v>
      </c>
      <c r="K365" s="98" t="s">
        <v>212</v>
      </c>
      <c r="L365" s="146">
        <f t="shared" si="24"/>
        <v>375000</v>
      </c>
      <c r="M365" s="149"/>
    </row>
    <row r="366" ht="15.75" customHeight="1">
      <c r="A366" s="212">
        <v>19.0</v>
      </c>
      <c r="B366" s="142">
        <v>45833.0</v>
      </c>
      <c r="C366" s="17" t="s">
        <v>597</v>
      </c>
      <c r="D366" s="17" t="s">
        <v>604</v>
      </c>
      <c r="E366" s="204" t="s">
        <v>347</v>
      </c>
      <c r="F366" s="144" t="s">
        <v>319</v>
      </c>
      <c r="G366" s="151">
        <v>7000.0</v>
      </c>
      <c r="H366" s="135">
        <v>1991900.0</v>
      </c>
      <c r="I366" s="115" t="s">
        <v>523</v>
      </c>
      <c r="J366" s="121">
        <v>900000.0</v>
      </c>
      <c r="K366" s="98" t="s">
        <v>212</v>
      </c>
      <c r="L366" s="146">
        <f t="shared" si="24"/>
        <v>1091900</v>
      </c>
      <c r="M366" s="149"/>
    </row>
    <row r="367" ht="15.75" customHeight="1">
      <c r="A367" s="212">
        <v>20.0</v>
      </c>
      <c r="B367" s="142">
        <v>45834.0</v>
      </c>
      <c r="C367" s="17" t="s">
        <v>597</v>
      </c>
      <c r="D367" s="17" t="s">
        <v>604</v>
      </c>
      <c r="E367" s="204" t="s">
        <v>322</v>
      </c>
      <c r="F367" s="204" t="s">
        <v>692</v>
      </c>
      <c r="G367" s="151">
        <v>9000.0</v>
      </c>
      <c r="H367" s="135">
        <v>750000.0</v>
      </c>
      <c r="I367" s="115" t="s">
        <v>238</v>
      </c>
      <c r="J367" s="135">
        <v>400000.0</v>
      </c>
      <c r="K367" s="98" t="s">
        <v>238</v>
      </c>
      <c r="L367" s="146">
        <f t="shared" si="24"/>
        <v>350000</v>
      </c>
      <c r="M367" s="149"/>
    </row>
    <row r="368" ht="15.75" customHeight="1">
      <c r="A368" s="212">
        <v>21.0</v>
      </c>
      <c r="B368" s="142">
        <v>45836.0</v>
      </c>
      <c r="C368" s="17" t="s">
        <v>597</v>
      </c>
      <c r="D368" s="17" t="s">
        <v>604</v>
      </c>
      <c r="E368" s="204" t="s">
        <v>322</v>
      </c>
      <c r="F368" s="204" t="s">
        <v>346</v>
      </c>
      <c r="G368" s="151">
        <v>9000.0</v>
      </c>
      <c r="H368" s="135">
        <v>990000.0</v>
      </c>
      <c r="I368" s="108" t="s">
        <v>212</v>
      </c>
      <c r="J368" s="135">
        <v>575000.0</v>
      </c>
      <c r="K368" s="98" t="s">
        <v>238</v>
      </c>
      <c r="L368" s="146">
        <f t="shared" si="24"/>
        <v>415000</v>
      </c>
      <c r="M368" s="149"/>
    </row>
    <row r="369" ht="15.75" customHeight="1">
      <c r="A369" s="212">
        <v>22.0</v>
      </c>
      <c r="B369" s="142">
        <v>45838.0</v>
      </c>
      <c r="C369" s="17" t="s">
        <v>597</v>
      </c>
      <c r="D369" s="17" t="s">
        <v>604</v>
      </c>
      <c r="E369" s="204" t="s">
        <v>123</v>
      </c>
      <c r="F369" s="204" t="s">
        <v>311</v>
      </c>
      <c r="G369" s="151">
        <v>9000.0</v>
      </c>
      <c r="H369" s="135">
        <v>720000.0</v>
      </c>
      <c r="I369" s="108" t="s">
        <v>212</v>
      </c>
      <c r="J369" s="135">
        <v>350000.0</v>
      </c>
      <c r="K369" s="98" t="s">
        <v>238</v>
      </c>
      <c r="L369" s="146">
        <f t="shared" si="24"/>
        <v>370000</v>
      </c>
      <c r="M369" s="149"/>
    </row>
    <row r="370" ht="15.75" customHeight="1">
      <c r="A370" s="212">
        <v>23.0</v>
      </c>
      <c r="B370" s="142">
        <v>45838.0</v>
      </c>
      <c r="C370" s="17" t="s">
        <v>597</v>
      </c>
      <c r="D370" s="17" t="s">
        <v>604</v>
      </c>
      <c r="E370" s="204" t="s">
        <v>243</v>
      </c>
      <c r="F370" s="204" t="s">
        <v>693</v>
      </c>
      <c r="G370" s="151">
        <v>10000.0</v>
      </c>
      <c r="H370" s="135">
        <v>1500000.0</v>
      </c>
      <c r="I370" s="115" t="s">
        <v>238</v>
      </c>
      <c r="J370" s="135">
        <v>950000.0</v>
      </c>
      <c r="K370" s="98" t="s">
        <v>238</v>
      </c>
      <c r="L370" s="146">
        <f t="shared" si="24"/>
        <v>550000</v>
      </c>
      <c r="M370" s="149"/>
    </row>
    <row r="371" ht="15.75" customHeight="1">
      <c r="A371" s="203"/>
      <c r="E371" s="169"/>
      <c r="F371" s="169"/>
      <c r="G371" s="170"/>
      <c r="H371" s="202"/>
      <c r="I371" s="97"/>
      <c r="J371" s="202"/>
      <c r="K371" s="17"/>
      <c r="L371" s="52">
        <f t="shared" ref="L371:M371" si="25">SUM(L348:L370)</f>
        <v>12921100</v>
      </c>
      <c r="M371" s="30">
        <f t="shared" si="25"/>
        <v>3354000</v>
      </c>
    </row>
    <row r="372" ht="15.75" customHeight="1">
      <c r="A372" s="203"/>
      <c r="E372" s="169"/>
      <c r="F372" s="169"/>
      <c r="G372" s="170"/>
      <c r="H372" s="202"/>
      <c r="I372" s="97"/>
      <c r="J372" s="202"/>
      <c r="K372" s="17"/>
      <c r="L372" s="33">
        <f>L371-M371</f>
        <v>9567100</v>
      </c>
      <c r="M372" s="26"/>
    </row>
    <row r="373" ht="15.75" customHeight="1">
      <c r="A373" s="203"/>
      <c r="E373" s="169"/>
      <c r="F373" s="169"/>
      <c r="G373" s="170"/>
      <c r="H373" s="202"/>
      <c r="I373" s="97"/>
      <c r="J373" s="202"/>
      <c r="K373" s="17"/>
      <c r="M373" s="149"/>
    </row>
    <row r="374" ht="15.75" customHeight="1">
      <c r="A374" s="136" t="s">
        <v>209</v>
      </c>
      <c r="B374" s="136" t="s">
        <v>0</v>
      </c>
      <c r="C374" s="136" t="s">
        <v>1</v>
      </c>
      <c r="D374" s="136" t="s">
        <v>2</v>
      </c>
      <c r="E374" s="137" t="s">
        <v>3</v>
      </c>
      <c r="F374" s="136" t="s">
        <v>4</v>
      </c>
      <c r="G374" s="138" t="s">
        <v>5</v>
      </c>
      <c r="H374" s="139" t="s">
        <v>6</v>
      </c>
      <c r="I374" s="140" t="s">
        <v>39</v>
      </c>
      <c r="J374" s="139" t="s">
        <v>7</v>
      </c>
      <c r="K374" s="138" t="s">
        <v>39</v>
      </c>
      <c r="L374" s="140" t="s">
        <v>8</v>
      </c>
      <c r="M374" s="141" t="s">
        <v>9</v>
      </c>
    </row>
    <row r="375" ht="15.75" customHeight="1">
      <c r="A375" s="17">
        <v>1.0</v>
      </c>
      <c r="B375" s="142">
        <v>45839.0</v>
      </c>
      <c r="C375" s="17" t="s">
        <v>597</v>
      </c>
      <c r="D375" s="17" t="s">
        <v>604</v>
      </c>
      <c r="E375" s="144" t="s">
        <v>242</v>
      </c>
      <c r="F375" s="144" t="s">
        <v>259</v>
      </c>
      <c r="G375" s="148">
        <v>10000.0</v>
      </c>
      <c r="H375" s="134">
        <v>1500000.0</v>
      </c>
      <c r="I375" s="145" t="s">
        <v>238</v>
      </c>
      <c r="J375" s="134">
        <v>850000.0</v>
      </c>
      <c r="K375" s="98" t="s">
        <v>238</v>
      </c>
      <c r="L375" s="146">
        <f t="shared" ref="L375:L398" si="26">H375-J375</f>
        <v>650000</v>
      </c>
      <c r="M375" s="147">
        <v>205000.0</v>
      </c>
    </row>
    <row r="376" ht="15.75" customHeight="1">
      <c r="A376" s="118">
        <v>2.0</v>
      </c>
      <c r="B376" s="142">
        <v>45840.0</v>
      </c>
      <c r="C376" s="17" t="s">
        <v>597</v>
      </c>
      <c r="D376" s="17" t="s">
        <v>604</v>
      </c>
      <c r="E376" s="98" t="s">
        <v>318</v>
      </c>
      <c r="F376" s="144" t="s">
        <v>319</v>
      </c>
      <c r="G376" s="110">
        <v>5000.0</v>
      </c>
      <c r="H376" s="135">
        <v>1494750.0</v>
      </c>
      <c r="I376" s="115" t="s">
        <v>523</v>
      </c>
      <c r="J376" s="109">
        <v>900000.0</v>
      </c>
      <c r="K376" s="98" t="s">
        <v>238</v>
      </c>
      <c r="L376" s="146">
        <f t="shared" si="26"/>
        <v>594750</v>
      </c>
      <c r="M376" s="106">
        <v>40000.0</v>
      </c>
    </row>
    <row r="377" ht="15.75" customHeight="1">
      <c r="A377" s="118">
        <v>3.0</v>
      </c>
      <c r="B377" s="142">
        <v>45841.0</v>
      </c>
      <c r="C377" s="17" t="s">
        <v>597</v>
      </c>
      <c r="D377" s="17" t="s">
        <v>604</v>
      </c>
      <c r="E377" s="98" t="s">
        <v>243</v>
      </c>
      <c r="F377" s="144" t="s">
        <v>264</v>
      </c>
      <c r="G377" s="110">
        <v>10000.0</v>
      </c>
      <c r="H377" s="107">
        <v>1500000.0</v>
      </c>
      <c r="I377" s="108" t="s">
        <v>238</v>
      </c>
      <c r="J377" s="109">
        <v>950000.0</v>
      </c>
      <c r="K377" s="98" t="s">
        <v>238</v>
      </c>
      <c r="L377" s="146">
        <f t="shared" si="26"/>
        <v>550000</v>
      </c>
      <c r="M377" s="106">
        <v>420000.0</v>
      </c>
    </row>
    <row r="378" ht="15.75" customHeight="1">
      <c r="A378" s="118">
        <v>4.0</v>
      </c>
      <c r="B378" s="142">
        <v>45842.0</v>
      </c>
      <c r="C378" s="17" t="s">
        <v>597</v>
      </c>
      <c r="D378" s="17" t="s">
        <v>604</v>
      </c>
      <c r="E378" s="98" t="s">
        <v>243</v>
      </c>
      <c r="F378" s="144" t="s">
        <v>324</v>
      </c>
      <c r="G378" s="110">
        <v>9000.0</v>
      </c>
      <c r="H378" s="135">
        <v>675000.0</v>
      </c>
      <c r="I378" s="115" t="s">
        <v>238</v>
      </c>
      <c r="J378" s="121">
        <v>350000.0</v>
      </c>
      <c r="K378" s="109" t="s">
        <v>212</v>
      </c>
      <c r="L378" s="146">
        <f t="shared" si="26"/>
        <v>325000</v>
      </c>
      <c r="M378" s="106">
        <v>45000.0</v>
      </c>
    </row>
    <row r="379" ht="15.75" customHeight="1">
      <c r="A379" s="118">
        <v>5.0</v>
      </c>
      <c r="B379" s="142">
        <v>45843.0</v>
      </c>
      <c r="C379" s="17" t="s">
        <v>597</v>
      </c>
      <c r="D379" s="17" t="s">
        <v>604</v>
      </c>
      <c r="E379" s="98" t="s">
        <v>256</v>
      </c>
      <c r="F379" s="144" t="s">
        <v>332</v>
      </c>
      <c r="G379" s="110">
        <v>9300.0</v>
      </c>
      <c r="H379" s="107">
        <v>765000.0</v>
      </c>
      <c r="I379" s="115" t="s">
        <v>238</v>
      </c>
      <c r="J379" s="109">
        <v>450000.0</v>
      </c>
      <c r="K379" s="109" t="s">
        <v>212</v>
      </c>
      <c r="L379" s="146">
        <f t="shared" si="26"/>
        <v>315000</v>
      </c>
      <c r="M379" s="106">
        <v>1605000.0</v>
      </c>
    </row>
    <row r="380" ht="15.75" customHeight="1">
      <c r="A380" s="118">
        <v>6.0</v>
      </c>
      <c r="B380" s="142">
        <v>45845.0</v>
      </c>
      <c r="C380" s="17" t="s">
        <v>597</v>
      </c>
      <c r="D380" s="17" t="s">
        <v>604</v>
      </c>
      <c r="E380" s="98" t="s">
        <v>318</v>
      </c>
      <c r="F380" s="144" t="s">
        <v>319</v>
      </c>
      <c r="G380" s="110">
        <v>5000.0</v>
      </c>
      <c r="H380" s="135">
        <v>1494000.0</v>
      </c>
      <c r="I380" s="115" t="s">
        <v>523</v>
      </c>
      <c r="J380" s="109">
        <v>900000.0</v>
      </c>
      <c r="K380" s="98" t="s">
        <v>238</v>
      </c>
      <c r="L380" s="146">
        <f t="shared" si="26"/>
        <v>594000</v>
      </c>
      <c r="M380" s="106">
        <v>35000.0</v>
      </c>
    </row>
    <row r="381" ht="15.75" customHeight="1">
      <c r="A381" s="118">
        <v>7.0</v>
      </c>
      <c r="B381" s="142">
        <v>45846.0</v>
      </c>
      <c r="C381" s="17" t="s">
        <v>597</v>
      </c>
      <c r="D381" s="17" t="s">
        <v>604</v>
      </c>
      <c r="E381" s="98" t="s">
        <v>242</v>
      </c>
      <c r="F381" s="144" t="s">
        <v>259</v>
      </c>
      <c r="G381" s="110">
        <v>10000.0</v>
      </c>
      <c r="H381" s="107">
        <v>1500000.0</v>
      </c>
      <c r="I381" s="108" t="s">
        <v>238</v>
      </c>
      <c r="J381" s="109">
        <v>850000.0</v>
      </c>
      <c r="K381" s="98" t="s">
        <v>238</v>
      </c>
      <c r="L381" s="146">
        <f t="shared" si="26"/>
        <v>650000</v>
      </c>
      <c r="M381" s="106"/>
    </row>
    <row r="382" ht="15.75" customHeight="1">
      <c r="A382" s="118">
        <v>8.0</v>
      </c>
      <c r="B382" s="142">
        <v>45847.0</v>
      </c>
      <c r="C382" s="17" t="s">
        <v>597</v>
      </c>
      <c r="D382" s="17" t="s">
        <v>604</v>
      </c>
      <c r="E382" s="98" t="s">
        <v>679</v>
      </c>
      <c r="F382" s="144" t="s">
        <v>319</v>
      </c>
      <c r="G382" s="110">
        <v>10000.0</v>
      </c>
      <c r="H382" s="135">
        <v>1494900.0</v>
      </c>
      <c r="I382" s="115" t="s">
        <v>523</v>
      </c>
      <c r="J382" s="109">
        <v>1000000.0</v>
      </c>
      <c r="K382" s="98" t="s">
        <v>238</v>
      </c>
      <c r="L382" s="146">
        <f t="shared" si="26"/>
        <v>494900</v>
      </c>
      <c r="M382" s="106">
        <v>125000.0</v>
      </c>
    </row>
    <row r="383" ht="15.75" customHeight="1">
      <c r="A383" s="118">
        <v>9.0</v>
      </c>
      <c r="B383" s="142">
        <v>45848.0</v>
      </c>
      <c r="C383" s="17" t="s">
        <v>597</v>
      </c>
      <c r="D383" s="17" t="s">
        <v>604</v>
      </c>
      <c r="E383" s="98" t="s">
        <v>307</v>
      </c>
      <c r="F383" s="144" t="s">
        <v>319</v>
      </c>
      <c r="G383" s="110">
        <v>5000.0</v>
      </c>
      <c r="H383" s="135">
        <v>1494000.0</v>
      </c>
      <c r="I383" s="108" t="s">
        <v>238</v>
      </c>
      <c r="J383" s="121">
        <v>900000.0</v>
      </c>
      <c r="K383" s="98" t="s">
        <v>238</v>
      </c>
      <c r="L383" s="146">
        <f t="shared" si="26"/>
        <v>594000</v>
      </c>
      <c r="M383" s="106"/>
    </row>
    <row r="384" ht="15.75" customHeight="1">
      <c r="A384" s="118">
        <v>10.0</v>
      </c>
      <c r="B384" s="142">
        <v>45849.0</v>
      </c>
      <c r="C384" s="17" t="s">
        <v>597</v>
      </c>
      <c r="D384" s="17" t="s">
        <v>604</v>
      </c>
      <c r="E384" s="98" t="s">
        <v>305</v>
      </c>
      <c r="F384" s="144" t="s">
        <v>306</v>
      </c>
      <c r="G384" s="110">
        <v>9000.0</v>
      </c>
      <c r="H384" s="107">
        <v>1035000.0</v>
      </c>
      <c r="I384" s="108" t="s">
        <v>212</v>
      </c>
      <c r="J384" s="109">
        <v>600000.0</v>
      </c>
      <c r="K384" s="98" t="s">
        <v>238</v>
      </c>
      <c r="L384" s="146">
        <f t="shared" si="26"/>
        <v>435000</v>
      </c>
      <c r="M384" s="106">
        <v>45000.0</v>
      </c>
    </row>
    <row r="385" ht="15.75" customHeight="1">
      <c r="A385" s="118">
        <v>11.0</v>
      </c>
      <c r="B385" s="142">
        <v>45850.0</v>
      </c>
      <c r="C385" s="17" t="s">
        <v>597</v>
      </c>
      <c r="D385" s="17" t="s">
        <v>604</v>
      </c>
      <c r="E385" s="98" t="s">
        <v>242</v>
      </c>
      <c r="F385" s="144" t="s">
        <v>259</v>
      </c>
      <c r="G385" s="110">
        <v>10000.0</v>
      </c>
      <c r="H385" s="107">
        <v>1500000.0</v>
      </c>
      <c r="I385" s="108" t="s">
        <v>238</v>
      </c>
      <c r="J385" s="109">
        <v>850000.0</v>
      </c>
      <c r="K385" s="98" t="s">
        <v>238</v>
      </c>
      <c r="L385" s="146">
        <f t="shared" si="26"/>
        <v>650000</v>
      </c>
      <c r="M385" s="106">
        <v>675000.0</v>
      </c>
    </row>
    <row r="386" ht="15.75" customHeight="1">
      <c r="A386" s="118">
        <v>12.0</v>
      </c>
      <c r="B386" s="142">
        <v>45853.0</v>
      </c>
      <c r="C386" s="17" t="s">
        <v>597</v>
      </c>
      <c r="D386" s="17" t="s">
        <v>604</v>
      </c>
      <c r="E386" s="98" t="s">
        <v>243</v>
      </c>
      <c r="F386" s="144" t="s">
        <v>255</v>
      </c>
      <c r="G386" s="110">
        <v>10000.0</v>
      </c>
      <c r="H386" s="107">
        <v>1500000.0</v>
      </c>
      <c r="I386" s="108" t="s">
        <v>238</v>
      </c>
      <c r="J386" s="109">
        <v>950000.0</v>
      </c>
      <c r="K386" s="98" t="s">
        <v>238</v>
      </c>
      <c r="L386" s="146">
        <f t="shared" si="26"/>
        <v>550000</v>
      </c>
      <c r="M386" s="61"/>
    </row>
    <row r="387" ht="15.75" customHeight="1">
      <c r="A387" s="118">
        <v>13.0</v>
      </c>
      <c r="B387" s="142">
        <v>45854.0</v>
      </c>
      <c r="C387" s="17" t="s">
        <v>597</v>
      </c>
      <c r="D387" s="17" t="s">
        <v>604</v>
      </c>
      <c r="E387" s="98" t="s">
        <v>527</v>
      </c>
      <c r="F387" s="98" t="s">
        <v>319</v>
      </c>
      <c r="G387" s="110">
        <v>10000.0</v>
      </c>
      <c r="H387" s="135">
        <v>1994800.0</v>
      </c>
      <c r="I387" s="115" t="s">
        <v>523</v>
      </c>
      <c r="J387" s="109">
        <v>1000000.0</v>
      </c>
      <c r="K387" s="109" t="s">
        <v>238</v>
      </c>
      <c r="L387" s="146">
        <f t="shared" si="26"/>
        <v>994800</v>
      </c>
      <c r="M387" s="106">
        <v>194000.0</v>
      </c>
    </row>
    <row r="388" ht="15.75" customHeight="1">
      <c r="A388" s="118">
        <v>14.0</v>
      </c>
      <c r="B388" s="142">
        <v>45855.0</v>
      </c>
      <c r="C388" s="17" t="s">
        <v>597</v>
      </c>
      <c r="D388" s="17" t="s">
        <v>604</v>
      </c>
      <c r="E388" s="98" t="s">
        <v>279</v>
      </c>
      <c r="F388" s="144" t="s">
        <v>325</v>
      </c>
      <c r="G388" s="110">
        <v>9000.0</v>
      </c>
      <c r="H388" s="107">
        <v>1200000.0</v>
      </c>
      <c r="I388" s="108" t="s">
        <v>238</v>
      </c>
      <c r="J388" s="109">
        <v>640000.0</v>
      </c>
      <c r="K388" s="98" t="s">
        <v>238</v>
      </c>
      <c r="L388" s="146">
        <f t="shared" si="26"/>
        <v>560000</v>
      </c>
      <c r="M388" s="106"/>
    </row>
    <row r="389" ht="15.75" customHeight="1">
      <c r="A389" s="118">
        <v>15.0</v>
      </c>
      <c r="B389" s="142">
        <v>45856.0</v>
      </c>
      <c r="C389" s="17" t="s">
        <v>597</v>
      </c>
      <c r="D389" s="17" t="s">
        <v>604</v>
      </c>
      <c r="E389" s="98" t="s">
        <v>527</v>
      </c>
      <c r="F389" s="144" t="s">
        <v>694</v>
      </c>
      <c r="G389" s="110">
        <v>10000.0</v>
      </c>
      <c r="H389" s="135">
        <v>1500000.0</v>
      </c>
      <c r="I389" s="108" t="s">
        <v>238</v>
      </c>
      <c r="J389" s="109">
        <v>1000000.0</v>
      </c>
      <c r="K389" s="98" t="s">
        <v>238</v>
      </c>
      <c r="L389" s="146">
        <f t="shared" si="26"/>
        <v>500000</v>
      </c>
      <c r="M389" s="106"/>
    </row>
    <row r="390" ht="15.75" customHeight="1">
      <c r="A390" s="118">
        <v>16.0</v>
      </c>
      <c r="B390" s="142">
        <v>45859.0</v>
      </c>
      <c r="C390" s="17" t="s">
        <v>597</v>
      </c>
      <c r="D390" s="17" t="s">
        <v>604</v>
      </c>
      <c r="E390" s="98" t="s">
        <v>242</v>
      </c>
      <c r="F390" s="98" t="s">
        <v>259</v>
      </c>
      <c r="G390" s="110">
        <v>10000.0</v>
      </c>
      <c r="H390" s="107">
        <v>1500000.0</v>
      </c>
      <c r="I390" s="108" t="s">
        <v>238</v>
      </c>
      <c r="J390" s="109">
        <v>850000.0</v>
      </c>
      <c r="K390" s="98" t="s">
        <v>238</v>
      </c>
      <c r="L390" s="146">
        <f t="shared" si="26"/>
        <v>650000</v>
      </c>
      <c r="M390" s="61"/>
    </row>
    <row r="391" ht="15.75" customHeight="1">
      <c r="A391" s="118">
        <v>17.0</v>
      </c>
      <c r="B391" s="142">
        <v>45860.0</v>
      </c>
      <c r="C391" s="17" t="s">
        <v>597</v>
      </c>
      <c r="D391" s="17" t="s">
        <v>604</v>
      </c>
      <c r="E391" s="98" t="s">
        <v>279</v>
      </c>
      <c r="F391" s="98" t="s">
        <v>329</v>
      </c>
      <c r="G391" s="110">
        <v>10000.0</v>
      </c>
      <c r="H391" s="107">
        <v>1100000.0</v>
      </c>
      <c r="I391" s="108" t="s">
        <v>238</v>
      </c>
      <c r="J391" s="109">
        <v>600000.0</v>
      </c>
      <c r="K391" s="98" t="s">
        <v>238</v>
      </c>
      <c r="L391" s="146">
        <f t="shared" si="26"/>
        <v>500000</v>
      </c>
      <c r="M391" s="61"/>
    </row>
    <row r="392" ht="15.75" customHeight="1">
      <c r="A392" s="118">
        <v>18.0</v>
      </c>
      <c r="B392" s="142">
        <v>45861.0</v>
      </c>
      <c r="C392" s="17" t="s">
        <v>597</v>
      </c>
      <c r="D392" s="17" t="s">
        <v>604</v>
      </c>
      <c r="E392" s="98" t="s">
        <v>322</v>
      </c>
      <c r="F392" s="98" t="s">
        <v>303</v>
      </c>
      <c r="G392" s="110">
        <v>9000.0</v>
      </c>
      <c r="H392" s="107">
        <v>1215000.0</v>
      </c>
      <c r="I392" s="108" t="s">
        <v>238</v>
      </c>
      <c r="J392" s="109">
        <v>725000.0</v>
      </c>
      <c r="K392" s="98" t="s">
        <v>238</v>
      </c>
      <c r="L392" s="146">
        <f t="shared" si="26"/>
        <v>490000</v>
      </c>
      <c r="M392" s="106">
        <v>250000.0</v>
      </c>
    </row>
    <row r="393" ht="15.75" customHeight="1">
      <c r="A393" s="118">
        <v>19.0</v>
      </c>
      <c r="B393" s="142">
        <v>45862.0</v>
      </c>
      <c r="C393" s="17" t="s">
        <v>597</v>
      </c>
      <c r="D393" s="17" t="s">
        <v>604</v>
      </c>
      <c r="E393" s="98" t="s">
        <v>527</v>
      </c>
      <c r="F393" s="98" t="s">
        <v>319</v>
      </c>
      <c r="G393" s="110">
        <v>8300.0</v>
      </c>
      <c r="H393" s="135">
        <v>1994650.0</v>
      </c>
      <c r="I393" s="115" t="s">
        <v>523</v>
      </c>
      <c r="J393" s="109">
        <v>900000.0</v>
      </c>
      <c r="K393" s="98" t="s">
        <v>238</v>
      </c>
      <c r="L393" s="146">
        <f t="shared" si="26"/>
        <v>1094650</v>
      </c>
      <c r="M393" s="106"/>
    </row>
    <row r="394" ht="15.75" customHeight="1">
      <c r="A394" s="118">
        <v>20.0</v>
      </c>
      <c r="B394" s="142">
        <v>45864.0</v>
      </c>
      <c r="C394" s="17" t="s">
        <v>597</v>
      </c>
      <c r="D394" s="17" t="s">
        <v>604</v>
      </c>
      <c r="E394" s="98" t="s">
        <v>322</v>
      </c>
      <c r="F394" s="98" t="s">
        <v>343</v>
      </c>
      <c r="G394" s="110">
        <v>9000.0</v>
      </c>
      <c r="H394" s="107">
        <v>900000.0</v>
      </c>
      <c r="I394" s="108" t="s">
        <v>212</v>
      </c>
      <c r="J394" s="109">
        <v>550000.0</v>
      </c>
      <c r="K394" s="98" t="s">
        <v>238</v>
      </c>
      <c r="L394" s="146">
        <f t="shared" si="26"/>
        <v>350000</v>
      </c>
      <c r="M394" s="106">
        <v>440000.0</v>
      </c>
    </row>
    <row r="395" ht="15.75" customHeight="1">
      <c r="A395" s="118">
        <v>21.0</v>
      </c>
      <c r="B395" s="142">
        <v>45866.0</v>
      </c>
      <c r="C395" s="17" t="s">
        <v>597</v>
      </c>
      <c r="D395" s="17" t="s">
        <v>604</v>
      </c>
      <c r="E395" s="98" t="s">
        <v>322</v>
      </c>
      <c r="F395" s="98" t="s">
        <v>295</v>
      </c>
      <c r="G395" s="110">
        <v>9000.0</v>
      </c>
      <c r="H395" s="107">
        <v>1125000.0</v>
      </c>
      <c r="I395" s="108" t="s">
        <v>212</v>
      </c>
      <c r="J395" s="109">
        <v>665000.0</v>
      </c>
      <c r="K395" s="98" t="s">
        <v>238</v>
      </c>
      <c r="L395" s="146">
        <f t="shared" si="26"/>
        <v>460000</v>
      </c>
    </row>
    <row r="396" ht="15.75" customHeight="1">
      <c r="A396" s="212">
        <v>22.0</v>
      </c>
      <c r="B396" s="142">
        <v>45867.0</v>
      </c>
      <c r="C396" s="17" t="s">
        <v>597</v>
      </c>
      <c r="D396" s="17" t="s">
        <v>604</v>
      </c>
      <c r="E396" s="204" t="s">
        <v>322</v>
      </c>
      <c r="F396" s="204" t="s">
        <v>306</v>
      </c>
      <c r="G396" s="151">
        <v>9000.0</v>
      </c>
      <c r="H396" s="135">
        <v>1035000.0</v>
      </c>
      <c r="I396" s="108" t="s">
        <v>212</v>
      </c>
      <c r="J396" s="135">
        <v>625000.0</v>
      </c>
      <c r="K396" s="98" t="s">
        <v>238</v>
      </c>
      <c r="L396" s="146">
        <f t="shared" si="26"/>
        <v>410000</v>
      </c>
      <c r="M396" s="149"/>
    </row>
    <row r="397" ht="15.75" customHeight="1">
      <c r="A397" s="212">
        <v>23.0</v>
      </c>
      <c r="B397" s="142">
        <v>45868.0</v>
      </c>
      <c r="C397" s="17" t="s">
        <v>597</v>
      </c>
      <c r="D397" s="17" t="s">
        <v>604</v>
      </c>
      <c r="E397" s="204" t="s">
        <v>347</v>
      </c>
      <c r="F397" s="204" t="s">
        <v>319</v>
      </c>
      <c r="G397" s="151">
        <v>7500.0</v>
      </c>
      <c r="H397" s="135">
        <v>1660000.0</v>
      </c>
      <c r="I397" s="115" t="s">
        <v>523</v>
      </c>
      <c r="J397" s="135">
        <v>900000.0</v>
      </c>
      <c r="K397" s="98" t="s">
        <v>238</v>
      </c>
      <c r="L397" s="146">
        <f t="shared" si="26"/>
        <v>760000</v>
      </c>
    </row>
    <row r="398" ht="15.75" customHeight="1">
      <c r="A398" s="212">
        <v>24.0</v>
      </c>
      <c r="B398" s="142">
        <v>45869.0</v>
      </c>
      <c r="C398" s="17" t="s">
        <v>597</v>
      </c>
      <c r="D398" s="17" t="s">
        <v>604</v>
      </c>
      <c r="E398" s="204" t="s">
        <v>695</v>
      </c>
      <c r="F398" s="204" t="s">
        <v>319</v>
      </c>
      <c r="G398" s="151">
        <v>5000.0</v>
      </c>
      <c r="H398" s="135">
        <v>1496700.0</v>
      </c>
      <c r="I398" s="108" t="s">
        <v>238</v>
      </c>
      <c r="J398" s="135">
        <v>900000.0</v>
      </c>
      <c r="K398" s="98" t="s">
        <v>238</v>
      </c>
      <c r="L398" s="146">
        <f t="shared" si="26"/>
        <v>596700</v>
      </c>
    </row>
    <row r="399" ht="15.75" customHeight="1">
      <c r="A399" s="203"/>
      <c r="E399" s="169"/>
      <c r="F399" s="169"/>
      <c r="G399" s="170"/>
      <c r="H399" s="202"/>
      <c r="I399" s="97"/>
      <c r="J399" s="202"/>
      <c r="K399" s="17"/>
      <c r="L399" s="52">
        <f>SUM(L375:L393)</f>
        <v>11192100</v>
      </c>
      <c r="M399" s="30">
        <f>SUM(M375:M395)</f>
        <v>4079000</v>
      </c>
    </row>
    <row r="400" ht="15.75" customHeight="1">
      <c r="A400" s="203"/>
      <c r="E400" s="169"/>
      <c r="F400" s="169"/>
      <c r="G400" s="170"/>
      <c r="H400" s="202"/>
      <c r="I400" s="97"/>
      <c r="J400" s="202"/>
      <c r="K400" s="17"/>
      <c r="L400" s="33">
        <f>L399-M399</f>
        <v>7113100</v>
      </c>
      <c r="M400" s="26"/>
    </row>
    <row r="401" ht="15.75" customHeight="1">
      <c r="A401" s="203"/>
      <c r="E401" s="169"/>
      <c r="F401" s="169"/>
      <c r="G401" s="170"/>
      <c r="H401" s="202"/>
      <c r="I401" s="97"/>
      <c r="J401" s="202"/>
      <c r="K401" s="17"/>
      <c r="M401" s="149"/>
    </row>
    <row r="402" ht="15.75" customHeight="1">
      <c r="A402" s="136" t="s">
        <v>209</v>
      </c>
      <c r="B402" s="136" t="s">
        <v>0</v>
      </c>
      <c r="C402" s="136" t="s">
        <v>1</v>
      </c>
      <c r="D402" s="136" t="s">
        <v>2</v>
      </c>
      <c r="E402" s="137" t="s">
        <v>3</v>
      </c>
      <c r="F402" s="136" t="s">
        <v>4</v>
      </c>
      <c r="G402" s="138" t="s">
        <v>5</v>
      </c>
      <c r="H402" s="139" t="s">
        <v>6</v>
      </c>
      <c r="I402" s="140" t="s">
        <v>39</v>
      </c>
      <c r="J402" s="139" t="s">
        <v>7</v>
      </c>
      <c r="K402" s="138" t="s">
        <v>39</v>
      </c>
      <c r="L402" s="140" t="s">
        <v>8</v>
      </c>
      <c r="M402" s="141" t="s">
        <v>9</v>
      </c>
    </row>
    <row r="403" ht="15.75" customHeight="1">
      <c r="A403" s="17">
        <v>1.0</v>
      </c>
      <c r="B403" s="142">
        <v>45871.0</v>
      </c>
      <c r="C403" s="17" t="s">
        <v>597</v>
      </c>
      <c r="D403" s="17" t="s">
        <v>604</v>
      </c>
      <c r="E403" s="144" t="s">
        <v>344</v>
      </c>
      <c r="F403" s="144" t="s">
        <v>345</v>
      </c>
      <c r="G403" s="148">
        <v>10000.0</v>
      </c>
      <c r="H403" s="135">
        <v>3000000.0</v>
      </c>
      <c r="I403" s="115" t="s">
        <v>238</v>
      </c>
      <c r="J403" s="135">
        <v>1600000.0</v>
      </c>
      <c r="K403" s="98" t="s">
        <v>238</v>
      </c>
      <c r="L403" s="58">
        <f t="shared" ref="L403:L423" si="27">H403-J403</f>
        <v>1400000</v>
      </c>
      <c r="M403" s="147">
        <v>75000.0</v>
      </c>
    </row>
    <row r="404" ht="15.75" customHeight="1">
      <c r="A404" s="118">
        <v>2.0</v>
      </c>
      <c r="B404" s="142">
        <v>45873.0</v>
      </c>
      <c r="C404" s="17" t="s">
        <v>597</v>
      </c>
      <c r="D404" s="17" t="s">
        <v>604</v>
      </c>
      <c r="E404" s="144" t="s">
        <v>344</v>
      </c>
      <c r="F404" s="144" t="s">
        <v>345</v>
      </c>
      <c r="G404" s="148">
        <v>9000.0</v>
      </c>
      <c r="H404" s="135">
        <v>2700000.0</v>
      </c>
      <c r="I404" s="115" t="s">
        <v>238</v>
      </c>
      <c r="J404" s="135">
        <v>1500000.0</v>
      </c>
      <c r="K404" s="98" t="s">
        <v>238</v>
      </c>
      <c r="L404" s="58">
        <f t="shared" si="27"/>
        <v>1200000</v>
      </c>
      <c r="M404" s="150">
        <v>4025000.0</v>
      </c>
    </row>
    <row r="405" ht="15.75" customHeight="1">
      <c r="A405" s="118">
        <v>3.0</v>
      </c>
      <c r="B405" s="142">
        <v>45875.0</v>
      </c>
      <c r="C405" s="17" t="s">
        <v>597</v>
      </c>
      <c r="D405" s="17" t="s">
        <v>604</v>
      </c>
      <c r="E405" s="98" t="s">
        <v>327</v>
      </c>
      <c r="F405" s="144" t="s">
        <v>303</v>
      </c>
      <c r="G405" s="110">
        <v>9000.0</v>
      </c>
      <c r="H405" s="134">
        <v>1215000.0</v>
      </c>
      <c r="I405" s="115" t="s">
        <v>238</v>
      </c>
      <c r="J405" s="134">
        <v>700000.0</v>
      </c>
      <c r="K405" s="98" t="s">
        <v>238</v>
      </c>
      <c r="L405" s="58">
        <f t="shared" si="27"/>
        <v>515000</v>
      </c>
      <c r="M405" s="150">
        <v>70000.0</v>
      </c>
    </row>
    <row r="406" ht="15.75" customHeight="1">
      <c r="A406" s="118">
        <v>4.0</v>
      </c>
      <c r="B406" s="142">
        <v>45876.0</v>
      </c>
      <c r="C406" s="17" t="s">
        <v>597</v>
      </c>
      <c r="D406" s="17" t="s">
        <v>604</v>
      </c>
      <c r="E406" s="98" t="s">
        <v>322</v>
      </c>
      <c r="F406" s="144" t="s">
        <v>295</v>
      </c>
      <c r="G406" s="151">
        <v>9000.0</v>
      </c>
      <c r="H406" s="134">
        <v>1125000.0</v>
      </c>
      <c r="I406" s="108" t="s">
        <v>212</v>
      </c>
      <c r="J406" s="134">
        <v>665000.0</v>
      </c>
      <c r="K406" s="98" t="s">
        <v>238</v>
      </c>
      <c r="L406" s="58">
        <f t="shared" si="27"/>
        <v>460000</v>
      </c>
      <c r="M406" s="149"/>
    </row>
    <row r="407" ht="15.75" customHeight="1">
      <c r="A407" s="118">
        <v>5.0</v>
      </c>
      <c r="B407" s="142">
        <v>45877.0</v>
      </c>
      <c r="C407" s="17" t="s">
        <v>597</v>
      </c>
      <c r="D407" s="17" t="s">
        <v>604</v>
      </c>
      <c r="E407" s="98" t="s">
        <v>322</v>
      </c>
      <c r="F407" s="144" t="s">
        <v>214</v>
      </c>
      <c r="G407" s="151">
        <v>9000.0</v>
      </c>
      <c r="H407" s="134">
        <v>1350000.0</v>
      </c>
      <c r="I407" s="115" t="s">
        <v>238</v>
      </c>
      <c r="J407" s="134">
        <v>925000.0</v>
      </c>
      <c r="K407" s="109" t="s">
        <v>238</v>
      </c>
      <c r="L407" s="58">
        <f t="shared" si="27"/>
        <v>425000</v>
      </c>
      <c r="M407" s="149"/>
    </row>
    <row r="408" ht="15.75" customHeight="1">
      <c r="A408" s="118">
        <v>6.0</v>
      </c>
      <c r="B408" s="142">
        <v>45880.0</v>
      </c>
      <c r="C408" s="17" t="s">
        <v>597</v>
      </c>
      <c r="D408" s="17" t="s">
        <v>604</v>
      </c>
      <c r="E408" s="98" t="s">
        <v>243</v>
      </c>
      <c r="F408" s="98" t="s">
        <v>512</v>
      </c>
      <c r="G408" s="151">
        <v>8000.0</v>
      </c>
      <c r="H408" s="134">
        <v>800000.0</v>
      </c>
      <c r="I408" s="115"/>
      <c r="J408" s="134">
        <v>425000.0</v>
      </c>
      <c r="K408" s="109" t="s">
        <v>238</v>
      </c>
      <c r="L408" s="58">
        <f t="shared" si="27"/>
        <v>375000</v>
      </c>
      <c r="M408" s="149"/>
    </row>
    <row r="409" ht="15.75" customHeight="1">
      <c r="A409" s="118">
        <v>7.0</v>
      </c>
      <c r="B409" s="142">
        <v>45881.0</v>
      </c>
      <c r="C409" s="17" t="s">
        <v>597</v>
      </c>
      <c r="D409" s="17" t="s">
        <v>604</v>
      </c>
      <c r="E409" s="98" t="s">
        <v>327</v>
      </c>
      <c r="F409" s="98" t="s">
        <v>331</v>
      </c>
      <c r="G409" s="151">
        <v>9000.0</v>
      </c>
      <c r="H409" s="134">
        <v>1305000.0</v>
      </c>
      <c r="I409" s="152" t="s">
        <v>238</v>
      </c>
      <c r="J409" s="134">
        <v>725000.0</v>
      </c>
      <c r="K409" s="109" t="s">
        <v>238</v>
      </c>
      <c r="L409" s="58">
        <f t="shared" si="27"/>
        <v>580000</v>
      </c>
      <c r="M409" s="150">
        <v>1465000.0</v>
      </c>
    </row>
    <row r="410" ht="15.75" customHeight="1">
      <c r="A410" s="118">
        <v>8.0</v>
      </c>
      <c r="B410" s="142">
        <v>45882.0</v>
      </c>
      <c r="C410" s="17" t="s">
        <v>597</v>
      </c>
      <c r="D410" s="17" t="s">
        <v>604</v>
      </c>
      <c r="E410" s="98" t="s">
        <v>695</v>
      </c>
      <c r="F410" s="98" t="s">
        <v>319</v>
      </c>
      <c r="G410" s="151">
        <v>5000.0</v>
      </c>
      <c r="H410" s="134">
        <v>1494000.0</v>
      </c>
      <c r="I410" s="152" t="s">
        <v>696</v>
      </c>
      <c r="J410" s="134">
        <v>900000.0</v>
      </c>
      <c r="K410" s="109" t="s">
        <v>238</v>
      </c>
      <c r="L410" s="58">
        <f t="shared" si="27"/>
        <v>594000</v>
      </c>
      <c r="M410" s="149"/>
    </row>
    <row r="411" ht="15.75" customHeight="1">
      <c r="A411" s="118">
        <v>9.0</v>
      </c>
      <c r="B411" s="142">
        <v>45883.0</v>
      </c>
      <c r="C411" s="17" t="s">
        <v>597</v>
      </c>
      <c r="D411" s="17" t="s">
        <v>604</v>
      </c>
      <c r="E411" s="98" t="s">
        <v>322</v>
      </c>
      <c r="F411" s="98" t="s">
        <v>306</v>
      </c>
      <c r="G411" s="151">
        <v>9000.0</v>
      </c>
      <c r="H411" s="134">
        <v>1035000.0</v>
      </c>
      <c r="I411" s="108" t="s">
        <v>212</v>
      </c>
      <c r="J411" s="134">
        <v>625000.0</v>
      </c>
      <c r="K411" s="109" t="s">
        <v>238</v>
      </c>
      <c r="L411" s="58">
        <f t="shared" si="27"/>
        <v>410000</v>
      </c>
      <c r="M411" s="149"/>
    </row>
    <row r="412" ht="15.75" customHeight="1">
      <c r="A412" s="118">
        <v>10.0</v>
      </c>
      <c r="B412" s="142">
        <v>45884.0</v>
      </c>
      <c r="C412" s="17" t="s">
        <v>597</v>
      </c>
      <c r="D412" s="17" t="s">
        <v>604</v>
      </c>
      <c r="E412" s="98" t="s">
        <v>534</v>
      </c>
      <c r="F412" s="98" t="s">
        <v>336</v>
      </c>
      <c r="G412" s="110">
        <v>8000.0</v>
      </c>
      <c r="H412" s="134">
        <v>1771432.0</v>
      </c>
      <c r="I412" s="59"/>
      <c r="J412" s="109">
        <v>800000.0</v>
      </c>
      <c r="K412" s="109" t="s">
        <v>238</v>
      </c>
      <c r="L412" s="58">
        <f t="shared" si="27"/>
        <v>971432</v>
      </c>
      <c r="M412" s="150"/>
    </row>
    <row r="413" ht="15.75" customHeight="1">
      <c r="A413" s="118">
        <v>11.0</v>
      </c>
      <c r="B413" s="142">
        <v>45887.0</v>
      </c>
      <c r="C413" s="17" t="s">
        <v>597</v>
      </c>
      <c r="D413" s="17" t="s">
        <v>604</v>
      </c>
      <c r="E413" s="98" t="s">
        <v>344</v>
      </c>
      <c r="F413" s="98" t="s">
        <v>349</v>
      </c>
      <c r="G413" s="151">
        <v>10000.0</v>
      </c>
      <c r="H413" s="150">
        <v>1500000.0</v>
      </c>
      <c r="I413" s="152" t="s">
        <v>238</v>
      </c>
      <c r="J413" s="121">
        <v>700000.0</v>
      </c>
      <c r="K413" s="109" t="s">
        <v>238</v>
      </c>
      <c r="L413" s="58">
        <f t="shared" si="27"/>
        <v>800000</v>
      </c>
      <c r="M413" s="150">
        <v>420000.0</v>
      </c>
    </row>
    <row r="414" ht="15.75" customHeight="1">
      <c r="A414" s="118">
        <v>12.0</v>
      </c>
      <c r="B414" s="142">
        <v>45888.0</v>
      </c>
      <c r="C414" s="17" t="s">
        <v>597</v>
      </c>
      <c r="D414" s="17" t="s">
        <v>604</v>
      </c>
      <c r="E414" s="98" t="s">
        <v>242</v>
      </c>
      <c r="F414" s="98" t="s">
        <v>259</v>
      </c>
      <c r="G414" s="151">
        <v>10000.0</v>
      </c>
      <c r="H414" s="150">
        <v>1500000.0</v>
      </c>
      <c r="I414" s="152" t="s">
        <v>238</v>
      </c>
      <c r="J414" s="121">
        <v>850000.0</v>
      </c>
      <c r="K414" s="109" t="s">
        <v>238</v>
      </c>
      <c r="L414" s="58">
        <f t="shared" si="27"/>
        <v>650000</v>
      </c>
      <c r="M414" s="149"/>
    </row>
    <row r="415" ht="15.75" customHeight="1">
      <c r="A415" s="118">
        <v>13.0</v>
      </c>
      <c r="B415" s="142">
        <v>45889.0</v>
      </c>
      <c r="C415" s="17" t="s">
        <v>597</v>
      </c>
      <c r="D415" s="17" t="s">
        <v>604</v>
      </c>
      <c r="E415" s="98" t="s">
        <v>242</v>
      </c>
      <c r="F415" s="98" t="s">
        <v>264</v>
      </c>
      <c r="G415" s="151">
        <v>10000.0</v>
      </c>
      <c r="H415" s="150">
        <v>1500000.0</v>
      </c>
      <c r="I415" s="152" t="s">
        <v>238</v>
      </c>
      <c r="J415" s="121">
        <v>950000.0</v>
      </c>
      <c r="K415" s="109" t="s">
        <v>238</v>
      </c>
      <c r="L415" s="58">
        <f t="shared" si="27"/>
        <v>550000</v>
      </c>
      <c r="M415" s="150">
        <v>40000.0</v>
      </c>
    </row>
    <row r="416" ht="15.75" customHeight="1">
      <c r="A416" s="118">
        <v>14.0</v>
      </c>
      <c r="B416" s="142">
        <v>45890.0</v>
      </c>
      <c r="C416" s="17" t="s">
        <v>597</v>
      </c>
      <c r="D416" s="17" t="s">
        <v>604</v>
      </c>
      <c r="E416" s="98" t="s">
        <v>344</v>
      </c>
      <c r="F416" s="98" t="s">
        <v>349</v>
      </c>
      <c r="G416" s="151">
        <v>10000.0</v>
      </c>
      <c r="H416" s="150">
        <v>1500000.0</v>
      </c>
      <c r="I416" s="152" t="s">
        <v>238</v>
      </c>
      <c r="J416" s="121">
        <v>700000.0</v>
      </c>
      <c r="K416" s="109" t="s">
        <v>238</v>
      </c>
      <c r="L416" s="58">
        <f t="shared" si="27"/>
        <v>800000</v>
      </c>
      <c r="M416" s="149"/>
    </row>
    <row r="417" ht="15.75" customHeight="1">
      <c r="A417" s="118">
        <v>15.0</v>
      </c>
      <c r="B417" s="142">
        <v>45891.0</v>
      </c>
      <c r="C417" s="17" t="s">
        <v>597</v>
      </c>
      <c r="D417" s="17" t="s">
        <v>604</v>
      </c>
      <c r="E417" s="98" t="s">
        <v>344</v>
      </c>
      <c r="F417" s="98" t="s">
        <v>349</v>
      </c>
      <c r="G417" s="151">
        <v>10000.0</v>
      </c>
      <c r="H417" s="150">
        <v>1500000.0</v>
      </c>
      <c r="I417" s="152" t="s">
        <v>238</v>
      </c>
      <c r="J417" s="121">
        <v>700000.0</v>
      </c>
      <c r="K417" s="109" t="s">
        <v>238</v>
      </c>
      <c r="L417" s="58">
        <f t="shared" si="27"/>
        <v>800000</v>
      </c>
      <c r="M417" s="149"/>
    </row>
    <row r="418" ht="15.75" customHeight="1">
      <c r="A418" s="118">
        <v>16.0</v>
      </c>
      <c r="B418" s="142">
        <v>45894.0</v>
      </c>
      <c r="C418" s="17" t="s">
        <v>597</v>
      </c>
      <c r="D418" s="17" t="s">
        <v>604</v>
      </c>
      <c r="E418" s="98" t="s">
        <v>242</v>
      </c>
      <c r="F418" s="144" t="s">
        <v>259</v>
      </c>
      <c r="G418" s="151">
        <v>10000.0</v>
      </c>
      <c r="H418" s="150">
        <v>1500000.0</v>
      </c>
      <c r="I418" s="152" t="s">
        <v>238</v>
      </c>
      <c r="J418" s="121">
        <v>850000.0</v>
      </c>
      <c r="K418" s="109" t="s">
        <v>238</v>
      </c>
      <c r="L418" s="58">
        <f t="shared" si="27"/>
        <v>650000</v>
      </c>
      <c r="M418" s="150"/>
    </row>
    <row r="419" ht="15.75" customHeight="1">
      <c r="A419" s="118">
        <v>17.0</v>
      </c>
      <c r="B419" s="142">
        <v>45895.0</v>
      </c>
      <c r="C419" s="17" t="s">
        <v>597</v>
      </c>
      <c r="D419" s="17" t="s">
        <v>604</v>
      </c>
      <c r="E419" s="98" t="s">
        <v>344</v>
      </c>
      <c r="F419" s="98" t="s">
        <v>349</v>
      </c>
      <c r="G419" s="151">
        <v>10000.0</v>
      </c>
      <c r="H419" s="150">
        <v>1500000.0</v>
      </c>
      <c r="I419" s="152" t="s">
        <v>238</v>
      </c>
      <c r="J419" s="121">
        <v>700000.0</v>
      </c>
      <c r="K419" s="109" t="s">
        <v>238</v>
      </c>
      <c r="L419" s="58">
        <f t="shared" si="27"/>
        <v>800000</v>
      </c>
      <c r="M419" s="149"/>
    </row>
    <row r="420" ht="15.75" customHeight="1">
      <c r="A420" s="118">
        <v>18.0</v>
      </c>
      <c r="B420" s="142">
        <v>45896.0</v>
      </c>
      <c r="C420" s="17" t="s">
        <v>597</v>
      </c>
      <c r="D420" s="17" t="s">
        <v>604</v>
      </c>
      <c r="E420" s="98" t="s">
        <v>322</v>
      </c>
      <c r="F420" s="98" t="s">
        <v>329</v>
      </c>
      <c r="G420" s="110">
        <v>10000.0</v>
      </c>
      <c r="H420" s="150">
        <v>1100000.0</v>
      </c>
      <c r="I420" s="152" t="s">
        <v>238</v>
      </c>
      <c r="J420" s="121">
        <v>625000.0</v>
      </c>
      <c r="K420" s="109" t="s">
        <v>238</v>
      </c>
      <c r="L420" s="58">
        <f t="shared" si="27"/>
        <v>475000</v>
      </c>
      <c r="M420" s="150">
        <v>50000.0</v>
      </c>
      <c r="N420" s="205">
        <v>675000.0</v>
      </c>
    </row>
    <row r="421" ht="15.75" customHeight="1">
      <c r="A421" s="118">
        <v>19.0</v>
      </c>
      <c r="B421" s="142">
        <v>45897.0</v>
      </c>
      <c r="C421" s="17" t="s">
        <v>597</v>
      </c>
      <c r="D421" s="17" t="s">
        <v>604</v>
      </c>
      <c r="E421" s="98" t="s">
        <v>322</v>
      </c>
      <c r="F421" s="98" t="s">
        <v>214</v>
      </c>
      <c r="G421" s="151">
        <v>9000.0</v>
      </c>
      <c r="H421" s="150">
        <v>1350000.0</v>
      </c>
      <c r="I421" s="152" t="s">
        <v>238</v>
      </c>
      <c r="J421" s="121">
        <v>925000.0</v>
      </c>
      <c r="K421" s="109" t="s">
        <v>238</v>
      </c>
      <c r="L421" s="58">
        <f t="shared" si="27"/>
        <v>425000</v>
      </c>
      <c r="M421" s="150"/>
    </row>
    <row r="422" ht="15.75" customHeight="1">
      <c r="A422" s="118">
        <v>20.0</v>
      </c>
      <c r="B422" s="142">
        <v>45898.0</v>
      </c>
      <c r="C422" s="17" t="s">
        <v>597</v>
      </c>
      <c r="D422" s="17" t="s">
        <v>604</v>
      </c>
      <c r="E422" s="98" t="s">
        <v>344</v>
      </c>
      <c r="F422" s="98" t="s">
        <v>349</v>
      </c>
      <c r="G422" s="151">
        <v>10000.0</v>
      </c>
      <c r="H422" s="150">
        <v>1500000.0</v>
      </c>
      <c r="I422" s="152" t="s">
        <v>238</v>
      </c>
      <c r="J422" s="121">
        <v>700000.0</v>
      </c>
      <c r="K422" s="109" t="s">
        <v>238</v>
      </c>
      <c r="L422" s="58">
        <f t="shared" si="27"/>
        <v>800000</v>
      </c>
    </row>
    <row r="423" ht="15.75" customHeight="1">
      <c r="A423" s="118">
        <v>21.0</v>
      </c>
      <c r="B423" s="142">
        <v>45899.0</v>
      </c>
      <c r="C423" s="17" t="s">
        <v>597</v>
      </c>
      <c r="D423" s="17" t="s">
        <v>604</v>
      </c>
      <c r="E423" s="98" t="s">
        <v>344</v>
      </c>
      <c r="F423" s="98" t="s">
        <v>349</v>
      </c>
      <c r="G423" s="151">
        <v>10000.0</v>
      </c>
      <c r="H423" s="150">
        <v>1500000.0</v>
      </c>
      <c r="I423" s="152"/>
      <c r="J423" s="121">
        <v>700000.0</v>
      </c>
      <c r="K423" s="109" t="s">
        <v>238</v>
      </c>
      <c r="L423" s="58">
        <f t="shared" si="27"/>
        <v>800000</v>
      </c>
    </row>
    <row r="424" ht="15.75" customHeight="1">
      <c r="A424" s="21"/>
      <c r="B424" s="7"/>
      <c r="C424" s="7"/>
      <c r="D424" s="7"/>
      <c r="E424" s="17"/>
      <c r="F424" s="17"/>
      <c r="G424" s="170"/>
      <c r="H424" s="149"/>
      <c r="I424" s="184"/>
      <c r="J424" s="121"/>
      <c r="K424" s="17"/>
      <c r="L424" s="52">
        <f>SUM(L403:L423)</f>
        <v>14480432</v>
      </c>
      <c r="M424" s="30">
        <f>SUM(M403:M421)</f>
        <v>6145000</v>
      </c>
    </row>
    <row r="425" ht="15.75" customHeight="1">
      <c r="A425" s="203"/>
      <c r="L425" s="33">
        <f>L424-M424</f>
        <v>8335432</v>
      </c>
      <c r="M425" s="26"/>
    </row>
    <row r="426" ht="15.75" customHeight="1">
      <c r="A426" s="203"/>
    </row>
    <row r="427" ht="15.75" customHeight="1">
      <c r="A427" s="136" t="s">
        <v>209</v>
      </c>
      <c r="B427" s="136" t="s">
        <v>0</v>
      </c>
      <c r="C427" s="136" t="s">
        <v>1</v>
      </c>
      <c r="D427" s="136" t="s">
        <v>2</v>
      </c>
      <c r="E427" s="137" t="s">
        <v>3</v>
      </c>
      <c r="F427" s="136" t="s">
        <v>4</v>
      </c>
      <c r="G427" s="138" t="s">
        <v>5</v>
      </c>
      <c r="H427" s="139" t="s">
        <v>6</v>
      </c>
      <c r="I427" s="140" t="s">
        <v>39</v>
      </c>
      <c r="J427" s="139" t="s">
        <v>7</v>
      </c>
      <c r="K427" s="138" t="s">
        <v>39</v>
      </c>
      <c r="L427" s="140" t="s">
        <v>8</v>
      </c>
      <c r="M427" s="141" t="s">
        <v>9</v>
      </c>
    </row>
    <row r="428" ht="15.75" customHeight="1">
      <c r="A428" s="17">
        <v>1.0</v>
      </c>
      <c r="B428" s="142">
        <v>45901.0</v>
      </c>
      <c r="C428" s="17" t="s">
        <v>597</v>
      </c>
      <c r="D428" s="17" t="s">
        <v>604</v>
      </c>
      <c r="E428" s="144" t="s">
        <v>695</v>
      </c>
      <c r="F428" s="144" t="s">
        <v>319</v>
      </c>
      <c r="G428" s="148">
        <v>5000.0</v>
      </c>
      <c r="H428" s="107">
        <v>1494000.0</v>
      </c>
      <c r="I428" s="108"/>
      <c r="J428" s="109">
        <v>900000.0</v>
      </c>
      <c r="K428" s="109" t="s">
        <v>238</v>
      </c>
      <c r="L428" s="58">
        <f>H428-J428</f>
        <v>594000</v>
      </c>
      <c r="M428" s="147"/>
    </row>
    <row r="429" ht="15.75" customHeight="1">
      <c r="A429" s="203"/>
    </row>
    <row r="430" ht="15.75" customHeight="1">
      <c r="A430" s="203"/>
    </row>
    <row r="431" ht="15.75" customHeight="1">
      <c r="A431" s="203"/>
    </row>
    <row r="432" ht="15.75" customHeight="1">
      <c r="A432" s="203"/>
    </row>
    <row r="433" ht="15.75" customHeight="1">
      <c r="A433" s="203"/>
    </row>
    <row r="434" ht="15.75" customHeight="1">
      <c r="A434" s="203"/>
    </row>
    <row r="435" ht="15.75" customHeight="1">
      <c r="A435" s="203"/>
    </row>
    <row r="436" ht="15.75" customHeight="1">
      <c r="A436" s="203"/>
    </row>
    <row r="437" ht="15.75" customHeight="1">
      <c r="A437" s="203"/>
    </row>
    <row r="438" ht="15.75" customHeight="1">
      <c r="A438" s="203"/>
    </row>
    <row r="439" ht="15.75" customHeight="1">
      <c r="A439" s="203"/>
    </row>
    <row r="440" ht="15.75" customHeight="1">
      <c r="A440" s="203"/>
    </row>
    <row r="441" ht="15.75" customHeight="1">
      <c r="A441" s="203"/>
    </row>
    <row r="442" ht="15.75" customHeight="1">
      <c r="A442" s="203"/>
    </row>
    <row r="443" ht="15.75" customHeight="1">
      <c r="A443" s="203"/>
    </row>
    <row r="444" ht="15.75" customHeight="1">
      <c r="A444" s="203"/>
    </row>
    <row r="445" ht="15.75" customHeight="1">
      <c r="A445" s="203"/>
    </row>
    <row r="446" ht="15.75" customHeight="1">
      <c r="A446" s="203"/>
    </row>
    <row r="447" ht="15.75" customHeight="1">
      <c r="A447" s="203"/>
    </row>
    <row r="448" ht="15.75" customHeight="1">
      <c r="A448" s="203"/>
    </row>
    <row r="449" ht="15.75" customHeight="1">
      <c r="A449" s="203"/>
    </row>
    <row r="450" ht="15.75" customHeight="1">
      <c r="A450" s="203"/>
    </row>
    <row r="451" ht="15.75" customHeight="1">
      <c r="A451" s="203"/>
    </row>
    <row r="452" ht="15.75" customHeight="1">
      <c r="A452" s="203"/>
    </row>
    <row r="453" ht="15.75" customHeight="1">
      <c r="A453" s="203"/>
    </row>
    <row r="454" ht="15.75" customHeight="1">
      <c r="A454" s="203"/>
    </row>
    <row r="455" ht="15.75" customHeight="1">
      <c r="A455" s="203"/>
    </row>
    <row r="456" ht="15.75" customHeight="1">
      <c r="A456" s="203"/>
    </row>
    <row r="457" ht="15.75" customHeight="1">
      <c r="A457" s="203"/>
    </row>
    <row r="458" ht="15.75" customHeight="1">
      <c r="A458" s="203"/>
    </row>
    <row r="459" ht="15.75" customHeight="1">
      <c r="A459" s="203"/>
    </row>
    <row r="460" ht="15.75" customHeight="1">
      <c r="A460" s="203"/>
    </row>
    <row r="461" ht="15.75" customHeight="1">
      <c r="A461" s="203"/>
    </row>
    <row r="462" ht="15.75" customHeight="1">
      <c r="A462" s="203"/>
    </row>
    <row r="463" ht="15.75" customHeight="1">
      <c r="A463" s="203"/>
    </row>
    <row r="464" ht="15.75" customHeight="1">
      <c r="A464" s="203"/>
    </row>
    <row r="465" ht="15.75" customHeight="1">
      <c r="A465" s="203"/>
    </row>
    <row r="466" ht="15.75" customHeight="1">
      <c r="A466" s="203"/>
    </row>
    <row r="467" ht="15.75" customHeight="1">
      <c r="A467" s="203"/>
    </row>
    <row r="468" ht="15.75" customHeight="1">
      <c r="A468" s="203"/>
    </row>
    <row r="469" ht="15.75" customHeight="1">
      <c r="A469" s="203"/>
    </row>
    <row r="470" ht="15.75" customHeight="1">
      <c r="A470" s="203"/>
    </row>
    <row r="471" ht="15.75" customHeight="1">
      <c r="A471" s="203"/>
    </row>
    <row r="472" ht="15.75" customHeight="1">
      <c r="A472" s="203"/>
    </row>
    <row r="473" ht="15.75" customHeight="1">
      <c r="A473" s="203"/>
    </row>
    <row r="474" ht="15.75" customHeight="1">
      <c r="A474" s="203"/>
    </row>
    <row r="475" ht="15.75" customHeight="1">
      <c r="A475" s="203"/>
    </row>
    <row r="476" ht="15.75" customHeight="1">
      <c r="A476" s="203"/>
    </row>
    <row r="477" ht="15.75" customHeight="1">
      <c r="A477" s="203"/>
    </row>
    <row r="478" ht="15.75" customHeight="1">
      <c r="A478" s="203"/>
    </row>
    <row r="479" ht="15.75" customHeight="1">
      <c r="A479" s="203"/>
    </row>
    <row r="480" ht="15.75" customHeight="1">
      <c r="A480" s="203"/>
    </row>
    <row r="481" ht="15.75" customHeight="1">
      <c r="A481" s="203"/>
    </row>
    <row r="482" ht="15.75" customHeight="1">
      <c r="A482" s="203"/>
    </row>
    <row r="483" ht="15.75" customHeight="1">
      <c r="A483" s="203"/>
    </row>
    <row r="484" ht="15.75" customHeight="1">
      <c r="A484" s="203"/>
    </row>
    <row r="485" ht="15.75" customHeight="1">
      <c r="A485" s="203"/>
    </row>
    <row r="486" ht="15.75" customHeight="1">
      <c r="A486" s="203"/>
    </row>
    <row r="487" ht="15.75" customHeight="1">
      <c r="A487" s="203"/>
    </row>
    <row r="488" ht="15.75" customHeight="1">
      <c r="A488" s="203"/>
    </row>
    <row r="489" ht="15.75" customHeight="1">
      <c r="A489" s="203"/>
    </row>
    <row r="490" ht="15.75" customHeight="1">
      <c r="A490" s="203"/>
    </row>
    <row r="491" ht="15.75" customHeight="1">
      <c r="A491" s="203"/>
    </row>
    <row r="492" ht="15.75" customHeight="1">
      <c r="A492" s="203"/>
    </row>
    <row r="493" ht="15.75" customHeight="1">
      <c r="A493" s="203"/>
    </row>
    <row r="494" ht="15.75" customHeight="1">
      <c r="A494" s="203"/>
    </row>
    <row r="495" ht="15.75" customHeight="1">
      <c r="A495" s="203"/>
    </row>
    <row r="496" ht="15.75" customHeight="1">
      <c r="A496" s="203"/>
    </row>
    <row r="497" ht="15.75" customHeight="1">
      <c r="A497" s="203"/>
    </row>
    <row r="498" ht="15.75" customHeight="1">
      <c r="A498" s="203"/>
    </row>
    <row r="499" ht="15.75" customHeight="1">
      <c r="A499" s="203"/>
    </row>
    <row r="500" ht="15.75" customHeight="1">
      <c r="A500" s="203"/>
    </row>
    <row r="501" ht="15.75" customHeight="1">
      <c r="A501" s="203"/>
    </row>
    <row r="502" ht="15.75" customHeight="1">
      <c r="A502" s="203"/>
    </row>
    <row r="503" ht="15.75" customHeight="1">
      <c r="A503" s="203"/>
    </row>
    <row r="504" ht="15.75" customHeight="1">
      <c r="A504" s="203"/>
    </row>
    <row r="505" ht="15.75" customHeight="1">
      <c r="A505" s="203"/>
    </row>
    <row r="506" ht="15.75" customHeight="1">
      <c r="A506" s="203"/>
    </row>
    <row r="507" ht="15.75" customHeight="1">
      <c r="A507" s="203"/>
    </row>
    <row r="508" ht="15.75" customHeight="1">
      <c r="A508" s="203"/>
    </row>
    <row r="509" ht="15.75" customHeight="1">
      <c r="A509" s="203"/>
    </row>
    <row r="510" ht="15.75" customHeight="1">
      <c r="A510" s="203"/>
    </row>
    <row r="511" ht="15.75" customHeight="1">
      <c r="A511" s="203"/>
    </row>
    <row r="512" ht="15.75" customHeight="1">
      <c r="A512" s="203"/>
    </row>
    <row r="513" ht="15.75" customHeight="1">
      <c r="A513" s="203"/>
    </row>
    <row r="514" ht="15.75" customHeight="1">
      <c r="A514" s="203"/>
    </row>
    <row r="515" ht="15.75" customHeight="1">
      <c r="A515" s="203"/>
    </row>
    <row r="516" ht="15.75" customHeight="1">
      <c r="A516" s="203"/>
    </row>
    <row r="517" ht="15.75" customHeight="1">
      <c r="A517" s="203"/>
    </row>
    <row r="518" ht="15.75" customHeight="1">
      <c r="A518" s="203"/>
    </row>
    <row r="519" ht="15.75" customHeight="1">
      <c r="A519" s="203"/>
    </row>
    <row r="520" ht="15.75" customHeight="1">
      <c r="A520" s="203"/>
    </row>
    <row r="521" ht="15.75" customHeight="1">
      <c r="A521" s="203"/>
    </row>
    <row r="522" ht="15.75" customHeight="1">
      <c r="A522" s="203"/>
    </row>
    <row r="523" ht="15.75" customHeight="1">
      <c r="A523" s="203"/>
    </row>
    <row r="524" ht="15.75" customHeight="1">
      <c r="A524" s="203"/>
    </row>
    <row r="525" ht="15.75" customHeight="1">
      <c r="A525" s="203"/>
    </row>
    <row r="526" ht="15.75" customHeight="1">
      <c r="A526" s="203"/>
    </row>
    <row r="527" ht="15.75" customHeight="1">
      <c r="A527" s="203"/>
    </row>
    <row r="528" ht="15.75" customHeight="1">
      <c r="A528" s="203"/>
    </row>
    <row r="529" ht="15.75" customHeight="1">
      <c r="A529" s="203"/>
    </row>
    <row r="530" ht="15.75" customHeight="1">
      <c r="A530" s="203"/>
    </row>
    <row r="531" ht="15.75" customHeight="1">
      <c r="A531" s="203"/>
    </row>
    <row r="532" ht="15.75" customHeight="1">
      <c r="A532" s="203"/>
    </row>
    <row r="533" ht="15.75" customHeight="1">
      <c r="A533" s="203"/>
    </row>
    <row r="534" ht="15.75" customHeight="1">
      <c r="A534" s="203"/>
    </row>
    <row r="535" ht="15.75" customHeight="1">
      <c r="A535" s="203"/>
    </row>
    <row r="536" ht="15.75" customHeight="1">
      <c r="A536" s="203"/>
    </row>
    <row r="537" ht="15.75" customHeight="1">
      <c r="A537" s="203"/>
    </row>
    <row r="538" ht="15.75" customHeight="1">
      <c r="A538" s="203"/>
    </row>
    <row r="539" ht="15.75" customHeight="1">
      <c r="A539" s="203"/>
    </row>
    <row r="540" ht="15.75" customHeight="1">
      <c r="A540" s="203"/>
    </row>
    <row r="541" ht="15.75" customHeight="1">
      <c r="A541" s="203"/>
    </row>
    <row r="542" ht="15.75" customHeight="1">
      <c r="A542" s="203"/>
    </row>
    <row r="543" ht="15.75" customHeight="1">
      <c r="A543" s="203"/>
    </row>
    <row r="544" ht="15.75" customHeight="1">
      <c r="A544" s="203"/>
    </row>
    <row r="545" ht="15.75" customHeight="1">
      <c r="A545" s="203"/>
    </row>
    <row r="546" ht="15.75" customHeight="1">
      <c r="A546" s="203"/>
    </row>
    <row r="547" ht="15.75" customHeight="1">
      <c r="A547" s="203"/>
    </row>
    <row r="548" ht="15.75" customHeight="1">
      <c r="A548" s="203"/>
    </row>
    <row r="549" ht="15.75" customHeight="1">
      <c r="A549" s="203"/>
    </row>
    <row r="550" ht="15.75" customHeight="1">
      <c r="A550" s="203"/>
    </row>
    <row r="551" ht="15.75" customHeight="1">
      <c r="A551" s="203"/>
    </row>
    <row r="552" ht="15.75" customHeight="1">
      <c r="A552" s="203"/>
    </row>
    <row r="553" ht="15.75" customHeight="1">
      <c r="A553" s="203"/>
    </row>
    <row r="554" ht="15.75" customHeight="1">
      <c r="A554" s="203"/>
    </row>
    <row r="555" ht="15.75" customHeight="1">
      <c r="A555" s="203"/>
    </row>
    <row r="556" ht="15.75" customHeight="1">
      <c r="A556" s="203"/>
    </row>
    <row r="557" ht="15.75" customHeight="1">
      <c r="A557" s="203"/>
    </row>
    <row r="558" ht="15.75" customHeight="1">
      <c r="A558" s="203"/>
    </row>
    <row r="559" ht="15.75" customHeight="1">
      <c r="A559" s="203"/>
    </row>
    <row r="560" ht="15.75" customHeight="1">
      <c r="A560" s="203"/>
    </row>
    <row r="561" ht="15.75" customHeight="1">
      <c r="A561" s="203"/>
    </row>
    <row r="562" ht="15.75" customHeight="1">
      <c r="A562" s="203"/>
    </row>
    <row r="563" ht="15.75" customHeight="1">
      <c r="A563" s="203"/>
    </row>
    <row r="564" ht="15.75" customHeight="1">
      <c r="A564" s="203"/>
    </row>
    <row r="565" ht="15.75" customHeight="1">
      <c r="A565" s="203"/>
    </row>
    <row r="566" ht="15.75" customHeight="1">
      <c r="A566" s="203"/>
    </row>
    <row r="567" ht="15.75" customHeight="1">
      <c r="A567" s="203"/>
    </row>
    <row r="568" ht="15.75" customHeight="1">
      <c r="A568" s="203"/>
    </row>
    <row r="569" ht="15.75" customHeight="1">
      <c r="A569" s="203"/>
    </row>
    <row r="570" ht="15.75" customHeight="1">
      <c r="A570" s="203"/>
    </row>
    <row r="571" ht="15.75" customHeight="1">
      <c r="A571" s="203"/>
    </row>
    <row r="572" ht="15.75" customHeight="1">
      <c r="A572" s="203"/>
    </row>
    <row r="573" ht="15.75" customHeight="1">
      <c r="A573" s="203"/>
    </row>
    <row r="574" ht="15.75" customHeight="1">
      <c r="A574" s="203"/>
    </row>
    <row r="575" ht="15.75" customHeight="1">
      <c r="A575" s="203"/>
    </row>
    <row r="576" ht="15.75" customHeight="1">
      <c r="A576" s="203"/>
    </row>
    <row r="577" ht="15.75" customHeight="1">
      <c r="A577" s="203"/>
    </row>
    <row r="578" ht="15.75" customHeight="1">
      <c r="A578" s="203"/>
    </row>
    <row r="579" ht="15.75" customHeight="1">
      <c r="A579" s="203"/>
    </row>
    <row r="580" ht="15.75" customHeight="1">
      <c r="A580" s="203"/>
    </row>
    <row r="581" ht="15.75" customHeight="1">
      <c r="A581" s="203"/>
    </row>
    <row r="582" ht="15.75" customHeight="1">
      <c r="A582" s="203"/>
    </row>
    <row r="583" ht="15.75" customHeight="1">
      <c r="A583" s="203"/>
    </row>
    <row r="584" ht="15.75" customHeight="1">
      <c r="A584" s="203"/>
    </row>
    <row r="585" ht="15.75" customHeight="1">
      <c r="A585" s="203"/>
    </row>
    <row r="586" ht="15.75" customHeight="1">
      <c r="A586" s="203"/>
    </row>
    <row r="587" ht="15.75" customHeight="1">
      <c r="A587" s="203"/>
    </row>
    <row r="588" ht="15.75" customHeight="1">
      <c r="A588" s="203"/>
    </row>
    <row r="589" ht="15.75" customHeight="1">
      <c r="A589" s="203"/>
    </row>
    <row r="590" ht="15.75" customHeight="1">
      <c r="A590" s="203"/>
    </row>
    <row r="591" ht="15.75" customHeight="1">
      <c r="A591" s="203"/>
    </row>
    <row r="592" ht="15.75" customHeight="1">
      <c r="A592" s="203"/>
    </row>
    <row r="593" ht="15.75" customHeight="1">
      <c r="A593" s="203"/>
    </row>
    <row r="594" ht="15.75" customHeight="1">
      <c r="A594" s="203"/>
    </row>
    <row r="595" ht="15.75" customHeight="1">
      <c r="A595" s="203"/>
    </row>
    <row r="596" ht="15.75" customHeight="1">
      <c r="A596" s="203"/>
    </row>
    <row r="597" ht="15.75" customHeight="1">
      <c r="A597" s="203"/>
    </row>
    <row r="598" ht="15.75" customHeight="1">
      <c r="A598" s="203"/>
    </row>
    <row r="599" ht="15.75" customHeight="1">
      <c r="A599" s="203"/>
    </row>
    <row r="600" ht="15.75" customHeight="1">
      <c r="A600" s="203"/>
    </row>
    <row r="601" ht="15.75" customHeight="1">
      <c r="A601" s="203"/>
    </row>
    <row r="602" ht="15.75" customHeight="1">
      <c r="A602" s="203"/>
    </row>
    <row r="603" ht="15.75" customHeight="1">
      <c r="A603" s="203"/>
    </row>
    <row r="604" ht="15.75" customHeight="1">
      <c r="A604" s="203"/>
    </row>
    <row r="605" ht="15.75" customHeight="1">
      <c r="A605" s="203"/>
    </row>
    <row r="606" ht="15.75" customHeight="1">
      <c r="A606" s="203"/>
    </row>
    <row r="607" ht="15.75" customHeight="1">
      <c r="A607" s="203"/>
    </row>
    <row r="608" ht="15.75" customHeight="1">
      <c r="A608" s="203"/>
    </row>
    <row r="609" ht="15.75" customHeight="1">
      <c r="A609" s="203"/>
    </row>
    <row r="610" ht="15.75" customHeight="1">
      <c r="A610" s="203"/>
    </row>
    <row r="611" ht="15.75" customHeight="1">
      <c r="A611" s="203"/>
    </row>
    <row r="612" ht="15.75" customHeight="1">
      <c r="A612" s="203"/>
    </row>
    <row r="613" ht="15.75" customHeight="1">
      <c r="A613" s="203"/>
    </row>
    <row r="614" ht="15.75" customHeight="1">
      <c r="A614" s="203"/>
    </row>
    <row r="615" ht="15.75" customHeight="1">
      <c r="A615" s="203"/>
    </row>
    <row r="616" ht="15.75" customHeight="1">
      <c r="A616" s="203"/>
    </row>
    <row r="617" ht="15.75" customHeight="1">
      <c r="A617" s="203"/>
    </row>
    <row r="618" ht="15.75" customHeight="1">
      <c r="A618" s="203"/>
    </row>
    <row r="619" ht="15.75" customHeight="1">
      <c r="A619" s="203"/>
    </row>
    <row r="620" ht="15.75" customHeight="1">
      <c r="A620" s="203"/>
    </row>
    <row r="621" ht="15.75" customHeight="1">
      <c r="A621" s="203"/>
    </row>
    <row r="622" ht="15.75" customHeight="1">
      <c r="A622" s="203"/>
    </row>
    <row r="623" ht="15.75" customHeight="1">
      <c r="A623" s="203"/>
    </row>
    <row r="624" ht="15.75" customHeight="1">
      <c r="A624" s="203"/>
    </row>
    <row r="625" ht="15.75" customHeight="1">
      <c r="A625" s="203"/>
    </row>
    <row r="626" ht="15.75" customHeight="1">
      <c r="A626" s="203"/>
    </row>
    <row r="627" ht="15.75" customHeight="1">
      <c r="A627" s="203"/>
    </row>
    <row r="628" ht="15.75" customHeight="1">
      <c r="A628" s="203"/>
    </row>
    <row r="629" ht="15.75" customHeight="1">
      <c r="A629" s="203"/>
    </row>
    <row r="630" ht="15.75" customHeight="1">
      <c r="A630" s="203"/>
    </row>
    <row r="631" ht="15.75" customHeight="1">
      <c r="A631" s="203"/>
    </row>
    <row r="632" ht="15.75" customHeight="1">
      <c r="A632" s="203"/>
    </row>
    <row r="633" ht="15.75" customHeight="1">
      <c r="A633" s="203"/>
    </row>
    <row r="634" ht="15.75" customHeight="1">
      <c r="A634" s="203"/>
    </row>
    <row r="635" ht="15.75" customHeight="1">
      <c r="A635" s="203"/>
    </row>
    <row r="636" ht="15.75" customHeight="1">
      <c r="A636" s="203"/>
    </row>
    <row r="637" ht="15.75" customHeight="1">
      <c r="A637" s="203"/>
    </row>
    <row r="638" ht="15.75" customHeight="1">
      <c r="A638" s="203"/>
    </row>
    <row r="639" ht="15.75" customHeight="1">
      <c r="A639" s="203"/>
    </row>
    <row r="640" ht="15.75" customHeight="1">
      <c r="A640" s="203"/>
    </row>
    <row r="641" ht="15.75" customHeight="1">
      <c r="A641" s="203"/>
    </row>
    <row r="642" ht="15.75" customHeight="1">
      <c r="A642" s="203"/>
    </row>
    <row r="643" ht="15.75" customHeight="1">
      <c r="A643" s="203"/>
    </row>
    <row r="644" ht="15.75" customHeight="1">
      <c r="A644" s="203"/>
    </row>
    <row r="645" ht="15.75" customHeight="1">
      <c r="A645" s="203"/>
    </row>
    <row r="646" ht="15.75" customHeight="1">
      <c r="A646" s="203"/>
    </row>
    <row r="647" ht="15.75" customHeight="1">
      <c r="A647" s="203"/>
    </row>
    <row r="648" ht="15.75" customHeight="1">
      <c r="A648" s="203"/>
    </row>
    <row r="649" ht="15.75" customHeight="1">
      <c r="A649" s="203"/>
    </row>
    <row r="650" ht="15.75" customHeight="1">
      <c r="A650" s="203"/>
    </row>
    <row r="651" ht="15.75" customHeight="1">
      <c r="A651" s="203"/>
    </row>
    <row r="652" ht="15.75" customHeight="1">
      <c r="A652" s="203"/>
    </row>
    <row r="653" ht="15.75" customHeight="1">
      <c r="A653" s="203"/>
    </row>
    <row r="654" ht="15.75" customHeight="1">
      <c r="A654" s="203"/>
    </row>
    <row r="655" ht="15.75" customHeight="1">
      <c r="A655" s="203"/>
    </row>
    <row r="656" ht="15.75" customHeight="1">
      <c r="A656" s="203"/>
    </row>
    <row r="657" ht="15.75" customHeight="1">
      <c r="A657" s="203"/>
    </row>
    <row r="658" ht="15.75" customHeight="1">
      <c r="A658" s="203"/>
    </row>
    <row r="659" ht="15.75" customHeight="1">
      <c r="A659" s="203"/>
    </row>
    <row r="660" ht="15.75" customHeight="1">
      <c r="A660" s="203"/>
    </row>
    <row r="661" ht="15.75" customHeight="1">
      <c r="A661" s="203"/>
    </row>
    <row r="662" ht="15.75" customHeight="1">
      <c r="A662" s="203"/>
    </row>
    <row r="663" ht="15.75" customHeight="1">
      <c r="A663" s="203"/>
    </row>
    <row r="664" ht="15.75" customHeight="1">
      <c r="A664" s="203"/>
    </row>
    <row r="665" ht="15.75" customHeight="1">
      <c r="A665" s="203"/>
    </row>
    <row r="666" ht="15.75" customHeight="1">
      <c r="A666" s="203"/>
    </row>
    <row r="667" ht="15.75" customHeight="1">
      <c r="A667" s="203"/>
    </row>
    <row r="668" ht="15.75" customHeight="1">
      <c r="A668" s="203"/>
    </row>
    <row r="669" ht="15.75" customHeight="1">
      <c r="A669" s="203"/>
    </row>
    <row r="670" ht="15.75" customHeight="1">
      <c r="A670" s="203"/>
    </row>
    <row r="671" ht="15.75" customHeight="1">
      <c r="A671" s="203"/>
    </row>
    <row r="672" ht="15.75" customHeight="1">
      <c r="A672" s="203"/>
    </row>
    <row r="673" ht="15.75" customHeight="1">
      <c r="A673" s="203"/>
    </row>
    <row r="674" ht="15.75" customHeight="1">
      <c r="A674" s="203"/>
    </row>
    <row r="675" ht="15.75" customHeight="1">
      <c r="A675" s="203"/>
    </row>
    <row r="676" ht="15.75" customHeight="1">
      <c r="A676" s="203"/>
    </row>
    <row r="677" ht="15.75" customHeight="1">
      <c r="A677" s="203"/>
    </row>
    <row r="678" ht="15.75" customHeight="1">
      <c r="A678" s="203"/>
    </row>
    <row r="679" ht="15.75" customHeight="1">
      <c r="A679" s="203"/>
    </row>
    <row r="680" ht="15.75" customHeight="1">
      <c r="A680" s="203"/>
    </row>
    <row r="681" ht="15.75" customHeight="1">
      <c r="A681" s="203"/>
    </row>
    <row r="682" ht="15.75" customHeight="1">
      <c r="A682" s="203"/>
    </row>
    <row r="683" ht="15.75" customHeight="1">
      <c r="A683" s="203"/>
    </row>
    <row r="684" ht="15.75" customHeight="1">
      <c r="A684" s="203"/>
    </row>
    <row r="685" ht="15.75" customHeight="1">
      <c r="A685" s="203"/>
    </row>
    <row r="686" ht="15.75" customHeight="1">
      <c r="A686" s="203"/>
    </row>
    <row r="687" ht="15.75" customHeight="1">
      <c r="A687" s="203"/>
    </row>
    <row r="688" ht="15.75" customHeight="1">
      <c r="A688" s="203"/>
    </row>
    <row r="689" ht="15.75" customHeight="1">
      <c r="A689" s="203"/>
    </row>
    <row r="690" ht="15.75" customHeight="1">
      <c r="A690" s="203"/>
    </row>
    <row r="691" ht="15.75" customHeight="1">
      <c r="A691" s="203"/>
    </row>
    <row r="692" ht="15.75" customHeight="1">
      <c r="A692" s="203"/>
    </row>
    <row r="693" ht="15.75" customHeight="1">
      <c r="A693" s="203"/>
    </row>
    <row r="694" ht="15.75" customHeight="1">
      <c r="A694" s="203"/>
    </row>
    <row r="695" ht="15.75" customHeight="1">
      <c r="A695" s="203"/>
    </row>
    <row r="696" ht="15.75" customHeight="1">
      <c r="A696" s="203"/>
    </row>
    <row r="697" ht="15.75" customHeight="1">
      <c r="A697" s="203"/>
    </row>
    <row r="698" ht="15.75" customHeight="1">
      <c r="A698" s="203"/>
    </row>
    <row r="699" ht="15.75" customHeight="1">
      <c r="A699" s="203"/>
    </row>
    <row r="700" ht="15.75" customHeight="1">
      <c r="A700" s="203"/>
    </row>
    <row r="701" ht="15.75" customHeight="1">
      <c r="A701" s="203"/>
    </row>
    <row r="702" ht="15.75" customHeight="1">
      <c r="A702" s="203"/>
    </row>
    <row r="703" ht="15.75" customHeight="1">
      <c r="A703" s="203"/>
    </row>
    <row r="704" ht="15.75" customHeight="1">
      <c r="A704" s="203"/>
    </row>
    <row r="705" ht="15.75" customHeight="1">
      <c r="A705" s="203"/>
    </row>
    <row r="706" ht="15.75" customHeight="1">
      <c r="A706" s="203"/>
    </row>
    <row r="707" ht="15.75" customHeight="1">
      <c r="A707" s="203"/>
    </row>
    <row r="708" ht="15.75" customHeight="1">
      <c r="A708" s="203"/>
    </row>
    <row r="709" ht="15.75" customHeight="1">
      <c r="A709" s="203"/>
    </row>
    <row r="710" ht="15.75" customHeight="1">
      <c r="A710" s="203"/>
    </row>
    <row r="711" ht="15.75" customHeight="1">
      <c r="A711" s="203"/>
    </row>
    <row r="712" ht="15.75" customHeight="1">
      <c r="A712" s="203"/>
    </row>
    <row r="713" ht="15.75" customHeight="1">
      <c r="A713" s="203"/>
    </row>
    <row r="714" ht="15.75" customHeight="1">
      <c r="A714" s="203"/>
    </row>
    <row r="715" ht="15.75" customHeight="1">
      <c r="A715" s="203"/>
    </row>
    <row r="716" ht="15.75" customHeight="1">
      <c r="A716" s="203"/>
    </row>
    <row r="717" ht="15.75" customHeight="1">
      <c r="A717" s="203"/>
    </row>
    <row r="718" ht="15.75" customHeight="1">
      <c r="A718" s="203"/>
    </row>
    <row r="719" ht="15.75" customHeight="1">
      <c r="A719" s="203"/>
    </row>
    <row r="720" ht="15.75" customHeight="1">
      <c r="A720" s="203"/>
    </row>
    <row r="721" ht="15.75" customHeight="1">
      <c r="A721" s="203"/>
    </row>
    <row r="722" ht="15.75" customHeight="1">
      <c r="A722" s="203"/>
    </row>
    <row r="723" ht="15.75" customHeight="1">
      <c r="A723" s="203"/>
    </row>
    <row r="724" ht="15.75" customHeight="1">
      <c r="A724" s="203"/>
    </row>
    <row r="725" ht="15.75" customHeight="1">
      <c r="A725" s="203"/>
    </row>
    <row r="726" ht="15.75" customHeight="1">
      <c r="A726" s="203"/>
    </row>
    <row r="727" ht="15.75" customHeight="1">
      <c r="A727" s="203"/>
    </row>
    <row r="728" ht="15.75" customHeight="1">
      <c r="A728" s="203"/>
    </row>
    <row r="729" ht="15.75" customHeight="1">
      <c r="A729" s="203"/>
    </row>
    <row r="730" ht="15.75" customHeight="1">
      <c r="A730" s="203"/>
    </row>
    <row r="731" ht="15.75" customHeight="1">
      <c r="A731" s="203"/>
    </row>
    <row r="732" ht="15.75" customHeight="1">
      <c r="A732" s="203"/>
    </row>
    <row r="733" ht="15.75" customHeight="1">
      <c r="A733" s="203"/>
    </row>
    <row r="734" ht="15.75" customHeight="1">
      <c r="A734" s="203"/>
    </row>
    <row r="735" ht="15.75" customHeight="1">
      <c r="A735" s="203"/>
    </row>
    <row r="736" ht="15.75" customHeight="1">
      <c r="A736" s="203"/>
    </row>
    <row r="737" ht="15.75" customHeight="1">
      <c r="A737" s="203"/>
    </row>
    <row r="738" ht="15.75" customHeight="1">
      <c r="A738" s="203"/>
    </row>
    <row r="739" ht="15.75" customHeight="1">
      <c r="A739" s="203"/>
    </row>
    <row r="740" ht="15.75" customHeight="1">
      <c r="A740" s="203"/>
    </row>
    <row r="741" ht="15.75" customHeight="1">
      <c r="A741" s="203"/>
    </row>
    <row r="742" ht="15.75" customHeight="1">
      <c r="A742" s="203"/>
    </row>
    <row r="743" ht="15.75" customHeight="1">
      <c r="A743" s="203"/>
    </row>
    <row r="744" ht="15.75" customHeight="1">
      <c r="A744" s="203"/>
    </row>
    <row r="745" ht="15.75" customHeight="1">
      <c r="A745" s="203"/>
    </row>
    <row r="746" ht="15.75" customHeight="1">
      <c r="A746" s="203"/>
    </row>
    <row r="747" ht="15.75" customHeight="1">
      <c r="A747" s="203"/>
    </row>
    <row r="748" ht="15.75" customHeight="1">
      <c r="A748" s="203"/>
    </row>
    <row r="749" ht="15.75" customHeight="1">
      <c r="A749" s="203"/>
    </row>
    <row r="750" ht="15.75" customHeight="1">
      <c r="A750" s="203"/>
    </row>
    <row r="751" ht="15.75" customHeight="1">
      <c r="A751" s="203"/>
    </row>
    <row r="752" ht="15.75" customHeight="1">
      <c r="A752" s="203"/>
    </row>
    <row r="753" ht="15.75" customHeight="1">
      <c r="A753" s="203"/>
    </row>
    <row r="754" ht="15.75" customHeight="1">
      <c r="A754" s="203"/>
    </row>
    <row r="755" ht="15.75" customHeight="1">
      <c r="A755" s="203"/>
    </row>
    <row r="756" ht="15.75" customHeight="1">
      <c r="A756" s="203"/>
    </row>
    <row r="757" ht="15.75" customHeight="1">
      <c r="A757" s="203"/>
    </row>
    <row r="758" ht="15.75" customHeight="1">
      <c r="A758" s="203"/>
    </row>
    <row r="759" ht="15.75" customHeight="1">
      <c r="A759" s="203"/>
    </row>
    <row r="760" ht="15.75" customHeight="1">
      <c r="A760" s="203"/>
    </row>
    <row r="761" ht="15.75" customHeight="1">
      <c r="A761" s="203"/>
    </row>
    <row r="762" ht="15.75" customHeight="1">
      <c r="A762" s="203"/>
    </row>
    <row r="763" ht="15.75" customHeight="1">
      <c r="A763" s="203"/>
    </row>
    <row r="764" ht="15.75" customHeight="1">
      <c r="A764" s="203"/>
    </row>
    <row r="765" ht="15.75" customHeight="1">
      <c r="A765" s="203"/>
    </row>
    <row r="766" ht="15.75" customHeight="1">
      <c r="A766" s="203"/>
    </row>
    <row r="767" ht="15.75" customHeight="1">
      <c r="A767" s="203"/>
    </row>
    <row r="768" ht="15.75" customHeight="1">
      <c r="A768" s="203"/>
    </row>
    <row r="769" ht="15.75" customHeight="1">
      <c r="A769" s="203"/>
    </row>
    <row r="770" ht="15.75" customHeight="1">
      <c r="A770" s="203"/>
    </row>
    <row r="771" ht="15.75" customHeight="1">
      <c r="A771" s="203"/>
    </row>
    <row r="772" ht="15.75" customHeight="1">
      <c r="A772" s="203"/>
    </row>
    <row r="773" ht="15.75" customHeight="1">
      <c r="A773" s="203"/>
    </row>
    <row r="774" ht="15.75" customHeight="1">
      <c r="A774" s="203"/>
    </row>
    <row r="775" ht="15.75" customHeight="1">
      <c r="A775" s="203"/>
    </row>
    <row r="776" ht="15.75" customHeight="1">
      <c r="A776" s="203"/>
    </row>
    <row r="777" ht="15.75" customHeight="1">
      <c r="A777" s="203"/>
    </row>
    <row r="778" ht="15.75" customHeight="1">
      <c r="A778" s="203"/>
    </row>
    <row r="779" ht="15.75" customHeight="1">
      <c r="A779" s="203"/>
    </row>
    <row r="780" ht="15.75" customHeight="1">
      <c r="A780" s="203"/>
    </row>
    <row r="781" ht="15.75" customHeight="1">
      <c r="A781" s="203"/>
    </row>
    <row r="782" ht="15.75" customHeight="1">
      <c r="A782" s="203"/>
    </row>
    <row r="783" ht="15.75" customHeight="1">
      <c r="A783" s="203"/>
    </row>
    <row r="784" ht="15.75" customHeight="1">
      <c r="A784" s="203"/>
    </row>
    <row r="785" ht="15.75" customHeight="1">
      <c r="A785" s="203"/>
    </row>
    <row r="786" ht="15.75" customHeight="1">
      <c r="A786" s="203"/>
    </row>
    <row r="787" ht="15.75" customHeight="1">
      <c r="A787" s="203"/>
    </row>
    <row r="788" ht="15.75" customHeight="1">
      <c r="A788" s="203"/>
    </row>
    <row r="789" ht="15.75" customHeight="1">
      <c r="A789" s="203"/>
    </row>
    <row r="790" ht="15.75" customHeight="1">
      <c r="A790" s="203"/>
    </row>
    <row r="791" ht="15.75" customHeight="1">
      <c r="A791" s="203"/>
    </row>
    <row r="792" ht="15.75" customHeight="1">
      <c r="A792" s="203"/>
    </row>
    <row r="793" ht="15.75" customHeight="1">
      <c r="A793" s="203"/>
    </row>
    <row r="794" ht="15.75" customHeight="1">
      <c r="A794" s="203"/>
    </row>
    <row r="795" ht="15.75" customHeight="1">
      <c r="A795" s="203"/>
    </row>
    <row r="796" ht="15.75" customHeight="1">
      <c r="A796" s="203"/>
    </row>
    <row r="797" ht="15.75" customHeight="1">
      <c r="A797" s="203"/>
    </row>
    <row r="798" ht="15.75" customHeight="1">
      <c r="A798" s="203"/>
    </row>
    <row r="799" ht="15.75" customHeight="1">
      <c r="A799" s="203"/>
    </row>
    <row r="800" ht="15.75" customHeight="1">
      <c r="A800" s="203"/>
    </row>
    <row r="801" ht="15.75" customHeight="1">
      <c r="A801" s="203"/>
    </row>
    <row r="802" ht="15.75" customHeight="1">
      <c r="A802" s="203"/>
    </row>
    <row r="803" ht="15.75" customHeight="1">
      <c r="A803" s="203"/>
    </row>
    <row r="804" ht="15.75" customHeight="1">
      <c r="A804" s="203"/>
    </row>
    <row r="805" ht="15.75" customHeight="1">
      <c r="A805" s="203"/>
    </row>
    <row r="806" ht="15.75" customHeight="1">
      <c r="A806" s="203"/>
    </row>
    <row r="807" ht="15.75" customHeight="1">
      <c r="A807" s="203"/>
    </row>
    <row r="808" ht="15.75" customHeight="1">
      <c r="A808" s="203"/>
    </row>
    <row r="809" ht="15.75" customHeight="1">
      <c r="A809" s="203"/>
    </row>
    <row r="810" ht="15.75" customHeight="1">
      <c r="A810" s="203"/>
    </row>
    <row r="811" ht="15.75" customHeight="1">
      <c r="A811" s="203"/>
    </row>
    <row r="812" ht="15.75" customHeight="1">
      <c r="A812" s="203"/>
    </row>
    <row r="813" ht="15.75" customHeight="1">
      <c r="A813" s="203"/>
    </row>
    <row r="814" ht="15.75" customHeight="1">
      <c r="A814" s="203"/>
    </row>
    <row r="815" ht="15.75" customHeight="1">
      <c r="A815" s="203"/>
    </row>
    <row r="816" ht="15.75" customHeight="1">
      <c r="A816" s="203"/>
    </row>
    <row r="817" ht="15.75" customHeight="1">
      <c r="A817" s="203"/>
    </row>
    <row r="818" ht="15.75" customHeight="1">
      <c r="A818" s="203"/>
    </row>
    <row r="819" ht="15.75" customHeight="1">
      <c r="A819" s="203"/>
    </row>
    <row r="820" ht="15.75" customHeight="1">
      <c r="A820" s="203"/>
    </row>
    <row r="821" ht="15.75" customHeight="1">
      <c r="A821" s="203"/>
    </row>
    <row r="822" ht="15.75" customHeight="1">
      <c r="A822" s="203"/>
    </row>
    <row r="823" ht="15.75" customHeight="1">
      <c r="A823" s="203"/>
    </row>
    <row r="824" ht="15.75" customHeight="1">
      <c r="A824" s="203"/>
    </row>
    <row r="825" ht="15.75" customHeight="1">
      <c r="A825" s="203"/>
    </row>
    <row r="826" ht="15.75" customHeight="1">
      <c r="A826" s="203"/>
    </row>
    <row r="827" ht="15.75" customHeight="1">
      <c r="A827" s="203"/>
    </row>
    <row r="828" ht="15.75" customHeight="1">
      <c r="A828" s="203"/>
    </row>
    <row r="829" ht="15.75" customHeight="1">
      <c r="A829" s="203"/>
    </row>
    <row r="830" ht="15.75" customHeight="1">
      <c r="A830" s="203"/>
    </row>
    <row r="831" ht="15.75" customHeight="1">
      <c r="A831" s="203"/>
    </row>
    <row r="832" ht="15.75" customHeight="1">
      <c r="A832" s="203"/>
    </row>
    <row r="833" ht="15.75" customHeight="1">
      <c r="A833" s="203"/>
    </row>
    <row r="834" ht="15.75" customHeight="1">
      <c r="A834" s="203"/>
    </row>
    <row r="835" ht="15.75" customHeight="1">
      <c r="A835" s="203"/>
    </row>
    <row r="836" ht="15.75" customHeight="1">
      <c r="A836" s="203"/>
    </row>
    <row r="837" ht="15.75" customHeight="1">
      <c r="A837" s="203"/>
    </row>
    <row r="838" ht="15.75" customHeight="1">
      <c r="A838" s="203"/>
    </row>
    <row r="839" ht="15.75" customHeight="1">
      <c r="A839" s="203"/>
    </row>
    <row r="840" ht="15.75" customHeight="1">
      <c r="A840" s="203"/>
    </row>
    <row r="841" ht="15.75" customHeight="1">
      <c r="A841" s="203"/>
    </row>
    <row r="842" ht="15.75" customHeight="1">
      <c r="A842" s="203"/>
    </row>
    <row r="843" ht="15.75" customHeight="1">
      <c r="A843" s="203"/>
    </row>
    <row r="844" ht="15.75" customHeight="1">
      <c r="A844" s="203"/>
    </row>
    <row r="845" ht="15.75" customHeight="1">
      <c r="A845" s="203"/>
    </row>
    <row r="846" ht="15.75" customHeight="1">
      <c r="A846" s="203"/>
    </row>
    <row r="847" ht="15.75" customHeight="1">
      <c r="A847" s="203"/>
    </row>
    <row r="848" ht="15.75" customHeight="1">
      <c r="A848" s="203"/>
    </row>
    <row r="849" ht="15.75" customHeight="1">
      <c r="A849" s="203"/>
    </row>
    <row r="850" ht="15.75" customHeight="1">
      <c r="A850" s="203"/>
    </row>
    <row r="851" ht="15.75" customHeight="1">
      <c r="A851" s="203"/>
    </row>
    <row r="852" ht="15.75" customHeight="1">
      <c r="A852" s="203"/>
    </row>
    <row r="853" ht="15.75" customHeight="1">
      <c r="A853" s="203"/>
    </row>
    <row r="854" ht="15.75" customHeight="1">
      <c r="A854" s="203"/>
    </row>
    <row r="855" ht="15.75" customHeight="1">
      <c r="A855" s="203"/>
    </row>
    <row r="856" ht="15.75" customHeight="1">
      <c r="A856" s="203"/>
    </row>
    <row r="857" ht="15.75" customHeight="1">
      <c r="A857" s="203"/>
    </row>
    <row r="858" ht="15.75" customHeight="1">
      <c r="A858" s="203"/>
    </row>
    <row r="859" ht="15.75" customHeight="1">
      <c r="A859" s="203"/>
    </row>
    <row r="860" ht="15.75" customHeight="1">
      <c r="A860" s="203"/>
    </row>
    <row r="861" ht="15.75" customHeight="1">
      <c r="A861" s="203"/>
    </row>
    <row r="862" ht="15.75" customHeight="1">
      <c r="A862" s="203"/>
    </row>
    <row r="863" ht="15.75" customHeight="1">
      <c r="A863" s="203"/>
    </row>
    <row r="864" ht="15.75" customHeight="1">
      <c r="A864" s="203"/>
    </row>
    <row r="865" ht="15.75" customHeight="1">
      <c r="A865" s="203"/>
    </row>
    <row r="866" ht="15.75" customHeight="1">
      <c r="A866" s="203"/>
    </row>
    <row r="867" ht="15.75" customHeight="1">
      <c r="A867" s="203"/>
    </row>
    <row r="868" ht="15.75" customHeight="1">
      <c r="A868" s="203"/>
    </row>
    <row r="869" ht="15.75" customHeight="1">
      <c r="A869" s="203"/>
    </row>
    <row r="870" ht="15.75" customHeight="1">
      <c r="A870" s="203"/>
    </row>
    <row r="871" ht="15.75" customHeight="1">
      <c r="A871" s="203"/>
    </row>
    <row r="872" ht="15.75" customHeight="1">
      <c r="A872" s="203"/>
    </row>
    <row r="873" ht="15.75" customHeight="1">
      <c r="A873" s="203"/>
    </row>
    <row r="874" ht="15.75" customHeight="1">
      <c r="A874" s="203"/>
    </row>
    <row r="875" ht="15.75" customHeight="1">
      <c r="A875" s="203"/>
    </row>
    <row r="876" ht="15.75" customHeight="1">
      <c r="A876" s="203"/>
    </row>
    <row r="877" ht="15.75" customHeight="1">
      <c r="A877" s="203"/>
    </row>
    <row r="878" ht="15.75" customHeight="1">
      <c r="A878" s="203"/>
    </row>
    <row r="879" ht="15.75" customHeight="1">
      <c r="A879" s="203"/>
    </row>
    <row r="880" ht="15.75" customHeight="1">
      <c r="A880" s="203"/>
    </row>
    <row r="881" ht="15.75" customHeight="1">
      <c r="A881" s="203"/>
    </row>
    <row r="882" ht="15.75" customHeight="1">
      <c r="A882" s="203"/>
    </row>
    <row r="883" ht="15.75" customHeight="1">
      <c r="A883" s="203"/>
    </row>
    <row r="884" ht="15.75" customHeight="1">
      <c r="A884" s="203"/>
    </row>
    <row r="885" ht="15.75" customHeight="1">
      <c r="A885" s="203"/>
    </row>
    <row r="886" ht="15.75" customHeight="1">
      <c r="A886" s="203"/>
    </row>
    <row r="887" ht="15.75" customHeight="1">
      <c r="A887" s="203"/>
    </row>
    <row r="888" ht="15.75" customHeight="1">
      <c r="A888" s="203"/>
    </row>
    <row r="889" ht="15.75" customHeight="1">
      <c r="A889" s="203"/>
    </row>
    <row r="890" ht="15.75" customHeight="1">
      <c r="A890" s="203"/>
    </row>
    <row r="891" ht="15.75" customHeight="1">
      <c r="A891" s="203"/>
    </row>
    <row r="892" ht="15.75" customHeight="1">
      <c r="A892" s="203"/>
    </row>
    <row r="893" ht="15.75" customHeight="1">
      <c r="A893" s="203"/>
    </row>
    <row r="894" ht="15.75" customHeight="1">
      <c r="A894" s="203"/>
    </row>
    <row r="895" ht="15.75" customHeight="1">
      <c r="A895" s="203"/>
    </row>
    <row r="896" ht="15.75" customHeight="1">
      <c r="A896" s="203"/>
    </row>
    <row r="897" ht="15.75" customHeight="1">
      <c r="A897" s="203"/>
    </row>
    <row r="898" ht="15.75" customHeight="1">
      <c r="A898" s="203"/>
    </row>
    <row r="899" ht="15.75" customHeight="1">
      <c r="A899" s="203"/>
    </row>
    <row r="900" ht="15.75" customHeight="1">
      <c r="A900" s="203"/>
    </row>
    <row r="901" ht="15.75" customHeight="1">
      <c r="A901" s="203"/>
    </row>
    <row r="902" ht="15.75" customHeight="1">
      <c r="A902" s="203"/>
    </row>
    <row r="903" ht="15.75" customHeight="1">
      <c r="A903" s="203"/>
    </row>
    <row r="904" ht="15.75" customHeight="1">
      <c r="A904" s="203"/>
    </row>
    <row r="905" ht="15.75" customHeight="1">
      <c r="A905" s="203"/>
    </row>
    <row r="906" ht="15.75" customHeight="1">
      <c r="A906" s="203"/>
    </row>
    <row r="907" ht="15.75" customHeight="1">
      <c r="A907" s="203"/>
    </row>
    <row r="908" ht="15.75" customHeight="1">
      <c r="A908" s="203"/>
    </row>
    <row r="909" ht="15.75" customHeight="1">
      <c r="A909" s="203"/>
    </row>
    <row r="910" ht="15.75" customHeight="1">
      <c r="A910" s="203"/>
    </row>
    <row r="911" ht="15.75" customHeight="1">
      <c r="A911" s="203"/>
    </row>
    <row r="912" ht="15.75" customHeight="1">
      <c r="A912" s="203"/>
    </row>
    <row r="913" ht="15.75" customHeight="1">
      <c r="A913" s="203"/>
    </row>
    <row r="914" ht="15.75" customHeight="1">
      <c r="A914" s="203"/>
    </row>
    <row r="915" ht="15.75" customHeight="1">
      <c r="A915" s="203"/>
    </row>
    <row r="916" ht="15.75" customHeight="1">
      <c r="A916" s="203"/>
    </row>
    <row r="917" ht="15.75" customHeight="1">
      <c r="A917" s="203"/>
    </row>
    <row r="918" ht="15.75" customHeight="1">
      <c r="A918" s="203"/>
    </row>
    <row r="919" ht="15.75" customHeight="1">
      <c r="A919" s="203"/>
    </row>
    <row r="920" ht="15.75" customHeight="1">
      <c r="A920" s="203"/>
    </row>
    <row r="921" ht="15.75" customHeight="1">
      <c r="A921" s="203"/>
    </row>
    <row r="922" ht="15.75" customHeight="1">
      <c r="A922" s="203"/>
    </row>
    <row r="923" ht="15.75" customHeight="1">
      <c r="A923" s="203"/>
    </row>
    <row r="924" ht="15.75" customHeight="1">
      <c r="A924" s="203"/>
    </row>
    <row r="925" ht="15.75" customHeight="1">
      <c r="A925" s="203"/>
    </row>
    <row r="926" ht="15.75" customHeight="1">
      <c r="A926" s="203"/>
    </row>
    <row r="927" ht="15.75" customHeight="1">
      <c r="A927" s="203"/>
    </row>
    <row r="928" ht="15.75" customHeight="1">
      <c r="A928" s="203"/>
    </row>
    <row r="929" ht="15.75" customHeight="1">
      <c r="A929" s="203"/>
    </row>
    <row r="930" ht="15.75" customHeight="1">
      <c r="A930" s="203"/>
    </row>
    <row r="931" ht="15.75" customHeight="1">
      <c r="A931" s="203"/>
    </row>
    <row r="932" ht="15.75" customHeight="1">
      <c r="A932" s="203"/>
    </row>
    <row r="933" ht="15.75" customHeight="1">
      <c r="A933" s="203"/>
    </row>
    <row r="934" ht="15.75" customHeight="1">
      <c r="A934" s="203"/>
    </row>
    <row r="935" ht="15.75" customHeight="1">
      <c r="A935" s="203"/>
    </row>
    <row r="936" ht="15.75" customHeight="1">
      <c r="A936" s="203"/>
    </row>
    <row r="937" ht="15.75" customHeight="1">
      <c r="A937" s="203"/>
    </row>
    <row r="938" ht="15.75" customHeight="1">
      <c r="A938" s="203"/>
    </row>
    <row r="939" ht="15.75" customHeight="1">
      <c r="A939" s="203"/>
    </row>
    <row r="940" ht="15.75" customHeight="1">
      <c r="A940" s="203"/>
    </row>
    <row r="941" ht="15.75" customHeight="1">
      <c r="A941" s="203"/>
    </row>
    <row r="942" ht="15.75" customHeight="1">
      <c r="A942" s="203"/>
    </row>
    <row r="943" ht="15.75" customHeight="1">
      <c r="A943" s="203"/>
    </row>
    <row r="944" ht="15.75" customHeight="1">
      <c r="A944" s="203"/>
    </row>
    <row r="945" ht="15.75" customHeight="1">
      <c r="A945" s="203"/>
    </row>
    <row r="946" ht="15.75" customHeight="1">
      <c r="A946" s="203"/>
    </row>
    <row r="947" ht="15.75" customHeight="1">
      <c r="A947" s="203"/>
    </row>
    <row r="948" ht="15.75" customHeight="1">
      <c r="A948" s="203"/>
    </row>
    <row r="949" ht="15.75" customHeight="1">
      <c r="A949" s="203"/>
    </row>
    <row r="950" ht="15.75" customHeight="1">
      <c r="A950" s="203"/>
    </row>
    <row r="951" ht="15.75" customHeight="1">
      <c r="A951" s="203"/>
    </row>
    <row r="952" ht="15.75" customHeight="1">
      <c r="A952" s="203"/>
    </row>
    <row r="953" ht="15.75" customHeight="1">
      <c r="A953" s="203"/>
    </row>
    <row r="954" ht="15.75" customHeight="1">
      <c r="A954" s="203"/>
    </row>
    <row r="955" ht="15.75" customHeight="1">
      <c r="A955" s="203"/>
    </row>
    <row r="956" ht="15.75" customHeight="1">
      <c r="A956" s="203"/>
    </row>
    <row r="957" ht="15.75" customHeight="1">
      <c r="A957" s="203"/>
    </row>
    <row r="958" ht="15.75" customHeight="1">
      <c r="A958" s="203"/>
    </row>
    <row r="959" ht="15.75" customHeight="1">
      <c r="A959" s="203"/>
    </row>
    <row r="960" ht="15.75" customHeight="1">
      <c r="A960" s="203"/>
    </row>
    <row r="961" ht="15.75" customHeight="1">
      <c r="A961" s="203"/>
    </row>
    <row r="962" ht="15.75" customHeight="1">
      <c r="A962" s="203"/>
    </row>
    <row r="963" ht="15.75" customHeight="1">
      <c r="A963" s="203"/>
    </row>
    <row r="964" ht="15.75" customHeight="1">
      <c r="A964" s="203"/>
    </row>
    <row r="965" ht="15.75" customHeight="1">
      <c r="A965" s="203"/>
    </row>
    <row r="966" ht="15.75" customHeight="1">
      <c r="A966" s="203"/>
    </row>
    <row r="967" ht="15.75" customHeight="1">
      <c r="A967" s="203"/>
    </row>
    <row r="968" ht="15.75" customHeight="1">
      <c r="A968" s="203"/>
    </row>
    <row r="969" ht="15.75" customHeight="1">
      <c r="A969" s="203"/>
    </row>
    <row r="970" ht="15.75" customHeight="1">
      <c r="A970" s="203"/>
    </row>
    <row r="971" ht="15.75" customHeight="1">
      <c r="A971" s="203"/>
    </row>
    <row r="972" ht="15.75" customHeight="1">
      <c r="A972" s="203"/>
    </row>
    <row r="973" ht="15.75" customHeight="1">
      <c r="A973" s="203"/>
    </row>
    <row r="974" ht="15.75" customHeight="1">
      <c r="A974" s="203"/>
    </row>
    <row r="975" ht="15.75" customHeight="1">
      <c r="A975" s="203"/>
    </row>
    <row r="976" ht="15.75" customHeight="1">
      <c r="A976" s="203"/>
    </row>
    <row r="977" ht="15.75" customHeight="1">
      <c r="A977" s="203"/>
    </row>
    <row r="978" ht="15.75" customHeight="1">
      <c r="A978" s="203"/>
    </row>
    <row r="979" ht="15.75" customHeight="1">
      <c r="A979" s="203"/>
    </row>
    <row r="980" ht="15.75" customHeight="1">
      <c r="A980" s="203"/>
    </row>
    <row r="981" ht="15.75" customHeight="1">
      <c r="A981" s="203"/>
    </row>
    <row r="982" ht="15.75" customHeight="1">
      <c r="A982" s="203"/>
    </row>
    <row r="983" ht="15.75" customHeight="1">
      <c r="A983" s="203"/>
    </row>
    <row r="984" ht="15.75" customHeight="1">
      <c r="A984" s="203"/>
    </row>
    <row r="985" ht="15.75" customHeight="1">
      <c r="A985" s="203"/>
    </row>
    <row r="986" ht="15.75" customHeight="1">
      <c r="A986" s="203"/>
    </row>
    <row r="987" ht="15.75" customHeight="1">
      <c r="A987" s="203"/>
    </row>
    <row r="988" ht="15.75" customHeight="1">
      <c r="A988" s="203"/>
    </row>
    <row r="989" ht="15.75" customHeight="1">
      <c r="A989" s="203"/>
    </row>
    <row r="990" ht="15.75" customHeight="1">
      <c r="A990" s="203"/>
    </row>
    <row r="991" ht="15.75" customHeight="1">
      <c r="A991" s="203"/>
    </row>
    <row r="992" ht="15.75" customHeight="1">
      <c r="A992" s="203"/>
    </row>
    <row r="993" ht="15.75" customHeight="1">
      <c r="A993" s="203"/>
    </row>
    <row r="994" ht="15.75" customHeight="1">
      <c r="A994" s="203"/>
    </row>
    <row r="995" ht="15.75" customHeight="1">
      <c r="A995" s="203"/>
    </row>
    <row r="996" ht="15.75" customHeight="1">
      <c r="A996" s="203"/>
    </row>
    <row r="997" ht="15.75" customHeight="1">
      <c r="A997" s="203"/>
    </row>
    <row r="998" ht="15.75" customHeight="1">
      <c r="A998" s="203"/>
    </row>
    <row r="999" ht="15.75" customHeight="1">
      <c r="A999" s="203"/>
    </row>
  </sheetData>
  <autoFilter ref="$B$1:$M$1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14.0"/>
    <col customWidth="1" min="4" max="4" width="9.86"/>
    <col customWidth="1" min="5" max="5" width="17.0"/>
    <col customWidth="1" min="6" max="6" width="30.86"/>
    <col customWidth="1" min="7" max="7" width="11.57"/>
    <col customWidth="1" min="8" max="8" width="15.57"/>
    <col customWidth="1" min="9" max="9" width="7.86"/>
    <col customWidth="1" min="10" max="10" width="14.14"/>
    <col customWidth="1" min="11" max="11" width="8.0"/>
    <col customWidth="1" min="12" max="12" width="15.86"/>
    <col customWidth="1" min="13" max="13" width="16.57"/>
    <col customWidth="1" min="14" max="14" width="13.57"/>
    <col customWidth="1" min="15" max="18" width="8.71"/>
  </cols>
  <sheetData>
    <row r="1" ht="30.75" customHeight="1">
      <c r="A1" s="89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5" t="s">
        <v>6</v>
      </c>
      <c r="I1" s="6"/>
      <c r="J1" s="154" t="s">
        <v>7</v>
      </c>
      <c r="K1" s="245"/>
      <c r="L1" s="6" t="s">
        <v>8</v>
      </c>
      <c r="M1" s="5" t="s">
        <v>9</v>
      </c>
    </row>
    <row r="2">
      <c r="A2" s="155"/>
      <c r="B2" s="51">
        <v>45078.0</v>
      </c>
      <c r="C2" s="10" t="s">
        <v>697</v>
      </c>
      <c r="D2" s="11" t="s">
        <v>698</v>
      </c>
      <c r="E2" s="11" t="s">
        <v>355</v>
      </c>
      <c r="F2" s="11" t="s">
        <v>699</v>
      </c>
      <c r="G2" s="12">
        <v>8500.0</v>
      </c>
      <c r="H2" s="16">
        <v>1130000.0</v>
      </c>
      <c r="I2" s="246"/>
      <c r="J2" s="156">
        <v>640000.0</v>
      </c>
      <c r="K2" s="15"/>
      <c r="L2" s="16">
        <f t="shared" ref="L2:L21" si="1">H2-J2</f>
        <v>490000</v>
      </c>
      <c r="M2" s="16">
        <v>140000.0</v>
      </c>
    </row>
    <row r="3">
      <c r="A3" s="155"/>
      <c r="B3" s="51">
        <v>45080.0</v>
      </c>
      <c r="C3" s="10" t="s">
        <v>697</v>
      </c>
      <c r="D3" s="11" t="s">
        <v>698</v>
      </c>
      <c r="E3" s="11" t="s">
        <v>12</v>
      </c>
      <c r="F3" s="11" t="s">
        <v>22</v>
      </c>
      <c r="G3" s="12">
        <v>8500.0</v>
      </c>
      <c r="H3" s="16">
        <v>1100000.0</v>
      </c>
      <c r="I3" s="246"/>
      <c r="J3" s="156">
        <v>640000.0</v>
      </c>
      <c r="K3" s="15"/>
      <c r="L3" s="16">
        <f t="shared" si="1"/>
        <v>460000</v>
      </c>
      <c r="M3" s="16">
        <v>100000.0</v>
      </c>
    </row>
    <row r="4">
      <c r="A4" s="155"/>
      <c r="B4" s="51">
        <v>45082.0</v>
      </c>
      <c r="C4" s="10" t="s">
        <v>697</v>
      </c>
      <c r="D4" s="11" t="s">
        <v>698</v>
      </c>
      <c r="E4" s="11" t="s">
        <v>12</v>
      </c>
      <c r="F4" s="11" t="s">
        <v>13</v>
      </c>
      <c r="G4" s="12">
        <v>9000.0</v>
      </c>
      <c r="H4" s="16">
        <v>1400000.0</v>
      </c>
      <c r="I4" s="246"/>
      <c r="J4" s="156">
        <v>900000.0</v>
      </c>
      <c r="K4" s="15"/>
      <c r="L4" s="16">
        <f t="shared" si="1"/>
        <v>500000</v>
      </c>
      <c r="M4" s="16"/>
    </row>
    <row r="5">
      <c r="A5" s="155"/>
      <c r="B5" s="51">
        <v>45083.0</v>
      </c>
      <c r="C5" s="10" t="s">
        <v>697</v>
      </c>
      <c r="D5" s="11" t="s">
        <v>698</v>
      </c>
      <c r="E5" s="11" t="s">
        <v>12</v>
      </c>
      <c r="F5" s="12" t="s">
        <v>359</v>
      </c>
      <c r="G5" s="12">
        <v>8500.0</v>
      </c>
      <c r="H5" s="16">
        <v>1300000.0</v>
      </c>
      <c r="I5" s="246"/>
      <c r="J5" s="156">
        <v>850000.0</v>
      </c>
      <c r="K5" s="15"/>
      <c r="L5" s="16">
        <f t="shared" si="1"/>
        <v>450000</v>
      </c>
      <c r="M5" s="16"/>
    </row>
    <row r="6">
      <c r="A6" s="155"/>
      <c r="B6" s="51">
        <v>45085.0</v>
      </c>
      <c r="C6" s="10" t="s">
        <v>697</v>
      </c>
      <c r="D6" s="11" t="s">
        <v>698</v>
      </c>
      <c r="E6" s="11" t="s">
        <v>15</v>
      </c>
      <c r="F6" s="11" t="s">
        <v>16</v>
      </c>
      <c r="G6" s="12">
        <v>9000.0</v>
      </c>
      <c r="H6" s="16">
        <v>1215000.0</v>
      </c>
      <c r="I6" s="246"/>
      <c r="J6" s="156">
        <v>700000.0</v>
      </c>
      <c r="K6" s="15"/>
      <c r="L6" s="16">
        <f t="shared" si="1"/>
        <v>515000</v>
      </c>
      <c r="M6" s="16"/>
    </row>
    <row r="7">
      <c r="A7" s="155"/>
      <c r="B7" s="51">
        <v>45086.0</v>
      </c>
      <c r="C7" s="10" t="s">
        <v>697</v>
      </c>
      <c r="D7" s="11" t="s">
        <v>698</v>
      </c>
      <c r="E7" s="11" t="s">
        <v>12</v>
      </c>
      <c r="F7" s="11" t="s">
        <v>700</v>
      </c>
      <c r="G7" s="12">
        <v>9000.0</v>
      </c>
      <c r="H7" s="16">
        <v>1200000.0</v>
      </c>
      <c r="I7" s="246"/>
      <c r="J7" s="156">
        <v>640000.0</v>
      </c>
      <c r="K7" s="15"/>
      <c r="L7" s="16">
        <f t="shared" si="1"/>
        <v>560000</v>
      </c>
      <c r="M7" s="16">
        <v>200000.0</v>
      </c>
    </row>
    <row r="8">
      <c r="A8" s="155"/>
      <c r="B8" s="51">
        <v>45087.0</v>
      </c>
      <c r="C8" s="10" t="s">
        <v>697</v>
      </c>
      <c r="D8" s="11" t="s">
        <v>698</v>
      </c>
      <c r="E8" s="11" t="s">
        <v>355</v>
      </c>
      <c r="F8" s="11" t="s">
        <v>701</v>
      </c>
      <c r="G8" s="12">
        <v>9000.0</v>
      </c>
      <c r="H8" s="16">
        <v>765000.0</v>
      </c>
      <c r="I8" s="246"/>
      <c r="J8" s="156">
        <v>450000.0</v>
      </c>
      <c r="K8" s="15"/>
      <c r="L8" s="16">
        <f t="shared" si="1"/>
        <v>315000</v>
      </c>
      <c r="M8" s="16"/>
    </row>
    <row r="9">
      <c r="A9" s="155"/>
      <c r="B9" s="51">
        <v>45089.0</v>
      </c>
      <c r="C9" s="10" t="s">
        <v>697</v>
      </c>
      <c r="D9" s="11" t="s">
        <v>698</v>
      </c>
      <c r="E9" s="11" t="s">
        <v>702</v>
      </c>
      <c r="F9" s="11" t="s">
        <v>703</v>
      </c>
      <c r="G9" s="18"/>
      <c r="H9" s="16">
        <v>990000.0</v>
      </c>
      <c r="I9" s="246"/>
      <c r="J9" s="156">
        <v>550000.0</v>
      </c>
      <c r="K9" s="15"/>
      <c r="L9" s="16">
        <f t="shared" si="1"/>
        <v>440000</v>
      </c>
      <c r="M9" s="16"/>
    </row>
    <row r="10">
      <c r="A10" s="155"/>
      <c r="B10" s="51">
        <v>45090.0</v>
      </c>
      <c r="C10" s="10" t="s">
        <v>697</v>
      </c>
      <c r="D10" s="11" t="s">
        <v>698</v>
      </c>
      <c r="E10" s="11" t="s">
        <v>355</v>
      </c>
      <c r="F10" s="11" t="s">
        <v>699</v>
      </c>
      <c r="G10" s="12">
        <v>8500.0</v>
      </c>
      <c r="H10" s="16">
        <v>1130000.0</v>
      </c>
      <c r="I10" s="246"/>
      <c r="J10" s="156">
        <v>640000.0</v>
      </c>
      <c r="K10" s="15"/>
      <c r="L10" s="16">
        <f t="shared" si="1"/>
        <v>490000</v>
      </c>
      <c r="M10" s="16"/>
    </row>
    <row r="11">
      <c r="A11" s="155"/>
      <c r="B11" s="51">
        <v>45092.0</v>
      </c>
      <c r="C11" s="10" t="s">
        <v>697</v>
      </c>
      <c r="D11" s="11" t="s">
        <v>698</v>
      </c>
      <c r="E11" s="11" t="s">
        <v>15</v>
      </c>
      <c r="F11" s="11" t="s">
        <v>16</v>
      </c>
      <c r="G11" s="12">
        <v>9000.0</v>
      </c>
      <c r="H11" s="16">
        <v>1215000.0</v>
      </c>
      <c r="I11" s="246"/>
      <c r="J11" s="156">
        <v>700000.0</v>
      </c>
      <c r="K11" s="15"/>
      <c r="L11" s="16">
        <f t="shared" si="1"/>
        <v>515000</v>
      </c>
      <c r="M11" s="16"/>
    </row>
    <row r="12">
      <c r="A12" s="155"/>
      <c r="B12" s="51">
        <v>45093.0</v>
      </c>
      <c r="C12" s="10" t="s">
        <v>697</v>
      </c>
      <c r="D12" s="11" t="s">
        <v>698</v>
      </c>
      <c r="E12" s="11" t="s">
        <v>15</v>
      </c>
      <c r="F12" s="11" t="s">
        <v>704</v>
      </c>
      <c r="G12" s="12">
        <v>9000.0</v>
      </c>
      <c r="H12" s="16">
        <v>720000.0</v>
      </c>
      <c r="I12" s="246"/>
      <c r="J12" s="156">
        <v>350000.0</v>
      </c>
      <c r="K12" s="15"/>
      <c r="L12" s="16">
        <f t="shared" si="1"/>
        <v>370000</v>
      </c>
      <c r="M12" s="16"/>
    </row>
    <row r="13">
      <c r="A13" s="155"/>
      <c r="B13" s="51">
        <v>45093.0</v>
      </c>
      <c r="C13" s="10" t="s">
        <v>697</v>
      </c>
      <c r="D13" s="11" t="s">
        <v>698</v>
      </c>
      <c r="E13" s="11" t="s">
        <v>15</v>
      </c>
      <c r="F13" s="11" t="s">
        <v>705</v>
      </c>
      <c r="G13" s="12">
        <v>9000.0</v>
      </c>
      <c r="H13" s="16">
        <v>675000.0</v>
      </c>
      <c r="I13" s="246"/>
      <c r="J13" s="156">
        <v>350000.0</v>
      </c>
      <c r="K13" s="15"/>
      <c r="L13" s="16">
        <f t="shared" si="1"/>
        <v>325000</v>
      </c>
      <c r="M13" s="16"/>
    </row>
    <row r="14">
      <c r="A14" s="155"/>
      <c r="B14" s="51">
        <v>45094.0</v>
      </c>
      <c r="C14" s="10" t="s">
        <v>697</v>
      </c>
      <c r="D14" s="11" t="s">
        <v>698</v>
      </c>
      <c r="E14" s="11" t="s">
        <v>12</v>
      </c>
      <c r="F14" s="11" t="s">
        <v>706</v>
      </c>
      <c r="G14" s="12">
        <v>8500.0</v>
      </c>
      <c r="H14" s="16">
        <v>1200000.0</v>
      </c>
      <c r="I14" s="246"/>
      <c r="J14" s="156">
        <v>640000.0</v>
      </c>
      <c r="K14" s="15"/>
      <c r="L14" s="16">
        <f t="shared" si="1"/>
        <v>560000</v>
      </c>
      <c r="M14" s="16"/>
    </row>
    <row r="15">
      <c r="A15" s="155"/>
      <c r="B15" s="51">
        <v>45097.0</v>
      </c>
      <c r="C15" s="10" t="s">
        <v>697</v>
      </c>
      <c r="D15" s="11" t="s">
        <v>698</v>
      </c>
      <c r="E15" s="11" t="s">
        <v>355</v>
      </c>
      <c r="F15" s="11" t="s">
        <v>707</v>
      </c>
      <c r="G15" s="18"/>
      <c r="H15" s="16">
        <v>975000.0</v>
      </c>
      <c r="I15" s="246"/>
      <c r="J15" s="156">
        <v>500000.0</v>
      </c>
      <c r="K15" s="15"/>
      <c r="L15" s="16">
        <f t="shared" si="1"/>
        <v>475000</v>
      </c>
      <c r="M15" s="16"/>
    </row>
    <row r="16">
      <c r="A16" s="155"/>
      <c r="B16" s="51">
        <v>45098.0</v>
      </c>
      <c r="C16" s="10" t="s">
        <v>697</v>
      </c>
      <c r="D16" s="11" t="s">
        <v>698</v>
      </c>
      <c r="E16" s="11" t="s">
        <v>355</v>
      </c>
      <c r="F16" s="11" t="s">
        <v>707</v>
      </c>
      <c r="G16" s="18"/>
      <c r="H16" s="16">
        <v>975000.0</v>
      </c>
      <c r="I16" s="246"/>
      <c r="J16" s="156">
        <v>500000.0</v>
      </c>
      <c r="K16" s="15"/>
      <c r="L16" s="16">
        <f t="shared" si="1"/>
        <v>475000</v>
      </c>
      <c r="M16" s="16"/>
    </row>
    <row r="17">
      <c r="A17" s="155"/>
      <c r="B17" s="51">
        <v>45099.0</v>
      </c>
      <c r="C17" s="11"/>
      <c r="D17" s="11"/>
      <c r="E17" s="11" t="s">
        <v>15</v>
      </c>
      <c r="F17" s="11" t="s">
        <v>704</v>
      </c>
      <c r="G17" s="18"/>
      <c r="H17" s="16">
        <v>720000.0</v>
      </c>
      <c r="I17" s="246"/>
      <c r="J17" s="156">
        <v>350000.0</v>
      </c>
      <c r="K17" s="15"/>
      <c r="L17" s="16">
        <f t="shared" si="1"/>
        <v>370000</v>
      </c>
      <c r="M17" s="16"/>
    </row>
    <row r="18">
      <c r="A18" s="155"/>
      <c r="B18" s="51">
        <v>45100.0</v>
      </c>
      <c r="C18" s="11"/>
      <c r="D18" s="11"/>
      <c r="E18" s="11"/>
      <c r="F18" s="11" t="s">
        <v>359</v>
      </c>
      <c r="G18" s="18"/>
      <c r="H18" s="16">
        <v>1300000.0</v>
      </c>
      <c r="I18" s="246"/>
      <c r="J18" s="156">
        <v>850000.0</v>
      </c>
      <c r="K18" s="15"/>
      <c r="L18" s="16">
        <f t="shared" si="1"/>
        <v>450000</v>
      </c>
      <c r="M18" s="16"/>
    </row>
    <row r="19">
      <c r="A19" s="155"/>
      <c r="B19" s="51">
        <v>45100.0</v>
      </c>
      <c r="C19" s="10" t="s">
        <v>697</v>
      </c>
      <c r="D19" s="11" t="s">
        <v>698</v>
      </c>
      <c r="E19" s="11" t="s">
        <v>12</v>
      </c>
      <c r="F19" s="11" t="s">
        <v>704</v>
      </c>
      <c r="G19" s="18">
        <v>9000.0</v>
      </c>
      <c r="H19" s="16">
        <v>720000.0</v>
      </c>
      <c r="I19" s="246"/>
      <c r="J19" s="156">
        <v>350000.0</v>
      </c>
      <c r="K19" s="15"/>
      <c r="L19" s="16">
        <f t="shared" si="1"/>
        <v>370000</v>
      </c>
      <c r="M19" s="16"/>
    </row>
    <row r="20">
      <c r="A20" s="155"/>
      <c r="B20" s="51">
        <v>45103.0</v>
      </c>
      <c r="C20" s="10" t="s">
        <v>697</v>
      </c>
      <c r="D20" s="11" t="s">
        <v>698</v>
      </c>
      <c r="E20" s="11" t="s">
        <v>15</v>
      </c>
      <c r="F20" s="11" t="s">
        <v>699</v>
      </c>
      <c r="G20" s="18">
        <v>8500.0</v>
      </c>
      <c r="H20" s="16">
        <v>1200000.0</v>
      </c>
      <c r="I20" s="246"/>
      <c r="J20" s="156">
        <v>640000.0</v>
      </c>
      <c r="K20" s="15"/>
      <c r="L20" s="16">
        <f t="shared" si="1"/>
        <v>560000</v>
      </c>
      <c r="M20" s="16"/>
    </row>
    <row r="21" ht="15.75" customHeight="1">
      <c r="A21" s="155"/>
      <c r="B21" s="51">
        <v>45104.0</v>
      </c>
      <c r="C21" s="10" t="s">
        <v>697</v>
      </c>
      <c r="D21" s="11" t="s">
        <v>698</v>
      </c>
      <c r="E21" s="11" t="s">
        <v>708</v>
      </c>
      <c r="F21" s="11" t="s">
        <v>709</v>
      </c>
      <c r="G21" s="18"/>
      <c r="H21" s="16">
        <v>1500000.0</v>
      </c>
      <c r="I21" s="246"/>
      <c r="J21" s="156">
        <v>800000.0</v>
      </c>
      <c r="K21" s="15"/>
      <c r="L21" s="16">
        <f t="shared" si="1"/>
        <v>700000</v>
      </c>
      <c r="M21" s="16"/>
    </row>
    <row r="22" ht="15.75" customHeight="1">
      <c r="A22" s="23"/>
      <c r="B22" s="23"/>
      <c r="C22" s="23"/>
      <c r="D22" s="23"/>
      <c r="E22" s="23"/>
      <c r="F22" s="23"/>
      <c r="G22" s="24"/>
      <c r="H22" s="31"/>
      <c r="I22" s="247"/>
      <c r="J22" s="157"/>
      <c r="K22" s="248"/>
      <c r="L22" s="249">
        <f t="shared" ref="L22:M22" si="2">SUM(L1:L21)</f>
        <v>9390000</v>
      </c>
      <c r="M22" s="29">
        <f t="shared" si="2"/>
        <v>440000</v>
      </c>
    </row>
    <row r="23" ht="15.75" customHeight="1">
      <c r="A23" s="23"/>
      <c r="B23" s="23"/>
      <c r="C23" s="23"/>
      <c r="D23" s="23"/>
      <c r="E23" s="23"/>
      <c r="F23" s="23"/>
      <c r="G23" s="24"/>
      <c r="H23" s="31"/>
      <c r="I23" s="247"/>
      <c r="J23" s="157"/>
      <c r="K23" s="248"/>
      <c r="L23" s="250">
        <f>L22-M22</f>
        <v>8950000</v>
      </c>
      <c r="M23" s="31"/>
    </row>
    <row r="24" ht="15.75" customHeight="1">
      <c r="A24" s="23"/>
      <c r="B24" s="23"/>
      <c r="C24" s="23"/>
      <c r="D24" s="23"/>
      <c r="E24" s="23"/>
      <c r="F24" s="23"/>
      <c r="G24" s="24"/>
      <c r="H24" s="31"/>
      <c r="I24" s="247"/>
      <c r="J24" s="157"/>
      <c r="K24" s="248"/>
      <c r="L24" s="22"/>
      <c r="M24" s="31"/>
    </row>
    <row r="25" ht="33.0" customHeight="1">
      <c r="A25" s="89"/>
      <c r="B25" s="2" t="s">
        <v>0</v>
      </c>
      <c r="C25" s="2" t="s">
        <v>1</v>
      </c>
      <c r="D25" s="2" t="s">
        <v>2</v>
      </c>
      <c r="E25" s="3" t="s">
        <v>3</v>
      </c>
      <c r="F25" s="2" t="s">
        <v>4</v>
      </c>
      <c r="G25" s="4" t="s">
        <v>5</v>
      </c>
      <c r="H25" s="5" t="s">
        <v>6</v>
      </c>
      <c r="I25" s="6"/>
      <c r="J25" s="154" t="s">
        <v>7</v>
      </c>
      <c r="K25" s="245"/>
      <c r="L25" s="6" t="s">
        <v>8</v>
      </c>
      <c r="M25" s="5" t="s">
        <v>9</v>
      </c>
    </row>
    <row r="26" ht="15.75" customHeight="1">
      <c r="A26" s="155"/>
      <c r="B26" s="51">
        <v>45108.0</v>
      </c>
      <c r="C26" s="10" t="s">
        <v>697</v>
      </c>
      <c r="D26" s="11" t="s">
        <v>710</v>
      </c>
      <c r="E26" s="11" t="s">
        <v>354</v>
      </c>
      <c r="F26" s="11" t="s">
        <v>29</v>
      </c>
      <c r="G26" s="12">
        <v>9000.0</v>
      </c>
      <c r="H26" s="16">
        <v>1080000.0</v>
      </c>
      <c r="I26" s="246"/>
      <c r="J26" s="156">
        <v>640000.0</v>
      </c>
      <c r="K26" s="15"/>
      <c r="L26" s="16">
        <f t="shared" ref="L26:L45" si="3">H26-J26</f>
        <v>440000</v>
      </c>
      <c r="M26" s="13"/>
    </row>
    <row r="27" ht="15.75" customHeight="1">
      <c r="A27" s="155"/>
      <c r="B27" s="51">
        <v>45111.0</v>
      </c>
      <c r="C27" s="10" t="s">
        <v>697</v>
      </c>
      <c r="D27" s="11" t="s">
        <v>710</v>
      </c>
      <c r="E27" s="11" t="s">
        <v>30</v>
      </c>
      <c r="F27" s="11" t="s">
        <v>711</v>
      </c>
      <c r="G27" s="12">
        <v>8500.0</v>
      </c>
      <c r="H27" s="16">
        <v>1200000.0</v>
      </c>
      <c r="I27" s="246"/>
      <c r="J27" s="156">
        <v>640000.0</v>
      </c>
      <c r="K27" s="15"/>
      <c r="L27" s="16">
        <f t="shared" si="3"/>
        <v>560000</v>
      </c>
      <c r="M27" s="13"/>
    </row>
    <row r="28" ht="15.75" customHeight="1">
      <c r="A28" s="155"/>
      <c r="B28" s="51">
        <v>45112.0</v>
      </c>
      <c r="C28" s="10" t="s">
        <v>697</v>
      </c>
      <c r="D28" s="11" t="s">
        <v>710</v>
      </c>
      <c r="E28" s="11" t="s">
        <v>30</v>
      </c>
      <c r="F28" s="11" t="s">
        <v>712</v>
      </c>
      <c r="G28" s="12">
        <v>9000.0</v>
      </c>
      <c r="H28" s="16">
        <v>1450000.0</v>
      </c>
      <c r="I28" s="246"/>
      <c r="J28" s="156">
        <v>900000.0</v>
      </c>
      <c r="K28" s="15"/>
      <c r="L28" s="16">
        <f t="shared" si="3"/>
        <v>550000</v>
      </c>
      <c r="M28" s="16">
        <v>140000.0</v>
      </c>
    </row>
    <row r="29" ht="15.75" customHeight="1">
      <c r="A29" s="155"/>
      <c r="B29" s="51">
        <v>45113.0</v>
      </c>
      <c r="C29" s="10" t="s">
        <v>697</v>
      </c>
      <c r="D29" s="11" t="s">
        <v>710</v>
      </c>
      <c r="E29" s="11" t="s">
        <v>30</v>
      </c>
      <c r="F29" s="11" t="s">
        <v>713</v>
      </c>
      <c r="G29" s="12">
        <v>9000.0</v>
      </c>
      <c r="H29" s="16">
        <v>720000.0</v>
      </c>
      <c r="I29" s="246"/>
      <c r="J29" s="156">
        <v>350000.0</v>
      </c>
      <c r="K29" s="15"/>
      <c r="L29" s="16">
        <f t="shared" si="3"/>
        <v>370000</v>
      </c>
      <c r="M29" s="13"/>
    </row>
    <row r="30" ht="15.75" customHeight="1">
      <c r="A30" s="155"/>
      <c r="B30" s="51">
        <v>45114.0</v>
      </c>
      <c r="C30" s="10" t="s">
        <v>697</v>
      </c>
      <c r="D30" s="11" t="s">
        <v>710</v>
      </c>
      <c r="E30" s="11" t="s">
        <v>30</v>
      </c>
      <c r="F30" s="11" t="s">
        <v>714</v>
      </c>
      <c r="G30" s="12">
        <v>9000.0</v>
      </c>
      <c r="H30" s="16">
        <v>1215000.0</v>
      </c>
      <c r="I30" s="246"/>
      <c r="J30" s="156">
        <v>700000.0</v>
      </c>
      <c r="K30" s="15"/>
      <c r="L30" s="16">
        <f t="shared" si="3"/>
        <v>515000</v>
      </c>
      <c r="M30" s="13"/>
    </row>
    <row r="31" ht="15.75" customHeight="1">
      <c r="A31" s="155"/>
      <c r="B31" s="51">
        <v>45115.0</v>
      </c>
      <c r="C31" s="10" t="s">
        <v>697</v>
      </c>
      <c r="D31" s="11" t="s">
        <v>710</v>
      </c>
      <c r="E31" s="11" t="s">
        <v>27</v>
      </c>
      <c r="F31" s="11" t="s">
        <v>715</v>
      </c>
      <c r="G31" s="12">
        <v>9000.0</v>
      </c>
      <c r="H31" s="16">
        <v>1125000.0</v>
      </c>
      <c r="I31" s="246"/>
      <c r="J31" s="156">
        <v>640000.0</v>
      </c>
      <c r="K31" s="15"/>
      <c r="L31" s="16">
        <f t="shared" si="3"/>
        <v>485000</v>
      </c>
      <c r="M31" s="16">
        <v>70000.0</v>
      </c>
    </row>
    <row r="32" ht="15.75" customHeight="1">
      <c r="A32" s="155"/>
      <c r="B32" s="51">
        <v>45117.0</v>
      </c>
      <c r="C32" s="10" t="s">
        <v>697</v>
      </c>
      <c r="D32" s="11" t="s">
        <v>710</v>
      </c>
      <c r="E32" s="11" t="s">
        <v>30</v>
      </c>
      <c r="F32" s="11" t="s">
        <v>714</v>
      </c>
      <c r="G32" s="12">
        <v>9000.0</v>
      </c>
      <c r="H32" s="16">
        <v>1215000.0</v>
      </c>
      <c r="I32" s="246"/>
      <c r="J32" s="156">
        <v>700000.0</v>
      </c>
      <c r="K32" s="15"/>
      <c r="L32" s="16">
        <f t="shared" si="3"/>
        <v>515000</v>
      </c>
      <c r="M32" s="16"/>
    </row>
    <row r="33" ht="15.75" customHeight="1">
      <c r="A33" s="155"/>
      <c r="B33" s="51">
        <v>45118.0</v>
      </c>
      <c r="C33" s="10" t="s">
        <v>697</v>
      </c>
      <c r="D33" s="11" t="s">
        <v>710</v>
      </c>
      <c r="E33" s="11"/>
      <c r="F33" s="11"/>
      <c r="G33" s="12"/>
      <c r="H33" s="16"/>
      <c r="I33" s="246"/>
      <c r="J33" s="156"/>
      <c r="K33" s="15"/>
      <c r="L33" s="16">
        <f t="shared" si="3"/>
        <v>0</v>
      </c>
      <c r="M33" s="16">
        <v>1100000.0</v>
      </c>
    </row>
    <row r="34" ht="15.75" customHeight="1">
      <c r="A34" s="155"/>
      <c r="B34" s="51">
        <v>45119.0</v>
      </c>
      <c r="C34" s="10" t="s">
        <v>697</v>
      </c>
      <c r="D34" s="11" t="s">
        <v>710</v>
      </c>
      <c r="E34" s="11" t="s">
        <v>27</v>
      </c>
      <c r="F34" s="11" t="s">
        <v>43</v>
      </c>
      <c r="G34" s="12">
        <v>9000.0</v>
      </c>
      <c r="H34" s="16">
        <v>1350000.0</v>
      </c>
      <c r="I34" s="246"/>
      <c r="J34" s="156">
        <v>800000.0</v>
      </c>
      <c r="K34" s="15"/>
      <c r="L34" s="16">
        <f t="shared" si="3"/>
        <v>550000</v>
      </c>
      <c r="M34" s="16"/>
    </row>
    <row r="35" ht="15.75" customHeight="1">
      <c r="A35" s="155"/>
      <c r="B35" s="51">
        <v>45120.0</v>
      </c>
      <c r="C35" s="10" t="s">
        <v>697</v>
      </c>
      <c r="D35" s="11" t="s">
        <v>710</v>
      </c>
      <c r="E35" s="11" t="s">
        <v>30</v>
      </c>
      <c r="F35" s="11" t="s">
        <v>54</v>
      </c>
      <c r="G35" s="12">
        <v>9000.0</v>
      </c>
      <c r="H35" s="16">
        <v>1200000.0</v>
      </c>
      <c r="I35" s="246"/>
      <c r="J35" s="156">
        <v>640000.0</v>
      </c>
      <c r="K35" s="15"/>
      <c r="L35" s="16">
        <f t="shared" si="3"/>
        <v>560000</v>
      </c>
      <c r="M35" s="16"/>
    </row>
    <row r="36" ht="15.75" customHeight="1">
      <c r="A36" s="155"/>
      <c r="B36" s="51">
        <v>45122.0</v>
      </c>
      <c r="C36" s="10" t="s">
        <v>697</v>
      </c>
      <c r="D36" s="11" t="s">
        <v>710</v>
      </c>
      <c r="E36" s="11" t="s">
        <v>30</v>
      </c>
      <c r="F36" s="11" t="s">
        <v>91</v>
      </c>
      <c r="G36" s="12">
        <v>8500.0</v>
      </c>
      <c r="H36" s="16">
        <v>1200000.0</v>
      </c>
      <c r="I36" s="246"/>
      <c r="J36" s="156">
        <v>640000.0</v>
      </c>
      <c r="K36" s="15"/>
      <c r="L36" s="16">
        <f t="shared" si="3"/>
        <v>560000</v>
      </c>
      <c r="M36" s="16">
        <v>250000.0</v>
      </c>
    </row>
    <row r="37" ht="15.75" customHeight="1">
      <c r="A37" s="155"/>
      <c r="B37" s="51">
        <v>45124.0</v>
      </c>
      <c r="C37" s="10" t="s">
        <v>697</v>
      </c>
      <c r="D37" s="11" t="s">
        <v>710</v>
      </c>
      <c r="E37" s="11" t="s">
        <v>30</v>
      </c>
      <c r="F37" s="11" t="s">
        <v>132</v>
      </c>
      <c r="G37" s="12">
        <v>9000.0</v>
      </c>
      <c r="H37" s="16">
        <v>975000.0</v>
      </c>
      <c r="I37" s="246"/>
      <c r="J37" s="156">
        <v>500000.0</v>
      </c>
      <c r="K37" s="15"/>
      <c r="L37" s="16">
        <f t="shared" si="3"/>
        <v>475000</v>
      </c>
      <c r="M37" s="16"/>
    </row>
    <row r="38" ht="15.75" customHeight="1">
      <c r="A38" s="155"/>
      <c r="B38" s="51">
        <v>45125.0</v>
      </c>
      <c r="C38" s="10" t="s">
        <v>697</v>
      </c>
      <c r="D38" s="11" t="s">
        <v>710</v>
      </c>
      <c r="E38" s="11" t="s">
        <v>383</v>
      </c>
      <c r="F38" s="11" t="s">
        <v>91</v>
      </c>
      <c r="G38" s="12">
        <v>8500.0</v>
      </c>
      <c r="H38" s="16">
        <v>1200000.0</v>
      </c>
      <c r="I38" s="246"/>
      <c r="J38" s="156">
        <v>640000.0</v>
      </c>
      <c r="K38" s="15"/>
      <c r="L38" s="16">
        <f t="shared" si="3"/>
        <v>560000</v>
      </c>
      <c r="M38" s="16"/>
    </row>
    <row r="39" ht="15.75" customHeight="1">
      <c r="A39" s="155"/>
      <c r="B39" s="51">
        <v>45127.0</v>
      </c>
      <c r="C39" s="11" t="s">
        <v>697</v>
      </c>
      <c r="D39" s="11" t="s">
        <v>710</v>
      </c>
      <c r="E39" s="11" t="s">
        <v>30</v>
      </c>
      <c r="F39" s="11" t="s">
        <v>714</v>
      </c>
      <c r="G39" s="12">
        <v>9000.0</v>
      </c>
      <c r="H39" s="16">
        <v>1215000.0</v>
      </c>
      <c r="I39" s="246"/>
      <c r="J39" s="156">
        <v>700000.0</v>
      </c>
      <c r="K39" s="15"/>
      <c r="L39" s="16">
        <f t="shared" si="3"/>
        <v>515000</v>
      </c>
      <c r="M39" s="16"/>
    </row>
    <row r="40" ht="15.75" customHeight="1">
      <c r="A40" s="155"/>
      <c r="B40" s="51">
        <v>45127.0</v>
      </c>
      <c r="C40" s="11" t="s">
        <v>697</v>
      </c>
      <c r="D40" s="11" t="s">
        <v>710</v>
      </c>
      <c r="E40" s="11" t="s">
        <v>30</v>
      </c>
      <c r="F40" s="11" t="s">
        <v>32</v>
      </c>
      <c r="G40" s="12">
        <v>9000.0</v>
      </c>
      <c r="H40" s="16">
        <v>675000.0</v>
      </c>
      <c r="I40" s="246"/>
      <c r="J40" s="156">
        <v>350000.0</v>
      </c>
      <c r="K40" s="15"/>
      <c r="L40" s="16">
        <f t="shared" si="3"/>
        <v>325000</v>
      </c>
      <c r="M40" s="16"/>
    </row>
    <row r="41" ht="15.75" customHeight="1">
      <c r="A41" s="155"/>
      <c r="B41" s="51">
        <v>45128.0</v>
      </c>
      <c r="C41" s="11" t="s">
        <v>697</v>
      </c>
      <c r="D41" s="11" t="s">
        <v>710</v>
      </c>
      <c r="E41" s="11" t="s">
        <v>30</v>
      </c>
      <c r="F41" s="11" t="s">
        <v>716</v>
      </c>
      <c r="G41" s="12">
        <v>9000.0</v>
      </c>
      <c r="H41" s="16">
        <v>975000.0</v>
      </c>
      <c r="I41" s="246"/>
      <c r="J41" s="156">
        <v>500000.0</v>
      </c>
      <c r="K41" s="15"/>
      <c r="L41" s="16">
        <f t="shared" si="3"/>
        <v>475000</v>
      </c>
      <c r="M41" s="16"/>
    </row>
    <row r="42" ht="15.75" customHeight="1">
      <c r="A42" s="155"/>
      <c r="B42" s="51">
        <v>45129.0</v>
      </c>
      <c r="C42" s="11" t="s">
        <v>697</v>
      </c>
      <c r="D42" s="11" t="s">
        <v>710</v>
      </c>
      <c r="E42" s="11" t="s">
        <v>30</v>
      </c>
      <c r="F42" s="11" t="s">
        <v>32</v>
      </c>
      <c r="G42" s="12">
        <v>9000.0</v>
      </c>
      <c r="H42" s="16">
        <v>675000.0</v>
      </c>
      <c r="I42" s="246"/>
      <c r="J42" s="156">
        <v>350000.0</v>
      </c>
      <c r="K42" s="15"/>
      <c r="L42" s="16">
        <f t="shared" si="3"/>
        <v>325000</v>
      </c>
      <c r="M42" s="16"/>
    </row>
    <row r="43" ht="15.75" customHeight="1">
      <c r="A43" s="155"/>
      <c r="B43" s="51">
        <v>45131.0</v>
      </c>
      <c r="C43" s="11" t="s">
        <v>697</v>
      </c>
      <c r="D43" s="11" t="s">
        <v>710</v>
      </c>
      <c r="E43" s="11" t="s">
        <v>30</v>
      </c>
      <c r="F43" s="11" t="s">
        <v>713</v>
      </c>
      <c r="G43" s="12">
        <v>9000.0</v>
      </c>
      <c r="H43" s="16">
        <v>720000.0</v>
      </c>
      <c r="I43" s="246"/>
      <c r="J43" s="156">
        <v>350000.0</v>
      </c>
      <c r="K43" s="15"/>
      <c r="L43" s="16">
        <f t="shared" si="3"/>
        <v>370000</v>
      </c>
      <c r="M43" s="16"/>
    </row>
    <row r="44" ht="15.75" customHeight="1">
      <c r="A44" s="155"/>
      <c r="B44" s="51">
        <v>45131.0</v>
      </c>
      <c r="C44" s="11" t="s">
        <v>697</v>
      </c>
      <c r="D44" s="11" t="s">
        <v>710</v>
      </c>
      <c r="E44" s="11" t="s">
        <v>30</v>
      </c>
      <c r="F44" s="11" t="s">
        <v>714</v>
      </c>
      <c r="G44" s="12">
        <v>9000.0</v>
      </c>
      <c r="H44" s="16">
        <v>1215000.0</v>
      </c>
      <c r="I44" s="246"/>
      <c r="J44" s="156">
        <v>700000.0</v>
      </c>
      <c r="K44" s="15"/>
      <c r="L44" s="16">
        <f t="shared" si="3"/>
        <v>515000</v>
      </c>
      <c r="M44" s="16"/>
    </row>
    <row r="45" ht="15.75" customHeight="1">
      <c r="A45" s="155"/>
      <c r="B45" s="51">
        <v>45132.0</v>
      </c>
      <c r="C45" s="11" t="s">
        <v>697</v>
      </c>
      <c r="D45" s="11" t="s">
        <v>710</v>
      </c>
      <c r="E45" s="11" t="s">
        <v>27</v>
      </c>
      <c r="F45" s="11" t="s">
        <v>87</v>
      </c>
      <c r="G45" s="12">
        <v>9000.0</v>
      </c>
      <c r="H45" s="16">
        <v>1400000.0</v>
      </c>
      <c r="I45" s="246"/>
      <c r="J45" s="156">
        <v>900000.0</v>
      </c>
      <c r="K45" s="15"/>
      <c r="L45" s="16">
        <f t="shared" si="3"/>
        <v>500000</v>
      </c>
      <c r="M45" s="16"/>
    </row>
    <row r="46" ht="15.75" customHeight="1">
      <c r="A46" s="155"/>
      <c r="B46" s="51">
        <v>45133.0</v>
      </c>
      <c r="C46" s="11" t="s">
        <v>697</v>
      </c>
      <c r="D46" s="11" t="s">
        <v>710</v>
      </c>
      <c r="E46" s="11"/>
      <c r="F46" s="11"/>
      <c r="G46" s="12"/>
      <c r="H46" s="16"/>
      <c r="I46" s="246"/>
      <c r="J46" s="156"/>
      <c r="K46" s="15"/>
      <c r="L46" s="16"/>
      <c r="M46" s="16">
        <v>50000.0</v>
      </c>
    </row>
    <row r="47" ht="15.75" customHeight="1">
      <c r="A47" s="155"/>
      <c r="B47" s="51">
        <v>45134.0</v>
      </c>
      <c r="C47" s="11" t="s">
        <v>697</v>
      </c>
      <c r="D47" s="11" t="s">
        <v>710</v>
      </c>
      <c r="E47" s="11" t="s">
        <v>27</v>
      </c>
      <c r="F47" s="11" t="s">
        <v>43</v>
      </c>
      <c r="G47" s="12">
        <v>9000.0</v>
      </c>
      <c r="H47" s="16">
        <v>1350000.0</v>
      </c>
      <c r="I47" s="246"/>
      <c r="J47" s="156">
        <v>800000.0</v>
      </c>
      <c r="K47" s="15"/>
      <c r="L47" s="16">
        <f t="shared" ref="L47:L50" si="4">H47-J47</f>
        <v>550000</v>
      </c>
      <c r="M47" s="16"/>
    </row>
    <row r="48" ht="15.75" customHeight="1">
      <c r="A48" s="155"/>
      <c r="B48" s="51">
        <v>45135.0</v>
      </c>
      <c r="C48" s="11" t="s">
        <v>697</v>
      </c>
      <c r="D48" s="11" t="s">
        <v>710</v>
      </c>
      <c r="E48" s="11" t="s">
        <v>30</v>
      </c>
      <c r="F48" s="11" t="s">
        <v>378</v>
      </c>
      <c r="G48" s="12">
        <v>8500.0</v>
      </c>
      <c r="H48" s="16">
        <v>1100000.0</v>
      </c>
      <c r="I48" s="246"/>
      <c r="J48" s="156">
        <v>640000.0</v>
      </c>
      <c r="K48" s="15"/>
      <c r="L48" s="16">
        <f t="shared" si="4"/>
        <v>460000</v>
      </c>
      <c r="M48" s="16"/>
    </row>
    <row r="49" ht="15.75" customHeight="1">
      <c r="A49" s="155"/>
      <c r="B49" s="51">
        <v>45136.0</v>
      </c>
      <c r="C49" s="11" t="s">
        <v>697</v>
      </c>
      <c r="D49" s="11" t="s">
        <v>710</v>
      </c>
      <c r="E49" s="11" t="s">
        <v>30</v>
      </c>
      <c r="F49" s="11" t="s">
        <v>378</v>
      </c>
      <c r="G49" s="12">
        <v>8500.0</v>
      </c>
      <c r="H49" s="16">
        <v>1100000.0</v>
      </c>
      <c r="I49" s="246"/>
      <c r="J49" s="156">
        <v>640000.0</v>
      </c>
      <c r="K49" s="15"/>
      <c r="L49" s="16">
        <f t="shared" si="4"/>
        <v>460000</v>
      </c>
      <c r="M49" s="16"/>
    </row>
    <row r="50" ht="15.75" customHeight="1">
      <c r="A50" s="155"/>
      <c r="B50" s="51">
        <v>45137.0</v>
      </c>
      <c r="C50" s="11" t="s">
        <v>697</v>
      </c>
      <c r="D50" s="11" t="s">
        <v>710</v>
      </c>
      <c r="E50" s="11"/>
      <c r="F50" s="11"/>
      <c r="G50" s="12"/>
      <c r="H50" s="16"/>
      <c r="I50" s="246"/>
      <c r="J50" s="156"/>
      <c r="K50" s="15"/>
      <c r="L50" s="16">
        <f t="shared" si="4"/>
        <v>0</v>
      </c>
      <c r="M50" s="16">
        <v>2974000.0</v>
      </c>
    </row>
    <row r="51" ht="15.75" customHeight="1">
      <c r="A51" s="23"/>
      <c r="B51" s="23"/>
      <c r="C51" s="23"/>
      <c r="D51" s="23"/>
      <c r="E51" s="23"/>
      <c r="F51" s="23"/>
      <c r="G51" s="24"/>
      <c r="H51" s="31"/>
      <c r="I51" s="247"/>
      <c r="J51" s="157"/>
      <c r="K51" s="248"/>
      <c r="L51" s="251">
        <f t="shared" ref="L51:M51" si="5">SUM(L26:L50)</f>
        <v>10635000</v>
      </c>
      <c r="M51" s="252">
        <f t="shared" si="5"/>
        <v>4584000</v>
      </c>
    </row>
    <row r="52" ht="15.75" customHeight="1">
      <c r="A52" s="23"/>
      <c r="B52" s="23"/>
      <c r="C52" s="23"/>
      <c r="D52" s="23"/>
      <c r="E52" s="23"/>
      <c r="F52" s="23"/>
      <c r="G52" s="24"/>
      <c r="H52" s="31"/>
      <c r="I52" s="247"/>
      <c r="J52" s="157"/>
      <c r="K52" s="248"/>
      <c r="L52" s="231">
        <f>L51-M51</f>
        <v>6051000</v>
      </c>
      <c r="M52" s="31"/>
    </row>
    <row r="53" ht="15.75" customHeight="1">
      <c r="A53" s="23"/>
      <c r="B53" s="23"/>
      <c r="C53" s="23"/>
      <c r="D53" s="23"/>
      <c r="E53" s="23"/>
      <c r="F53" s="23"/>
      <c r="G53" s="24"/>
      <c r="H53" s="31"/>
      <c r="I53" s="247"/>
      <c r="J53" s="157"/>
      <c r="K53" s="248"/>
      <c r="L53" s="22"/>
      <c r="M53" s="31"/>
    </row>
    <row r="54" ht="27.0" customHeight="1">
      <c r="A54" s="89"/>
      <c r="B54" s="34" t="s">
        <v>0</v>
      </c>
      <c r="C54" s="35" t="s">
        <v>1</v>
      </c>
      <c r="D54" s="35" t="s">
        <v>2</v>
      </c>
      <c r="E54" s="36" t="s">
        <v>3</v>
      </c>
      <c r="F54" s="35" t="s">
        <v>4</v>
      </c>
      <c r="G54" s="37" t="s">
        <v>5</v>
      </c>
      <c r="H54" s="38" t="s">
        <v>6</v>
      </c>
      <c r="I54" s="39" t="s">
        <v>39</v>
      </c>
      <c r="J54" s="253" t="s">
        <v>7</v>
      </c>
      <c r="K54" s="254" t="s">
        <v>39</v>
      </c>
      <c r="L54" s="39" t="s">
        <v>8</v>
      </c>
      <c r="M54" s="40" t="s">
        <v>9</v>
      </c>
    </row>
    <row r="55" ht="15.75" customHeight="1">
      <c r="A55" s="155"/>
      <c r="B55" s="41">
        <v>45139.0</v>
      </c>
      <c r="C55" s="42" t="s">
        <v>697</v>
      </c>
      <c r="D55" s="42" t="s">
        <v>710</v>
      </c>
      <c r="E55" s="42" t="s">
        <v>40</v>
      </c>
      <c r="F55" s="42" t="s">
        <v>717</v>
      </c>
      <c r="G55" s="45">
        <v>9000.0</v>
      </c>
      <c r="H55" s="49">
        <v>820000.0</v>
      </c>
      <c r="I55" s="47" t="s">
        <v>44</v>
      </c>
      <c r="J55" s="166">
        <v>350000.0</v>
      </c>
      <c r="K55" s="46" t="s">
        <v>42</v>
      </c>
      <c r="L55" s="49">
        <f t="shared" ref="L55:L66" si="6">H55-J55</f>
        <v>470000</v>
      </c>
      <c r="M55" s="255">
        <v>0.0</v>
      </c>
    </row>
    <row r="56" ht="15.75" customHeight="1">
      <c r="A56" s="155"/>
      <c r="B56" s="51">
        <v>45143.0</v>
      </c>
      <c r="C56" s="11" t="s">
        <v>697</v>
      </c>
      <c r="D56" s="11" t="s">
        <v>710</v>
      </c>
      <c r="E56" s="11"/>
      <c r="F56" s="11"/>
      <c r="G56" s="18"/>
      <c r="H56" s="16"/>
      <c r="I56" s="256"/>
      <c r="J56" s="156"/>
      <c r="K56" s="10"/>
      <c r="L56" s="16">
        <f t="shared" si="6"/>
        <v>0</v>
      </c>
      <c r="M56" s="13">
        <v>250000.0</v>
      </c>
    </row>
    <row r="57" ht="15.75" customHeight="1">
      <c r="A57" s="155"/>
      <c r="B57" s="51">
        <v>45146.0</v>
      </c>
      <c r="C57" s="11" t="s">
        <v>697</v>
      </c>
      <c r="D57" s="11" t="s">
        <v>710</v>
      </c>
      <c r="E57" s="11" t="s">
        <v>37</v>
      </c>
      <c r="F57" s="11" t="s">
        <v>371</v>
      </c>
      <c r="G57" s="12">
        <v>9000.0</v>
      </c>
      <c r="H57" s="13">
        <v>1350000.0</v>
      </c>
      <c r="I57" s="246" t="s">
        <v>44</v>
      </c>
      <c r="J57" s="156">
        <v>800000.0</v>
      </c>
      <c r="K57" s="15" t="s">
        <v>42</v>
      </c>
      <c r="L57" s="16">
        <f t="shared" si="6"/>
        <v>550000</v>
      </c>
      <c r="M57" s="16">
        <v>0.0</v>
      </c>
    </row>
    <row r="58" ht="15.75" customHeight="1">
      <c r="A58" s="155"/>
      <c r="B58" s="51">
        <v>45147.0</v>
      </c>
      <c r="C58" s="11" t="s">
        <v>697</v>
      </c>
      <c r="D58" s="11" t="s">
        <v>710</v>
      </c>
      <c r="E58" s="11" t="s">
        <v>40</v>
      </c>
      <c r="F58" s="11" t="s">
        <v>718</v>
      </c>
      <c r="G58" s="12">
        <v>9000.0</v>
      </c>
      <c r="H58" s="13">
        <v>1400000.0</v>
      </c>
      <c r="I58" s="246" t="s">
        <v>42</v>
      </c>
      <c r="J58" s="156">
        <v>900000.0</v>
      </c>
      <c r="K58" s="15" t="s">
        <v>42</v>
      </c>
      <c r="L58" s="16">
        <f t="shared" si="6"/>
        <v>500000</v>
      </c>
      <c r="M58" s="16">
        <v>0.0</v>
      </c>
    </row>
    <row r="59" ht="15.75" customHeight="1">
      <c r="A59" s="155"/>
      <c r="B59" s="51">
        <v>45149.0</v>
      </c>
      <c r="C59" s="11" t="s">
        <v>697</v>
      </c>
      <c r="D59" s="11" t="s">
        <v>710</v>
      </c>
      <c r="E59" s="11" t="s">
        <v>40</v>
      </c>
      <c r="F59" s="11" t="s">
        <v>236</v>
      </c>
      <c r="G59" s="12">
        <v>9000.0</v>
      </c>
      <c r="H59" s="13">
        <v>675000.0</v>
      </c>
      <c r="I59" s="246" t="s">
        <v>42</v>
      </c>
      <c r="J59" s="156">
        <v>375000.0</v>
      </c>
      <c r="K59" s="15" t="s">
        <v>42</v>
      </c>
      <c r="L59" s="16">
        <f t="shared" si="6"/>
        <v>300000</v>
      </c>
      <c r="M59" s="16">
        <v>0.0</v>
      </c>
    </row>
    <row r="60" ht="15.75" customHeight="1">
      <c r="A60" s="155"/>
      <c r="B60" s="51">
        <v>45150.0</v>
      </c>
      <c r="C60" s="11" t="s">
        <v>697</v>
      </c>
      <c r="D60" s="11" t="s">
        <v>710</v>
      </c>
      <c r="E60" s="11" t="s">
        <v>30</v>
      </c>
      <c r="F60" s="11" t="s">
        <v>378</v>
      </c>
      <c r="G60" s="12">
        <v>8500.0</v>
      </c>
      <c r="H60" s="13">
        <v>1100000.0</v>
      </c>
      <c r="I60" s="246" t="s">
        <v>42</v>
      </c>
      <c r="J60" s="156">
        <v>640000.0</v>
      </c>
      <c r="K60" s="15" t="s">
        <v>42</v>
      </c>
      <c r="L60" s="16">
        <f t="shared" si="6"/>
        <v>460000</v>
      </c>
      <c r="M60" s="16">
        <v>0.0</v>
      </c>
    </row>
    <row r="61" ht="15.75" customHeight="1">
      <c r="A61" s="155"/>
      <c r="B61" s="51">
        <v>45152.0</v>
      </c>
      <c r="C61" s="11" t="s">
        <v>697</v>
      </c>
      <c r="D61" s="11" t="s">
        <v>710</v>
      </c>
      <c r="E61" s="11" t="s">
        <v>37</v>
      </c>
      <c r="F61" s="11" t="s">
        <v>371</v>
      </c>
      <c r="G61" s="12">
        <v>9000.0</v>
      </c>
      <c r="H61" s="13">
        <v>1350000.0</v>
      </c>
      <c r="I61" s="246" t="s">
        <v>44</v>
      </c>
      <c r="J61" s="156">
        <v>800000.0</v>
      </c>
      <c r="K61" s="15" t="s">
        <v>42</v>
      </c>
      <c r="L61" s="16">
        <f t="shared" si="6"/>
        <v>550000</v>
      </c>
      <c r="M61" s="16">
        <v>0.0</v>
      </c>
    </row>
    <row r="62" ht="15.75" customHeight="1">
      <c r="A62" s="155"/>
      <c r="B62" s="51">
        <v>45156.0</v>
      </c>
      <c r="C62" s="11" t="s">
        <v>697</v>
      </c>
      <c r="D62" s="11" t="s">
        <v>710</v>
      </c>
      <c r="E62" s="11" t="s">
        <v>30</v>
      </c>
      <c r="F62" s="11" t="s">
        <v>32</v>
      </c>
      <c r="G62" s="12">
        <v>9000.0</v>
      </c>
      <c r="H62" s="13">
        <v>675000.0</v>
      </c>
      <c r="I62" s="246" t="s">
        <v>42</v>
      </c>
      <c r="J62" s="156">
        <v>350000.0</v>
      </c>
      <c r="K62" s="15" t="s">
        <v>42</v>
      </c>
      <c r="L62" s="16">
        <f t="shared" si="6"/>
        <v>325000</v>
      </c>
      <c r="M62" s="16">
        <v>60000.0</v>
      </c>
    </row>
    <row r="63" ht="15.75" customHeight="1">
      <c r="A63" s="155"/>
      <c r="B63" s="51">
        <v>45156.0</v>
      </c>
      <c r="C63" s="11" t="s">
        <v>697</v>
      </c>
      <c r="D63" s="11" t="s">
        <v>710</v>
      </c>
      <c r="E63" s="11" t="s">
        <v>30</v>
      </c>
      <c r="F63" s="11" t="s">
        <v>76</v>
      </c>
      <c r="G63" s="12">
        <v>8500.0</v>
      </c>
      <c r="H63" s="13">
        <v>1300000.0</v>
      </c>
      <c r="I63" s="246" t="s">
        <v>42</v>
      </c>
      <c r="J63" s="156">
        <v>850000.0</v>
      </c>
      <c r="K63" s="15" t="s">
        <v>42</v>
      </c>
      <c r="L63" s="16">
        <f t="shared" si="6"/>
        <v>450000</v>
      </c>
      <c r="M63" s="16">
        <v>0.0</v>
      </c>
    </row>
    <row r="64" ht="15.75" customHeight="1">
      <c r="A64" s="155"/>
      <c r="B64" s="51">
        <v>45167.0</v>
      </c>
      <c r="C64" s="11" t="s">
        <v>697</v>
      </c>
      <c r="D64" s="11" t="s">
        <v>710</v>
      </c>
      <c r="E64" s="11" t="s">
        <v>37</v>
      </c>
      <c r="F64" s="11" t="s">
        <v>371</v>
      </c>
      <c r="G64" s="12">
        <v>9000.0</v>
      </c>
      <c r="H64" s="13">
        <v>1350000.0</v>
      </c>
      <c r="I64" s="246" t="s">
        <v>44</v>
      </c>
      <c r="J64" s="156">
        <v>800000.0</v>
      </c>
      <c r="K64" s="15" t="s">
        <v>42</v>
      </c>
      <c r="L64" s="16">
        <f t="shared" si="6"/>
        <v>550000</v>
      </c>
      <c r="M64" s="16">
        <v>0.0</v>
      </c>
    </row>
    <row r="65" ht="15.75" customHeight="1">
      <c r="A65" s="155"/>
      <c r="B65" s="51">
        <v>45168.0</v>
      </c>
      <c r="C65" s="11" t="s">
        <v>697</v>
      </c>
      <c r="D65" s="11" t="s">
        <v>710</v>
      </c>
      <c r="E65" s="11" t="s">
        <v>30</v>
      </c>
      <c r="F65" s="11" t="s">
        <v>41</v>
      </c>
      <c r="G65" s="12">
        <v>9000.0</v>
      </c>
      <c r="H65" s="13">
        <v>1450000.0</v>
      </c>
      <c r="I65" s="246" t="s">
        <v>42</v>
      </c>
      <c r="J65" s="156">
        <v>900000.0</v>
      </c>
      <c r="K65" s="15" t="s">
        <v>42</v>
      </c>
      <c r="L65" s="16">
        <f t="shared" si="6"/>
        <v>550000</v>
      </c>
      <c r="M65" s="16">
        <v>0.0</v>
      </c>
    </row>
    <row r="66" ht="15.75" customHeight="1">
      <c r="A66" s="155"/>
      <c r="B66" s="51">
        <v>45169.0</v>
      </c>
      <c r="C66" s="11" t="s">
        <v>697</v>
      </c>
      <c r="D66" s="11" t="s">
        <v>710</v>
      </c>
      <c r="E66" s="11" t="s">
        <v>40</v>
      </c>
      <c r="F66" s="11" t="s">
        <v>236</v>
      </c>
      <c r="G66" s="12">
        <v>9000.0</v>
      </c>
      <c r="H66" s="13">
        <v>675000.0</v>
      </c>
      <c r="I66" s="246" t="s">
        <v>42</v>
      </c>
      <c r="J66" s="156">
        <v>375000.0</v>
      </c>
      <c r="K66" s="15" t="s">
        <v>42</v>
      </c>
      <c r="L66" s="16">
        <f t="shared" si="6"/>
        <v>300000</v>
      </c>
      <c r="M66" s="16">
        <v>0.0</v>
      </c>
    </row>
    <row r="67" ht="15.75" customHeight="1">
      <c r="A67" s="23"/>
      <c r="B67" s="23"/>
      <c r="C67" s="23"/>
      <c r="D67" s="23"/>
      <c r="E67" s="23"/>
      <c r="F67" s="23"/>
      <c r="G67" s="24"/>
      <c r="H67" s="31"/>
      <c r="I67" s="247"/>
      <c r="J67" s="157"/>
      <c r="K67" s="248"/>
      <c r="L67" s="251">
        <f t="shared" ref="L67:M67" si="7">SUM(L55:L66)</f>
        <v>5005000</v>
      </c>
      <c r="M67" s="53">
        <f t="shared" si="7"/>
        <v>310000</v>
      </c>
    </row>
    <row r="68" ht="15.75" customHeight="1">
      <c r="A68" s="23"/>
      <c r="B68" s="23"/>
      <c r="C68" s="23"/>
      <c r="D68" s="23"/>
      <c r="E68" s="23"/>
      <c r="F68" s="23"/>
      <c r="G68" s="24"/>
      <c r="H68" s="31"/>
      <c r="I68" s="247"/>
      <c r="J68" s="157"/>
      <c r="K68" s="248"/>
      <c r="L68" s="231">
        <f>L67-M67</f>
        <v>4695000</v>
      </c>
      <c r="M68" s="31"/>
    </row>
    <row r="69" ht="29.25" customHeight="1">
      <c r="A69" s="89"/>
      <c r="B69" s="257" t="s">
        <v>0</v>
      </c>
      <c r="C69" s="258" t="s">
        <v>1</v>
      </c>
      <c r="D69" s="258" t="s">
        <v>2</v>
      </c>
      <c r="E69" s="259" t="s">
        <v>3</v>
      </c>
      <c r="F69" s="258" t="s">
        <v>4</v>
      </c>
      <c r="G69" s="260" t="s">
        <v>5</v>
      </c>
      <c r="H69" s="261" t="s">
        <v>6</v>
      </c>
      <c r="I69" s="262" t="s">
        <v>39</v>
      </c>
      <c r="J69" s="263" t="s">
        <v>7</v>
      </c>
      <c r="K69" s="264" t="s">
        <v>39</v>
      </c>
      <c r="L69" s="262" t="s">
        <v>8</v>
      </c>
      <c r="M69" s="265" t="s">
        <v>9</v>
      </c>
    </row>
    <row r="70" ht="15.75" customHeight="1">
      <c r="A70" s="155"/>
      <c r="B70" s="51">
        <v>45170.0</v>
      </c>
      <c r="C70" s="11" t="s">
        <v>697</v>
      </c>
      <c r="D70" s="11" t="s">
        <v>710</v>
      </c>
      <c r="E70" s="11" t="s">
        <v>30</v>
      </c>
      <c r="F70" s="11" t="s">
        <v>34</v>
      </c>
      <c r="G70" s="12">
        <v>9000.0</v>
      </c>
      <c r="H70" s="13">
        <v>1215000.0</v>
      </c>
      <c r="I70" s="246" t="s">
        <v>44</v>
      </c>
      <c r="J70" s="156">
        <v>700000.0</v>
      </c>
      <c r="K70" s="15" t="s">
        <v>42</v>
      </c>
      <c r="L70" s="16">
        <f t="shared" ref="L70:L75" si="8">H70-J70</f>
        <v>515000</v>
      </c>
      <c r="M70" s="16">
        <v>0.0</v>
      </c>
    </row>
    <row r="71" ht="15.75" customHeight="1">
      <c r="A71" s="155"/>
      <c r="B71" s="51">
        <v>45173.0</v>
      </c>
      <c r="C71" s="11" t="s">
        <v>697</v>
      </c>
      <c r="D71" s="11" t="s">
        <v>710</v>
      </c>
      <c r="E71" s="11" t="s">
        <v>30</v>
      </c>
      <c r="F71" s="11" t="s">
        <v>719</v>
      </c>
      <c r="G71" s="12">
        <v>9000.0</v>
      </c>
      <c r="H71" s="13">
        <v>900000.0</v>
      </c>
      <c r="I71" s="246" t="s">
        <v>42</v>
      </c>
      <c r="J71" s="156">
        <v>500000.0</v>
      </c>
      <c r="K71" s="15" t="s">
        <v>42</v>
      </c>
      <c r="L71" s="16">
        <f t="shared" si="8"/>
        <v>400000</v>
      </c>
      <c r="M71" s="16">
        <v>0.0</v>
      </c>
    </row>
    <row r="72" ht="15.75" customHeight="1">
      <c r="A72" s="155"/>
      <c r="B72" s="51">
        <v>45174.0</v>
      </c>
      <c r="C72" s="11" t="s">
        <v>697</v>
      </c>
      <c r="D72" s="11" t="s">
        <v>710</v>
      </c>
      <c r="E72" s="11" t="s">
        <v>30</v>
      </c>
      <c r="F72" s="11" t="s">
        <v>720</v>
      </c>
      <c r="G72" s="12">
        <v>9000.0</v>
      </c>
      <c r="H72" s="13">
        <v>1080000.0</v>
      </c>
      <c r="I72" s="246" t="s">
        <v>42</v>
      </c>
      <c r="J72" s="156">
        <v>640000.0</v>
      </c>
      <c r="K72" s="15" t="s">
        <v>42</v>
      </c>
      <c r="L72" s="16">
        <f t="shared" si="8"/>
        <v>440000</v>
      </c>
      <c r="M72" s="16">
        <v>0.0</v>
      </c>
    </row>
    <row r="73" ht="15.75" customHeight="1">
      <c r="A73" s="155"/>
      <c r="B73" s="51">
        <v>45176.0</v>
      </c>
      <c r="C73" s="11" t="s">
        <v>697</v>
      </c>
      <c r="D73" s="11" t="s">
        <v>710</v>
      </c>
      <c r="E73" s="11" t="s">
        <v>40</v>
      </c>
      <c r="F73" s="11" t="s">
        <v>103</v>
      </c>
      <c r="G73" s="12">
        <v>9000.0</v>
      </c>
      <c r="H73" s="13">
        <v>675000.0</v>
      </c>
      <c r="I73" s="246" t="s">
        <v>42</v>
      </c>
      <c r="J73" s="156">
        <v>375000.0</v>
      </c>
      <c r="K73" s="15" t="s">
        <v>42</v>
      </c>
      <c r="L73" s="16">
        <f t="shared" si="8"/>
        <v>300000</v>
      </c>
      <c r="M73" s="16">
        <v>0.0</v>
      </c>
    </row>
    <row r="74" ht="15.75" customHeight="1">
      <c r="A74" s="155"/>
      <c r="B74" s="51">
        <v>45177.0</v>
      </c>
      <c r="C74" s="11" t="s">
        <v>697</v>
      </c>
      <c r="D74" s="11" t="s">
        <v>710</v>
      </c>
      <c r="E74" s="11" t="s">
        <v>40</v>
      </c>
      <c r="F74" s="11" t="s">
        <v>43</v>
      </c>
      <c r="G74" s="12">
        <v>9000.0</v>
      </c>
      <c r="H74" s="13">
        <v>1350000.0</v>
      </c>
      <c r="I74" s="246" t="s">
        <v>44</v>
      </c>
      <c r="J74" s="156">
        <v>800000.0</v>
      </c>
      <c r="K74" s="15" t="s">
        <v>42</v>
      </c>
      <c r="L74" s="16">
        <f t="shared" si="8"/>
        <v>550000</v>
      </c>
      <c r="M74" s="16">
        <v>0.0</v>
      </c>
    </row>
    <row r="75" ht="15.75" customHeight="1">
      <c r="A75" s="155"/>
      <c r="B75" s="51">
        <v>45178.0</v>
      </c>
      <c r="C75" s="11" t="s">
        <v>697</v>
      </c>
      <c r="D75" s="11" t="s">
        <v>710</v>
      </c>
      <c r="E75" s="11" t="s">
        <v>37</v>
      </c>
      <c r="F75" s="11" t="s">
        <v>43</v>
      </c>
      <c r="G75" s="12">
        <v>9000.0</v>
      </c>
      <c r="H75" s="13">
        <v>1350000.0</v>
      </c>
      <c r="I75" s="246" t="s">
        <v>44</v>
      </c>
      <c r="J75" s="156">
        <v>800000.0</v>
      </c>
      <c r="K75" s="15" t="s">
        <v>44</v>
      </c>
      <c r="L75" s="16">
        <f t="shared" si="8"/>
        <v>550000</v>
      </c>
      <c r="M75" s="16">
        <v>0.0</v>
      </c>
    </row>
    <row r="76" ht="15.75" customHeight="1">
      <c r="A76" s="155"/>
      <c r="B76" s="51">
        <v>45179.0</v>
      </c>
      <c r="C76" s="11" t="s">
        <v>697</v>
      </c>
      <c r="D76" s="11" t="s">
        <v>710</v>
      </c>
      <c r="E76" s="11"/>
      <c r="F76" s="11"/>
      <c r="G76" s="12"/>
      <c r="H76" s="13"/>
      <c r="I76" s="246"/>
      <c r="J76" s="156"/>
      <c r="K76" s="15"/>
      <c r="L76" s="16"/>
      <c r="M76" s="16">
        <v>30000.0</v>
      </c>
    </row>
    <row r="77" ht="15.75" customHeight="1">
      <c r="A77" s="155"/>
      <c r="B77" s="51">
        <v>45180.0</v>
      </c>
      <c r="C77" s="11" t="s">
        <v>697</v>
      </c>
      <c r="D77" s="11" t="s">
        <v>710</v>
      </c>
      <c r="E77" s="11" t="s">
        <v>40</v>
      </c>
      <c r="F77" s="11" t="s">
        <v>79</v>
      </c>
      <c r="G77" s="12">
        <v>8500.0</v>
      </c>
      <c r="H77" s="13">
        <v>1100000.0</v>
      </c>
      <c r="I77" s="246" t="s">
        <v>42</v>
      </c>
      <c r="J77" s="156">
        <v>640000.0</v>
      </c>
      <c r="K77" s="15" t="s">
        <v>42</v>
      </c>
      <c r="L77" s="16">
        <f t="shared" ref="L77:L82" si="9">H77-J77</f>
        <v>460000</v>
      </c>
      <c r="M77" s="16">
        <v>0.0</v>
      </c>
    </row>
    <row r="78" ht="15.75" customHeight="1">
      <c r="A78" s="155"/>
      <c r="B78" s="51">
        <v>45181.0</v>
      </c>
      <c r="C78" s="11" t="s">
        <v>697</v>
      </c>
      <c r="D78" s="11" t="s">
        <v>710</v>
      </c>
      <c r="E78" s="11" t="s">
        <v>30</v>
      </c>
      <c r="F78" s="11" t="s">
        <v>721</v>
      </c>
      <c r="G78" s="12">
        <v>9000.0</v>
      </c>
      <c r="H78" s="13">
        <v>700000.0</v>
      </c>
      <c r="I78" s="246" t="s">
        <v>42</v>
      </c>
      <c r="J78" s="156">
        <v>400000.0</v>
      </c>
      <c r="K78" s="15" t="s">
        <v>42</v>
      </c>
      <c r="L78" s="16">
        <f t="shared" si="9"/>
        <v>300000</v>
      </c>
      <c r="M78" s="16">
        <v>0.0</v>
      </c>
    </row>
    <row r="79" ht="15.75" customHeight="1">
      <c r="A79" s="155"/>
      <c r="B79" s="51">
        <v>45182.0</v>
      </c>
      <c r="C79" s="11" t="s">
        <v>697</v>
      </c>
      <c r="D79" s="11" t="s">
        <v>710</v>
      </c>
      <c r="E79" s="11" t="s">
        <v>30</v>
      </c>
      <c r="F79" s="11" t="s">
        <v>54</v>
      </c>
      <c r="G79" s="12">
        <v>9000.0</v>
      </c>
      <c r="H79" s="13">
        <v>1200000.0</v>
      </c>
      <c r="I79" s="246" t="s">
        <v>42</v>
      </c>
      <c r="J79" s="156">
        <v>640000.0</v>
      </c>
      <c r="K79" s="15" t="s">
        <v>42</v>
      </c>
      <c r="L79" s="16">
        <f t="shared" si="9"/>
        <v>560000</v>
      </c>
      <c r="M79" s="16">
        <v>0.0</v>
      </c>
    </row>
    <row r="80" ht="15.75" customHeight="1">
      <c r="A80" s="155"/>
      <c r="B80" s="51">
        <v>45183.0</v>
      </c>
      <c r="C80" s="11" t="s">
        <v>697</v>
      </c>
      <c r="D80" s="11" t="s">
        <v>710</v>
      </c>
      <c r="E80" s="11" t="s">
        <v>30</v>
      </c>
      <c r="F80" s="11" t="s">
        <v>79</v>
      </c>
      <c r="G80" s="12">
        <v>8500.0</v>
      </c>
      <c r="H80" s="13">
        <v>1100000.0</v>
      </c>
      <c r="I80" s="246" t="s">
        <v>44</v>
      </c>
      <c r="J80" s="156">
        <v>640000.0</v>
      </c>
      <c r="K80" s="15" t="s">
        <v>42</v>
      </c>
      <c r="L80" s="16">
        <f t="shared" si="9"/>
        <v>460000</v>
      </c>
      <c r="M80" s="16">
        <v>0.0</v>
      </c>
    </row>
    <row r="81" ht="15.75" customHeight="1">
      <c r="A81" s="155"/>
      <c r="B81" s="51">
        <v>45184.0</v>
      </c>
      <c r="C81" s="11" t="s">
        <v>697</v>
      </c>
      <c r="D81" s="11" t="s">
        <v>710</v>
      </c>
      <c r="E81" s="11" t="s">
        <v>40</v>
      </c>
      <c r="F81" s="11" t="s">
        <v>401</v>
      </c>
      <c r="G81" s="12">
        <v>10000.0</v>
      </c>
      <c r="H81" s="13">
        <v>750000.0</v>
      </c>
      <c r="I81" s="246" t="s">
        <v>42</v>
      </c>
      <c r="J81" s="156">
        <v>400000.0</v>
      </c>
      <c r="K81" s="15" t="s">
        <v>44</v>
      </c>
      <c r="L81" s="16">
        <f t="shared" si="9"/>
        <v>350000</v>
      </c>
      <c r="M81" s="16">
        <v>0.0</v>
      </c>
    </row>
    <row r="82" ht="15.75" customHeight="1">
      <c r="A82" s="155"/>
      <c r="B82" s="51">
        <v>45185.0</v>
      </c>
      <c r="C82" s="11" t="s">
        <v>697</v>
      </c>
      <c r="D82" s="11" t="s">
        <v>710</v>
      </c>
      <c r="E82" s="11" t="s">
        <v>37</v>
      </c>
      <c r="F82" s="11" t="s">
        <v>43</v>
      </c>
      <c r="G82" s="12">
        <v>9000.0</v>
      </c>
      <c r="H82" s="13">
        <v>1350000.0</v>
      </c>
      <c r="I82" s="246" t="s">
        <v>44</v>
      </c>
      <c r="J82" s="156">
        <v>800000.0</v>
      </c>
      <c r="K82" s="15" t="s">
        <v>44</v>
      </c>
      <c r="L82" s="16">
        <f t="shared" si="9"/>
        <v>550000</v>
      </c>
      <c r="M82" s="16">
        <v>0.0</v>
      </c>
    </row>
    <row r="83" ht="15.75" customHeight="1">
      <c r="A83" s="155"/>
      <c r="B83" s="51">
        <v>45186.0</v>
      </c>
      <c r="C83" s="11" t="s">
        <v>697</v>
      </c>
      <c r="D83" s="11" t="s">
        <v>710</v>
      </c>
      <c r="E83" s="11"/>
      <c r="F83" s="11"/>
      <c r="G83" s="12"/>
      <c r="H83" s="13"/>
      <c r="I83" s="246"/>
      <c r="J83" s="156"/>
      <c r="K83" s="15"/>
      <c r="L83" s="16"/>
      <c r="M83" s="16">
        <v>195000.0</v>
      </c>
    </row>
    <row r="84" ht="15.75" customHeight="1">
      <c r="A84" s="155"/>
      <c r="B84" s="266">
        <v>45187.0</v>
      </c>
      <c r="C84" s="267" t="s">
        <v>697</v>
      </c>
      <c r="D84" s="267" t="s">
        <v>710</v>
      </c>
      <c r="E84" s="267" t="s">
        <v>40</v>
      </c>
      <c r="F84" s="267" t="s">
        <v>135</v>
      </c>
      <c r="G84" s="268">
        <v>9000.0</v>
      </c>
      <c r="H84" s="269">
        <v>750000.0</v>
      </c>
      <c r="I84" s="270" t="s">
        <v>42</v>
      </c>
      <c r="J84" s="271">
        <v>425000.0</v>
      </c>
      <c r="K84" s="272" t="s">
        <v>44</v>
      </c>
      <c r="L84" s="273">
        <f t="shared" ref="L84:L93" si="10">H84-J84</f>
        <v>325000</v>
      </c>
      <c r="M84" s="16">
        <v>0.0</v>
      </c>
    </row>
    <row r="85" ht="15.75" customHeight="1">
      <c r="A85" s="155"/>
      <c r="B85" s="51">
        <v>45188.0</v>
      </c>
      <c r="C85" s="11" t="s">
        <v>697</v>
      </c>
      <c r="D85" s="11" t="s">
        <v>710</v>
      </c>
      <c r="E85" s="11" t="s">
        <v>30</v>
      </c>
      <c r="F85" s="11" t="s">
        <v>79</v>
      </c>
      <c r="G85" s="12">
        <v>8500.0</v>
      </c>
      <c r="H85" s="13">
        <v>1100000.0</v>
      </c>
      <c r="I85" s="246" t="s">
        <v>42</v>
      </c>
      <c r="J85" s="156">
        <v>640000.0</v>
      </c>
      <c r="K85" s="15" t="s">
        <v>42</v>
      </c>
      <c r="L85" s="16">
        <f t="shared" si="10"/>
        <v>460000</v>
      </c>
      <c r="M85" s="16">
        <v>0.0</v>
      </c>
    </row>
    <row r="86" ht="15.75" customHeight="1">
      <c r="A86" s="155"/>
      <c r="B86" s="51">
        <v>45189.0</v>
      </c>
      <c r="C86" s="11" t="s">
        <v>697</v>
      </c>
      <c r="D86" s="11" t="s">
        <v>710</v>
      </c>
      <c r="E86" s="11" t="s">
        <v>385</v>
      </c>
      <c r="F86" s="11" t="s">
        <v>722</v>
      </c>
      <c r="G86" s="12">
        <v>10000.0</v>
      </c>
      <c r="H86" s="13">
        <v>850000.0</v>
      </c>
      <c r="I86" s="246" t="s">
        <v>44</v>
      </c>
      <c r="J86" s="156">
        <v>425000.0</v>
      </c>
      <c r="K86" s="15" t="s">
        <v>42</v>
      </c>
      <c r="L86" s="16">
        <f t="shared" si="10"/>
        <v>425000</v>
      </c>
      <c r="M86" s="16">
        <v>0.0</v>
      </c>
    </row>
    <row r="87" ht="15.75" customHeight="1">
      <c r="A87" s="155"/>
      <c r="B87" s="51">
        <v>45190.0</v>
      </c>
      <c r="C87" s="11" t="s">
        <v>697</v>
      </c>
      <c r="D87" s="11" t="s">
        <v>710</v>
      </c>
      <c r="E87" s="11" t="s">
        <v>40</v>
      </c>
      <c r="F87" s="11" t="s">
        <v>79</v>
      </c>
      <c r="G87" s="12">
        <v>8500.0</v>
      </c>
      <c r="H87" s="13">
        <v>1100000.0</v>
      </c>
      <c r="I87" s="246" t="s">
        <v>42</v>
      </c>
      <c r="J87" s="156">
        <v>640000.0</v>
      </c>
      <c r="K87" s="15" t="s">
        <v>42</v>
      </c>
      <c r="L87" s="16">
        <f t="shared" si="10"/>
        <v>460000</v>
      </c>
      <c r="M87" s="16">
        <v>910000.0</v>
      </c>
    </row>
    <row r="88" ht="15.75" customHeight="1">
      <c r="A88" s="155"/>
      <c r="B88" s="51">
        <v>45194.0</v>
      </c>
      <c r="C88" s="11" t="s">
        <v>697</v>
      </c>
      <c r="D88" s="11" t="s">
        <v>710</v>
      </c>
      <c r="E88" s="11" t="s">
        <v>30</v>
      </c>
      <c r="F88" s="11" t="s">
        <v>57</v>
      </c>
      <c r="G88" s="12">
        <v>9000.0</v>
      </c>
      <c r="H88" s="13">
        <v>1080000.0</v>
      </c>
      <c r="I88" s="246" t="s">
        <v>42</v>
      </c>
      <c r="J88" s="156">
        <v>640000.0</v>
      </c>
      <c r="K88" s="15" t="s">
        <v>42</v>
      </c>
      <c r="L88" s="16">
        <f t="shared" si="10"/>
        <v>440000</v>
      </c>
      <c r="M88" s="16">
        <v>0.0</v>
      </c>
    </row>
    <row r="89" ht="15.75" customHeight="1">
      <c r="A89" s="155"/>
      <c r="B89" s="51">
        <v>45195.0</v>
      </c>
      <c r="C89" s="11" t="s">
        <v>697</v>
      </c>
      <c r="D89" s="11" t="s">
        <v>710</v>
      </c>
      <c r="E89" s="11" t="s">
        <v>30</v>
      </c>
      <c r="F89" s="11" t="s">
        <v>79</v>
      </c>
      <c r="G89" s="12">
        <v>8500.0</v>
      </c>
      <c r="H89" s="13">
        <v>1100000.0</v>
      </c>
      <c r="I89" s="246" t="s">
        <v>42</v>
      </c>
      <c r="J89" s="156">
        <v>640000.0</v>
      </c>
      <c r="K89" s="15" t="s">
        <v>42</v>
      </c>
      <c r="L89" s="16">
        <f t="shared" si="10"/>
        <v>460000</v>
      </c>
      <c r="M89" s="16">
        <v>45000.0</v>
      </c>
    </row>
    <row r="90" ht="15.75" customHeight="1">
      <c r="A90" s="155"/>
      <c r="B90" s="51">
        <v>45196.0</v>
      </c>
      <c r="C90" s="11" t="s">
        <v>697</v>
      </c>
      <c r="D90" s="11" t="s">
        <v>710</v>
      </c>
      <c r="E90" s="11" t="s">
        <v>37</v>
      </c>
      <c r="F90" s="11" t="s">
        <v>76</v>
      </c>
      <c r="G90" s="12">
        <v>8500.0</v>
      </c>
      <c r="H90" s="13">
        <v>1300000.0</v>
      </c>
      <c r="I90" s="246" t="s">
        <v>42</v>
      </c>
      <c r="J90" s="156">
        <v>850000.0</v>
      </c>
      <c r="K90" s="15" t="s">
        <v>42</v>
      </c>
      <c r="L90" s="16">
        <f t="shared" si="10"/>
        <v>450000</v>
      </c>
      <c r="M90" s="16">
        <v>0.0</v>
      </c>
    </row>
    <row r="91" ht="15.75" customHeight="1">
      <c r="A91" s="155"/>
      <c r="B91" s="51">
        <v>45198.0</v>
      </c>
      <c r="C91" s="11" t="s">
        <v>389</v>
      </c>
      <c r="D91" s="11" t="s">
        <v>710</v>
      </c>
      <c r="E91" s="11" t="s">
        <v>30</v>
      </c>
      <c r="F91" s="11" t="s">
        <v>32</v>
      </c>
      <c r="G91" s="12">
        <v>9000.0</v>
      </c>
      <c r="H91" s="13">
        <v>675000.0</v>
      </c>
      <c r="I91" s="246" t="s">
        <v>42</v>
      </c>
      <c r="J91" s="156">
        <v>350000.0</v>
      </c>
      <c r="K91" s="15" t="s">
        <v>42</v>
      </c>
      <c r="L91" s="16">
        <f t="shared" si="10"/>
        <v>325000</v>
      </c>
      <c r="M91" s="16">
        <v>0.0</v>
      </c>
    </row>
    <row r="92" ht="15.75" customHeight="1">
      <c r="A92" s="155"/>
      <c r="B92" s="51">
        <v>45198.0</v>
      </c>
      <c r="C92" s="11" t="s">
        <v>697</v>
      </c>
      <c r="D92" s="11" t="s">
        <v>710</v>
      </c>
      <c r="E92" s="11" t="s">
        <v>40</v>
      </c>
      <c r="F92" s="11" t="s">
        <v>401</v>
      </c>
      <c r="G92" s="12">
        <v>9000.0</v>
      </c>
      <c r="H92" s="13">
        <v>750000.0</v>
      </c>
      <c r="I92" s="246" t="s">
        <v>42</v>
      </c>
      <c r="J92" s="156">
        <v>425000.0</v>
      </c>
      <c r="K92" s="15" t="s">
        <v>42</v>
      </c>
      <c r="L92" s="16">
        <f t="shared" si="10"/>
        <v>325000</v>
      </c>
      <c r="M92" s="16">
        <v>0.0</v>
      </c>
    </row>
    <row r="93" ht="15.75" customHeight="1">
      <c r="A93" s="155"/>
      <c r="B93" s="51">
        <v>45199.0</v>
      </c>
      <c r="C93" s="11" t="s">
        <v>697</v>
      </c>
      <c r="D93" s="11" t="s">
        <v>710</v>
      </c>
      <c r="E93" s="11" t="s">
        <v>30</v>
      </c>
      <c r="F93" s="11" t="s">
        <v>79</v>
      </c>
      <c r="G93" s="12">
        <v>8500.0</v>
      </c>
      <c r="H93" s="13">
        <v>1100000.0</v>
      </c>
      <c r="I93" s="246" t="s">
        <v>42</v>
      </c>
      <c r="J93" s="156">
        <v>640000.0</v>
      </c>
      <c r="K93" s="15" t="s">
        <v>44</v>
      </c>
      <c r="L93" s="16">
        <f t="shared" si="10"/>
        <v>460000</v>
      </c>
      <c r="M93" s="16">
        <v>0.0</v>
      </c>
    </row>
    <row r="94" ht="15.75" customHeight="1">
      <c r="A94" s="23"/>
      <c r="B94" s="23"/>
      <c r="C94" s="23"/>
      <c r="D94" s="23"/>
      <c r="E94" s="23"/>
      <c r="F94" s="23"/>
      <c r="G94" s="24"/>
      <c r="H94" s="31"/>
      <c r="I94" s="247"/>
      <c r="J94" s="157"/>
      <c r="K94" s="248"/>
      <c r="L94" s="251">
        <f t="shared" ref="L94:M94" si="11">SUM(L70:L93)</f>
        <v>9565000</v>
      </c>
      <c r="M94" s="53">
        <f t="shared" si="11"/>
        <v>1180000</v>
      </c>
    </row>
    <row r="95" ht="15.75" customHeight="1">
      <c r="A95" s="23"/>
      <c r="B95" s="23"/>
      <c r="C95" s="23"/>
      <c r="D95" s="23"/>
      <c r="E95" s="23"/>
      <c r="F95" s="23"/>
      <c r="G95" s="24"/>
      <c r="H95" s="31"/>
      <c r="I95" s="247"/>
      <c r="J95" s="157"/>
      <c r="K95" s="248"/>
      <c r="L95" s="231">
        <f>L94-M94</f>
        <v>8385000</v>
      </c>
      <c r="M95" s="54"/>
    </row>
    <row r="96" ht="33.75" customHeight="1">
      <c r="A96" s="89"/>
      <c r="B96" s="257" t="s">
        <v>0</v>
      </c>
      <c r="C96" s="258" t="s">
        <v>1</v>
      </c>
      <c r="D96" s="258" t="s">
        <v>2</v>
      </c>
      <c r="E96" s="259" t="s">
        <v>3</v>
      </c>
      <c r="F96" s="258" t="s">
        <v>4</v>
      </c>
      <c r="G96" s="260" t="s">
        <v>5</v>
      </c>
      <c r="H96" s="261" t="s">
        <v>6</v>
      </c>
      <c r="I96" s="262" t="s">
        <v>39</v>
      </c>
      <c r="J96" s="263" t="s">
        <v>7</v>
      </c>
      <c r="K96" s="264" t="s">
        <v>39</v>
      </c>
      <c r="L96" s="262" t="s">
        <v>8</v>
      </c>
      <c r="M96" s="265" t="s">
        <v>9</v>
      </c>
    </row>
    <row r="97" ht="15.75" customHeight="1">
      <c r="A97" s="155"/>
      <c r="B97" s="51">
        <v>45201.0</v>
      </c>
      <c r="C97" s="11" t="s">
        <v>697</v>
      </c>
      <c r="D97" s="11" t="s">
        <v>710</v>
      </c>
      <c r="E97" s="11" t="s">
        <v>385</v>
      </c>
      <c r="F97" s="11" t="s">
        <v>386</v>
      </c>
      <c r="G97" s="12">
        <v>10000.0</v>
      </c>
      <c r="H97" s="16">
        <v>1000000.0</v>
      </c>
      <c r="I97" s="274" t="s">
        <v>44</v>
      </c>
      <c r="J97" s="156">
        <v>550000.0</v>
      </c>
      <c r="K97" s="10" t="s">
        <v>42</v>
      </c>
      <c r="L97" s="62">
        <f t="shared" ref="L97:L103" si="12">H97-J97</f>
        <v>450000</v>
      </c>
      <c r="M97" s="16">
        <v>0.0</v>
      </c>
    </row>
    <row r="98" ht="15.75" customHeight="1">
      <c r="A98" s="155"/>
      <c r="B98" s="51">
        <v>45203.0</v>
      </c>
      <c r="C98" s="11" t="s">
        <v>697</v>
      </c>
      <c r="D98" s="11" t="s">
        <v>710</v>
      </c>
      <c r="E98" s="11" t="s">
        <v>123</v>
      </c>
      <c r="F98" s="11" t="s">
        <v>57</v>
      </c>
      <c r="G98" s="12">
        <v>9000.0</v>
      </c>
      <c r="H98" s="16">
        <v>1080000.0</v>
      </c>
      <c r="I98" s="274" t="s">
        <v>42</v>
      </c>
      <c r="J98" s="156">
        <v>640000.0</v>
      </c>
      <c r="K98" s="10" t="s">
        <v>42</v>
      </c>
      <c r="L98" s="62">
        <f t="shared" si="12"/>
        <v>440000</v>
      </c>
      <c r="M98" s="16">
        <v>30000.0</v>
      </c>
    </row>
    <row r="99" ht="15.75" customHeight="1">
      <c r="A99" s="155"/>
      <c r="B99" s="51">
        <v>45205.0</v>
      </c>
      <c r="C99" s="11" t="s">
        <v>697</v>
      </c>
      <c r="D99" s="11" t="s">
        <v>710</v>
      </c>
      <c r="E99" s="11" t="s">
        <v>37</v>
      </c>
      <c r="F99" s="11" t="s">
        <v>717</v>
      </c>
      <c r="G99" s="12">
        <v>9000.0</v>
      </c>
      <c r="H99" s="16">
        <v>770000.0</v>
      </c>
      <c r="I99" s="274" t="s">
        <v>44</v>
      </c>
      <c r="J99" s="156">
        <v>350000.0</v>
      </c>
      <c r="K99" s="10" t="s">
        <v>44</v>
      </c>
      <c r="L99" s="62">
        <f t="shared" si="12"/>
        <v>420000</v>
      </c>
      <c r="M99" s="16">
        <v>0.0</v>
      </c>
    </row>
    <row r="100" ht="15.75" customHeight="1">
      <c r="A100" s="155"/>
      <c r="B100" s="51">
        <v>45206.0</v>
      </c>
      <c r="C100" s="11" t="s">
        <v>697</v>
      </c>
      <c r="D100" s="11" t="s">
        <v>710</v>
      </c>
      <c r="E100" s="11" t="s">
        <v>37</v>
      </c>
      <c r="F100" s="11" t="s">
        <v>57</v>
      </c>
      <c r="G100" s="12">
        <v>9000.0</v>
      </c>
      <c r="H100" s="16">
        <v>1080000.0</v>
      </c>
      <c r="I100" s="274" t="s">
        <v>42</v>
      </c>
      <c r="J100" s="156">
        <v>640000.0</v>
      </c>
      <c r="K100" s="10" t="s">
        <v>44</v>
      </c>
      <c r="L100" s="62">
        <f t="shared" si="12"/>
        <v>440000</v>
      </c>
      <c r="M100" s="16">
        <v>0.0</v>
      </c>
    </row>
    <row r="101" ht="15.75" customHeight="1">
      <c r="A101" s="155"/>
      <c r="B101" s="51">
        <v>45207.0</v>
      </c>
      <c r="C101" s="11" t="s">
        <v>697</v>
      </c>
      <c r="D101" s="11" t="s">
        <v>710</v>
      </c>
      <c r="E101" s="11"/>
      <c r="F101" s="11"/>
      <c r="G101" s="18"/>
      <c r="H101" s="16"/>
      <c r="I101" s="256"/>
      <c r="J101" s="156"/>
      <c r="K101" s="10"/>
      <c r="L101" s="62">
        <f t="shared" si="12"/>
        <v>0</v>
      </c>
      <c r="M101" s="16">
        <v>516000.0</v>
      </c>
    </row>
    <row r="102" ht="15.75" customHeight="1">
      <c r="A102" s="155"/>
      <c r="B102" s="51">
        <v>45208.0</v>
      </c>
      <c r="C102" s="11" t="s">
        <v>389</v>
      </c>
      <c r="D102" s="11" t="s">
        <v>710</v>
      </c>
      <c r="E102" s="11" t="s">
        <v>30</v>
      </c>
      <c r="F102" s="11" t="s">
        <v>32</v>
      </c>
      <c r="G102" s="12">
        <v>9000.0</v>
      </c>
      <c r="H102" s="16">
        <v>675000.0</v>
      </c>
      <c r="I102" s="274" t="s">
        <v>44</v>
      </c>
      <c r="J102" s="156">
        <v>350000.0</v>
      </c>
      <c r="K102" s="10" t="s">
        <v>42</v>
      </c>
      <c r="L102" s="62">
        <f t="shared" si="12"/>
        <v>325000</v>
      </c>
      <c r="M102" s="16">
        <v>0.0</v>
      </c>
    </row>
    <row r="103" ht="15.75" customHeight="1">
      <c r="A103" s="155"/>
      <c r="B103" s="51">
        <v>45209.0</v>
      </c>
      <c r="C103" s="11" t="s">
        <v>697</v>
      </c>
      <c r="D103" s="11" t="s">
        <v>710</v>
      </c>
      <c r="E103" s="11" t="s">
        <v>37</v>
      </c>
      <c r="F103" s="11" t="s">
        <v>371</v>
      </c>
      <c r="G103" s="12">
        <v>9000.0</v>
      </c>
      <c r="H103" s="16">
        <v>1350000.0</v>
      </c>
      <c r="I103" s="274" t="s">
        <v>44</v>
      </c>
      <c r="J103" s="156">
        <v>800000.0</v>
      </c>
      <c r="K103" s="10" t="s">
        <v>42</v>
      </c>
      <c r="L103" s="62">
        <f t="shared" si="12"/>
        <v>550000</v>
      </c>
      <c r="M103" s="16">
        <v>0.0</v>
      </c>
    </row>
    <row r="104" ht="15.75" customHeight="1">
      <c r="A104" s="155"/>
      <c r="B104" s="51">
        <v>45210.0</v>
      </c>
      <c r="C104" s="11" t="s">
        <v>697</v>
      </c>
      <c r="D104" s="11" t="s">
        <v>710</v>
      </c>
      <c r="E104" s="11"/>
      <c r="F104" s="11"/>
      <c r="G104" s="12"/>
      <c r="H104" s="16"/>
      <c r="I104" s="274"/>
      <c r="J104" s="156"/>
      <c r="K104" s="10"/>
      <c r="L104" s="62"/>
      <c r="M104" s="16">
        <v>30000.0</v>
      </c>
    </row>
    <row r="105" ht="15.75" customHeight="1">
      <c r="A105" s="155"/>
      <c r="B105" s="51">
        <v>45211.0</v>
      </c>
      <c r="C105" s="11" t="s">
        <v>697</v>
      </c>
      <c r="D105" s="11" t="s">
        <v>710</v>
      </c>
      <c r="E105" s="11" t="s">
        <v>30</v>
      </c>
      <c r="F105" s="11" t="s">
        <v>719</v>
      </c>
      <c r="G105" s="12">
        <v>9000.0</v>
      </c>
      <c r="H105" s="16">
        <v>900000.0</v>
      </c>
      <c r="I105" s="274" t="s">
        <v>42</v>
      </c>
      <c r="J105" s="156">
        <v>550000.0</v>
      </c>
      <c r="K105" s="10" t="s">
        <v>42</v>
      </c>
      <c r="L105" s="62">
        <f t="shared" ref="L105:L114" si="13">H105-J105</f>
        <v>350000</v>
      </c>
      <c r="M105" s="16">
        <v>0.0</v>
      </c>
    </row>
    <row r="106" ht="15.75" customHeight="1">
      <c r="A106" s="155"/>
      <c r="B106" s="51">
        <v>45212.0</v>
      </c>
      <c r="C106" s="11" t="s">
        <v>697</v>
      </c>
      <c r="D106" s="11" t="s">
        <v>710</v>
      </c>
      <c r="E106" s="11" t="s">
        <v>30</v>
      </c>
      <c r="F106" s="11" t="s">
        <v>723</v>
      </c>
      <c r="G106" s="12">
        <v>9000.0</v>
      </c>
      <c r="H106" s="16">
        <v>675000.0</v>
      </c>
      <c r="I106" s="274" t="s">
        <v>44</v>
      </c>
      <c r="J106" s="156">
        <v>350000.0</v>
      </c>
      <c r="K106" s="10" t="s">
        <v>42</v>
      </c>
      <c r="L106" s="62">
        <f t="shared" si="13"/>
        <v>325000</v>
      </c>
      <c r="M106" s="16">
        <v>50000.0</v>
      </c>
    </row>
    <row r="107" ht="15.75" customHeight="1">
      <c r="A107" s="155"/>
      <c r="B107" s="51">
        <v>45213.0</v>
      </c>
      <c r="C107" s="11" t="s">
        <v>697</v>
      </c>
      <c r="D107" s="11" t="s">
        <v>710</v>
      </c>
      <c r="E107" s="11" t="s">
        <v>392</v>
      </c>
      <c r="F107" s="11" t="s">
        <v>724</v>
      </c>
      <c r="G107" s="12">
        <v>9000.0</v>
      </c>
      <c r="H107" s="16">
        <v>765000.0</v>
      </c>
      <c r="I107" s="274" t="s">
        <v>44</v>
      </c>
      <c r="J107" s="156">
        <v>450000.0</v>
      </c>
      <c r="K107" s="10" t="s">
        <v>44</v>
      </c>
      <c r="L107" s="62">
        <f t="shared" si="13"/>
        <v>315000</v>
      </c>
      <c r="M107" s="16">
        <v>8400000.0</v>
      </c>
    </row>
    <row r="108" ht="15.75" customHeight="1">
      <c r="A108" s="155"/>
      <c r="B108" s="51">
        <v>45215.0</v>
      </c>
      <c r="C108" s="11" t="s">
        <v>697</v>
      </c>
      <c r="D108" s="11" t="s">
        <v>710</v>
      </c>
      <c r="E108" s="11" t="s">
        <v>30</v>
      </c>
      <c r="F108" s="11" t="s">
        <v>723</v>
      </c>
      <c r="G108" s="12">
        <v>9000.0</v>
      </c>
      <c r="H108" s="16">
        <v>675000.0</v>
      </c>
      <c r="I108" s="274" t="s">
        <v>44</v>
      </c>
      <c r="J108" s="156">
        <v>350000.0</v>
      </c>
      <c r="K108" s="10" t="s">
        <v>42</v>
      </c>
      <c r="L108" s="62">
        <f t="shared" si="13"/>
        <v>325000</v>
      </c>
      <c r="M108" s="16">
        <v>470000.0</v>
      </c>
    </row>
    <row r="109" ht="15.75" customHeight="1">
      <c r="A109" s="155"/>
      <c r="B109" s="51">
        <v>45216.0</v>
      </c>
      <c r="C109" s="11" t="s">
        <v>697</v>
      </c>
      <c r="D109" s="11" t="s">
        <v>710</v>
      </c>
      <c r="E109" s="11" t="s">
        <v>37</v>
      </c>
      <c r="F109" s="11" t="s">
        <v>717</v>
      </c>
      <c r="G109" s="12">
        <v>9000.0</v>
      </c>
      <c r="H109" s="16">
        <v>900000.0</v>
      </c>
      <c r="I109" s="274" t="s">
        <v>44</v>
      </c>
      <c r="J109" s="156">
        <v>350000.0</v>
      </c>
      <c r="K109" s="10" t="s">
        <v>42</v>
      </c>
      <c r="L109" s="62">
        <f t="shared" si="13"/>
        <v>550000</v>
      </c>
      <c r="M109" s="16">
        <v>0.0</v>
      </c>
    </row>
    <row r="110" ht="15.75" customHeight="1">
      <c r="A110" s="155"/>
      <c r="B110" s="51">
        <v>45217.0</v>
      </c>
      <c r="C110" s="11" t="s">
        <v>697</v>
      </c>
      <c r="D110" s="11" t="s">
        <v>710</v>
      </c>
      <c r="E110" s="11" t="s">
        <v>30</v>
      </c>
      <c r="F110" s="11" t="s">
        <v>61</v>
      </c>
      <c r="G110" s="12">
        <v>9000.0</v>
      </c>
      <c r="H110" s="16">
        <v>675000.0</v>
      </c>
      <c r="I110" s="256" t="s">
        <v>44</v>
      </c>
      <c r="J110" s="156">
        <v>350000.0</v>
      </c>
      <c r="K110" s="10" t="s">
        <v>42</v>
      </c>
      <c r="L110" s="62">
        <f t="shared" si="13"/>
        <v>325000</v>
      </c>
      <c r="M110" s="16">
        <v>0.0</v>
      </c>
    </row>
    <row r="111" ht="15.75" customHeight="1">
      <c r="A111" s="155"/>
      <c r="B111" s="51">
        <v>45217.0</v>
      </c>
      <c r="C111" s="11" t="s">
        <v>62</v>
      </c>
      <c r="D111" s="11" t="s">
        <v>710</v>
      </c>
      <c r="E111" s="11" t="s">
        <v>30</v>
      </c>
      <c r="F111" s="11" t="s">
        <v>61</v>
      </c>
      <c r="G111" s="12">
        <v>9000.0</v>
      </c>
      <c r="H111" s="16">
        <v>675000.0</v>
      </c>
      <c r="I111" s="256" t="s">
        <v>44</v>
      </c>
      <c r="J111" s="156">
        <v>350000.0</v>
      </c>
      <c r="K111" s="10" t="s">
        <v>42</v>
      </c>
      <c r="L111" s="62">
        <f t="shared" si="13"/>
        <v>325000</v>
      </c>
      <c r="M111" s="16">
        <v>0.0</v>
      </c>
    </row>
    <row r="112" ht="15.75" customHeight="1">
      <c r="A112" s="155"/>
      <c r="B112" s="51">
        <v>45218.0</v>
      </c>
      <c r="C112" s="11" t="s">
        <v>697</v>
      </c>
      <c r="D112" s="11" t="s">
        <v>710</v>
      </c>
      <c r="E112" s="11" t="s">
        <v>30</v>
      </c>
      <c r="F112" s="11" t="s">
        <v>79</v>
      </c>
      <c r="G112" s="12">
        <v>8500.0</v>
      </c>
      <c r="H112" s="16">
        <v>1100000.0</v>
      </c>
      <c r="I112" s="256" t="s">
        <v>42</v>
      </c>
      <c r="J112" s="156">
        <v>640000.0</v>
      </c>
      <c r="K112" s="10" t="s">
        <v>42</v>
      </c>
      <c r="L112" s="62">
        <f t="shared" si="13"/>
        <v>460000</v>
      </c>
      <c r="M112" s="16">
        <v>0.0</v>
      </c>
      <c r="N112" s="22"/>
      <c r="O112" s="22"/>
    </row>
    <row r="113" ht="15.75" customHeight="1">
      <c r="A113" s="155"/>
      <c r="B113" s="51">
        <v>45219.0</v>
      </c>
      <c r="C113" s="11" t="s">
        <v>697</v>
      </c>
      <c r="D113" s="11" t="s">
        <v>710</v>
      </c>
      <c r="E113" s="11" t="s">
        <v>30</v>
      </c>
      <c r="F113" s="11" t="s">
        <v>396</v>
      </c>
      <c r="G113" s="12">
        <v>9000.0</v>
      </c>
      <c r="H113" s="16">
        <v>1035000.0</v>
      </c>
      <c r="I113" s="256" t="s">
        <v>42</v>
      </c>
      <c r="J113" s="156">
        <v>600000.0</v>
      </c>
      <c r="K113" s="10" t="s">
        <v>42</v>
      </c>
      <c r="L113" s="62">
        <f t="shared" si="13"/>
        <v>435000</v>
      </c>
      <c r="M113" s="16">
        <v>0.0</v>
      </c>
    </row>
    <row r="114" ht="15.75" customHeight="1">
      <c r="A114" s="155"/>
      <c r="B114" s="51">
        <v>45220.0</v>
      </c>
      <c r="C114" s="11" t="s">
        <v>697</v>
      </c>
      <c r="D114" s="11" t="s">
        <v>710</v>
      </c>
      <c r="E114" s="11" t="s">
        <v>123</v>
      </c>
      <c r="F114" s="11" t="s">
        <v>86</v>
      </c>
      <c r="G114" s="12">
        <v>9000.0</v>
      </c>
      <c r="H114" s="16">
        <v>975000.0</v>
      </c>
      <c r="I114" s="256" t="s">
        <v>42</v>
      </c>
      <c r="J114" s="156">
        <v>500000.0</v>
      </c>
      <c r="K114" s="10" t="s">
        <v>42</v>
      </c>
      <c r="L114" s="62">
        <f t="shared" si="13"/>
        <v>475000</v>
      </c>
      <c r="M114" s="16">
        <v>0.0</v>
      </c>
    </row>
    <row r="115" ht="15.75" customHeight="1">
      <c r="A115" s="155"/>
      <c r="B115" s="51">
        <v>45222.0</v>
      </c>
      <c r="C115" s="11" t="s">
        <v>697</v>
      </c>
      <c r="D115" s="11" t="s">
        <v>710</v>
      </c>
      <c r="E115" s="11"/>
      <c r="F115" s="11"/>
      <c r="G115" s="12"/>
      <c r="H115" s="16"/>
      <c r="I115" s="256"/>
      <c r="J115" s="156"/>
      <c r="K115" s="10"/>
      <c r="L115" s="62">
        <v>0.0</v>
      </c>
      <c r="M115" s="16">
        <v>300000.0</v>
      </c>
    </row>
    <row r="116" ht="15.75" customHeight="1">
      <c r="A116" s="155"/>
      <c r="B116" s="51">
        <v>45223.0</v>
      </c>
      <c r="C116" s="11" t="s">
        <v>697</v>
      </c>
      <c r="D116" s="11" t="s">
        <v>710</v>
      </c>
      <c r="E116" s="11"/>
      <c r="F116" s="11"/>
      <c r="G116" s="12"/>
      <c r="H116" s="16"/>
      <c r="I116" s="256"/>
      <c r="J116" s="156"/>
      <c r="K116" s="10"/>
      <c r="L116" s="62">
        <v>0.0</v>
      </c>
      <c r="M116" s="16">
        <v>180000.0</v>
      </c>
    </row>
    <row r="117" ht="15.75" customHeight="1">
      <c r="A117" s="155"/>
      <c r="B117" s="51">
        <v>45224.0</v>
      </c>
      <c r="C117" s="11" t="s">
        <v>725</v>
      </c>
      <c r="D117" s="11" t="s">
        <v>710</v>
      </c>
      <c r="E117" s="11"/>
      <c r="F117" s="11"/>
      <c r="G117" s="12"/>
      <c r="H117" s="16"/>
      <c r="I117" s="256"/>
      <c r="J117" s="156"/>
      <c r="K117" s="10"/>
      <c r="L117" s="62">
        <v>0.0</v>
      </c>
      <c r="M117" s="16">
        <v>420000.0</v>
      </c>
    </row>
    <row r="118" ht="15.75" customHeight="1">
      <c r="A118" s="155"/>
      <c r="B118" s="51">
        <v>45229.0</v>
      </c>
      <c r="C118" s="11" t="s">
        <v>725</v>
      </c>
      <c r="D118" s="11" t="s">
        <v>710</v>
      </c>
      <c r="E118" s="11" t="s">
        <v>30</v>
      </c>
      <c r="F118" s="11" t="s">
        <v>723</v>
      </c>
      <c r="G118" s="12">
        <v>9000.0</v>
      </c>
      <c r="H118" s="16">
        <v>675000.0</v>
      </c>
      <c r="I118" s="256" t="s">
        <v>44</v>
      </c>
      <c r="J118" s="156">
        <v>350000.0</v>
      </c>
      <c r="K118" s="10" t="s">
        <v>42</v>
      </c>
      <c r="L118" s="62">
        <f t="shared" ref="L118:L119" si="14">H118-J118</f>
        <v>325000</v>
      </c>
      <c r="M118" s="16">
        <v>0.0</v>
      </c>
    </row>
    <row r="119" ht="15.75" customHeight="1">
      <c r="A119" s="155"/>
      <c r="B119" s="51">
        <v>45229.0</v>
      </c>
      <c r="C119" s="11" t="s">
        <v>390</v>
      </c>
      <c r="D119" s="11" t="s">
        <v>710</v>
      </c>
      <c r="E119" s="11" t="s">
        <v>30</v>
      </c>
      <c r="F119" s="11" t="s">
        <v>79</v>
      </c>
      <c r="G119" s="12">
        <v>8500.0</v>
      </c>
      <c r="H119" s="16">
        <v>1100000.0</v>
      </c>
      <c r="I119" s="256" t="s">
        <v>42</v>
      </c>
      <c r="J119" s="156">
        <v>640000.0</v>
      </c>
      <c r="K119" s="10" t="s">
        <v>42</v>
      </c>
      <c r="L119" s="62">
        <f t="shared" si="14"/>
        <v>460000</v>
      </c>
      <c r="M119" s="16">
        <v>0.0</v>
      </c>
    </row>
    <row r="120" ht="15.75" customHeight="1">
      <c r="A120" s="23"/>
      <c r="B120" s="23"/>
      <c r="C120" s="23"/>
      <c r="D120" s="23"/>
      <c r="E120" s="23"/>
      <c r="F120" s="23"/>
      <c r="G120" s="24"/>
      <c r="H120" s="31"/>
      <c r="I120" s="247"/>
      <c r="J120" s="157"/>
      <c r="K120" s="248"/>
      <c r="L120" s="275">
        <f t="shared" ref="L120:M120" si="15">SUM(L97:L119)</f>
        <v>7295000</v>
      </c>
      <c r="M120" s="53">
        <f t="shared" si="15"/>
        <v>10396000</v>
      </c>
    </row>
    <row r="121" ht="15.75" customHeight="1">
      <c r="A121" s="23"/>
      <c r="B121" s="23"/>
      <c r="C121" s="23"/>
      <c r="D121" s="23"/>
      <c r="E121" s="23"/>
      <c r="F121" s="23"/>
      <c r="G121" s="24"/>
      <c r="H121" s="31"/>
      <c r="I121" s="247"/>
      <c r="J121" s="157"/>
      <c r="K121" s="248"/>
      <c r="L121" s="276">
        <f>L120-M120</f>
        <v>-3101000</v>
      </c>
      <c r="M121" s="54"/>
    </row>
    <row r="122" ht="15.75" customHeight="1">
      <c r="A122" s="169"/>
      <c r="B122" s="169"/>
      <c r="C122" s="169"/>
      <c r="D122" s="169"/>
      <c r="E122" s="169"/>
      <c r="F122" s="169"/>
      <c r="G122" s="170"/>
      <c r="H122" s="202"/>
      <c r="I122" s="241"/>
      <c r="J122" s="172"/>
      <c r="K122" s="203"/>
      <c r="M122" s="202"/>
    </row>
    <row r="123" ht="35.25" customHeight="1">
      <c r="A123" s="89"/>
      <c r="B123" s="257" t="s">
        <v>0</v>
      </c>
      <c r="C123" s="258" t="s">
        <v>1</v>
      </c>
      <c r="D123" s="258" t="s">
        <v>2</v>
      </c>
      <c r="E123" s="259" t="s">
        <v>3</v>
      </c>
      <c r="F123" s="258" t="s">
        <v>4</v>
      </c>
      <c r="G123" s="260" t="s">
        <v>5</v>
      </c>
      <c r="H123" s="261" t="s">
        <v>6</v>
      </c>
      <c r="I123" s="262" t="s">
        <v>39</v>
      </c>
      <c r="J123" s="263" t="s">
        <v>7</v>
      </c>
      <c r="K123" s="264" t="s">
        <v>39</v>
      </c>
      <c r="L123" s="262" t="s">
        <v>8</v>
      </c>
      <c r="M123" s="265" t="s">
        <v>9</v>
      </c>
    </row>
    <row r="124" ht="15.75" customHeight="1">
      <c r="A124" s="155"/>
      <c r="B124" s="51">
        <v>45231.0</v>
      </c>
      <c r="C124" s="11" t="s">
        <v>725</v>
      </c>
      <c r="D124" s="11" t="s">
        <v>588</v>
      </c>
      <c r="E124" s="11" t="s">
        <v>30</v>
      </c>
      <c r="F124" s="11" t="s">
        <v>61</v>
      </c>
      <c r="G124" s="12">
        <v>9000.0</v>
      </c>
      <c r="H124" s="16">
        <v>675000.0</v>
      </c>
      <c r="I124" s="274" t="s">
        <v>44</v>
      </c>
      <c r="J124" s="156">
        <v>350000.0</v>
      </c>
      <c r="K124" s="277" t="s">
        <v>42</v>
      </c>
      <c r="L124" s="62">
        <f t="shared" ref="L124:L129" si="16">H124-J124</f>
        <v>325000</v>
      </c>
      <c r="M124" s="16">
        <v>185000.0</v>
      </c>
    </row>
    <row r="125" ht="15.75" customHeight="1">
      <c r="A125" s="155"/>
      <c r="B125" s="51">
        <v>45232.0</v>
      </c>
      <c r="C125" s="11" t="s">
        <v>725</v>
      </c>
      <c r="D125" s="11" t="s">
        <v>588</v>
      </c>
      <c r="E125" s="11"/>
      <c r="F125" s="11"/>
      <c r="G125" s="18"/>
      <c r="H125" s="16"/>
      <c r="I125" s="274"/>
      <c r="J125" s="156"/>
      <c r="K125" s="277"/>
      <c r="L125" s="62">
        <f t="shared" si="16"/>
        <v>0</v>
      </c>
      <c r="M125" s="16">
        <v>937000.0</v>
      </c>
    </row>
    <row r="126" ht="15.75" customHeight="1">
      <c r="A126" s="155"/>
      <c r="B126" s="51">
        <v>45233.0</v>
      </c>
      <c r="C126" s="11" t="s">
        <v>725</v>
      </c>
      <c r="D126" s="11" t="s">
        <v>588</v>
      </c>
      <c r="E126" s="11" t="s">
        <v>30</v>
      </c>
      <c r="F126" s="11" t="s">
        <v>79</v>
      </c>
      <c r="G126" s="12">
        <v>8500.0</v>
      </c>
      <c r="H126" s="16">
        <v>1100000.0</v>
      </c>
      <c r="I126" s="274" t="s">
        <v>42</v>
      </c>
      <c r="J126" s="156">
        <v>640000.0</v>
      </c>
      <c r="K126" s="277" t="s">
        <v>42</v>
      </c>
      <c r="L126" s="62">
        <f t="shared" si="16"/>
        <v>460000</v>
      </c>
      <c r="M126" s="16">
        <v>0.0</v>
      </c>
    </row>
    <row r="127" ht="15.75" customHeight="1">
      <c r="A127" s="155"/>
      <c r="B127" s="51">
        <v>45234.0</v>
      </c>
      <c r="C127" s="11" t="s">
        <v>725</v>
      </c>
      <c r="D127" s="11" t="s">
        <v>588</v>
      </c>
      <c r="E127" s="11"/>
      <c r="F127" s="11"/>
      <c r="G127" s="18"/>
      <c r="H127" s="16"/>
      <c r="I127" s="274"/>
      <c r="J127" s="156"/>
      <c r="K127" s="277"/>
      <c r="L127" s="62">
        <f t="shared" si="16"/>
        <v>0</v>
      </c>
      <c r="M127" s="16">
        <v>350000.0</v>
      </c>
    </row>
    <row r="128" ht="15.75" customHeight="1">
      <c r="A128" s="155"/>
      <c r="B128" s="51">
        <v>45236.0</v>
      </c>
      <c r="C128" s="11" t="s">
        <v>725</v>
      </c>
      <c r="D128" s="11" t="s">
        <v>588</v>
      </c>
      <c r="E128" s="11" t="s">
        <v>30</v>
      </c>
      <c r="F128" s="11" t="s">
        <v>34</v>
      </c>
      <c r="G128" s="12">
        <v>9000.0</v>
      </c>
      <c r="H128" s="16">
        <v>1215000.0</v>
      </c>
      <c r="I128" s="274" t="s">
        <v>44</v>
      </c>
      <c r="J128" s="156">
        <v>700000.0</v>
      </c>
      <c r="K128" s="277" t="s">
        <v>42</v>
      </c>
      <c r="L128" s="62">
        <f t="shared" si="16"/>
        <v>515000</v>
      </c>
      <c r="M128" s="16">
        <v>0.0</v>
      </c>
    </row>
    <row r="129" ht="15.75" customHeight="1">
      <c r="A129" s="155"/>
      <c r="B129" s="51">
        <v>45237.0</v>
      </c>
      <c r="C129" s="11" t="s">
        <v>725</v>
      </c>
      <c r="D129" s="11" t="s">
        <v>588</v>
      </c>
      <c r="E129" s="11" t="s">
        <v>30</v>
      </c>
      <c r="F129" s="11" t="s">
        <v>79</v>
      </c>
      <c r="G129" s="12">
        <v>8500.0</v>
      </c>
      <c r="H129" s="278">
        <v>1100000.0</v>
      </c>
      <c r="I129" s="274"/>
      <c r="J129" s="156">
        <v>640000.0</v>
      </c>
      <c r="K129" s="277" t="s">
        <v>42</v>
      </c>
      <c r="L129" s="62">
        <f t="shared" si="16"/>
        <v>460000</v>
      </c>
      <c r="M129" s="16">
        <v>0.0</v>
      </c>
    </row>
    <row r="130" ht="15.75" customHeight="1">
      <c r="A130" s="23"/>
      <c r="B130" s="23"/>
      <c r="C130" s="23"/>
      <c r="D130" s="23"/>
      <c r="E130" s="23"/>
      <c r="F130" s="23"/>
      <c r="G130" s="24"/>
      <c r="H130" s="31"/>
      <c r="I130" s="279"/>
      <c r="J130" s="157"/>
      <c r="K130" s="280"/>
      <c r="L130" s="275">
        <f t="shared" ref="L130:M130" si="17">SUM(L124:L129)</f>
        <v>1760000</v>
      </c>
      <c r="M130" s="53">
        <f t="shared" si="17"/>
        <v>1472000</v>
      </c>
    </row>
    <row r="131" ht="15.75" customHeight="1">
      <c r="A131" s="23"/>
      <c r="B131" s="23"/>
      <c r="C131" s="23"/>
      <c r="D131" s="23"/>
      <c r="E131" s="23"/>
      <c r="F131" s="23"/>
      <c r="G131" s="24"/>
      <c r="H131" s="31"/>
      <c r="I131" s="279"/>
      <c r="J131" s="157"/>
      <c r="K131" s="280"/>
      <c r="L131" s="276">
        <f>L130-M130</f>
        <v>288000</v>
      </c>
      <c r="M131" s="54"/>
    </row>
    <row r="132" ht="25.5" customHeight="1">
      <c r="A132" s="89"/>
      <c r="B132" s="257" t="s">
        <v>0</v>
      </c>
      <c r="C132" s="258" t="s">
        <v>1</v>
      </c>
      <c r="D132" s="258" t="s">
        <v>2</v>
      </c>
      <c r="E132" s="259" t="s">
        <v>3</v>
      </c>
      <c r="F132" s="258" t="s">
        <v>4</v>
      </c>
      <c r="G132" s="260" t="s">
        <v>5</v>
      </c>
      <c r="H132" s="261" t="s">
        <v>6</v>
      </c>
      <c r="I132" s="262" t="s">
        <v>39</v>
      </c>
      <c r="J132" s="263" t="s">
        <v>7</v>
      </c>
      <c r="K132" s="264" t="s">
        <v>39</v>
      </c>
      <c r="L132" s="262" t="s">
        <v>8</v>
      </c>
      <c r="M132" s="265" t="s">
        <v>9</v>
      </c>
    </row>
    <row r="133" ht="15.75" customHeight="1">
      <c r="A133" s="178"/>
      <c r="B133" s="71">
        <v>45357.0</v>
      </c>
      <c r="C133" s="72" t="s">
        <v>726</v>
      </c>
      <c r="D133" s="72" t="s">
        <v>588</v>
      </c>
      <c r="E133" s="72" t="s">
        <v>30</v>
      </c>
      <c r="F133" s="72" t="s">
        <v>54</v>
      </c>
      <c r="G133" s="12">
        <v>9000.0</v>
      </c>
      <c r="H133" s="76">
        <v>1200000.0</v>
      </c>
      <c r="I133" s="281" t="s">
        <v>42</v>
      </c>
      <c r="J133" s="180">
        <v>640000.0</v>
      </c>
      <c r="K133" s="282" t="s">
        <v>42</v>
      </c>
      <c r="L133" s="283">
        <f t="shared" ref="L133:L155" si="18">H133-J133</f>
        <v>560000</v>
      </c>
      <c r="M133" s="76">
        <v>100000.0</v>
      </c>
    </row>
    <row r="134" ht="15.75" customHeight="1">
      <c r="A134" s="178"/>
      <c r="B134" s="71">
        <v>45358.0</v>
      </c>
      <c r="C134" s="72" t="s">
        <v>726</v>
      </c>
      <c r="D134" s="72" t="s">
        <v>588</v>
      </c>
      <c r="E134" s="72" t="s">
        <v>30</v>
      </c>
      <c r="F134" s="72" t="s">
        <v>94</v>
      </c>
      <c r="G134" s="12">
        <v>8500.0</v>
      </c>
      <c r="H134" s="76">
        <v>1200000.0</v>
      </c>
      <c r="I134" s="281" t="s">
        <v>42</v>
      </c>
      <c r="J134" s="180">
        <v>640000.0</v>
      </c>
      <c r="K134" s="282" t="s">
        <v>42</v>
      </c>
      <c r="L134" s="283">
        <f t="shared" si="18"/>
        <v>560000</v>
      </c>
      <c r="M134" s="76">
        <v>215000.0</v>
      </c>
    </row>
    <row r="135" ht="15.75" customHeight="1">
      <c r="A135" s="178"/>
      <c r="B135" s="71">
        <v>45359.0</v>
      </c>
      <c r="C135" s="72" t="s">
        <v>726</v>
      </c>
      <c r="D135" s="72" t="s">
        <v>588</v>
      </c>
      <c r="E135" s="72" t="s">
        <v>30</v>
      </c>
      <c r="F135" s="72" t="s">
        <v>463</v>
      </c>
      <c r="G135" s="12">
        <v>9000.0</v>
      </c>
      <c r="H135" s="76">
        <v>1170000.0</v>
      </c>
      <c r="I135" s="281" t="s">
        <v>42</v>
      </c>
      <c r="J135" s="180">
        <v>640000.0</v>
      </c>
      <c r="K135" s="282" t="s">
        <v>42</v>
      </c>
      <c r="L135" s="283">
        <f t="shared" si="18"/>
        <v>530000</v>
      </c>
      <c r="M135" s="76"/>
    </row>
    <row r="136" ht="15.75" customHeight="1">
      <c r="A136" s="178"/>
      <c r="B136" s="71">
        <v>45360.0</v>
      </c>
      <c r="C136" s="72" t="s">
        <v>726</v>
      </c>
      <c r="D136" s="72" t="s">
        <v>588</v>
      </c>
      <c r="E136" s="72" t="s">
        <v>30</v>
      </c>
      <c r="F136" s="72" t="s">
        <v>55</v>
      </c>
      <c r="G136" s="12">
        <v>8500.0</v>
      </c>
      <c r="H136" s="76">
        <v>1235000.0</v>
      </c>
      <c r="I136" s="281" t="s">
        <v>44</v>
      </c>
      <c r="J136" s="180">
        <v>700000.0</v>
      </c>
      <c r="K136" s="282" t="s">
        <v>42</v>
      </c>
      <c r="L136" s="283">
        <f t="shared" si="18"/>
        <v>535000</v>
      </c>
      <c r="M136" s="76"/>
    </row>
    <row r="137" ht="15.75" customHeight="1">
      <c r="A137" s="178"/>
      <c r="B137" s="71">
        <v>45363.0</v>
      </c>
      <c r="C137" s="72" t="s">
        <v>726</v>
      </c>
      <c r="D137" s="72" t="s">
        <v>588</v>
      </c>
      <c r="E137" s="72" t="s">
        <v>30</v>
      </c>
      <c r="F137" s="72" t="s">
        <v>79</v>
      </c>
      <c r="G137" s="12">
        <v>8500.0</v>
      </c>
      <c r="H137" s="76">
        <v>1100000.0</v>
      </c>
      <c r="I137" s="281" t="s">
        <v>42</v>
      </c>
      <c r="J137" s="180">
        <v>640000.0</v>
      </c>
      <c r="K137" s="282" t="s">
        <v>42</v>
      </c>
      <c r="L137" s="283">
        <f t="shared" si="18"/>
        <v>460000</v>
      </c>
      <c r="M137" s="76"/>
    </row>
    <row r="138" ht="15.75" customHeight="1">
      <c r="A138" s="178"/>
      <c r="B138" s="71">
        <v>45364.0</v>
      </c>
      <c r="C138" s="72" t="s">
        <v>726</v>
      </c>
      <c r="D138" s="72" t="s">
        <v>588</v>
      </c>
      <c r="E138" s="72" t="s">
        <v>40</v>
      </c>
      <c r="F138" s="72" t="s">
        <v>79</v>
      </c>
      <c r="G138" s="12">
        <v>8500.0</v>
      </c>
      <c r="H138" s="76">
        <v>1100000.0</v>
      </c>
      <c r="I138" s="281" t="s">
        <v>42</v>
      </c>
      <c r="J138" s="180">
        <v>640000.0</v>
      </c>
      <c r="K138" s="282" t="s">
        <v>42</v>
      </c>
      <c r="L138" s="283">
        <f t="shared" si="18"/>
        <v>460000</v>
      </c>
      <c r="M138" s="76"/>
    </row>
    <row r="139" ht="15.75" customHeight="1">
      <c r="A139" s="178"/>
      <c r="B139" s="71">
        <v>45365.0</v>
      </c>
      <c r="C139" s="72" t="s">
        <v>726</v>
      </c>
      <c r="D139" s="72" t="s">
        <v>588</v>
      </c>
      <c r="E139" s="72" t="s">
        <v>37</v>
      </c>
      <c r="F139" s="72" t="s">
        <v>43</v>
      </c>
      <c r="G139" s="12">
        <v>9000.0</v>
      </c>
      <c r="H139" s="76">
        <v>1350000.0</v>
      </c>
      <c r="I139" s="281" t="s">
        <v>44</v>
      </c>
      <c r="J139" s="180">
        <v>800000.0</v>
      </c>
      <c r="K139" s="282" t="s">
        <v>42</v>
      </c>
      <c r="L139" s="283">
        <f t="shared" si="18"/>
        <v>550000</v>
      </c>
      <c r="M139" s="76"/>
    </row>
    <row r="140" ht="15.75" customHeight="1">
      <c r="A140" s="178"/>
      <c r="B140" s="71">
        <v>45366.0</v>
      </c>
      <c r="C140" s="72" t="s">
        <v>726</v>
      </c>
      <c r="D140" s="72" t="s">
        <v>588</v>
      </c>
      <c r="E140" s="72" t="s">
        <v>37</v>
      </c>
      <c r="F140" s="72" t="s">
        <v>727</v>
      </c>
      <c r="G140" s="12">
        <v>9000.0</v>
      </c>
      <c r="H140" s="76">
        <v>1000000.0</v>
      </c>
      <c r="I140" s="281" t="s">
        <v>42</v>
      </c>
      <c r="J140" s="180">
        <v>550000.0</v>
      </c>
      <c r="K140" s="282" t="s">
        <v>42</v>
      </c>
      <c r="L140" s="283">
        <f t="shared" si="18"/>
        <v>450000</v>
      </c>
      <c r="M140" s="76"/>
    </row>
    <row r="141" ht="15.75" customHeight="1">
      <c r="A141" s="178"/>
      <c r="B141" s="71">
        <v>45367.0</v>
      </c>
      <c r="C141" s="72" t="s">
        <v>726</v>
      </c>
      <c r="D141" s="72" t="s">
        <v>588</v>
      </c>
      <c r="E141" s="72"/>
      <c r="F141" s="72"/>
      <c r="G141" s="78"/>
      <c r="H141" s="76"/>
      <c r="I141" s="281"/>
      <c r="J141" s="180"/>
      <c r="K141" s="282"/>
      <c r="L141" s="283">
        <f t="shared" si="18"/>
        <v>0</v>
      </c>
      <c r="M141" s="76">
        <v>360000.0</v>
      </c>
    </row>
    <row r="142" ht="15.75" customHeight="1">
      <c r="A142" s="178"/>
      <c r="B142" s="71">
        <v>45369.0</v>
      </c>
      <c r="C142" s="72" t="s">
        <v>726</v>
      </c>
      <c r="D142" s="72" t="s">
        <v>588</v>
      </c>
      <c r="E142" s="72" t="s">
        <v>40</v>
      </c>
      <c r="F142" s="72" t="s">
        <v>94</v>
      </c>
      <c r="G142" s="12">
        <v>8500.0</v>
      </c>
      <c r="H142" s="76">
        <v>1200000.0</v>
      </c>
      <c r="I142" s="281" t="s">
        <v>44</v>
      </c>
      <c r="J142" s="180">
        <v>640000.0</v>
      </c>
      <c r="K142" s="282" t="s">
        <v>44</v>
      </c>
      <c r="L142" s="283">
        <f t="shared" si="18"/>
        <v>560000</v>
      </c>
      <c r="M142" s="76"/>
    </row>
    <row r="143" ht="15.75" customHeight="1">
      <c r="A143" s="178"/>
      <c r="B143" s="71">
        <v>45370.0</v>
      </c>
      <c r="C143" s="72" t="s">
        <v>726</v>
      </c>
      <c r="D143" s="72" t="s">
        <v>588</v>
      </c>
      <c r="E143" s="72" t="s">
        <v>37</v>
      </c>
      <c r="F143" s="72" t="s">
        <v>43</v>
      </c>
      <c r="G143" s="12">
        <v>9000.0</v>
      </c>
      <c r="H143" s="76">
        <v>1350000.0</v>
      </c>
      <c r="I143" s="281" t="s">
        <v>44</v>
      </c>
      <c r="J143" s="180">
        <v>800000.0</v>
      </c>
      <c r="K143" s="282" t="s">
        <v>44</v>
      </c>
      <c r="L143" s="283">
        <f t="shared" si="18"/>
        <v>550000</v>
      </c>
      <c r="M143" s="76"/>
    </row>
    <row r="144" ht="15.75" customHeight="1">
      <c r="A144" s="178"/>
      <c r="B144" s="71">
        <v>45371.0</v>
      </c>
      <c r="C144" s="72" t="s">
        <v>726</v>
      </c>
      <c r="D144" s="72" t="s">
        <v>588</v>
      </c>
      <c r="E144" s="72" t="s">
        <v>37</v>
      </c>
      <c r="F144" s="72" t="s">
        <v>465</v>
      </c>
      <c r="G144" s="12">
        <v>9000.0</v>
      </c>
      <c r="H144" s="76">
        <v>700000.0</v>
      </c>
      <c r="I144" s="281" t="s">
        <v>44</v>
      </c>
      <c r="J144" s="180">
        <v>400000.0</v>
      </c>
      <c r="K144" s="282" t="s">
        <v>44</v>
      </c>
      <c r="L144" s="283">
        <f t="shared" si="18"/>
        <v>300000</v>
      </c>
      <c r="M144" s="76"/>
    </row>
    <row r="145" ht="15.75" customHeight="1">
      <c r="A145" s="178"/>
      <c r="B145" s="71">
        <v>45371.0</v>
      </c>
      <c r="C145" s="72" t="s">
        <v>726</v>
      </c>
      <c r="D145" s="72" t="s">
        <v>588</v>
      </c>
      <c r="E145" s="72" t="s">
        <v>37</v>
      </c>
      <c r="F145" s="72" t="s">
        <v>43</v>
      </c>
      <c r="G145" s="12">
        <v>9000.0</v>
      </c>
      <c r="H145" s="76">
        <v>1350000.0</v>
      </c>
      <c r="I145" s="281" t="s">
        <v>44</v>
      </c>
      <c r="J145" s="180">
        <v>800000.0</v>
      </c>
      <c r="K145" s="282" t="s">
        <v>44</v>
      </c>
      <c r="L145" s="283">
        <f t="shared" si="18"/>
        <v>550000</v>
      </c>
      <c r="M145" s="76"/>
    </row>
    <row r="146" ht="15.75" customHeight="1">
      <c r="A146" s="178"/>
      <c r="B146" s="71">
        <v>45372.0</v>
      </c>
      <c r="C146" s="72" t="s">
        <v>726</v>
      </c>
      <c r="D146" s="72" t="s">
        <v>588</v>
      </c>
      <c r="E146" s="72" t="s">
        <v>37</v>
      </c>
      <c r="F146" s="72" t="s">
        <v>397</v>
      </c>
      <c r="G146" s="179">
        <v>9000.0</v>
      </c>
      <c r="H146" s="76">
        <v>765000.0</v>
      </c>
      <c r="I146" s="281" t="s">
        <v>44</v>
      </c>
      <c r="J146" s="180">
        <v>450000.0</v>
      </c>
      <c r="K146" s="282" t="s">
        <v>44</v>
      </c>
      <c r="L146" s="283">
        <f t="shared" si="18"/>
        <v>315000</v>
      </c>
      <c r="M146" s="76"/>
    </row>
    <row r="147" ht="15.75" customHeight="1">
      <c r="A147" s="178"/>
      <c r="B147" s="71">
        <v>45373.0</v>
      </c>
      <c r="C147" s="72" t="s">
        <v>726</v>
      </c>
      <c r="D147" s="72" t="s">
        <v>588</v>
      </c>
      <c r="E147" s="72" t="s">
        <v>37</v>
      </c>
      <c r="F147" s="72" t="s">
        <v>43</v>
      </c>
      <c r="G147" s="179">
        <v>9000.0</v>
      </c>
      <c r="H147" s="76">
        <v>1350000.0</v>
      </c>
      <c r="I147" s="281" t="s">
        <v>44</v>
      </c>
      <c r="J147" s="180">
        <v>800000.0</v>
      </c>
      <c r="K147" s="282" t="s">
        <v>44</v>
      </c>
      <c r="L147" s="283">
        <f t="shared" si="18"/>
        <v>550000</v>
      </c>
      <c r="M147" s="76"/>
    </row>
    <row r="148" ht="15.75" customHeight="1">
      <c r="A148" s="178"/>
      <c r="B148" s="71">
        <v>45374.0</v>
      </c>
      <c r="C148" s="72" t="s">
        <v>726</v>
      </c>
      <c r="D148" s="72" t="s">
        <v>588</v>
      </c>
      <c r="E148" s="72" t="s">
        <v>92</v>
      </c>
      <c r="F148" s="72" t="s">
        <v>728</v>
      </c>
      <c r="G148" s="179">
        <v>9000.0</v>
      </c>
      <c r="H148" s="76">
        <v>720000.0</v>
      </c>
      <c r="I148" s="281" t="s">
        <v>44</v>
      </c>
      <c r="J148" s="180">
        <v>350000.0</v>
      </c>
      <c r="K148" s="282" t="s">
        <v>42</v>
      </c>
      <c r="L148" s="283">
        <f t="shared" si="18"/>
        <v>370000</v>
      </c>
      <c r="M148" s="76"/>
    </row>
    <row r="149" ht="15.75" customHeight="1">
      <c r="A149" s="178"/>
      <c r="B149" s="71">
        <v>45374.0</v>
      </c>
      <c r="C149" s="72" t="s">
        <v>726</v>
      </c>
      <c r="D149" s="72" t="s">
        <v>588</v>
      </c>
      <c r="E149" s="72" t="s">
        <v>92</v>
      </c>
      <c r="F149" s="72" t="s">
        <v>198</v>
      </c>
      <c r="G149" s="179">
        <v>9000.0</v>
      </c>
      <c r="H149" s="76">
        <v>1215000.0</v>
      </c>
      <c r="I149" s="281" t="s">
        <v>44</v>
      </c>
      <c r="J149" s="180">
        <v>700000.0</v>
      </c>
      <c r="K149" s="282" t="s">
        <v>44</v>
      </c>
      <c r="L149" s="283">
        <f t="shared" si="18"/>
        <v>515000</v>
      </c>
      <c r="M149" s="76"/>
    </row>
    <row r="150" ht="15.75" customHeight="1">
      <c r="A150" s="178"/>
      <c r="B150" s="71">
        <v>45376.0</v>
      </c>
      <c r="C150" s="72" t="s">
        <v>726</v>
      </c>
      <c r="D150" s="72" t="s">
        <v>588</v>
      </c>
      <c r="E150" s="72" t="s">
        <v>37</v>
      </c>
      <c r="F150" s="72" t="s">
        <v>43</v>
      </c>
      <c r="G150" s="179">
        <v>9000.0</v>
      </c>
      <c r="H150" s="76">
        <v>1350000.0</v>
      </c>
      <c r="I150" s="281" t="s">
        <v>44</v>
      </c>
      <c r="J150" s="180">
        <v>800000.0</v>
      </c>
      <c r="K150" s="282" t="s">
        <v>42</v>
      </c>
      <c r="L150" s="283">
        <f t="shared" si="18"/>
        <v>550000</v>
      </c>
      <c r="M150" s="76">
        <v>50000.0</v>
      </c>
    </row>
    <row r="151" ht="15.75" customHeight="1">
      <c r="A151" s="178"/>
      <c r="B151" s="71">
        <v>45377.0</v>
      </c>
      <c r="C151" s="72" t="s">
        <v>726</v>
      </c>
      <c r="D151" s="72" t="s">
        <v>588</v>
      </c>
      <c r="E151" s="72" t="s">
        <v>92</v>
      </c>
      <c r="F151" s="72" t="s">
        <v>43</v>
      </c>
      <c r="G151" s="179">
        <v>9000.0</v>
      </c>
      <c r="H151" s="76">
        <v>1350000.0</v>
      </c>
      <c r="I151" s="281" t="s">
        <v>44</v>
      </c>
      <c r="J151" s="180">
        <v>800000.0</v>
      </c>
      <c r="K151" s="282" t="s">
        <v>44</v>
      </c>
      <c r="L151" s="283">
        <f t="shared" si="18"/>
        <v>550000</v>
      </c>
      <c r="M151" s="76"/>
    </row>
    <row r="152" ht="15.0" customHeight="1">
      <c r="A152" s="178"/>
      <c r="B152" s="71">
        <v>45378.0</v>
      </c>
      <c r="C152" s="72" t="s">
        <v>726</v>
      </c>
      <c r="D152" s="72" t="s">
        <v>588</v>
      </c>
      <c r="E152" s="72" t="s">
        <v>30</v>
      </c>
      <c r="F152" s="72" t="s">
        <v>54</v>
      </c>
      <c r="G152" s="179">
        <v>9000.0</v>
      </c>
      <c r="H152" s="76">
        <v>1200000.0</v>
      </c>
      <c r="I152" s="281" t="s">
        <v>42</v>
      </c>
      <c r="J152" s="180">
        <v>640000.0</v>
      </c>
      <c r="K152" s="282" t="s">
        <v>42</v>
      </c>
      <c r="L152" s="283">
        <f t="shared" si="18"/>
        <v>560000</v>
      </c>
      <c r="M152" s="76"/>
    </row>
    <row r="153" ht="15.0" customHeight="1">
      <c r="A153" s="178"/>
      <c r="B153" s="71">
        <v>45379.0</v>
      </c>
      <c r="C153" s="72" t="s">
        <v>726</v>
      </c>
      <c r="D153" s="72" t="s">
        <v>588</v>
      </c>
      <c r="E153" s="72" t="s">
        <v>37</v>
      </c>
      <c r="F153" s="72" t="s">
        <v>729</v>
      </c>
      <c r="G153" s="179">
        <v>9000.0</v>
      </c>
      <c r="H153" s="76">
        <v>700000.0</v>
      </c>
      <c r="I153" s="281" t="s">
        <v>42</v>
      </c>
      <c r="J153" s="180">
        <v>400000.0</v>
      </c>
      <c r="K153" s="282" t="s">
        <v>42</v>
      </c>
      <c r="L153" s="283">
        <f t="shared" si="18"/>
        <v>300000</v>
      </c>
      <c r="M153" s="76"/>
    </row>
    <row r="154" ht="15.75" customHeight="1">
      <c r="A154" s="178"/>
      <c r="B154" s="71">
        <v>45379.0</v>
      </c>
      <c r="C154" s="72" t="s">
        <v>726</v>
      </c>
      <c r="D154" s="72" t="s">
        <v>588</v>
      </c>
      <c r="E154" s="72" t="s">
        <v>37</v>
      </c>
      <c r="F154" s="72" t="s">
        <v>103</v>
      </c>
      <c r="G154" s="179">
        <v>9000.0</v>
      </c>
      <c r="H154" s="76">
        <v>675000.0</v>
      </c>
      <c r="I154" s="281" t="s">
        <v>42</v>
      </c>
      <c r="J154" s="180">
        <v>375000.0</v>
      </c>
      <c r="K154" s="282" t="s">
        <v>42</v>
      </c>
      <c r="L154" s="283">
        <f t="shared" si="18"/>
        <v>300000</v>
      </c>
      <c r="M154" s="76"/>
    </row>
    <row r="155" ht="15.75" customHeight="1">
      <c r="A155" s="178"/>
      <c r="B155" s="71">
        <v>45381.0</v>
      </c>
      <c r="C155" s="72" t="s">
        <v>726</v>
      </c>
      <c r="D155" s="72" t="s">
        <v>588</v>
      </c>
      <c r="E155" s="72" t="s">
        <v>37</v>
      </c>
      <c r="F155" s="72" t="s">
        <v>397</v>
      </c>
      <c r="G155" s="179">
        <v>9000.0</v>
      </c>
      <c r="H155" s="76">
        <v>765000.0</v>
      </c>
      <c r="I155" s="281" t="s">
        <v>44</v>
      </c>
      <c r="J155" s="180">
        <v>450000.0</v>
      </c>
      <c r="K155" s="284" t="s">
        <v>42</v>
      </c>
      <c r="L155" s="283">
        <f t="shared" si="18"/>
        <v>315000</v>
      </c>
      <c r="M155" s="76">
        <v>222500.0</v>
      </c>
    </row>
    <row r="156" ht="15.75" customHeight="1">
      <c r="A156" s="169"/>
      <c r="B156" s="169"/>
      <c r="C156" s="169"/>
      <c r="D156" s="169"/>
      <c r="E156" s="169"/>
      <c r="F156" s="169"/>
      <c r="G156" s="170"/>
      <c r="H156" s="202"/>
      <c r="I156" s="241"/>
      <c r="J156" s="172"/>
      <c r="K156" s="203"/>
      <c r="L156" s="52">
        <f t="shared" ref="L156:M156" si="19">SUM(L133:L155)</f>
        <v>10390000</v>
      </c>
      <c r="M156" s="30">
        <f t="shared" si="19"/>
        <v>947500</v>
      </c>
    </row>
    <row r="157" ht="15.75" customHeight="1">
      <c r="A157" s="169"/>
      <c r="B157" s="169"/>
      <c r="C157" s="169"/>
      <c r="D157" s="169"/>
      <c r="E157" s="169"/>
      <c r="F157" s="169"/>
      <c r="G157" s="170"/>
      <c r="H157" s="202"/>
      <c r="I157" s="241"/>
      <c r="J157" s="172"/>
      <c r="K157" s="203"/>
      <c r="L157" s="33">
        <f>L156-M156</f>
        <v>9442500</v>
      </c>
      <c r="M157" s="202"/>
    </row>
    <row r="158" ht="15.75" customHeight="1">
      <c r="A158" s="169"/>
      <c r="B158" s="169"/>
      <c r="C158" s="169"/>
      <c r="D158" s="169"/>
      <c r="E158" s="169"/>
      <c r="F158" s="169"/>
      <c r="G158" s="170"/>
      <c r="H158" s="202"/>
      <c r="I158" s="241"/>
      <c r="J158" s="172"/>
      <c r="K158" s="203"/>
      <c r="M158" s="202"/>
    </row>
    <row r="159" ht="30.0" customHeight="1">
      <c r="A159" s="89"/>
      <c r="B159" s="285" t="s">
        <v>0</v>
      </c>
      <c r="C159" s="285" t="s">
        <v>1</v>
      </c>
      <c r="D159" s="285" t="s">
        <v>2</v>
      </c>
      <c r="E159" s="286" t="s">
        <v>3</v>
      </c>
      <c r="F159" s="285" t="s">
        <v>4</v>
      </c>
      <c r="G159" s="287" t="s">
        <v>5</v>
      </c>
      <c r="H159" s="288" t="s">
        <v>6</v>
      </c>
      <c r="I159" s="289" t="s">
        <v>39</v>
      </c>
      <c r="J159" s="290" t="s">
        <v>7</v>
      </c>
      <c r="K159" s="291" t="s">
        <v>39</v>
      </c>
      <c r="L159" s="289" t="s">
        <v>8</v>
      </c>
      <c r="M159" s="288" t="s">
        <v>9</v>
      </c>
    </row>
    <row r="160" ht="15.75" customHeight="1">
      <c r="A160" s="86"/>
      <c r="B160" s="86">
        <v>45383.0</v>
      </c>
      <c r="C160" s="17" t="s">
        <v>726</v>
      </c>
      <c r="D160" s="17" t="s">
        <v>588</v>
      </c>
      <c r="E160" s="17" t="s">
        <v>50</v>
      </c>
      <c r="F160" s="17" t="s">
        <v>397</v>
      </c>
      <c r="G160" s="88">
        <v>9000.0</v>
      </c>
      <c r="H160" s="58">
        <v>765000.0</v>
      </c>
      <c r="I160" s="96" t="s">
        <v>44</v>
      </c>
      <c r="J160" s="105">
        <v>450000.0</v>
      </c>
      <c r="K160" s="60" t="s">
        <v>44</v>
      </c>
      <c r="L160" s="58">
        <f t="shared" ref="L160:L172" si="20">H160-J160</f>
        <v>315000</v>
      </c>
      <c r="M160" s="61"/>
    </row>
    <row r="161" ht="15.75" customHeight="1">
      <c r="A161" s="86"/>
      <c r="B161" s="86">
        <v>45384.0</v>
      </c>
      <c r="C161" s="17" t="s">
        <v>726</v>
      </c>
      <c r="D161" s="17" t="s">
        <v>588</v>
      </c>
      <c r="E161" s="17" t="s">
        <v>37</v>
      </c>
      <c r="F161" s="17" t="s">
        <v>34</v>
      </c>
      <c r="G161" s="88">
        <v>9000.0</v>
      </c>
      <c r="H161" s="58">
        <v>1215000.0</v>
      </c>
      <c r="I161" s="96" t="s">
        <v>44</v>
      </c>
      <c r="J161" s="105">
        <v>700000.0</v>
      </c>
      <c r="K161" s="60" t="s">
        <v>42</v>
      </c>
      <c r="L161" s="58">
        <f t="shared" si="20"/>
        <v>515000</v>
      </c>
      <c r="M161" s="61"/>
    </row>
    <row r="162" ht="15.75" customHeight="1">
      <c r="A162" s="86"/>
      <c r="B162" s="86">
        <v>45385.0</v>
      </c>
      <c r="C162" s="17" t="s">
        <v>726</v>
      </c>
      <c r="D162" s="17" t="s">
        <v>588</v>
      </c>
      <c r="E162" s="17" t="s">
        <v>30</v>
      </c>
      <c r="F162" s="17" t="s">
        <v>55</v>
      </c>
      <c r="G162" s="88">
        <v>8500.0</v>
      </c>
      <c r="H162" s="58">
        <v>1235000.0</v>
      </c>
      <c r="I162" s="96" t="s">
        <v>44</v>
      </c>
      <c r="J162" s="105">
        <v>700000.0</v>
      </c>
      <c r="K162" s="60" t="s">
        <v>42</v>
      </c>
      <c r="L162" s="58">
        <f t="shared" si="20"/>
        <v>535000</v>
      </c>
      <c r="M162" s="61"/>
    </row>
    <row r="163" ht="15.75" customHeight="1">
      <c r="A163" s="86"/>
      <c r="B163" s="86">
        <v>45386.0</v>
      </c>
      <c r="C163" s="17" t="s">
        <v>726</v>
      </c>
      <c r="D163" s="17" t="s">
        <v>588</v>
      </c>
      <c r="E163" s="17" t="s">
        <v>30</v>
      </c>
      <c r="F163" s="17" t="s">
        <v>109</v>
      </c>
      <c r="G163" s="88">
        <v>9000.0</v>
      </c>
      <c r="H163" s="58">
        <v>720000.0</v>
      </c>
      <c r="I163" s="96" t="s">
        <v>42</v>
      </c>
      <c r="J163" s="105">
        <v>350000.0</v>
      </c>
      <c r="K163" s="60" t="s">
        <v>42</v>
      </c>
      <c r="L163" s="58">
        <f t="shared" si="20"/>
        <v>370000</v>
      </c>
      <c r="M163" s="61"/>
    </row>
    <row r="164" ht="15.75" customHeight="1">
      <c r="A164" s="86"/>
      <c r="B164" s="86">
        <v>45386.0</v>
      </c>
      <c r="C164" s="17" t="s">
        <v>726</v>
      </c>
      <c r="D164" s="17" t="s">
        <v>588</v>
      </c>
      <c r="E164" s="17" t="s">
        <v>83</v>
      </c>
      <c r="F164" s="17" t="s">
        <v>199</v>
      </c>
      <c r="G164" s="88">
        <v>9000.0</v>
      </c>
      <c r="H164" s="58">
        <v>1125000.0</v>
      </c>
      <c r="I164" s="96" t="s">
        <v>42</v>
      </c>
      <c r="J164" s="105">
        <v>640000.0</v>
      </c>
      <c r="K164" s="60" t="s">
        <v>42</v>
      </c>
      <c r="L164" s="58">
        <f t="shared" si="20"/>
        <v>485000</v>
      </c>
      <c r="M164" s="61"/>
    </row>
    <row r="165" ht="15.75" customHeight="1">
      <c r="A165" s="86"/>
      <c r="B165" s="86">
        <v>45387.0</v>
      </c>
      <c r="C165" s="17" t="s">
        <v>726</v>
      </c>
      <c r="D165" s="17" t="s">
        <v>588</v>
      </c>
      <c r="E165" s="17" t="s">
        <v>37</v>
      </c>
      <c r="F165" s="17" t="s">
        <v>66</v>
      </c>
      <c r="G165" s="88">
        <v>9000.0</v>
      </c>
      <c r="H165" s="58">
        <v>675000.0</v>
      </c>
      <c r="I165" s="96" t="s">
        <v>42</v>
      </c>
      <c r="J165" s="105">
        <v>350000.0</v>
      </c>
      <c r="K165" s="60" t="s">
        <v>42</v>
      </c>
      <c r="L165" s="58">
        <f t="shared" si="20"/>
        <v>325000</v>
      </c>
      <c r="M165" s="61"/>
    </row>
    <row r="166" ht="15.75" customHeight="1">
      <c r="A166" s="86"/>
      <c r="B166" s="86">
        <v>45388.0</v>
      </c>
      <c r="C166" s="17" t="s">
        <v>726</v>
      </c>
      <c r="D166" s="17" t="s">
        <v>588</v>
      </c>
      <c r="E166" s="17" t="s">
        <v>30</v>
      </c>
      <c r="F166" s="17" t="s">
        <v>79</v>
      </c>
      <c r="G166" s="88">
        <v>8500.0</v>
      </c>
      <c r="H166" s="58">
        <v>1100000.0</v>
      </c>
      <c r="I166" s="96" t="s">
        <v>44</v>
      </c>
      <c r="J166" s="105">
        <v>640000.0</v>
      </c>
      <c r="K166" s="60" t="s">
        <v>42</v>
      </c>
      <c r="L166" s="58">
        <f t="shared" si="20"/>
        <v>460000</v>
      </c>
      <c r="M166" s="61">
        <v>80000.0</v>
      </c>
    </row>
    <row r="167" ht="15.75" customHeight="1">
      <c r="A167" s="86"/>
      <c r="B167" s="86">
        <v>45388.0</v>
      </c>
      <c r="C167" s="17" t="s">
        <v>726</v>
      </c>
      <c r="D167" s="17" t="s">
        <v>588</v>
      </c>
      <c r="E167" s="17" t="s">
        <v>30</v>
      </c>
      <c r="F167" s="17" t="s">
        <v>66</v>
      </c>
      <c r="G167" s="88">
        <v>9000.0</v>
      </c>
      <c r="H167" s="58">
        <v>675000.0</v>
      </c>
      <c r="I167" s="96" t="s">
        <v>42</v>
      </c>
      <c r="J167" s="105">
        <v>350000.0</v>
      </c>
      <c r="K167" s="60" t="s">
        <v>42</v>
      </c>
      <c r="L167" s="58">
        <f t="shared" si="20"/>
        <v>325000</v>
      </c>
      <c r="M167" s="61"/>
    </row>
    <row r="168" ht="15.75" customHeight="1">
      <c r="A168" s="86"/>
      <c r="B168" s="86">
        <v>45397.0</v>
      </c>
      <c r="C168" s="17" t="s">
        <v>726</v>
      </c>
      <c r="D168" s="17" t="s">
        <v>588</v>
      </c>
      <c r="E168" s="17" t="s">
        <v>37</v>
      </c>
      <c r="F168" s="17" t="s">
        <v>76</v>
      </c>
      <c r="G168" s="88">
        <v>9000.0</v>
      </c>
      <c r="H168" s="58">
        <v>1350000.0</v>
      </c>
      <c r="I168" s="96" t="s">
        <v>42</v>
      </c>
      <c r="J168" s="105">
        <v>875000.0</v>
      </c>
      <c r="K168" s="60" t="s">
        <v>44</v>
      </c>
      <c r="L168" s="58">
        <f t="shared" si="20"/>
        <v>475000</v>
      </c>
      <c r="M168" s="61">
        <v>5780000.0</v>
      </c>
    </row>
    <row r="169" ht="15.75" customHeight="1">
      <c r="A169" s="86"/>
      <c r="B169" s="86">
        <v>45398.0</v>
      </c>
      <c r="C169" s="17" t="s">
        <v>726</v>
      </c>
      <c r="D169" s="17" t="s">
        <v>588</v>
      </c>
      <c r="E169" s="17" t="s">
        <v>37</v>
      </c>
      <c r="F169" s="17" t="s">
        <v>43</v>
      </c>
      <c r="G169" s="88">
        <v>9000.0</v>
      </c>
      <c r="H169" s="58">
        <v>1350000.0</v>
      </c>
      <c r="I169" s="96" t="s">
        <v>44</v>
      </c>
      <c r="J169" s="105">
        <v>800000.0</v>
      </c>
      <c r="K169" s="60" t="s">
        <v>42</v>
      </c>
      <c r="L169" s="58">
        <f t="shared" si="20"/>
        <v>550000</v>
      </c>
      <c r="M169" s="61">
        <v>1950000.0</v>
      </c>
    </row>
    <row r="170" ht="15.75" customHeight="1">
      <c r="A170" s="86"/>
      <c r="B170" s="86">
        <v>45399.0</v>
      </c>
      <c r="C170" s="17" t="s">
        <v>726</v>
      </c>
      <c r="D170" s="17" t="s">
        <v>588</v>
      </c>
      <c r="E170" s="17" t="s">
        <v>30</v>
      </c>
      <c r="F170" s="17" t="s">
        <v>58</v>
      </c>
      <c r="G170" s="88">
        <v>9000.0</v>
      </c>
      <c r="H170" s="58">
        <v>900000.0</v>
      </c>
      <c r="I170" s="96" t="s">
        <v>42</v>
      </c>
      <c r="J170" s="105">
        <v>500000.0</v>
      </c>
      <c r="K170" s="60" t="s">
        <v>42</v>
      </c>
      <c r="L170" s="58">
        <f t="shared" si="20"/>
        <v>400000</v>
      </c>
      <c r="M170" s="61">
        <v>1400000.0</v>
      </c>
    </row>
    <row r="171" ht="15.75" customHeight="1">
      <c r="A171" s="86"/>
      <c r="B171" s="86">
        <v>45400.0</v>
      </c>
      <c r="C171" s="17" t="s">
        <v>726</v>
      </c>
      <c r="D171" s="17" t="s">
        <v>588</v>
      </c>
      <c r="E171" s="17" t="s">
        <v>92</v>
      </c>
      <c r="F171" s="17" t="s">
        <v>76</v>
      </c>
      <c r="G171" s="88">
        <v>9000.0</v>
      </c>
      <c r="H171" s="58">
        <v>1350000.0</v>
      </c>
      <c r="I171" s="96" t="s">
        <v>42</v>
      </c>
      <c r="J171" s="105">
        <v>875000.0</v>
      </c>
      <c r="K171" s="60" t="s">
        <v>42</v>
      </c>
      <c r="L171" s="58">
        <f t="shared" si="20"/>
        <v>475000</v>
      </c>
      <c r="M171" s="61"/>
    </row>
    <row r="172" ht="15.75" customHeight="1">
      <c r="A172" s="86"/>
      <c r="B172" s="86">
        <v>45401.0</v>
      </c>
      <c r="C172" s="17" t="s">
        <v>726</v>
      </c>
      <c r="D172" s="17" t="s">
        <v>588</v>
      </c>
      <c r="E172" s="17" t="s">
        <v>37</v>
      </c>
      <c r="F172" s="17" t="s">
        <v>465</v>
      </c>
      <c r="G172" s="88">
        <v>9000.0</v>
      </c>
      <c r="H172" s="58">
        <v>700000.0</v>
      </c>
      <c r="I172" s="96" t="s">
        <v>42</v>
      </c>
      <c r="J172" s="105">
        <v>400000.0</v>
      </c>
      <c r="K172" s="60" t="s">
        <v>42</v>
      </c>
      <c r="L172" s="58">
        <f t="shared" si="20"/>
        <v>300000</v>
      </c>
      <c r="M172" s="61">
        <v>55000.0</v>
      </c>
    </row>
    <row r="173" ht="15.75" customHeight="1">
      <c r="A173" s="86"/>
      <c r="B173" s="86">
        <v>45402.0</v>
      </c>
      <c r="C173" s="17" t="s">
        <v>726</v>
      </c>
      <c r="D173" s="17" t="s">
        <v>588</v>
      </c>
      <c r="E173" s="17"/>
      <c r="F173" s="17"/>
      <c r="G173" s="88"/>
      <c r="H173" s="58"/>
      <c r="I173" s="96"/>
      <c r="J173" s="105"/>
      <c r="K173" s="60"/>
      <c r="L173" s="58"/>
      <c r="M173" s="61">
        <v>2100000.0</v>
      </c>
    </row>
    <row r="174" ht="15.75" customHeight="1">
      <c r="A174" s="86"/>
      <c r="B174" s="86">
        <v>45404.0</v>
      </c>
      <c r="C174" s="17" t="s">
        <v>726</v>
      </c>
      <c r="D174" s="17" t="s">
        <v>588</v>
      </c>
      <c r="E174" s="17" t="s">
        <v>37</v>
      </c>
      <c r="F174" s="17" t="s">
        <v>76</v>
      </c>
      <c r="G174" s="88">
        <v>9000.0</v>
      </c>
      <c r="H174" s="58">
        <v>1350000.0</v>
      </c>
      <c r="I174" s="96" t="s">
        <v>44</v>
      </c>
      <c r="J174" s="105">
        <v>850000.0</v>
      </c>
      <c r="K174" s="60" t="s">
        <v>44</v>
      </c>
      <c r="L174" s="58">
        <f t="shared" ref="L174:L182" si="21">H174-J174</f>
        <v>500000</v>
      </c>
      <c r="M174" s="61"/>
    </row>
    <row r="175" ht="15.75" customHeight="1">
      <c r="A175" s="86"/>
      <c r="B175" s="86">
        <v>45405.0</v>
      </c>
      <c r="C175" s="17" t="s">
        <v>726</v>
      </c>
      <c r="D175" s="17" t="s">
        <v>588</v>
      </c>
      <c r="E175" s="17" t="s">
        <v>40</v>
      </c>
      <c r="F175" s="17" t="s">
        <v>76</v>
      </c>
      <c r="G175" s="88">
        <v>9000.0</v>
      </c>
      <c r="H175" s="58">
        <v>1350000.0</v>
      </c>
      <c r="I175" s="96" t="s">
        <v>44</v>
      </c>
      <c r="J175" s="105">
        <v>850000.0</v>
      </c>
      <c r="K175" s="60" t="s">
        <v>44</v>
      </c>
      <c r="L175" s="58">
        <f t="shared" si="21"/>
        <v>500000</v>
      </c>
      <c r="M175" s="61"/>
    </row>
    <row r="176" ht="15.75" customHeight="1">
      <c r="A176" s="86"/>
      <c r="B176" s="86">
        <v>45406.0</v>
      </c>
      <c r="C176" s="17" t="s">
        <v>726</v>
      </c>
      <c r="D176" s="17" t="s">
        <v>588</v>
      </c>
      <c r="E176" s="17" t="s">
        <v>30</v>
      </c>
      <c r="F176" s="17" t="s">
        <v>397</v>
      </c>
      <c r="G176" s="88">
        <v>9000.0</v>
      </c>
      <c r="H176" s="58">
        <v>765000.0</v>
      </c>
      <c r="I176" s="96" t="s">
        <v>44</v>
      </c>
      <c r="J176" s="105">
        <v>450000.0</v>
      </c>
      <c r="K176" s="60" t="s">
        <v>44</v>
      </c>
      <c r="L176" s="58">
        <f t="shared" si="21"/>
        <v>315000</v>
      </c>
      <c r="M176" s="61"/>
    </row>
    <row r="177" ht="15.75" customHeight="1">
      <c r="A177" s="86"/>
      <c r="B177" s="86">
        <v>45407.0</v>
      </c>
      <c r="C177" s="17" t="s">
        <v>726</v>
      </c>
      <c r="D177" s="17" t="s">
        <v>588</v>
      </c>
      <c r="E177" s="17" t="s">
        <v>92</v>
      </c>
      <c r="F177" s="17" t="s">
        <v>465</v>
      </c>
      <c r="G177" s="88">
        <v>9000.0</v>
      </c>
      <c r="H177" s="58">
        <v>650000.0</v>
      </c>
      <c r="I177" s="96" t="s">
        <v>44</v>
      </c>
      <c r="J177" s="105">
        <v>400000.0</v>
      </c>
      <c r="K177" s="60" t="s">
        <v>44</v>
      </c>
      <c r="L177" s="58">
        <f t="shared" si="21"/>
        <v>250000</v>
      </c>
      <c r="M177" s="61"/>
    </row>
    <row r="178" ht="15.75" customHeight="1">
      <c r="A178" s="86"/>
      <c r="B178" s="86">
        <v>45407.0</v>
      </c>
      <c r="C178" s="17" t="s">
        <v>726</v>
      </c>
      <c r="D178" s="17" t="s">
        <v>588</v>
      </c>
      <c r="E178" s="17" t="s">
        <v>37</v>
      </c>
      <c r="F178" s="17" t="s">
        <v>397</v>
      </c>
      <c r="G178" s="88">
        <v>9000.0</v>
      </c>
      <c r="H178" s="58">
        <v>765000.0</v>
      </c>
      <c r="I178" s="96" t="s">
        <v>44</v>
      </c>
      <c r="J178" s="105">
        <v>450000.0</v>
      </c>
      <c r="K178" s="60" t="s">
        <v>44</v>
      </c>
      <c r="L178" s="58">
        <f t="shared" si="21"/>
        <v>315000</v>
      </c>
      <c r="M178" s="61"/>
    </row>
    <row r="179" ht="15.75" customHeight="1">
      <c r="A179" s="86"/>
      <c r="B179" s="86">
        <v>45408.0</v>
      </c>
      <c r="C179" s="17" t="s">
        <v>726</v>
      </c>
      <c r="D179" s="17" t="s">
        <v>588</v>
      </c>
      <c r="E179" s="17" t="s">
        <v>37</v>
      </c>
      <c r="F179" s="17" t="s">
        <v>59</v>
      </c>
      <c r="G179" s="88">
        <v>9000.0</v>
      </c>
      <c r="H179" s="58">
        <v>900000.0</v>
      </c>
      <c r="I179" s="96" t="s">
        <v>44</v>
      </c>
      <c r="J179" s="105">
        <v>350000.0</v>
      </c>
      <c r="K179" s="60" t="s">
        <v>44</v>
      </c>
      <c r="L179" s="58">
        <f t="shared" si="21"/>
        <v>550000</v>
      </c>
      <c r="M179" s="61"/>
    </row>
    <row r="180" ht="15.75" customHeight="1">
      <c r="A180" s="86"/>
      <c r="B180" s="86">
        <v>45409.0</v>
      </c>
      <c r="C180" s="17" t="s">
        <v>726</v>
      </c>
      <c r="D180" s="17" t="s">
        <v>588</v>
      </c>
      <c r="E180" s="17" t="s">
        <v>40</v>
      </c>
      <c r="F180" s="17" t="s">
        <v>76</v>
      </c>
      <c r="G180" s="88">
        <v>9000.0</v>
      </c>
      <c r="H180" s="58">
        <v>1350000.0</v>
      </c>
      <c r="I180" s="96" t="s">
        <v>44</v>
      </c>
      <c r="J180" s="105">
        <v>850000.0</v>
      </c>
      <c r="K180" s="60" t="s">
        <v>44</v>
      </c>
      <c r="L180" s="58">
        <f t="shared" si="21"/>
        <v>500000</v>
      </c>
      <c r="M180" s="61"/>
    </row>
    <row r="181" ht="15.75" customHeight="1">
      <c r="A181" s="86"/>
      <c r="B181" s="86">
        <v>45412.0</v>
      </c>
      <c r="C181" s="17" t="s">
        <v>726</v>
      </c>
      <c r="D181" s="17" t="s">
        <v>588</v>
      </c>
      <c r="E181" s="17" t="s">
        <v>37</v>
      </c>
      <c r="F181" s="17" t="s">
        <v>103</v>
      </c>
      <c r="G181" s="88">
        <v>9000.0</v>
      </c>
      <c r="H181" s="58">
        <v>675000.0</v>
      </c>
      <c r="I181" s="96" t="s">
        <v>44</v>
      </c>
      <c r="J181" s="105">
        <v>375000.0</v>
      </c>
      <c r="K181" s="60" t="s">
        <v>44</v>
      </c>
      <c r="L181" s="58">
        <f t="shared" si="21"/>
        <v>300000</v>
      </c>
      <c r="M181" s="61"/>
    </row>
    <row r="182" ht="15.75" customHeight="1">
      <c r="A182" s="86"/>
      <c r="B182" s="86">
        <v>45412.0</v>
      </c>
      <c r="C182" s="17" t="s">
        <v>726</v>
      </c>
      <c r="D182" s="17" t="s">
        <v>588</v>
      </c>
      <c r="E182" s="17" t="s">
        <v>40</v>
      </c>
      <c r="F182" s="17" t="s">
        <v>135</v>
      </c>
      <c r="G182" s="88">
        <v>9000.0</v>
      </c>
      <c r="H182" s="58">
        <v>750000.0</v>
      </c>
      <c r="I182" s="96" t="s">
        <v>44</v>
      </c>
      <c r="J182" s="105">
        <v>425000.0</v>
      </c>
      <c r="K182" s="60" t="s">
        <v>44</v>
      </c>
      <c r="L182" s="58">
        <f t="shared" si="21"/>
        <v>325000</v>
      </c>
      <c r="M182" s="61"/>
    </row>
    <row r="183" ht="15.75" customHeight="1">
      <c r="C183" s="169"/>
      <c r="D183" s="169"/>
      <c r="E183" s="169"/>
      <c r="F183" s="169"/>
      <c r="G183" s="170"/>
      <c r="H183" s="173"/>
      <c r="I183" s="292"/>
      <c r="J183" s="192"/>
      <c r="K183" s="193"/>
      <c r="L183" s="52">
        <f t="shared" ref="L183:M183" si="22">SUM(L160:L182)</f>
        <v>9085000</v>
      </c>
      <c r="M183" s="30">
        <f t="shared" si="22"/>
        <v>11365000</v>
      </c>
    </row>
    <row r="184" ht="15.75" customHeight="1">
      <c r="C184" s="169"/>
      <c r="D184" s="169"/>
      <c r="E184" s="169"/>
      <c r="F184" s="169"/>
      <c r="G184" s="170"/>
      <c r="H184" s="173"/>
      <c r="I184" s="292"/>
      <c r="J184" s="192"/>
      <c r="K184" s="193"/>
      <c r="L184" s="33">
        <f>L183-M183</f>
        <v>-2280000</v>
      </c>
      <c r="M184" s="202"/>
    </row>
    <row r="185" ht="15.75" customHeight="1">
      <c r="A185" s="169"/>
      <c r="B185" s="169"/>
      <c r="C185" s="169"/>
      <c r="D185" s="169"/>
      <c r="E185" s="169"/>
      <c r="F185" s="169"/>
      <c r="G185" s="170"/>
      <c r="H185" s="202"/>
      <c r="I185" s="241"/>
      <c r="J185" s="172"/>
      <c r="K185" s="203"/>
      <c r="M185" s="202"/>
    </row>
    <row r="186" ht="35.25" customHeight="1">
      <c r="A186" s="89"/>
      <c r="B186" s="89" t="s">
        <v>0</v>
      </c>
      <c r="C186" s="89" t="s">
        <v>1</v>
      </c>
      <c r="D186" s="89" t="s">
        <v>2</v>
      </c>
      <c r="E186" s="90" t="s">
        <v>3</v>
      </c>
      <c r="F186" s="89" t="s">
        <v>4</v>
      </c>
      <c r="G186" s="91" t="s">
        <v>5</v>
      </c>
      <c r="H186" s="119" t="s">
        <v>6</v>
      </c>
      <c r="I186" s="92" t="s">
        <v>39</v>
      </c>
      <c r="J186" s="120" t="s">
        <v>7</v>
      </c>
      <c r="K186" s="293" t="s">
        <v>39</v>
      </c>
      <c r="L186" s="92" t="s">
        <v>8</v>
      </c>
      <c r="M186" s="119" t="s">
        <v>9</v>
      </c>
    </row>
    <row r="187" ht="15.75" customHeight="1">
      <c r="A187" s="17"/>
      <c r="B187" s="17" t="s">
        <v>112</v>
      </c>
      <c r="C187" s="17" t="s">
        <v>730</v>
      </c>
      <c r="D187" s="17" t="s">
        <v>588</v>
      </c>
      <c r="E187" s="17" t="s">
        <v>30</v>
      </c>
      <c r="F187" s="17" t="s">
        <v>103</v>
      </c>
      <c r="G187" s="88">
        <v>9000.0</v>
      </c>
      <c r="H187" s="61">
        <v>675000.0</v>
      </c>
      <c r="I187" s="96" t="s">
        <v>44</v>
      </c>
      <c r="J187" s="101">
        <v>375000.0</v>
      </c>
      <c r="K187" s="60" t="s">
        <v>44</v>
      </c>
      <c r="L187" s="61">
        <f t="shared" ref="L187:L209" si="23">H187-J187</f>
        <v>300000</v>
      </c>
      <c r="M187" s="61">
        <v>1.2495E7</v>
      </c>
    </row>
    <row r="188" ht="15.75" customHeight="1">
      <c r="A188" s="17"/>
      <c r="B188" s="17" t="s">
        <v>112</v>
      </c>
      <c r="C188" s="17" t="s">
        <v>730</v>
      </c>
      <c r="D188" s="17" t="s">
        <v>588</v>
      </c>
      <c r="E188" s="17" t="s">
        <v>30</v>
      </c>
      <c r="F188" s="17" t="s">
        <v>731</v>
      </c>
      <c r="G188" s="88">
        <v>9000.0</v>
      </c>
      <c r="H188" s="61">
        <v>900000.0</v>
      </c>
      <c r="I188" s="96" t="s">
        <v>44</v>
      </c>
      <c r="J188" s="101">
        <v>500000.0</v>
      </c>
      <c r="K188" s="60" t="s">
        <v>44</v>
      </c>
      <c r="L188" s="61">
        <f t="shared" si="23"/>
        <v>400000</v>
      </c>
      <c r="M188" s="61">
        <v>170000.0</v>
      </c>
    </row>
    <row r="189" ht="15.75" customHeight="1">
      <c r="A189" s="17"/>
      <c r="B189" s="17" t="s">
        <v>113</v>
      </c>
      <c r="C189" s="17" t="s">
        <v>730</v>
      </c>
      <c r="D189" s="17" t="s">
        <v>588</v>
      </c>
      <c r="E189" s="17" t="s">
        <v>92</v>
      </c>
      <c r="F189" s="17" t="s">
        <v>43</v>
      </c>
      <c r="G189" s="88">
        <v>9000.0</v>
      </c>
      <c r="H189" s="61">
        <v>1350000.0</v>
      </c>
      <c r="I189" s="96" t="s">
        <v>44</v>
      </c>
      <c r="J189" s="101">
        <v>800000.0</v>
      </c>
      <c r="K189" s="60" t="s">
        <v>44</v>
      </c>
      <c r="L189" s="61">
        <f t="shared" si="23"/>
        <v>550000</v>
      </c>
      <c r="M189" s="61"/>
    </row>
    <row r="190" ht="15.75" customHeight="1">
      <c r="A190" s="17"/>
      <c r="B190" s="17" t="s">
        <v>732</v>
      </c>
      <c r="C190" s="17" t="s">
        <v>730</v>
      </c>
      <c r="D190" s="17" t="s">
        <v>588</v>
      </c>
      <c r="E190" s="17" t="s">
        <v>92</v>
      </c>
      <c r="F190" s="17" t="s">
        <v>103</v>
      </c>
      <c r="G190" s="88">
        <v>9000.0</v>
      </c>
      <c r="H190" s="61">
        <v>675000.0</v>
      </c>
      <c r="I190" s="96" t="s">
        <v>44</v>
      </c>
      <c r="J190" s="101">
        <v>375000.0</v>
      </c>
      <c r="K190" s="60" t="s">
        <v>44</v>
      </c>
      <c r="L190" s="61">
        <f t="shared" si="23"/>
        <v>300000</v>
      </c>
      <c r="M190" s="61"/>
    </row>
    <row r="191" ht="15.75" customHeight="1">
      <c r="A191" s="17"/>
      <c r="B191" s="17" t="s">
        <v>732</v>
      </c>
      <c r="C191" s="17" t="s">
        <v>730</v>
      </c>
      <c r="D191" s="17" t="s">
        <v>588</v>
      </c>
      <c r="E191" s="17" t="s">
        <v>92</v>
      </c>
      <c r="F191" s="17" t="s">
        <v>43</v>
      </c>
      <c r="G191" s="88">
        <v>9000.0</v>
      </c>
      <c r="H191" s="61">
        <v>1350000.0</v>
      </c>
      <c r="I191" s="96" t="s">
        <v>44</v>
      </c>
      <c r="J191" s="101">
        <v>800000.0</v>
      </c>
      <c r="K191" s="60" t="s">
        <v>44</v>
      </c>
      <c r="L191" s="61">
        <f t="shared" si="23"/>
        <v>550000</v>
      </c>
      <c r="M191" s="61"/>
    </row>
    <row r="192" ht="15.75" customHeight="1">
      <c r="A192" s="17"/>
      <c r="B192" s="17" t="s">
        <v>114</v>
      </c>
      <c r="C192" s="17" t="s">
        <v>730</v>
      </c>
      <c r="D192" s="17" t="s">
        <v>588</v>
      </c>
      <c r="E192" s="17" t="s">
        <v>92</v>
      </c>
      <c r="F192" s="17" t="s">
        <v>43</v>
      </c>
      <c r="G192" s="88">
        <v>9000.0</v>
      </c>
      <c r="H192" s="61">
        <v>1350000.0</v>
      </c>
      <c r="I192" s="96" t="s">
        <v>44</v>
      </c>
      <c r="J192" s="101">
        <v>800000.0</v>
      </c>
      <c r="K192" s="60" t="s">
        <v>44</v>
      </c>
      <c r="L192" s="61">
        <f t="shared" si="23"/>
        <v>550000</v>
      </c>
      <c r="M192" s="61"/>
    </row>
    <row r="193" ht="15.75" customHeight="1">
      <c r="A193" s="17"/>
      <c r="B193" s="17" t="s">
        <v>116</v>
      </c>
      <c r="C193" s="17" t="s">
        <v>730</v>
      </c>
      <c r="D193" s="17" t="s">
        <v>588</v>
      </c>
      <c r="E193" s="17" t="s">
        <v>92</v>
      </c>
      <c r="F193" s="17" t="s">
        <v>43</v>
      </c>
      <c r="G193" s="88">
        <v>9000.0</v>
      </c>
      <c r="H193" s="61">
        <v>1350000.0</v>
      </c>
      <c r="I193" s="96" t="s">
        <v>44</v>
      </c>
      <c r="J193" s="101">
        <v>800000.0</v>
      </c>
      <c r="K193" s="60" t="s">
        <v>44</v>
      </c>
      <c r="L193" s="61">
        <f t="shared" si="23"/>
        <v>550000</v>
      </c>
      <c r="M193" s="61"/>
    </row>
    <row r="194" ht="15.75" customHeight="1">
      <c r="A194" s="17"/>
      <c r="B194" s="17" t="s">
        <v>117</v>
      </c>
      <c r="C194" s="17" t="s">
        <v>730</v>
      </c>
      <c r="D194" s="17" t="s">
        <v>588</v>
      </c>
      <c r="E194" s="17" t="s">
        <v>92</v>
      </c>
      <c r="F194" s="17" t="s">
        <v>55</v>
      </c>
      <c r="G194" s="88">
        <v>8500.0</v>
      </c>
      <c r="H194" s="61">
        <v>1235000.0</v>
      </c>
      <c r="I194" s="96" t="s">
        <v>42</v>
      </c>
      <c r="J194" s="101">
        <v>700000.0</v>
      </c>
      <c r="K194" s="60" t="s">
        <v>44</v>
      </c>
      <c r="L194" s="61">
        <f t="shared" si="23"/>
        <v>535000</v>
      </c>
      <c r="M194" s="61"/>
    </row>
    <row r="195" ht="15.75" customHeight="1">
      <c r="A195" s="17"/>
      <c r="B195" s="17" t="s">
        <v>119</v>
      </c>
      <c r="C195" s="17" t="s">
        <v>730</v>
      </c>
      <c r="D195" s="17" t="s">
        <v>588</v>
      </c>
      <c r="E195" s="17" t="s">
        <v>92</v>
      </c>
      <c r="F195" s="17" t="s">
        <v>733</v>
      </c>
      <c r="G195" s="88">
        <v>9000.0</v>
      </c>
      <c r="H195" s="61">
        <v>755000.0</v>
      </c>
      <c r="I195" s="96" t="s">
        <v>42</v>
      </c>
      <c r="J195" s="101">
        <v>400000.0</v>
      </c>
      <c r="K195" s="60" t="s">
        <v>44</v>
      </c>
      <c r="L195" s="61">
        <f t="shared" si="23"/>
        <v>355000</v>
      </c>
      <c r="M195" s="61">
        <v>388000.0</v>
      </c>
    </row>
    <row r="196" ht="15.75" customHeight="1">
      <c r="A196" s="17"/>
      <c r="B196" s="17" t="s">
        <v>119</v>
      </c>
      <c r="C196" s="17" t="s">
        <v>730</v>
      </c>
      <c r="D196" s="17" t="s">
        <v>588</v>
      </c>
      <c r="E196" s="17" t="s">
        <v>92</v>
      </c>
      <c r="F196" s="17" t="s">
        <v>66</v>
      </c>
      <c r="G196" s="88">
        <v>9000.0</v>
      </c>
      <c r="H196" s="61">
        <v>675000.0</v>
      </c>
      <c r="I196" s="96" t="s">
        <v>42</v>
      </c>
      <c r="J196" s="101">
        <v>350000.0</v>
      </c>
      <c r="K196" s="60" t="s">
        <v>42</v>
      </c>
      <c r="L196" s="61">
        <f t="shared" si="23"/>
        <v>325000</v>
      </c>
      <c r="M196" s="61"/>
    </row>
    <row r="197" ht="15.75" customHeight="1">
      <c r="A197" s="17"/>
      <c r="B197" s="17" t="s">
        <v>120</v>
      </c>
      <c r="C197" s="17" t="s">
        <v>730</v>
      </c>
      <c r="D197" s="17" t="s">
        <v>588</v>
      </c>
      <c r="E197" s="17" t="s">
        <v>40</v>
      </c>
      <c r="F197" s="17" t="s">
        <v>401</v>
      </c>
      <c r="G197" s="88">
        <v>9000.0</v>
      </c>
      <c r="H197" s="61">
        <v>675000.0</v>
      </c>
      <c r="I197" s="96" t="s">
        <v>42</v>
      </c>
      <c r="J197" s="101">
        <v>375000.0</v>
      </c>
      <c r="K197" s="60" t="s">
        <v>42</v>
      </c>
      <c r="L197" s="61">
        <f t="shared" si="23"/>
        <v>300000</v>
      </c>
      <c r="M197" s="61"/>
    </row>
    <row r="198" ht="15.75" customHeight="1">
      <c r="A198" s="17"/>
      <c r="B198" s="17" t="s">
        <v>122</v>
      </c>
      <c r="C198" s="17" t="s">
        <v>730</v>
      </c>
      <c r="D198" s="17" t="s">
        <v>588</v>
      </c>
      <c r="E198" s="17" t="s">
        <v>40</v>
      </c>
      <c r="F198" s="17" t="s">
        <v>79</v>
      </c>
      <c r="G198" s="88">
        <v>8500.0</v>
      </c>
      <c r="H198" s="61">
        <v>1100000.0</v>
      </c>
      <c r="I198" s="96" t="s">
        <v>42</v>
      </c>
      <c r="J198" s="101">
        <v>640000.0</v>
      </c>
      <c r="K198" s="60" t="s">
        <v>42</v>
      </c>
      <c r="L198" s="61">
        <f t="shared" si="23"/>
        <v>460000</v>
      </c>
      <c r="M198" s="61"/>
    </row>
    <row r="199" ht="15.75" customHeight="1">
      <c r="A199" s="17"/>
      <c r="B199" s="17" t="s">
        <v>734</v>
      </c>
      <c r="C199" s="17" t="s">
        <v>730</v>
      </c>
      <c r="D199" s="17" t="s">
        <v>588</v>
      </c>
      <c r="E199" s="17" t="s">
        <v>92</v>
      </c>
      <c r="F199" s="17" t="s">
        <v>735</v>
      </c>
      <c r="G199" s="88">
        <v>9000.0</v>
      </c>
      <c r="H199" s="61">
        <v>700000.0</v>
      </c>
      <c r="I199" s="96" t="s">
        <v>42</v>
      </c>
      <c r="J199" s="101">
        <v>425000.0</v>
      </c>
      <c r="K199" s="60" t="s">
        <v>42</v>
      </c>
      <c r="L199" s="61">
        <f t="shared" si="23"/>
        <v>275000</v>
      </c>
      <c r="M199" s="61">
        <v>300000.0</v>
      </c>
    </row>
    <row r="200" ht="15.75" customHeight="1">
      <c r="A200" s="17"/>
      <c r="B200" s="17" t="s">
        <v>126</v>
      </c>
      <c r="C200" s="17" t="s">
        <v>730</v>
      </c>
      <c r="D200" s="17" t="s">
        <v>588</v>
      </c>
      <c r="E200" s="17" t="s">
        <v>40</v>
      </c>
      <c r="F200" s="17" t="s">
        <v>118</v>
      </c>
      <c r="G200" s="88">
        <v>9000.0</v>
      </c>
      <c r="H200" s="61">
        <v>1000000.0</v>
      </c>
      <c r="I200" s="96" t="s">
        <v>42</v>
      </c>
      <c r="J200" s="101">
        <v>550000.0</v>
      </c>
      <c r="K200" s="60" t="s">
        <v>42</v>
      </c>
      <c r="L200" s="61">
        <f t="shared" si="23"/>
        <v>450000</v>
      </c>
      <c r="M200" s="61"/>
    </row>
    <row r="201" ht="15.75" customHeight="1">
      <c r="A201" s="17"/>
      <c r="B201" s="17" t="s">
        <v>736</v>
      </c>
      <c r="C201" s="17" t="s">
        <v>730</v>
      </c>
      <c r="D201" s="17" t="s">
        <v>588</v>
      </c>
      <c r="E201" s="17" t="s">
        <v>92</v>
      </c>
      <c r="F201" s="17" t="s">
        <v>66</v>
      </c>
      <c r="G201" s="88">
        <v>9000.0</v>
      </c>
      <c r="H201" s="61">
        <v>675000.0</v>
      </c>
      <c r="I201" s="96" t="s">
        <v>42</v>
      </c>
      <c r="J201" s="101">
        <v>350000.0</v>
      </c>
      <c r="K201" s="60" t="s">
        <v>42</v>
      </c>
      <c r="L201" s="61">
        <f t="shared" si="23"/>
        <v>325000</v>
      </c>
      <c r="M201" s="61">
        <v>200000.0</v>
      </c>
    </row>
    <row r="202" ht="15.75" customHeight="1">
      <c r="A202" s="17"/>
      <c r="B202" s="17" t="s">
        <v>423</v>
      </c>
      <c r="C202" s="17" t="s">
        <v>730</v>
      </c>
      <c r="D202" s="17" t="s">
        <v>588</v>
      </c>
      <c r="E202" s="17" t="s">
        <v>83</v>
      </c>
      <c r="F202" s="17" t="s">
        <v>737</v>
      </c>
      <c r="G202" s="87">
        <v>9000.0</v>
      </c>
      <c r="H202" s="58">
        <v>1035000.0</v>
      </c>
      <c r="I202" s="96" t="s">
        <v>42</v>
      </c>
      <c r="J202" s="101">
        <v>600000.0</v>
      </c>
      <c r="K202" s="60" t="s">
        <v>42</v>
      </c>
      <c r="L202" s="61">
        <f t="shared" si="23"/>
        <v>435000</v>
      </c>
      <c r="M202" s="61"/>
    </row>
    <row r="203" ht="15.75" customHeight="1">
      <c r="A203" s="17"/>
      <c r="B203" s="17" t="s">
        <v>424</v>
      </c>
      <c r="C203" s="17" t="s">
        <v>730</v>
      </c>
      <c r="D203" s="17" t="s">
        <v>588</v>
      </c>
      <c r="E203" s="17" t="s">
        <v>40</v>
      </c>
      <c r="F203" s="17" t="s">
        <v>76</v>
      </c>
      <c r="G203" s="87">
        <v>9000.0</v>
      </c>
      <c r="H203" s="61">
        <v>1350000.0</v>
      </c>
      <c r="I203" s="96" t="s">
        <v>42</v>
      </c>
      <c r="J203" s="101">
        <v>850000.0</v>
      </c>
      <c r="K203" s="60" t="s">
        <v>42</v>
      </c>
      <c r="L203" s="61">
        <f t="shared" si="23"/>
        <v>500000</v>
      </c>
      <c r="M203" s="61"/>
    </row>
    <row r="204" ht="15.75" customHeight="1">
      <c r="A204" s="17"/>
      <c r="B204" s="17" t="s">
        <v>425</v>
      </c>
      <c r="C204" s="17" t="s">
        <v>730</v>
      </c>
      <c r="D204" s="17" t="s">
        <v>588</v>
      </c>
      <c r="E204" s="17" t="s">
        <v>40</v>
      </c>
      <c r="F204" s="17" t="s">
        <v>66</v>
      </c>
      <c r="G204" s="87">
        <v>9000.0</v>
      </c>
      <c r="H204" s="61">
        <v>675000.0</v>
      </c>
      <c r="I204" s="96" t="s">
        <v>42</v>
      </c>
      <c r="J204" s="101">
        <v>350000.0</v>
      </c>
      <c r="K204" s="60" t="s">
        <v>42</v>
      </c>
      <c r="L204" s="61">
        <f t="shared" si="23"/>
        <v>325000</v>
      </c>
      <c r="M204" s="61"/>
    </row>
    <row r="205" ht="15.75" customHeight="1">
      <c r="A205" s="17"/>
      <c r="B205" s="17" t="s">
        <v>425</v>
      </c>
      <c r="C205" s="17" t="s">
        <v>730</v>
      </c>
      <c r="D205" s="17" t="s">
        <v>588</v>
      </c>
      <c r="E205" s="17" t="s">
        <v>92</v>
      </c>
      <c r="F205" s="17" t="s">
        <v>735</v>
      </c>
      <c r="G205" s="87">
        <v>9000.0</v>
      </c>
      <c r="H205" s="61">
        <v>700000.0</v>
      </c>
      <c r="I205" s="96" t="s">
        <v>42</v>
      </c>
      <c r="J205" s="101">
        <v>375000.0</v>
      </c>
      <c r="K205" s="60" t="s">
        <v>42</v>
      </c>
      <c r="L205" s="61">
        <f t="shared" si="23"/>
        <v>325000</v>
      </c>
      <c r="M205" s="61">
        <v>55000.0</v>
      </c>
    </row>
    <row r="206" ht="15.75" customHeight="1">
      <c r="A206" s="17"/>
      <c r="B206" s="17" t="s">
        <v>426</v>
      </c>
      <c r="C206" s="17" t="s">
        <v>730</v>
      </c>
      <c r="D206" s="17" t="s">
        <v>588</v>
      </c>
      <c r="E206" s="17" t="s">
        <v>82</v>
      </c>
      <c r="F206" s="17" t="s">
        <v>107</v>
      </c>
      <c r="G206" s="87">
        <v>9000.0</v>
      </c>
      <c r="H206" s="61">
        <v>1125000.0</v>
      </c>
      <c r="I206" s="96" t="s">
        <v>44</v>
      </c>
      <c r="J206" s="101">
        <v>640000.0</v>
      </c>
      <c r="K206" s="60" t="s">
        <v>42</v>
      </c>
      <c r="L206" s="61">
        <f t="shared" si="23"/>
        <v>485000</v>
      </c>
      <c r="M206" s="61"/>
    </row>
    <row r="207" ht="15.75" customHeight="1">
      <c r="A207" s="17"/>
      <c r="B207" s="17" t="s">
        <v>427</v>
      </c>
      <c r="C207" s="17" t="s">
        <v>730</v>
      </c>
      <c r="D207" s="17" t="s">
        <v>588</v>
      </c>
      <c r="E207" s="17" t="s">
        <v>92</v>
      </c>
      <c r="F207" s="17" t="s">
        <v>43</v>
      </c>
      <c r="G207" s="87">
        <v>9000.0</v>
      </c>
      <c r="H207" s="61">
        <v>1350000.0</v>
      </c>
      <c r="I207" s="96" t="s">
        <v>44</v>
      </c>
      <c r="J207" s="101">
        <v>800000.0</v>
      </c>
      <c r="K207" s="60" t="s">
        <v>44</v>
      </c>
      <c r="L207" s="61">
        <f t="shared" si="23"/>
        <v>550000</v>
      </c>
      <c r="M207" s="61"/>
    </row>
    <row r="208" ht="15.75" customHeight="1">
      <c r="A208" s="17"/>
      <c r="B208" s="17" t="s">
        <v>428</v>
      </c>
      <c r="C208" s="17" t="s">
        <v>730</v>
      </c>
      <c r="D208" s="17" t="s">
        <v>588</v>
      </c>
      <c r="E208" s="17" t="s">
        <v>40</v>
      </c>
      <c r="F208" s="17" t="s">
        <v>735</v>
      </c>
      <c r="G208" s="87">
        <v>9000.0</v>
      </c>
      <c r="H208" s="61">
        <v>700000.0</v>
      </c>
      <c r="I208" s="96" t="s">
        <v>44</v>
      </c>
      <c r="J208" s="101">
        <v>375000.0</v>
      </c>
      <c r="K208" s="60" t="s">
        <v>44</v>
      </c>
      <c r="L208" s="61">
        <f t="shared" si="23"/>
        <v>325000</v>
      </c>
      <c r="M208" s="61"/>
    </row>
    <row r="209" ht="15.75" customHeight="1">
      <c r="A209" s="17"/>
      <c r="B209" s="17" t="s">
        <v>428</v>
      </c>
      <c r="C209" s="17" t="s">
        <v>730</v>
      </c>
      <c r="D209" s="17" t="s">
        <v>588</v>
      </c>
      <c r="E209" s="17" t="s">
        <v>40</v>
      </c>
      <c r="F209" s="17" t="s">
        <v>387</v>
      </c>
      <c r="G209" s="87">
        <v>8500.0</v>
      </c>
      <c r="H209" s="61">
        <v>1400000.0</v>
      </c>
      <c r="I209" s="96" t="s">
        <v>44</v>
      </c>
      <c r="J209" s="101">
        <v>900000.0</v>
      </c>
      <c r="K209" s="60" t="s">
        <v>44</v>
      </c>
      <c r="L209" s="61">
        <f t="shared" si="23"/>
        <v>500000</v>
      </c>
      <c r="M209" s="61">
        <v>390000.0</v>
      </c>
    </row>
    <row r="210" ht="15.75" customHeight="1">
      <c r="A210" s="17"/>
      <c r="B210" s="17"/>
      <c r="C210" s="17"/>
      <c r="D210" s="17"/>
      <c r="E210" s="17"/>
      <c r="F210" s="17"/>
      <c r="G210" s="57"/>
      <c r="H210" s="61"/>
      <c r="I210" s="96"/>
      <c r="J210" s="101"/>
      <c r="K210" s="60"/>
      <c r="L210" s="52">
        <f t="shared" ref="L210:M210" si="24">SUM(L187:L209)</f>
        <v>9670000</v>
      </c>
      <c r="M210" s="30">
        <f t="shared" si="24"/>
        <v>13998000</v>
      </c>
    </row>
    <row r="211" ht="15.75" customHeight="1">
      <c r="A211" s="169"/>
      <c r="B211" s="169"/>
      <c r="C211" s="169"/>
      <c r="D211" s="169"/>
      <c r="E211" s="169"/>
      <c r="F211" s="169"/>
      <c r="G211" s="170"/>
      <c r="H211" s="202"/>
      <c r="I211" s="241"/>
      <c r="J211" s="172"/>
      <c r="K211" s="203"/>
      <c r="L211" s="33">
        <f>L210-M210</f>
        <v>-4328000</v>
      </c>
      <c r="M211" s="202"/>
    </row>
    <row r="212" ht="15.75" customHeight="1">
      <c r="A212" s="169"/>
      <c r="B212" s="169"/>
      <c r="C212" s="169"/>
      <c r="D212" s="169"/>
      <c r="E212" s="169"/>
      <c r="F212" s="169"/>
      <c r="G212" s="170"/>
      <c r="H212" s="202"/>
      <c r="I212" s="241"/>
      <c r="J212" s="172"/>
      <c r="K212" s="203"/>
      <c r="L212" s="26"/>
      <c r="M212" s="202"/>
    </row>
    <row r="213" ht="27.0" customHeight="1">
      <c r="A213" s="89"/>
      <c r="B213" s="89" t="s">
        <v>0</v>
      </c>
      <c r="C213" s="89" t="s">
        <v>1</v>
      </c>
      <c r="D213" s="89" t="s">
        <v>2</v>
      </c>
      <c r="E213" s="90" t="s">
        <v>3</v>
      </c>
      <c r="F213" s="89" t="s">
        <v>4</v>
      </c>
      <c r="G213" s="91" t="s">
        <v>5</v>
      </c>
      <c r="H213" s="119" t="s">
        <v>6</v>
      </c>
      <c r="I213" s="92" t="s">
        <v>39</v>
      </c>
      <c r="J213" s="120" t="s">
        <v>7</v>
      </c>
      <c r="K213" s="293" t="s">
        <v>39</v>
      </c>
      <c r="L213" s="92" t="s">
        <v>8</v>
      </c>
      <c r="M213" s="119" t="s">
        <v>9</v>
      </c>
    </row>
    <row r="214" ht="15.75" customHeight="1">
      <c r="A214" s="17"/>
      <c r="B214" s="17" t="s">
        <v>429</v>
      </c>
      <c r="C214" s="17" t="s">
        <v>730</v>
      </c>
      <c r="D214" s="17" t="s">
        <v>588</v>
      </c>
      <c r="E214" s="17" t="s">
        <v>37</v>
      </c>
      <c r="F214" s="17" t="s">
        <v>43</v>
      </c>
      <c r="G214" s="87">
        <v>9000.0</v>
      </c>
      <c r="H214" s="61">
        <v>1350000.0</v>
      </c>
      <c r="I214" s="96" t="s">
        <v>44</v>
      </c>
      <c r="J214" s="101">
        <v>800000.0</v>
      </c>
      <c r="K214" s="60" t="s">
        <v>42</v>
      </c>
      <c r="L214" s="61">
        <f t="shared" ref="L214:L229" si="25">H214-J214</f>
        <v>550000</v>
      </c>
      <c r="M214" s="61">
        <v>40000.0</v>
      </c>
    </row>
    <row r="215" ht="15.75" customHeight="1">
      <c r="A215" s="17"/>
      <c r="B215" s="17" t="s">
        <v>430</v>
      </c>
      <c r="C215" s="17" t="s">
        <v>730</v>
      </c>
      <c r="D215" s="17" t="s">
        <v>588</v>
      </c>
      <c r="E215" s="17" t="s">
        <v>85</v>
      </c>
      <c r="F215" s="17" t="s">
        <v>41</v>
      </c>
      <c r="G215" s="87">
        <v>9000.0</v>
      </c>
      <c r="H215" s="61">
        <v>1400000.0</v>
      </c>
      <c r="I215" s="96" t="s">
        <v>42</v>
      </c>
      <c r="J215" s="101">
        <v>900000.0</v>
      </c>
      <c r="K215" s="60" t="s">
        <v>42</v>
      </c>
      <c r="L215" s="61">
        <f t="shared" si="25"/>
        <v>500000</v>
      </c>
      <c r="M215" s="61"/>
    </row>
    <row r="216" ht="15.75" customHeight="1">
      <c r="A216" s="17"/>
      <c r="B216" s="17" t="s">
        <v>431</v>
      </c>
      <c r="C216" s="17" t="s">
        <v>730</v>
      </c>
      <c r="D216" s="17" t="s">
        <v>588</v>
      </c>
      <c r="E216" s="17" t="s">
        <v>96</v>
      </c>
      <c r="F216" s="17" t="s">
        <v>76</v>
      </c>
      <c r="G216" s="87">
        <v>9000.0</v>
      </c>
      <c r="H216" s="61">
        <v>1350000.0</v>
      </c>
      <c r="I216" s="96" t="s">
        <v>42</v>
      </c>
      <c r="J216" s="101">
        <v>850000.0</v>
      </c>
      <c r="K216" s="60" t="s">
        <v>42</v>
      </c>
      <c r="L216" s="61">
        <f t="shared" si="25"/>
        <v>500000</v>
      </c>
      <c r="M216" s="61">
        <v>660000.0</v>
      </c>
    </row>
    <row r="217" ht="15.75" customHeight="1">
      <c r="A217" s="17"/>
      <c r="B217" s="17" t="s">
        <v>606</v>
      </c>
      <c r="C217" s="17" t="s">
        <v>730</v>
      </c>
      <c r="D217" s="17" t="s">
        <v>588</v>
      </c>
      <c r="E217" s="17" t="s">
        <v>85</v>
      </c>
      <c r="F217" s="17" t="s">
        <v>107</v>
      </c>
      <c r="G217" s="87">
        <v>9000.0</v>
      </c>
      <c r="H217" s="61">
        <v>1125000.0</v>
      </c>
      <c r="I217" s="96" t="s">
        <v>42</v>
      </c>
      <c r="J217" s="101">
        <v>640000.0</v>
      </c>
      <c r="K217" s="60" t="s">
        <v>42</v>
      </c>
      <c r="L217" s="61">
        <f t="shared" si="25"/>
        <v>485000</v>
      </c>
      <c r="M217" s="61"/>
    </row>
    <row r="218" ht="15.75" customHeight="1">
      <c r="A218" s="17"/>
      <c r="B218" s="17" t="s">
        <v>432</v>
      </c>
      <c r="C218" s="17" t="s">
        <v>730</v>
      </c>
      <c r="D218" s="17" t="s">
        <v>588</v>
      </c>
      <c r="E218" s="17" t="s">
        <v>37</v>
      </c>
      <c r="F218" s="17" t="s">
        <v>43</v>
      </c>
      <c r="G218" s="87">
        <v>9000.0</v>
      </c>
      <c r="H218" s="61">
        <v>1350000.0</v>
      </c>
      <c r="I218" s="96" t="s">
        <v>44</v>
      </c>
      <c r="J218" s="101">
        <v>800000.0</v>
      </c>
      <c r="K218" s="60" t="s">
        <v>42</v>
      </c>
      <c r="L218" s="61">
        <f t="shared" si="25"/>
        <v>550000</v>
      </c>
      <c r="M218" s="61"/>
    </row>
    <row r="219" ht="15.75" customHeight="1">
      <c r="A219" s="17"/>
      <c r="B219" s="17" t="s">
        <v>433</v>
      </c>
      <c r="C219" s="17" t="s">
        <v>730</v>
      </c>
      <c r="D219" s="17" t="s">
        <v>588</v>
      </c>
      <c r="E219" s="17" t="s">
        <v>81</v>
      </c>
      <c r="F219" s="17" t="s">
        <v>109</v>
      </c>
      <c r="G219" s="87">
        <v>9000.0</v>
      </c>
      <c r="H219" s="61">
        <v>720000.0</v>
      </c>
      <c r="I219" s="96" t="s">
        <v>42</v>
      </c>
      <c r="J219" s="101">
        <v>350000.0</v>
      </c>
      <c r="K219" s="60" t="s">
        <v>42</v>
      </c>
      <c r="L219" s="61">
        <f t="shared" si="25"/>
        <v>370000</v>
      </c>
      <c r="M219" s="61"/>
    </row>
    <row r="220" ht="15.75" customHeight="1">
      <c r="A220" s="17"/>
      <c r="B220" s="17" t="s">
        <v>433</v>
      </c>
      <c r="C220" s="17" t="s">
        <v>730</v>
      </c>
      <c r="D220" s="17" t="s">
        <v>588</v>
      </c>
      <c r="E220" s="17" t="s">
        <v>85</v>
      </c>
      <c r="F220" s="17" t="s">
        <v>95</v>
      </c>
      <c r="G220" s="87">
        <v>9000.0</v>
      </c>
      <c r="H220" s="61">
        <v>765000.0</v>
      </c>
      <c r="I220" s="96" t="s">
        <v>44</v>
      </c>
      <c r="J220" s="101">
        <v>450000.0</v>
      </c>
      <c r="K220" s="60" t="s">
        <v>42</v>
      </c>
      <c r="L220" s="61">
        <f t="shared" si="25"/>
        <v>315000</v>
      </c>
      <c r="M220" s="61"/>
    </row>
    <row r="221" ht="15.75" customHeight="1">
      <c r="A221" s="17"/>
      <c r="B221" s="17" t="s">
        <v>607</v>
      </c>
      <c r="C221" s="17" t="s">
        <v>730</v>
      </c>
      <c r="D221" s="17" t="s">
        <v>588</v>
      </c>
      <c r="E221" s="17" t="s">
        <v>96</v>
      </c>
      <c r="F221" s="17" t="s">
        <v>396</v>
      </c>
      <c r="G221" s="87">
        <v>9000.0</v>
      </c>
      <c r="H221" s="61">
        <v>1035000.0</v>
      </c>
      <c r="I221" s="96" t="s">
        <v>44</v>
      </c>
      <c r="J221" s="101">
        <v>600000.0</v>
      </c>
      <c r="K221" s="60" t="s">
        <v>44</v>
      </c>
      <c r="L221" s="61">
        <f t="shared" si="25"/>
        <v>435000</v>
      </c>
      <c r="M221" s="61"/>
    </row>
    <row r="222" ht="15.75" customHeight="1">
      <c r="A222" s="17"/>
      <c r="B222" s="17" t="s">
        <v>608</v>
      </c>
      <c r="C222" s="17" t="s">
        <v>730</v>
      </c>
      <c r="D222" s="17" t="s">
        <v>588</v>
      </c>
      <c r="E222" s="17" t="s">
        <v>37</v>
      </c>
      <c r="F222" s="17" t="s">
        <v>103</v>
      </c>
      <c r="G222" s="87">
        <v>9000.0</v>
      </c>
      <c r="H222" s="61">
        <v>675000.0</v>
      </c>
      <c r="I222" s="96" t="s">
        <v>44</v>
      </c>
      <c r="J222" s="101">
        <v>375000.0</v>
      </c>
      <c r="K222" s="60" t="s">
        <v>44</v>
      </c>
      <c r="L222" s="61">
        <f t="shared" si="25"/>
        <v>300000</v>
      </c>
      <c r="M222" s="61"/>
    </row>
    <row r="223" ht="15.75" customHeight="1">
      <c r="A223" s="17"/>
      <c r="B223" s="17" t="s">
        <v>608</v>
      </c>
      <c r="C223" s="17" t="s">
        <v>730</v>
      </c>
      <c r="D223" s="17" t="s">
        <v>588</v>
      </c>
      <c r="E223" s="17" t="s">
        <v>37</v>
      </c>
      <c r="F223" s="17" t="s">
        <v>87</v>
      </c>
      <c r="G223" s="87">
        <v>9000.0</v>
      </c>
      <c r="H223" s="61">
        <v>1400000.0</v>
      </c>
      <c r="I223" s="96" t="s">
        <v>44</v>
      </c>
      <c r="J223" s="101">
        <v>900000.0</v>
      </c>
      <c r="K223" s="60" t="s">
        <v>44</v>
      </c>
      <c r="L223" s="61">
        <f t="shared" si="25"/>
        <v>500000</v>
      </c>
      <c r="M223" s="61"/>
    </row>
    <row r="224" ht="15.75" customHeight="1">
      <c r="A224" s="17"/>
      <c r="B224" s="17" t="s">
        <v>610</v>
      </c>
      <c r="C224" s="17" t="s">
        <v>730</v>
      </c>
      <c r="D224" s="17" t="s">
        <v>588</v>
      </c>
      <c r="E224" s="17" t="s">
        <v>383</v>
      </c>
      <c r="F224" s="17" t="s">
        <v>76</v>
      </c>
      <c r="G224" s="87">
        <v>9000.0</v>
      </c>
      <c r="H224" s="61">
        <v>1350000.0</v>
      </c>
      <c r="I224" s="96" t="s">
        <v>44</v>
      </c>
      <c r="J224" s="101">
        <v>850000.0</v>
      </c>
      <c r="K224" s="60" t="s">
        <v>44</v>
      </c>
      <c r="L224" s="61">
        <f t="shared" si="25"/>
        <v>500000</v>
      </c>
      <c r="M224" s="61">
        <v>2219000.0</v>
      </c>
    </row>
    <row r="225" ht="15.75" customHeight="1">
      <c r="A225" s="17"/>
      <c r="B225" s="17" t="s">
        <v>611</v>
      </c>
      <c r="C225" s="17" t="s">
        <v>730</v>
      </c>
      <c r="D225" s="17" t="s">
        <v>588</v>
      </c>
      <c r="E225" s="17" t="s">
        <v>96</v>
      </c>
      <c r="F225" s="17" t="s">
        <v>76</v>
      </c>
      <c r="G225" s="87">
        <v>9000.0</v>
      </c>
      <c r="H225" s="61">
        <v>1350000.0</v>
      </c>
      <c r="I225" s="96" t="s">
        <v>42</v>
      </c>
      <c r="J225" s="101">
        <v>850000.0</v>
      </c>
      <c r="K225" s="60" t="s">
        <v>44</v>
      </c>
      <c r="L225" s="61">
        <f t="shared" si="25"/>
        <v>500000</v>
      </c>
      <c r="M225" s="61"/>
    </row>
    <row r="226" ht="15.75" customHeight="1">
      <c r="A226" s="17"/>
      <c r="B226" s="17" t="s">
        <v>612</v>
      </c>
      <c r="C226" s="17" t="s">
        <v>730</v>
      </c>
      <c r="D226" s="17" t="s">
        <v>588</v>
      </c>
      <c r="E226" s="17" t="s">
        <v>37</v>
      </c>
      <c r="F226" s="17" t="s">
        <v>95</v>
      </c>
      <c r="G226" s="87">
        <v>9000.0</v>
      </c>
      <c r="H226" s="61">
        <v>765000.0</v>
      </c>
      <c r="I226" s="96" t="s">
        <v>44</v>
      </c>
      <c r="J226" s="101">
        <v>450000.0</v>
      </c>
      <c r="K226" s="60" t="s">
        <v>42</v>
      </c>
      <c r="L226" s="61">
        <f t="shared" si="25"/>
        <v>315000</v>
      </c>
      <c r="M226" s="61"/>
    </row>
    <row r="227" ht="15.75" customHeight="1">
      <c r="A227" s="17"/>
      <c r="B227" s="17" t="s">
        <v>614</v>
      </c>
      <c r="C227" s="17" t="s">
        <v>730</v>
      </c>
      <c r="D227" s="17" t="s">
        <v>588</v>
      </c>
      <c r="E227" s="17" t="s">
        <v>96</v>
      </c>
      <c r="F227" s="17" t="s">
        <v>401</v>
      </c>
      <c r="G227" s="87">
        <v>10000.0</v>
      </c>
      <c r="H227" s="61">
        <v>750000.0</v>
      </c>
      <c r="I227" s="96" t="s">
        <v>42</v>
      </c>
      <c r="J227" s="101">
        <v>425000.0</v>
      </c>
      <c r="K227" s="60" t="s">
        <v>42</v>
      </c>
      <c r="L227" s="61">
        <f t="shared" si="25"/>
        <v>325000</v>
      </c>
      <c r="M227" s="61"/>
    </row>
    <row r="228" ht="15.75" customHeight="1">
      <c r="A228" s="17"/>
      <c r="B228" s="17" t="s">
        <v>614</v>
      </c>
      <c r="C228" s="17" t="s">
        <v>730</v>
      </c>
      <c r="D228" s="17" t="s">
        <v>588</v>
      </c>
      <c r="E228" s="17" t="s">
        <v>383</v>
      </c>
      <c r="F228" s="17" t="s">
        <v>118</v>
      </c>
      <c r="G228" s="87">
        <v>9000.0</v>
      </c>
      <c r="H228" s="61">
        <v>1000000.0</v>
      </c>
      <c r="I228" s="96" t="s">
        <v>42</v>
      </c>
      <c r="J228" s="101">
        <v>550000.0</v>
      </c>
      <c r="K228" s="60" t="s">
        <v>42</v>
      </c>
      <c r="L228" s="61">
        <f t="shared" si="25"/>
        <v>450000</v>
      </c>
      <c r="M228" s="61"/>
    </row>
    <row r="229" ht="15.75" customHeight="1">
      <c r="A229" s="17"/>
      <c r="B229" s="17" t="s">
        <v>615</v>
      </c>
      <c r="C229" s="17" t="s">
        <v>730</v>
      </c>
      <c r="D229" s="17" t="s">
        <v>588</v>
      </c>
      <c r="E229" s="17" t="s">
        <v>96</v>
      </c>
      <c r="F229" s="17" t="s">
        <v>43</v>
      </c>
      <c r="G229" s="87">
        <v>9000.0</v>
      </c>
      <c r="H229" s="61">
        <v>1350000.0</v>
      </c>
      <c r="I229" s="96" t="s">
        <v>44</v>
      </c>
      <c r="J229" s="101">
        <v>800000.0</v>
      </c>
      <c r="K229" s="60" t="s">
        <v>42</v>
      </c>
      <c r="L229" s="61">
        <f t="shared" si="25"/>
        <v>550000</v>
      </c>
      <c r="M229" s="61"/>
    </row>
    <row r="230" ht="15.75" customHeight="1">
      <c r="A230" s="17"/>
      <c r="B230" s="17"/>
      <c r="C230" s="17"/>
      <c r="D230" s="17"/>
      <c r="E230" s="17"/>
      <c r="F230" s="17"/>
      <c r="G230" s="87"/>
      <c r="H230" s="61"/>
      <c r="I230" s="96"/>
      <c r="J230" s="101"/>
      <c r="K230" s="60"/>
      <c r="L230" s="61"/>
      <c r="M230" s="61"/>
    </row>
    <row r="231" ht="15.75" customHeight="1">
      <c r="A231" s="17"/>
      <c r="B231" s="17" t="s">
        <v>617</v>
      </c>
      <c r="C231" s="17" t="s">
        <v>134</v>
      </c>
      <c r="D231" s="17" t="s">
        <v>588</v>
      </c>
      <c r="E231" s="17" t="s">
        <v>96</v>
      </c>
      <c r="F231" s="17" t="s">
        <v>87</v>
      </c>
      <c r="G231" s="87">
        <v>9000.0</v>
      </c>
      <c r="H231" s="61">
        <v>1400000.0</v>
      </c>
      <c r="I231" s="96" t="s">
        <v>42</v>
      </c>
      <c r="J231" s="101">
        <v>900000.0</v>
      </c>
      <c r="K231" s="60" t="s">
        <v>44</v>
      </c>
      <c r="L231" s="61">
        <f t="shared" ref="L231:L234" si="26">H231-J231</f>
        <v>500000</v>
      </c>
      <c r="M231" s="61"/>
    </row>
    <row r="232" ht="15.75" customHeight="1">
      <c r="A232" s="17"/>
      <c r="B232" s="17" t="s">
        <v>618</v>
      </c>
      <c r="C232" s="17" t="s">
        <v>134</v>
      </c>
      <c r="D232" s="17" t="s">
        <v>588</v>
      </c>
      <c r="E232" s="17" t="s">
        <v>96</v>
      </c>
      <c r="F232" s="17" t="s">
        <v>87</v>
      </c>
      <c r="G232" s="87">
        <v>9000.0</v>
      </c>
      <c r="H232" s="61">
        <v>1400000.0</v>
      </c>
      <c r="I232" s="96" t="s">
        <v>42</v>
      </c>
      <c r="J232" s="101">
        <v>900000.0</v>
      </c>
      <c r="K232" s="60" t="s">
        <v>42</v>
      </c>
      <c r="L232" s="61">
        <f t="shared" si="26"/>
        <v>500000</v>
      </c>
      <c r="M232" s="61">
        <v>210000.0</v>
      </c>
    </row>
    <row r="233" ht="15.75" customHeight="1">
      <c r="A233" s="17"/>
      <c r="B233" s="17" t="s">
        <v>619</v>
      </c>
      <c r="C233" s="17" t="s">
        <v>134</v>
      </c>
      <c r="D233" s="17" t="s">
        <v>588</v>
      </c>
      <c r="E233" s="17" t="s">
        <v>96</v>
      </c>
      <c r="F233" s="17" t="s">
        <v>87</v>
      </c>
      <c r="G233" s="87">
        <v>9000.0</v>
      </c>
      <c r="H233" s="61">
        <v>1400000.0</v>
      </c>
      <c r="I233" s="96" t="s">
        <v>42</v>
      </c>
      <c r="J233" s="101">
        <v>900000.0</v>
      </c>
      <c r="K233" s="60" t="s">
        <v>42</v>
      </c>
      <c r="L233" s="61">
        <f t="shared" si="26"/>
        <v>500000</v>
      </c>
      <c r="M233" s="61"/>
    </row>
    <row r="234" ht="15.75" customHeight="1">
      <c r="A234" s="17"/>
      <c r="B234" s="17" t="s">
        <v>622</v>
      </c>
      <c r="C234" s="17" t="s">
        <v>730</v>
      </c>
      <c r="D234" s="17"/>
      <c r="E234" s="17"/>
      <c r="F234" s="17"/>
      <c r="G234" s="57"/>
      <c r="H234" s="61"/>
      <c r="I234" s="96"/>
      <c r="J234" s="101"/>
      <c r="K234" s="60"/>
      <c r="L234" s="61">
        <f t="shared" si="26"/>
        <v>0</v>
      </c>
      <c r="M234" s="61">
        <v>600000.0</v>
      </c>
    </row>
    <row r="235" ht="15.75" customHeight="1">
      <c r="A235" s="169"/>
      <c r="B235" s="169"/>
      <c r="C235" s="169"/>
      <c r="D235" s="169"/>
      <c r="E235" s="169"/>
      <c r="F235" s="169"/>
      <c r="G235" s="170"/>
      <c r="H235" s="202"/>
      <c r="I235" s="292"/>
      <c r="J235" s="172"/>
      <c r="K235" s="193"/>
      <c r="L235" s="52">
        <f>SUM(L231:L234)</f>
        <v>1500000</v>
      </c>
      <c r="M235" s="30">
        <f>SUM(M212:M234)</f>
        <v>3729000</v>
      </c>
    </row>
    <row r="236" ht="15.75" customHeight="1">
      <c r="A236" s="169"/>
      <c r="B236" s="169"/>
      <c r="C236" s="169"/>
      <c r="D236" s="169"/>
      <c r="E236" s="169"/>
      <c r="F236" s="169"/>
      <c r="G236" s="170"/>
      <c r="H236" s="202"/>
      <c r="I236" s="241"/>
      <c r="J236" s="172"/>
      <c r="K236" s="203"/>
      <c r="L236" s="33">
        <f>L235-M235</f>
        <v>-2229000</v>
      </c>
      <c r="M236" s="202"/>
    </row>
    <row r="237" ht="15.75" customHeight="1">
      <c r="A237" s="169"/>
      <c r="B237" s="169"/>
      <c r="C237" s="169"/>
      <c r="D237" s="169"/>
      <c r="E237" s="169"/>
      <c r="F237" s="169"/>
      <c r="G237" s="170"/>
      <c r="H237" s="202"/>
      <c r="I237" s="241"/>
      <c r="J237" s="172"/>
      <c r="K237" s="203"/>
      <c r="M237" s="202"/>
    </row>
    <row r="238" ht="15.75" customHeight="1">
      <c r="A238" s="89"/>
      <c r="B238" s="89" t="s">
        <v>0</v>
      </c>
      <c r="C238" s="89" t="s">
        <v>1</v>
      </c>
      <c r="D238" s="89" t="s">
        <v>2</v>
      </c>
      <c r="E238" s="90" t="s">
        <v>3</v>
      </c>
      <c r="F238" s="89" t="s">
        <v>4</v>
      </c>
      <c r="G238" s="91" t="s">
        <v>5</v>
      </c>
      <c r="H238" s="119" t="s">
        <v>6</v>
      </c>
      <c r="I238" s="92" t="s">
        <v>39</v>
      </c>
      <c r="J238" s="120" t="s">
        <v>7</v>
      </c>
      <c r="K238" s="293" t="s">
        <v>39</v>
      </c>
      <c r="L238" s="92" t="s">
        <v>8</v>
      </c>
      <c r="M238" s="119" t="s">
        <v>9</v>
      </c>
    </row>
    <row r="239" ht="15.75" customHeight="1">
      <c r="A239" s="17"/>
      <c r="B239" s="17" t="s">
        <v>738</v>
      </c>
      <c r="C239" s="17" t="s">
        <v>730</v>
      </c>
      <c r="D239" s="17" t="s">
        <v>588</v>
      </c>
      <c r="E239" s="17" t="s">
        <v>383</v>
      </c>
      <c r="F239" s="17" t="s">
        <v>739</v>
      </c>
      <c r="G239" s="87">
        <v>1000.0</v>
      </c>
      <c r="H239" s="61">
        <v>75000.0</v>
      </c>
      <c r="I239" s="96" t="s">
        <v>42</v>
      </c>
      <c r="J239" s="101">
        <v>50000.0</v>
      </c>
      <c r="K239" s="60" t="s">
        <v>42</v>
      </c>
      <c r="L239" s="100">
        <f>H239-J239</f>
        <v>25000</v>
      </c>
      <c r="M239" s="61"/>
    </row>
    <row r="240" ht="15.75" customHeight="1">
      <c r="A240" s="17"/>
      <c r="B240" s="17" t="s">
        <v>738</v>
      </c>
      <c r="C240" s="17" t="s">
        <v>134</v>
      </c>
      <c r="D240" s="17"/>
      <c r="E240" s="17"/>
      <c r="F240" s="17"/>
      <c r="G240" s="87"/>
      <c r="H240" s="61"/>
      <c r="I240" s="294"/>
      <c r="J240" s="101"/>
      <c r="K240" s="60"/>
      <c r="L240" s="100"/>
      <c r="M240" s="61">
        <v>1080000.0</v>
      </c>
    </row>
    <row r="241" ht="15.75" customHeight="1">
      <c r="A241" s="17"/>
      <c r="B241" s="17" t="s">
        <v>738</v>
      </c>
      <c r="C241" s="17" t="s">
        <v>730</v>
      </c>
      <c r="D241" s="17" t="s">
        <v>588</v>
      </c>
      <c r="E241" s="17" t="s">
        <v>383</v>
      </c>
      <c r="F241" s="17" t="s">
        <v>161</v>
      </c>
      <c r="G241" s="87">
        <v>9000.0</v>
      </c>
      <c r="H241" s="61">
        <v>1215000.0</v>
      </c>
      <c r="I241" s="96" t="s">
        <v>44</v>
      </c>
      <c r="J241" s="101">
        <v>750000.0</v>
      </c>
      <c r="K241" s="60" t="s">
        <v>42</v>
      </c>
      <c r="L241" s="100">
        <f>H241-J241</f>
        <v>465000</v>
      </c>
      <c r="M241" s="61"/>
    </row>
    <row r="242" ht="15.75" customHeight="1">
      <c r="A242" s="17"/>
      <c r="B242" s="17" t="s">
        <v>740</v>
      </c>
      <c r="C242" s="17" t="s">
        <v>134</v>
      </c>
      <c r="D242" s="17" t="s">
        <v>588</v>
      </c>
      <c r="E242" s="17"/>
      <c r="F242" s="17"/>
      <c r="G242" s="87"/>
      <c r="H242" s="61"/>
      <c r="I242" s="294"/>
      <c r="J242" s="101"/>
      <c r="K242" s="60"/>
      <c r="L242" s="100"/>
      <c r="M242" s="61">
        <v>2.22E7</v>
      </c>
    </row>
    <row r="243" ht="15.75" customHeight="1">
      <c r="A243" s="17"/>
      <c r="B243" s="17" t="s">
        <v>740</v>
      </c>
      <c r="C243" s="17" t="s">
        <v>730</v>
      </c>
      <c r="D243" s="17" t="s">
        <v>588</v>
      </c>
      <c r="E243" s="17" t="s">
        <v>383</v>
      </c>
      <c r="F243" s="17" t="s">
        <v>161</v>
      </c>
      <c r="G243" s="87">
        <v>9000.0</v>
      </c>
      <c r="H243" s="61">
        <v>1215000.0</v>
      </c>
      <c r="I243" s="96" t="s">
        <v>44</v>
      </c>
      <c r="J243" s="101">
        <v>750000.0</v>
      </c>
      <c r="K243" s="60" t="s">
        <v>42</v>
      </c>
      <c r="L243" s="100">
        <f t="shared" ref="L243:L267" si="27">H243-J243</f>
        <v>465000</v>
      </c>
      <c r="M243" s="61">
        <v>260000.0</v>
      </c>
    </row>
    <row r="244" ht="15.75" customHeight="1">
      <c r="A244" s="17"/>
      <c r="B244" s="17" t="s">
        <v>741</v>
      </c>
      <c r="C244" s="17" t="s">
        <v>730</v>
      </c>
      <c r="D244" s="17" t="s">
        <v>588</v>
      </c>
      <c r="E244" s="17" t="s">
        <v>383</v>
      </c>
      <c r="F244" s="17" t="s">
        <v>449</v>
      </c>
      <c r="G244" s="87">
        <v>9000.0</v>
      </c>
      <c r="H244" s="61">
        <v>900000.0</v>
      </c>
      <c r="I244" s="96" t="s">
        <v>42</v>
      </c>
      <c r="J244" s="101">
        <v>400000.0</v>
      </c>
      <c r="K244" s="60" t="s">
        <v>44</v>
      </c>
      <c r="L244" s="100">
        <f t="shared" si="27"/>
        <v>500000</v>
      </c>
      <c r="M244" s="61"/>
    </row>
    <row r="245" ht="15.75" customHeight="1">
      <c r="A245" s="17"/>
      <c r="B245" s="17" t="s">
        <v>742</v>
      </c>
      <c r="C245" s="17" t="s">
        <v>730</v>
      </c>
      <c r="D245" s="17" t="s">
        <v>588</v>
      </c>
      <c r="E245" s="17" t="s">
        <v>383</v>
      </c>
      <c r="F245" s="17" t="s">
        <v>87</v>
      </c>
      <c r="G245" s="87">
        <v>9000.0</v>
      </c>
      <c r="H245" s="61">
        <v>1400000.0</v>
      </c>
      <c r="I245" s="96" t="s">
        <v>42</v>
      </c>
      <c r="J245" s="101">
        <v>900000.0</v>
      </c>
      <c r="K245" s="60" t="s">
        <v>44</v>
      </c>
      <c r="L245" s="100">
        <f t="shared" si="27"/>
        <v>500000</v>
      </c>
      <c r="M245" s="61"/>
    </row>
    <row r="246" ht="15.75" customHeight="1">
      <c r="A246" s="17"/>
      <c r="B246" s="17" t="s">
        <v>742</v>
      </c>
      <c r="C246" s="17" t="s">
        <v>134</v>
      </c>
      <c r="D246" s="17" t="s">
        <v>588</v>
      </c>
      <c r="E246" s="17"/>
      <c r="F246" s="17"/>
      <c r="G246" s="57"/>
      <c r="H246" s="61"/>
      <c r="I246" s="294"/>
      <c r="J246" s="101"/>
      <c r="K246" s="295"/>
      <c r="L246" s="100">
        <f t="shared" si="27"/>
        <v>0</v>
      </c>
      <c r="M246" s="61">
        <v>1850000.0</v>
      </c>
    </row>
    <row r="247" ht="15.75" customHeight="1">
      <c r="A247" s="17"/>
      <c r="B247" s="17" t="s">
        <v>743</v>
      </c>
      <c r="C247" s="17" t="s">
        <v>730</v>
      </c>
      <c r="D247" s="17" t="s">
        <v>588</v>
      </c>
      <c r="E247" s="17" t="s">
        <v>40</v>
      </c>
      <c r="F247" s="17" t="s">
        <v>87</v>
      </c>
      <c r="G247" s="87">
        <v>9000.0</v>
      </c>
      <c r="H247" s="61">
        <v>1400000.0</v>
      </c>
      <c r="I247" s="96" t="s">
        <v>42</v>
      </c>
      <c r="J247" s="101">
        <v>900000.0</v>
      </c>
      <c r="K247" s="60" t="s">
        <v>42</v>
      </c>
      <c r="L247" s="100">
        <f t="shared" si="27"/>
        <v>500000</v>
      </c>
      <c r="M247" s="61"/>
    </row>
    <row r="248" ht="15.75" customHeight="1">
      <c r="A248" s="17"/>
      <c r="B248" s="17" t="s">
        <v>744</v>
      </c>
      <c r="C248" s="17" t="s">
        <v>730</v>
      </c>
      <c r="D248" s="17" t="s">
        <v>588</v>
      </c>
      <c r="E248" s="17" t="s">
        <v>50</v>
      </c>
      <c r="F248" s="17" t="s">
        <v>745</v>
      </c>
      <c r="G248" s="87">
        <v>9000.0</v>
      </c>
      <c r="H248" s="61">
        <v>720000.0</v>
      </c>
      <c r="I248" s="96" t="s">
        <v>42</v>
      </c>
      <c r="J248" s="101">
        <v>350000.0</v>
      </c>
      <c r="K248" s="60" t="s">
        <v>42</v>
      </c>
      <c r="L248" s="100">
        <f t="shared" si="27"/>
        <v>370000</v>
      </c>
      <c r="M248" s="61"/>
    </row>
    <row r="249" ht="15.75" customHeight="1">
      <c r="A249" s="17"/>
      <c r="B249" s="17" t="s">
        <v>744</v>
      </c>
      <c r="C249" s="17" t="s">
        <v>730</v>
      </c>
      <c r="D249" s="17" t="s">
        <v>588</v>
      </c>
      <c r="E249" s="17" t="s">
        <v>40</v>
      </c>
      <c r="F249" s="17" t="s">
        <v>94</v>
      </c>
      <c r="G249" s="87">
        <v>8500.0</v>
      </c>
      <c r="H249" s="61">
        <v>1200000.0</v>
      </c>
      <c r="I249" s="96" t="s">
        <v>42</v>
      </c>
      <c r="J249" s="101">
        <v>640000.0</v>
      </c>
      <c r="K249" s="60" t="s">
        <v>42</v>
      </c>
      <c r="L249" s="100">
        <f t="shared" si="27"/>
        <v>560000</v>
      </c>
      <c r="M249" s="61"/>
    </row>
    <row r="250" ht="15.75" customHeight="1">
      <c r="A250" s="17"/>
      <c r="B250" s="17" t="s">
        <v>744</v>
      </c>
      <c r="C250" s="17" t="s">
        <v>134</v>
      </c>
      <c r="D250" s="17"/>
      <c r="E250" s="17"/>
      <c r="F250" s="17"/>
      <c r="G250" s="57"/>
      <c r="H250" s="61"/>
      <c r="I250" s="294"/>
      <c r="J250" s="101"/>
      <c r="K250" s="295"/>
      <c r="L250" s="100">
        <f t="shared" si="27"/>
        <v>0</v>
      </c>
      <c r="M250" s="61">
        <v>480000.0</v>
      </c>
    </row>
    <row r="251" ht="15.75" customHeight="1">
      <c r="A251" s="17"/>
      <c r="B251" s="17" t="s">
        <v>746</v>
      </c>
      <c r="C251" s="17" t="s">
        <v>747</v>
      </c>
      <c r="D251" s="17" t="s">
        <v>588</v>
      </c>
      <c r="E251" s="17" t="s">
        <v>383</v>
      </c>
      <c r="F251" s="17" t="s">
        <v>748</v>
      </c>
      <c r="G251" s="87">
        <v>9000.0</v>
      </c>
      <c r="H251" s="61">
        <v>700000.0</v>
      </c>
      <c r="I251" s="96" t="s">
        <v>44</v>
      </c>
      <c r="J251" s="101">
        <v>425000.0</v>
      </c>
      <c r="K251" s="60" t="s">
        <v>44</v>
      </c>
      <c r="L251" s="100">
        <f t="shared" si="27"/>
        <v>275000</v>
      </c>
      <c r="M251" s="61">
        <v>90000.0</v>
      </c>
    </row>
    <row r="252" ht="15.75" customHeight="1">
      <c r="A252" s="17"/>
      <c r="B252" s="17" t="s">
        <v>749</v>
      </c>
      <c r="C252" s="17" t="s">
        <v>747</v>
      </c>
      <c r="D252" s="17" t="s">
        <v>588</v>
      </c>
      <c r="E252" s="17" t="s">
        <v>383</v>
      </c>
      <c r="F252" s="17" t="s">
        <v>102</v>
      </c>
      <c r="G252" s="87">
        <v>9000.0</v>
      </c>
      <c r="H252" s="61">
        <v>1450000.0</v>
      </c>
      <c r="I252" s="96" t="s">
        <v>42</v>
      </c>
      <c r="J252" s="101">
        <v>950000.0</v>
      </c>
      <c r="K252" s="60" t="s">
        <v>44</v>
      </c>
      <c r="L252" s="100">
        <f t="shared" si="27"/>
        <v>500000</v>
      </c>
      <c r="M252" s="61"/>
    </row>
    <row r="253" ht="15.75" customHeight="1">
      <c r="A253" s="17"/>
      <c r="B253" s="17" t="s">
        <v>750</v>
      </c>
      <c r="C253" s="17" t="s">
        <v>747</v>
      </c>
      <c r="D253" s="17" t="s">
        <v>588</v>
      </c>
      <c r="E253" s="17" t="s">
        <v>92</v>
      </c>
      <c r="F253" s="17" t="s">
        <v>43</v>
      </c>
      <c r="G253" s="87">
        <v>10000.0</v>
      </c>
      <c r="H253" s="61">
        <v>1500000.0</v>
      </c>
      <c r="I253" s="96" t="s">
        <v>44</v>
      </c>
      <c r="J253" s="101">
        <v>850000.0</v>
      </c>
      <c r="K253" s="60" t="s">
        <v>42</v>
      </c>
      <c r="L253" s="100">
        <f t="shared" si="27"/>
        <v>650000</v>
      </c>
      <c r="M253" s="61"/>
    </row>
    <row r="254" ht="15.75" customHeight="1">
      <c r="A254" s="17"/>
      <c r="B254" s="17" t="s">
        <v>751</v>
      </c>
      <c r="C254" s="17" t="s">
        <v>747</v>
      </c>
      <c r="D254" s="17" t="s">
        <v>588</v>
      </c>
      <c r="E254" s="17" t="s">
        <v>71</v>
      </c>
      <c r="F254" s="17" t="s">
        <v>103</v>
      </c>
      <c r="G254" s="87">
        <v>10000.0</v>
      </c>
      <c r="H254" s="61">
        <v>750000.0</v>
      </c>
      <c r="I254" s="96" t="s">
        <v>44</v>
      </c>
      <c r="J254" s="101">
        <v>425000.0</v>
      </c>
      <c r="K254" s="60" t="s">
        <v>42</v>
      </c>
      <c r="L254" s="100">
        <f t="shared" si="27"/>
        <v>325000</v>
      </c>
      <c r="M254" s="61"/>
    </row>
    <row r="255" ht="15.75" customHeight="1">
      <c r="A255" s="17"/>
      <c r="B255" s="17" t="s">
        <v>752</v>
      </c>
      <c r="C255" s="17" t="s">
        <v>747</v>
      </c>
      <c r="D255" s="17" t="s">
        <v>588</v>
      </c>
      <c r="E255" s="17" t="s">
        <v>383</v>
      </c>
      <c r="F255" s="17" t="s">
        <v>84</v>
      </c>
      <c r="G255" s="87">
        <v>9000.0</v>
      </c>
      <c r="H255" s="61">
        <v>1125000.0</v>
      </c>
      <c r="I255" s="96" t="s">
        <v>42</v>
      </c>
      <c r="J255" s="101">
        <v>640000.0</v>
      </c>
      <c r="K255" s="60" t="s">
        <v>42</v>
      </c>
      <c r="L255" s="100">
        <f t="shared" si="27"/>
        <v>485000</v>
      </c>
      <c r="M255" s="61"/>
    </row>
    <row r="256" ht="15.75" customHeight="1">
      <c r="A256" s="17"/>
      <c r="B256" s="17" t="s">
        <v>753</v>
      </c>
      <c r="C256" s="17" t="s">
        <v>747</v>
      </c>
      <c r="D256" s="17" t="s">
        <v>588</v>
      </c>
      <c r="E256" s="17" t="s">
        <v>92</v>
      </c>
      <c r="F256" s="17" t="s">
        <v>103</v>
      </c>
      <c r="G256" s="87">
        <v>10000.0</v>
      </c>
      <c r="H256" s="61">
        <v>750000.0</v>
      </c>
      <c r="I256" s="96" t="s">
        <v>44</v>
      </c>
      <c r="J256" s="101">
        <v>425000.0</v>
      </c>
      <c r="K256" s="60" t="s">
        <v>42</v>
      </c>
      <c r="L256" s="100">
        <f t="shared" si="27"/>
        <v>325000</v>
      </c>
      <c r="M256" s="61"/>
    </row>
    <row r="257" ht="15.75" customHeight="1">
      <c r="A257" s="17"/>
      <c r="B257" s="17" t="s">
        <v>754</v>
      </c>
      <c r="C257" s="17" t="s">
        <v>747</v>
      </c>
      <c r="D257" s="17" t="s">
        <v>588</v>
      </c>
      <c r="E257" s="17" t="s">
        <v>40</v>
      </c>
      <c r="F257" s="17" t="s">
        <v>84</v>
      </c>
      <c r="G257" s="87">
        <v>9000.0</v>
      </c>
      <c r="H257" s="61">
        <v>1125000.0</v>
      </c>
      <c r="I257" s="96" t="s">
        <v>42</v>
      </c>
      <c r="J257" s="101">
        <v>640000.0</v>
      </c>
      <c r="K257" s="60" t="s">
        <v>42</v>
      </c>
      <c r="L257" s="100">
        <f t="shared" si="27"/>
        <v>485000</v>
      </c>
      <c r="M257" s="61"/>
    </row>
    <row r="258" ht="15.75" customHeight="1">
      <c r="A258" s="17"/>
      <c r="B258" s="17" t="s">
        <v>755</v>
      </c>
      <c r="C258" s="17" t="s">
        <v>134</v>
      </c>
      <c r="D258" s="17" t="s">
        <v>588</v>
      </c>
      <c r="E258" s="17" t="s">
        <v>92</v>
      </c>
      <c r="F258" s="17" t="s">
        <v>43</v>
      </c>
      <c r="G258" s="87">
        <v>10000.0</v>
      </c>
      <c r="H258" s="61">
        <v>1500000.0</v>
      </c>
      <c r="I258" s="96" t="s">
        <v>44</v>
      </c>
      <c r="J258" s="101">
        <v>850000.0</v>
      </c>
      <c r="K258" s="60" t="s">
        <v>42</v>
      </c>
      <c r="L258" s="100">
        <f t="shared" si="27"/>
        <v>650000</v>
      </c>
      <c r="M258" s="61">
        <v>2210000.0</v>
      </c>
    </row>
    <row r="259" ht="15.75" customHeight="1">
      <c r="A259" s="17"/>
      <c r="B259" s="17" t="s">
        <v>756</v>
      </c>
      <c r="C259" s="17" t="s">
        <v>134</v>
      </c>
      <c r="D259" s="17" t="s">
        <v>588</v>
      </c>
      <c r="E259" s="17" t="s">
        <v>40</v>
      </c>
      <c r="F259" s="17" t="s">
        <v>43</v>
      </c>
      <c r="G259" s="87">
        <v>9000.0</v>
      </c>
      <c r="H259" s="61">
        <v>1350000.0</v>
      </c>
      <c r="I259" s="93" t="s">
        <v>44</v>
      </c>
      <c r="J259" s="101">
        <v>800000.0</v>
      </c>
      <c r="K259" s="60" t="s">
        <v>44</v>
      </c>
      <c r="L259" s="100">
        <f t="shared" si="27"/>
        <v>550000</v>
      </c>
      <c r="M259" s="61"/>
    </row>
    <row r="260" ht="15.75" customHeight="1">
      <c r="A260" s="17"/>
      <c r="B260" s="17" t="s">
        <v>757</v>
      </c>
      <c r="C260" s="17" t="s">
        <v>134</v>
      </c>
      <c r="D260" s="17" t="s">
        <v>588</v>
      </c>
      <c r="E260" s="17" t="s">
        <v>92</v>
      </c>
      <c r="F260" s="17" t="s">
        <v>73</v>
      </c>
      <c r="G260" s="87">
        <v>9000.0</v>
      </c>
      <c r="H260" s="61">
        <v>1400000.0</v>
      </c>
      <c r="I260" s="96" t="s">
        <v>44</v>
      </c>
      <c r="J260" s="101">
        <v>900000.0</v>
      </c>
      <c r="K260" s="60" t="s">
        <v>44</v>
      </c>
      <c r="L260" s="100">
        <f t="shared" si="27"/>
        <v>500000</v>
      </c>
      <c r="M260" s="61"/>
    </row>
    <row r="261" ht="15.75" customHeight="1">
      <c r="A261" s="17"/>
      <c r="B261" s="17" t="s">
        <v>758</v>
      </c>
      <c r="C261" s="17" t="s">
        <v>134</v>
      </c>
      <c r="D261" s="17" t="s">
        <v>588</v>
      </c>
      <c r="E261" s="17" t="s">
        <v>92</v>
      </c>
      <c r="F261" s="17" t="s">
        <v>103</v>
      </c>
      <c r="G261" s="87">
        <v>10000.0</v>
      </c>
      <c r="H261" s="61">
        <v>750000.0</v>
      </c>
      <c r="I261" s="96" t="s">
        <v>44</v>
      </c>
      <c r="J261" s="101">
        <v>425000.0</v>
      </c>
      <c r="K261" s="60" t="s">
        <v>44</v>
      </c>
      <c r="L261" s="100">
        <f t="shared" si="27"/>
        <v>325000</v>
      </c>
      <c r="M261" s="61"/>
    </row>
    <row r="262" ht="15.75" customHeight="1">
      <c r="A262" s="17"/>
      <c r="B262" s="17" t="s">
        <v>759</v>
      </c>
      <c r="C262" s="17" t="s">
        <v>134</v>
      </c>
      <c r="D262" s="17" t="s">
        <v>588</v>
      </c>
      <c r="E262" s="17" t="s">
        <v>30</v>
      </c>
      <c r="F262" s="17" t="s">
        <v>748</v>
      </c>
      <c r="G262" s="87">
        <v>9000.0</v>
      </c>
      <c r="H262" s="61">
        <v>700000.0</v>
      </c>
      <c r="I262" s="96" t="s">
        <v>44</v>
      </c>
      <c r="J262" s="101">
        <v>375000.0</v>
      </c>
      <c r="K262" s="60" t="s">
        <v>44</v>
      </c>
      <c r="L262" s="100">
        <f t="shared" si="27"/>
        <v>325000</v>
      </c>
      <c r="M262" s="61"/>
    </row>
    <row r="263" ht="15.75" customHeight="1">
      <c r="A263" s="17"/>
      <c r="B263" s="17" t="s">
        <v>759</v>
      </c>
      <c r="C263" s="17" t="s">
        <v>134</v>
      </c>
      <c r="D263" s="17" t="s">
        <v>588</v>
      </c>
      <c r="E263" s="17" t="s">
        <v>30</v>
      </c>
      <c r="F263" s="17" t="s">
        <v>41</v>
      </c>
      <c r="G263" s="87">
        <v>9000.0</v>
      </c>
      <c r="H263" s="61">
        <v>1440000.0</v>
      </c>
      <c r="I263" s="96" t="s">
        <v>44</v>
      </c>
      <c r="J263" s="101">
        <v>900000.0</v>
      </c>
      <c r="K263" s="295" t="s">
        <v>42</v>
      </c>
      <c r="L263" s="100">
        <f t="shared" si="27"/>
        <v>540000</v>
      </c>
      <c r="M263" s="61"/>
    </row>
    <row r="264" ht="15.75" customHeight="1">
      <c r="A264" s="17"/>
      <c r="B264" s="17" t="s">
        <v>760</v>
      </c>
      <c r="C264" s="17" t="s">
        <v>134</v>
      </c>
      <c r="D264" s="17" t="s">
        <v>588</v>
      </c>
      <c r="E264" s="17" t="s">
        <v>30</v>
      </c>
      <c r="F264" s="17" t="s">
        <v>761</v>
      </c>
      <c r="G264" s="87">
        <v>9000.0</v>
      </c>
      <c r="H264" s="61">
        <v>765000.0</v>
      </c>
      <c r="I264" s="96" t="s">
        <v>44</v>
      </c>
      <c r="J264" s="101">
        <v>450000.0</v>
      </c>
      <c r="K264" s="60" t="s">
        <v>44</v>
      </c>
      <c r="L264" s="100">
        <f t="shared" si="27"/>
        <v>315000</v>
      </c>
      <c r="M264" s="61">
        <v>118000.0</v>
      </c>
    </row>
    <row r="265" ht="15.75" customHeight="1">
      <c r="A265" s="17"/>
      <c r="B265" s="17" t="s">
        <v>760</v>
      </c>
      <c r="C265" s="17" t="s">
        <v>134</v>
      </c>
      <c r="D265" s="17" t="s">
        <v>588</v>
      </c>
      <c r="E265" s="17" t="s">
        <v>30</v>
      </c>
      <c r="F265" s="17" t="s">
        <v>55</v>
      </c>
      <c r="G265" s="87">
        <v>9000.0</v>
      </c>
      <c r="H265" s="61">
        <v>1305000.0</v>
      </c>
      <c r="I265" s="96" t="s">
        <v>44</v>
      </c>
      <c r="J265" s="101">
        <v>725000.0</v>
      </c>
      <c r="K265" s="60" t="s">
        <v>44</v>
      </c>
      <c r="L265" s="100">
        <f t="shared" si="27"/>
        <v>580000</v>
      </c>
      <c r="M265" s="61"/>
    </row>
    <row r="266" ht="15.75" customHeight="1">
      <c r="A266" s="17"/>
      <c r="B266" s="17" t="s">
        <v>166</v>
      </c>
      <c r="C266" s="17" t="s">
        <v>134</v>
      </c>
      <c r="D266" s="17" t="s">
        <v>588</v>
      </c>
      <c r="E266" s="17" t="s">
        <v>383</v>
      </c>
      <c r="F266" s="17" t="s">
        <v>483</v>
      </c>
      <c r="G266" s="87">
        <v>9000.0</v>
      </c>
      <c r="H266" s="61">
        <v>1200000.0</v>
      </c>
      <c r="I266" s="96" t="s">
        <v>42</v>
      </c>
      <c r="J266" s="101">
        <v>690000.0</v>
      </c>
      <c r="K266" s="60" t="s">
        <v>44</v>
      </c>
      <c r="L266" s="100">
        <f t="shared" si="27"/>
        <v>510000</v>
      </c>
      <c r="M266" s="61"/>
    </row>
    <row r="267" ht="15.75" customHeight="1">
      <c r="A267" s="17"/>
      <c r="B267" s="17" t="s">
        <v>464</v>
      </c>
      <c r="C267" s="17" t="s">
        <v>134</v>
      </c>
      <c r="D267" s="17" t="s">
        <v>588</v>
      </c>
      <c r="E267" s="17" t="s">
        <v>71</v>
      </c>
      <c r="F267" s="17" t="s">
        <v>103</v>
      </c>
      <c r="G267" s="87">
        <v>10000.0</v>
      </c>
      <c r="H267" s="61">
        <v>750000.0</v>
      </c>
      <c r="I267" s="96" t="s">
        <v>44</v>
      </c>
      <c r="J267" s="101">
        <v>425000.0</v>
      </c>
      <c r="K267" s="60" t="s">
        <v>42</v>
      </c>
      <c r="L267" s="100">
        <f t="shared" si="27"/>
        <v>325000</v>
      </c>
      <c r="M267" s="61"/>
    </row>
    <row r="268" ht="15.75" customHeight="1">
      <c r="A268" s="17"/>
      <c r="B268" s="17"/>
      <c r="C268" s="17"/>
      <c r="D268" s="17"/>
      <c r="E268" s="17"/>
      <c r="F268" s="17"/>
      <c r="G268" s="57"/>
      <c r="H268" s="61"/>
      <c r="I268" s="294"/>
      <c r="J268" s="101"/>
      <c r="K268" s="295"/>
      <c r="L268" s="52">
        <f t="shared" ref="L268:M268" si="28">SUM(L238:L267)</f>
        <v>11050000</v>
      </c>
      <c r="M268" s="30">
        <f t="shared" si="28"/>
        <v>28288000</v>
      </c>
    </row>
    <row r="269" ht="15.75" customHeight="1">
      <c r="A269" s="17"/>
      <c r="B269" s="17"/>
      <c r="C269" s="17"/>
      <c r="D269" s="17"/>
      <c r="E269" s="17"/>
      <c r="F269" s="17"/>
      <c r="G269" s="57"/>
      <c r="H269" s="61"/>
      <c r="I269" s="294"/>
      <c r="J269" s="101"/>
      <c r="K269" s="295"/>
      <c r="L269" s="33">
        <f>L268-M268</f>
        <v>-17238000</v>
      </c>
      <c r="M269" s="202"/>
    </row>
    <row r="270" ht="15.75" customHeight="1">
      <c r="A270" s="17"/>
      <c r="B270" s="17"/>
      <c r="C270" s="17"/>
      <c r="D270" s="17"/>
      <c r="E270" s="17"/>
      <c r="F270" s="17"/>
      <c r="G270" s="57"/>
      <c r="H270" s="61"/>
      <c r="I270" s="93"/>
      <c r="J270" s="101"/>
      <c r="K270" s="21"/>
      <c r="L270" s="7"/>
      <c r="M270" s="61"/>
    </row>
    <row r="271" ht="15.75" customHeight="1">
      <c r="A271" s="89"/>
      <c r="B271" s="89" t="s">
        <v>0</v>
      </c>
      <c r="C271" s="89" t="s">
        <v>1</v>
      </c>
      <c r="D271" s="89" t="s">
        <v>2</v>
      </c>
      <c r="E271" s="90" t="s">
        <v>3</v>
      </c>
      <c r="F271" s="89" t="s">
        <v>4</v>
      </c>
      <c r="G271" s="91" t="s">
        <v>5</v>
      </c>
      <c r="H271" s="119" t="s">
        <v>6</v>
      </c>
      <c r="I271" s="92" t="s">
        <v>39</v>
      </c>
      <c r="J271" s="120" t="s">
        <v>7</v>
      </c>
      <c r="K271" s="293" t="s">
        <v>39</v>
      </c>
      <c r="L271" s="92" t="s">
        <v>8</v>
      </c>
      <c r="M271" s="119" t="s">
        <v>9</v>
      </c>
    </row>
    <row r="272" ht="15.75" customHeight="1">
      <c r="A272" s="17"/>
      <c r="B272" s="17" t="s">
        <v>762</v>
      </c>
      <c r="C272" s="17" t="s">
        <v>134</v>
      </c>
      <c r="D272" s="17" t="s">
        <v>588</v>
      </c>
      <c r="E272" s="17" t="s">
        <v>37</v>
      </c>
      <c r="F272" s="17" t="s">
        <v>103</v>
      </c>
      <c r="G272" s="87">
        <v>10000.0</v>
      </c>
      <c r="H272" s="58">
        <v>750000.0</v>
      </c>
      <c r="I272" s="96" t="s">
        <v>44</v>
      </c>
      <c r="J272" s="101">
        <v>425000.0</v>
      </c>
      <c r="K272" s="60" t="s">
        <v>42</v>
      </c>
      <c r="L272" s="58">
        <f t="shared" ref="L272:L292" si="29">H272-J272</f>
        <v>325000</v>
      </c>
      <c r="M272" s="58">
        <v>0.0</v>
      </c>
    </row>
    <row r="273" ht="15.75" customHeight="1">
      <c r="A273" s="17"/>
      <c r="B273" s="17" t="s">
        <v>168</v>
      </c>
      <c r="C273" s="17" t="s">
        <v>134</v>
      </c>
      <c r="D273" s="17" t="s">
        <v>588</v>
      </c>
      <c r="E273" s="17" t="s">
        <v>30</v>
      </c>
      <c r="F273" s="17" t="s">
        <v>763</v>
      </c>
      <c r="G273" s="87">
        <v>9000.0</v>
      </c>
      <c r="H273" s="58">
        <v>1395000.0</v>
      </c>
      <c r="I273" s="96" t="s">
        <v>44</v>
      </c>
      <c r="J273" s="101">
        <v>900000.0</v>
      </c>
      <c r="K273" s="60" t="s">
        <v>42</v>
      </c>
      <c r="L273" s="58">
        <f t="shared" si="29"/>
        <v>495000</v>
      </c>
      <c r="M273" s="58">
        <v>0.0</v>
      </c>
    </row>
    <row r="274" ht="15.75" customHeight="1">
      <c r="A274" s="17"/>
      <c r="B274" s="17" t="s">
        <v>169</v>
      </c>
      <c r="C274" s="17" t="s">
        <v>134</v>
      </c>
      <c r="D274" s="17" t="s">
        <v>588</v>
      </c>
      <c r="E274" s="17" t="s">
        <v>30</v>
      </c>
      <c r="F274" s="17" t="s">
        <v>763</v>
      </c>
      <c r="G274" s="87">
        <v>9000.0</v>
      </c>
      <c r="H274" s="58">
        <v>1395000.0</v>
      </c>
      <c r="I274" s="96" t="s">
        <v>44</v>
      </c>
      <c r="J274" s="101">
        <v>900000.0</v>
      </c>
      <c r="K274" s="60" t="s">
        <v>42</v>
      </c>
      <c r="L274" s="58">
        <f t="shared" si="29"/>
        <v>495000</v>
      </c>
      <c r="M274" s="58">
        <v>0.0</v>
      </c>
    </row>
    <row r="275" ht="15.75" customHeight="1">
      <c r="A275" s="17"/>
      <c r="B275" s="17" t="s">
        <v>171</v>
      </c>
      <c r="C275" s="17" t="s">
        <v>134</v>
      </c>
      <c r="D275" s="17" t="s">
        <v>588</v>
      </c>
      <c r="E275" s="17" t="s">
        <v>40</v>
      </c>
      <c r="F275" s="17" t="s">
        <v>178</v>
      </c>
      <c r="G275" s="87">
        <v>10000.0</v>
      </c>
      <c r="H275" s="58">
        <v>2000000.0</v>
      </c>
      <c r="I275" s="96" t="s">
        <v>44</v>
      </c>
      <c r="J275" s="101">
        <v>850000.0</v>
      </c>
      <c r="K275" s="60" t="s">
        <v>42</v>
      </c>
      <c r="L275" s="58">
        <f t="shared" si="29"/>
        <v>1150000</v>
      </c>
      <c r="M275" s="58">
        <v>4266000.0</v>
      </c>
    </row>
    <row r="276" ht="15.75" customHeight="1">
      <c r="A276" s="17"/>
      <c r="B276" s="17" t="s">
        <v>173</v>
      </c>
      <c r="C276" s="17" t="s">
        <v>134</v>
      </c>
      <c r="D276" s="17" t="s">
        <v>588</v>
      </c>
      <c r="E276" s="17" t="s">
        <v>764</v>
      </c>
      <c r="F276" s="17" t="s">
        <v>483</v>
      </c>
      <c r="G276" s="87">
        <v>9000.0</v>
      </c>
      <c r="H276" s="58">
        <v>1200000.0</v>
      </c>
      <c r="I276" s="96" t="s">
        <v>42</v>
      </c>
      <c r="J276" s="101">
        <v>690000.0</v>
      </c>
      <c r="K276" s="60" t="s">
        <v>44</v>
      </c>
      <c r="L276" s="58">
        <f t="shared" si="29"/>
        <v>510000</v>
      </c>
      <c r="M276" s="58">
        <v>0.0</v>
      </c>
    </row>
    <row r="277" ht="15.75" customHeight="1">
      <c r="A277" s="17"/>
      <c r="B277" s="17" t="s">
        <v>174</v>
      </c>
      <c r="C277" s="17" t="s">
        <v>134</v>
      </c>
      <c r="D277" s="17" t="s">
        <v>588</v>
      </c>
      <c r="E277" s="17" t="s">
        <v>40</v>
      </c>
      <c r="F277" s="17" t="s">
        <v>434</v>
      </c>
      <c r="G277" s="87">
        <v>9000.0</v>
      </c>
      <c r="H277" s="58">
        <v>1035000.0</v>
      </c>
      <c r="I277" s="96" t="s">
        <v>42</v>
      </c>
      <c r="J277" s="101">
        <v>600000.0</v>
      </c>
      <c r="K277" s="60" t="s">
        <v>42</v>
      </c>
      <c r="L277" s="58">
        <f t="shared" si="29"/>
        <v>435000</v>
      </c>
      <c r="M277" s="58">
        <v>0.0</v>
      </c>
    </row>
    <row r="278" ht="15.75" customHeight="1">
      <c r="A278" s="17"/>
      <c r="B278" s="17" t="s">
        <v>635</v>
      </c>
      <c r="C278" s="17" t="s">
        <v>134</v>
      </c>
      <c r="D278" s="17" t="s">
        <v>588</v>
      </c>
      <c r="E278" s="17" t="s">
        <v>30</v>
      </c>
      <c r="F278" s="17" t="s">
        <v>765</v>
      </c>
      <c r="G278" s="87">
        <v>9000.0</v>
      </c>
      <c r="H278" s="58">
        <v>900000.0</v>
      </c>
      <c r="I278" s="96" t="s">
        <v>42</v>
      </c>
      <c r="J278" s="101">
        <v>500000.0</v>
      </c>
      <c r="K278" s="60" t="s">
        <v>42</v>
      </c>
      <c r="L278" s="58">
        <f t="shared" si="29"/>
        <v>400000</v>
      </c>
      <c r="M278" s="58">
        <v>0.0</v>
      </c>
    </row>
    <row r="279" ht="15.75" customHeight="1">
      <c r="A279" s="17"/>
      <c r="B279" s="17" t="s">
        <v>176</v>
      </c>
      <c r="C279" s="17" t="s">
        <v>134</v>
      </c>
      <c r="D279" s="17" t="s">
        <v>588</v>
      </c>
      <c r="E279" s="17" t="s">
        <v>123</v>
      </c>
      <c r="F279" s="17" t="s">
        <v>107</v>
      </c>
      <c r="G279" s="87">
        <v>9000.0</v>
      </c>
      <c r="H279" s="58">
        <v>1125000.0</v>
      </c>
      <c r="I279" s="96" t="s">
        <v>42</v>
      </c>
      <c r="J279" s="101">
        <v>640000.0</v>
      </c>
      <c r="K279" s="60" t="s">
        <v>42</v>
      </c>
      <c r="L279" s="58">
        <f t="shared" si="29"/>
        <v>485000</v>
      </c>
      <c r="M279" s="58">
        <v>0.0</v>
      </c>
      <c r="N279" s="168"/>
      <c r="O279" s="168"/>
      <c r="P279" s="168"/>
      <c r="Q279" s="168"/>
      <c r="R279" s="22"/>
    </row>
    <row r="280" ht="15.75" customHeight="1">
      <c r="A280" s="17"/>
      <c r="B280" s="17" t="s">
        <v>177</v>
      </c>
      <c r="C280" s="17" t="s">
        <v>134</v>
      </c>
      <c r="D280" s="17" t="s">
        <v>588</v>
      </c>
      <c r="E280" s="17" t="s">
        <v>40</v>
      </c>
      <c r="F280" s="17" t="s">
        <v>208</v>
      </c>
      <c r="G280" s="87">
        <v>10000.0</v>
      </c>
      <c r="H280" s="58">
        <v>750000.0</v>
      </c>
      <c r="I280" s="96" t="s">
        <v>42</v>
      </c>
      <c r="J280" s="101">
        <v>425000.0</v>
      </c>
      <c r="K280" s="60" t="s">
        <v>42</v>
      </c>
      <c r="L280" s="58">
        <f t="shared" si="29"/>
        <v>325000</v>
      </c>
      <c r="M280" s="58">
        <v>0.0</v>
      </c>
    </row>
    <row r="281" ht="15.75" customHeight="1">
      <c r="A281" s="17"/>
      <c r="B281" s="17" t="s">
        <v>179</v>
      </c>
      <c r="C281" s="17" t="s">
        <v>134</v>
      </c>
      <c r="D281" s="17" t="s">
        <v>588</v>
      </c>
      <c r="E281" s="17" t="s">
        <v>764</v>
      </c>
      <c r="F281" s="17" t="s">
        <v>118</v>
      </c>
      <c r="G281" s="87">
        <v>9000.0</v>
      </c>
      <c r="H281" s="58">
        <v>990000.0</v>
      </c>
      <c r="I281" s="96" t="s">
        <v>44</v>
      </c>
      <c r="J281" s="101">
        <v>550000.0</v>
      </c>
      <c r="K281" s="60" t="s">
        <v>42</v>
      </c>
      <c r="L281" s="58">
        <f t="shared" si="29"/>
        <v>440000</v>
      </c>
      <c r="M281" s="58">
        <v>0.0</v>
      </c>
    </row>
    <row r="282" ht="15.75" customHeight="1">
      <c r="A282" s="17"/>
      <c r="B282" s="17" t="s">
        <v>180</v>
      </c>
      <c r="C282" s="17" t="s">
        <v>134</v>
      </c>
      <c r="D282" s="17" t="s">
        <v>588</v>
      </c>
      <c r="E282" s="17" t="s">
        <v>40</v>
      </c>
      <c r="F282" s="17" t="s">
        <v>766</v>
      </c>
      <c r="G282" s="87">
        <v>9000.0</v>
      </c>
      <c r="H282" s="58">
        <v>720000.0</v>
      </c>
      <c r="I282" s="96" t="s">
        <v>42</v>
      </c>
      <c r="J282" s="101">
        <v>400000.0</v>
      </c>
      <c r="K282" s="60" t="s">
        <v>42</v>
      </c>
      <c r="L282" s="58">
        <f t="shared" si="29"/>
        <v>320000</v>
      </c>
      <c r="M282" s="58">
        <v>2367000.0</v>
      </c>
    </row>
    <row r="283" ht="15.75" customHeight="1">
      <c r="A283" s="17"/>
      <c r="B283" s="17" t="s">
        <v>181</v>
      </c>
      <c r="C283" s="17" t="s">
        <v>134</v>
      </c>
      <c r="D283" s="17" t="s">
        <v>588</v>
      </c>
      <c r="E283" s="17" t="s">
        <v>30</v>
      </c>
      <c r="F283" s="17" t="s">
        <v>735</v>
      </c>
      <c r="G283" s="87">
        <v>9000.0</v>
      </c>
      <c r="H283" s="58">
        <v>700000.0</v>
      </c>
      <c r="I283" s="96" t="s">
        <v>42</v>
      </c>
      <c r="J283" s="101">
        <v>375000.0</v>
      </c>
      <c r="K283" s="60" t="s">
        <v>42</v>
      </c>
      <c r="L283" s="58">
        <f t="shared" si="29"/>
        <v>325000</v>
      </c>
      <c r="M283" s="58">
        <v>0.0</v>
      </c>
    </row>
    <row r="284" ht="15.75" customHeight="1">
      <c r="A284" s="17"/>
      <c r="B284" s="17" t="s">
        <v>183</v>
      </c>
      <c r="C284" s="17" t="s">
        <v>134</v>
      </c>
      <c r="D284" s="17" t="s">
        <v>588</v>
      </c>
      <c r="E284" s="17" t="s">
        <v>30</v>
      </c>
      <c r="F284" s="17" t="s">
        <v>109</v>
      </c>
      <c r="G284" s="87">
        <v>9000.0</v>
      </c>
      <c r="H284" s="58">
        <v>720000.0</v>
      </c>
      <c r="I284" s="96" t="s">
        <v>42</v>
      </c>
      <c r="J284" s="101">
        <v>350000.0</v>
      </c>
      <c r="K284" s="60" t="s">
        <v>42</v>
      </c>
      <c r="L284" s="58">
        <f t="shared" si="29"/>
        <v>370000</v>
      </c>
      <c r="M284" s="58">
        <v>0.0</v>
      </c>
    </row>
    <row r="285" ht="15.75" customHeight="1">
      <c r="A285" s="17"/>
      <c r="B285" s="17" t="s">
        <v>469</v>
      </c>
      <c r="C285" s="17" t="s">
        <v>134</v>
      </c>
      <c r="D285" s="17" t="s">
        <v>588</v>
      </c>
      <c r="E285" s="17" t="s">
        <v>30</v>
      </c>
      <c r="F285" s="17" t="s">
        <v>103</v>
      </c>
      <c r="G285" s="87">
        <v>9000.0</v>
      </c>
      <c r="H285" s="58">
        <v>675000.0</v>
      </c>
      <c r="I285" s="96" t="s">
        <v>44</v>
      </c>
      <c r="J285" s="101">
        <v>375000.0</v>
      </c>
      <c r="K285" s="60" t="s">
        <v>44</v>
      </c>
      <c r="L285" s="58">
        <f t="shared" si="29"/>
        <v>300000</v>
      </c>
      <c r="M285" s="58">
        <v>1300000.0</v>
      </c>
    </row>
    <row r="286" ht="15.75" customHeight="1">
      <c r="A286" s="17"/>
      <c r="B286" s="17" t="s">
        <v>469</v>
      </c>
      <c r="C286" s="17" t="s">
        <v>134</v>
      </c>
      <c r="D286" s="17" t="s">
        <v>588</v>
      </c>
      <c r="E286" s="17" t="s">
        <v>40</v>
      </c>
      <c r="F286" s="17" t="s">
        <v>483</v>
      </c>
      <c r="G286" s="87">
        <v>9000.0</v>
      </c>
      <c r="H286" s="58">
        <v>1200000.0</v>
      </c>
      <c r="I286" s="96" t="s">
        <v>42</v>
      </c>
      <c r="J286" s="101">
        <v>640000.0</v>
      </c>
      <c r="K286" s="60" t="s">
        <v>44</v>
      </c>
      <c r="L286" s="58">
        <f t="shared" si="29"/>
        <v>560000</v>
      </c>
      <c r="M286" s="58">
        <v>0.0</v>
      </c>
    </row>
    <row r="287" ht="15.75" customHeight="1">
      <c r="A287" s="17"/>
      <c r="B287" s="17" t="s">
        <v>471</v>
      </c>
      <c r="C287" s="17" t="s">
        <v>134</v>
      </c>
      <c r="D287" s="17" t="s">
        <v>588</v>
      </c>
      <c r="E287" s="17" t="s">
        <v>37</v>
      </c>
      <c r="F287" s="17" t="s">
        <v>43</v>
      </c>
      <c r="G287" s="87">
        <v>10000.0</v>
      </c>
      <c r="H287" s="58">
        <v>1500000.0</v>
      </c>
      <c r="I287" s="96" t="s">
        <v>44</v>
      </c>
      <c r="J287" s="101">
        <v>850000.0</v>
      </c>
      <c r="K287" s="60" t="s">
        <v>42</v>
      </c>
      <c r="L287" s="58">
        <f t="shared" si="29"/>
        <v>650000</v>
      </c>
      <c r="M287" s="58">
        <v>100000.0</v>
      </c>
    </row>
    <row r="288" ht="15.75" customHeight="1">
      <c r="A288" s="17"/>
      <c r="B288" s="17" t="s">
        <v>187</v>
      </c>
      <c r="C288" s="17" t="s">
        <v>134</v>
      </c>
      <c r="D288" s="17" t="s">
        <v>588</v>
      </c>
      <c r="E288" s="17" t="s">
        <v>40</v>
      </c>
      <c r="F288" s="17" t="s">
        <v>84</v>
      </c>
      <c r="G288" s="87">
        <v>9000.0</v>
      </c>
      <c r="H288" s="58">
        <v>1125000.0</v>
      </c>
      <c r="I288" s="96" t="s">
        <v>44</v>
      </c>
      <c r="J288" s="101">
        <v>640000.0</v>
      </c>
      <c r="K288" s="60" t="s">
        <v>42</v>
      </c>
      <c r="L288" s="58">
        <f t="shared" si="29"/>
        <v>485000</v>
      </c>
      <c r="M288" s="58">
        <v>0.0</v>
      </c>
    </row>
    <row r="289" ht="15.75" customHeight="1">
      <c r="A289" s="17"/>
      <c r="B289" s="17" t="s">
        <v>188</v>
      </c>
      <c r="C289" s="17" t="s">
        <v>134</v>
      </c>
      <c r="D289" s="17" t="s">
        <v>588</v>
      </c>
      <c r="E289" s="17" t="s">
        <v>532</v>
      </c>
      <c r="F289" s="17" t="s">
        <v>483</v>
      </c>
      <c r="G289" s="87">
        <v>9000.0</v>
      </c>
      <c r="H289" s="58">
        <v>1200000.0</v>
      </c>
      <c r="I289" s="96" t="s">
        <v>44</v>
      </c>
      <c r="J289" s="101">
        <v>640000.0</v>
      </c>
      <c r="K289" s="60" t="s">
        <v>44</v>
      </c>
      <c r="L289" s="58">
        <f t="shared" si="29"/>
        <v>560000</v>
      </c>
      <c r="M289" s="58">
        <v>0.0</v>
      </c>
    </row>
    <row r="290" ht="15.75" customHeight="1">
      <c r="A290" s="17"/>
      <c r="B290" s="17" t="s">
        <v>189</v>
      </c>
      <c r="C290" s="17" t="s">
        <v>134</v>
      </c>
      <c r="D290" s="17" t="s">
        <v>588</v>
      </c>
      <c r="E290" s="17" t="s">
        <v>40</v>
      </c>
      <c r="F290" s="17" t="s">
        <v>767</v>
      </c>
      <c r="G290" s="87">
        <v>9000.0</v>
      </c>
      <c r="H290" s="58">
        <v>1400000.0</v>
      </c>
      <c r="I290" s="96" t="s">
        <v>44</v>
      </c>
      <c r="J290" s="101">
        <v>850000.0</v>
      </c>
      <c r="K290" s="60" t="s">
        <v>44</v>
      </c>
      <c r="L290" s="58">
        <f t="shared" si="29"/>
        <v>550000</v>
      </c>
      <c r="M290" s="58">
        <v>0.0</v>
      </c>
    </row>
    <row r="291" ht="15.75" customHeight="1">
      <c r="A291" s="296"/>
      <c r="B291" s="296">
        <v>45532.0</v>
      </c>
      <c r="C291" s="17" t="s">
        <v>134</v>
      </c>
      <c r="D291" s="17" t="s">
        <v>588</v>
      </c>
      <c r="E291" s="17" t="s">
        <v>538</v>
      </c>
      <c r="F291" s="17" t="s">
        <v>768</v>
      </c>
      <c r="G291" s="87">
        <v>10000.0</v>
      </c>
      <c r="H291" s="58">
        <v>1300000.0</v>
      </c>
      <c r="I291" s="96" t="s">
        <v>44</v>
      </c>
      <c r="J291" s="101">
        <v>950000.0</v>
      </c>
      <c r="K291" s="60" t="s">
        <v>44</v>
      </c>
      <c r="L291" s="58">
        <f t="shared" si="29"/>
        <v>350000</v>
      </c>
      <c r="M291" s="58">
        <v>300000.0</v>
      </c>
    </row>
    <row r="292" ht="15.75" customHeight="1">
      <c r="A292" s="17"/>
      <c r="B292" s="17" t="s">
        <v>195</v>
      </c>
      <c r="C292" s="17" t="s">
        <v>134</v>
      </c>
      <c r="D292" s="17" t="s">
        <v>588</v>
      </c>
      <c r="E292" s="17" t="s">
        <v>764</v>
      </c>
      <c r="F292" s="17" t="s">
        <v>72</v>
      </c>
      <c r="G292" s="87">
        <v>9000.0</v>
      </c>
      <c r="H292" s="58">
        <v>1215000.0</v>
      </c>
      <c r="I292" s="96" t="s">
        <v>44</v>
      </c>
      <c r="J292" s="101">
        <v>750000.0</v>
      </c>
      <c r="K292" s="60" t="s">
        <v>42</v>
      </c>
      <c r="L292" s="58">
        <f t="shared" si="29"/>
        <v>465000</v>
      </c>
      <c r="M292" s="58">
        <v>0.0</v>
      </c>
    </row>
    <row r="293" ht="15.75" customHeight="1">
      <c r="A293" s="17"/>
      <c r="B293" s="17"/>
      <c r="C293" s="17"/>
      <c r="D293" s="17"/>
      <c r="E293" s="17"/>
      <c r="F293" s="17"/>
      <c r="G293" s="57"/>
      <c r="H293" s="61"/>
      <c r="I293" s="93"/>
      <c r="J293" s="101"/>
      <c r="K293" s="21"/>
      <c r="L293" s="52">
        <f t="shared" ref="L293:M293" si="30">SUM(L272:L292)</f>
        <v>9995000</v>
      </c>
      <c r="M293" s="30">
        <f t="shared" si="30"/>
        <v>8333000</v>
      </c>
    </row>
    <row r="294" ht="15.75" customHeight="1">
      <c r="A294" s="17"/>
      <c r="B294" s="17"/>
      <c r="C294" s="17"/>
      <c r="D294" s="17"/>
      <c r="E294" s="17"/>
      <c r="F294" s="17"/>
      <c r="G294" s="57"/>
      <c r="H294" s="61"/>
      <c r="I294" s="93"/>
      <c r="J294" s="101"/>
      <c r="K294" s="21"/>
      <c r="L294" s="33">
        <f>L293-M293</f>
        <v>1662000</v>
      </c>
      <c r="M294" s="61"/>
    </row>
    <row r="295" ht="15.75" customHeight="1">
      <c r="A295" s="169"/>
      <c r="B295" s="169"/>
      <c r="C295" s="169"/>
      <c r="D295" s="169"/>
      <c r="E295" s="169"/>
      <c r="F295" s="169"/>
      <c r="G295" s="170"/>
      <c r="H295" s="202"/>
      <c r="I295" s="241"/>
      <c r="J295" s="172"/>
      <c r="K295" s="203"/>
      <c r="M295" s="202"/>
    </row>
    <row r="296" ht="15.75" customHeight="1">
      <c r="A296" s="89"/>
      <c r="B296" s="89" t="s">
        <v>0</v>
      </c>
      <c r="C296" s="89" t="s">
        <v>1</v>
      </c>
      <c r="D296" s="89" t="s">
        <v>2</v>
      </c>
      <c r="E296" s="90" t="s">
        <v>3</v>
      </c>
      <c r="F296" s="89" t="s">
        <v>4</v>
      </c>
      <c r="G296" s="91" t="s">
        <v>5</v>
      </c>
      <c r="H296" s="119" t="s">
        <v>6</v>
      </c>
      <c r="I296" s="92" t="s">
        <v>39</v>
      </c>
      <c r="J296" s="120" t="s">
        <v>7</v>
      </c>
      <c r="K296" s="293" t="s">
        <v>39</v>
      </c>
      <c r="L296" s="92" t="s">
        <v>8</v>
      </c>
      <c r="M296" s="119" t="s">
        <v>9</v>
      </c>
    </row>
    <row r="297" ht="15.75" customHeight="1">
      <c r="A297" s="86"/>
      <c r="B297" s="86">
        <v>45537.0</v>
      </c>
      <c r="C297" s="17" t="s">
        <v>134</v>
      </c>
      <c r="D297" s="17" t="s">
        <v>588</v>
      </c>
      <c r="E297" s="17" t="s">
        <v>532</v>
      </c>
      <c r="F297" s="17" t="s">
        <v>94</v>
      </c>
      <c r="G297" s="87">
        <v>8500.0</v>
      </c>
      <c r="H297" s="61">
        <v>1200000.0</v>
      </c>
      <c r="I297" s="96" t="s">
        <v>42</v>
      </c>
      <c r="J297" s="101">
        <v>640000.0</v>
      </c>
      <c r="K297" s="60" t="s">
        <v>44</v>
      </c>
      <c r="L297" s="100">
        <f t="shared" ref="L297:L317" si="31">H297-J297</f>
        <v>560000</v>
      </c>
      <c r="M297" s="61"/>
    </row>
    <row r="298" ht="15.75" customHeight="1">
      <c r="A298" s="86"/>
      <c r="B298" s="86">
        <v>45538.0</v>
      </c>
      <c r="C298" s="17" t="s">
        <v>134</v>
      </c>
      <c r="D298" s="17" t="s">
        <v>588</v>
      </c>
      <c r="E298" s="17" t="s">
        <v>96</v>
      </c>
      <c r="F298" s="17" t="s">
        <v>481</v>
      </c>
      <c r="G298" s="87">
        <v>9000.0</v>
      </c>
      <c r="H298" s="61">
        <v>1350000.0</v>
      </c>
      <c r="I298" s="96" t="s">
        <v>42</v>
      </c>
      <c r="J298" s="101">
        <v>875000.0</v>
      </c>
      <c r="K298" s="60" t="s">
        <v>42</v>
      </c>
      <c r="L298" s="100">
        <f t="shared" si="31"/>
        <v>475000</v>
      </c>
      <c r="M298" s="61"/>
    </row>
    <row r="299" ht="15.75" customHeight="1">
      <c r="A299" s="86"/>
      <c r="B299" s="86">
        <v>45539.0</v>
      </c>
      <c r="C299" s="17" t="s">
        <v>134</v>
      </c>
      <c r="D299" s="17" t="s">
        <v>588</v>
      </c>
      <c r="E299" s="17" t="s">
        <v>96</v>
      </c>
      <c r="F299" s="17" t="s">
        <v>184</v>
      </c>
      <c r="G299" s="87">
        <v>9000.0</v>
      </c>
      <c r="H299" s="61">
        <v>800000.0</v>
      </c>
      <c r="I299" s="96" t="s">
        <v>42</v>
      </c>
      <c r="J299" s="101">
        <v>400000.0</v>
      </c>
      <c r="K299" s="60" t="s">
        <v>42</v>
      </c>
      <c r="L299" s="100">
        <f t="shared" si="31"/>
        <v>400000</v>
      </c>
      <c r="M299" s="61"/>
    </row>
    <row r="300" ht="15.75" customHeight="1">
      <c r="A300" s="86"/>
      <c r="B300" s="86">
        <v>45540.0</v>
      </c>
      <c r="C300" s="17" t="s">
        <v>134</v>
      </c>
      <c r="D300" s="17" t="s">
        <v>588</v>
      </c>
      <c r="E300" s="17" t="s">
        <v>96</v>
      </c>
      <c r="F300" s="17" t="s">
        <v>184</v>
      </c>
      <c r="G300" s="87">
        <v>9000.0</v>
      </c>
      <c r="H300" s="61">
        <v>800000.0</v>
      </c>
      <c r="I300" s="96" t="s">
        <v>42</v>
      </c>
      <c r="J300" s="101">
        <v>400000.0</v>
      </c>
      <c r="K300" s="60" t="s">
        <v>42</v>
      </c>
      <c r="L300" s="100">
        <f t="shared" si="31"/>
        <v>400000</v>
      </c>
      <c r="M300" s="61"/>
    </row>
    <row r="301" ht="15.75" customHeight="1">
      <c r="A301" s="86"/>
      <c r="B301" s="86">
        <v>45541.0</v>
      </c>
      <c r="C301" s="17" t="s">
        <v>134</v>
      </c>
      <c r="D301" s="17" t="s">
        <v>588</v>
      </c>
      <c r="E301" s="17" t="s">
        <v>769</v>
      </c>
      <c r="F301" s="17" t="s">
        <v>770</v>
      </c>
      <c r="G301" s="87">
        <v>9000.0</v>
      </c>
      <c r="H301" s="61">
        <v>765000.0</v>
      </c>
      <c r="I301" s="96" t="s">
        <v>44</v>
      </c>
      <c r="J301" s="101">
        <v>450000.0</v>
      </c>
      <c r="K301" s="60" t="s">
        <v>42</v>
      </c>
      <c r="L301" s="100">
        <f t="shared" si="31"/>
        <v>315000</v>
      </c>
      <c r="M301" s="61"/>
    </row>
    <row r="302" ht="15.75" customHeight="1">
      <c r="A302" s="86"/>
      <c r="B302" s="86">
        <v>45542.0</v>
      </c>
      <c r="C302" s="17" t="s">
        <v>134</v>
      </c>
      <c r="D302" s="17" t="s">
        <v>588</v>
      </c>
      <c r="E302" s="17" t="s">
        <v>30</v>
      </c>
      <c r="F302" s="17" t="s">
        <v>481</v>
      </c>
      <c r="G302" s="87">
        <v>9000.0</v>
      </c>
      <c r="H302" s="61">
        <v>1350000.0</v>
      </c>
      <c r="I302" s="96" t="s">
        <v>42</v>
      </c>
      <c r="J302" s="101">
        <v>875000.0</v>
      </c>
      <c r="K302" s="60" t="s">
        <v>42</v>
      </c>
      <c r="L302" s="100">
        <f t="shared" si="31"/>
        <v>475000</v>
      </c>
      <c r="M302" s="61"/>
    </row>
    <row r="303" ht="15.75" customHeight="1">
      <c r="A303" s="86"/>
      <c r="B303" s="86">
        <v>45544.0</v>
      </c>
      <c r="C303" s="17" t="s">
        <v>134</v>
      </c>
      <c r="D303" s="17" t="s">
        <v>588</v>
      </c>
      <c r="E303" s="17" t="s">
        <v>30</v>
      </c>
      <c r="F303" s="17" t="s">
        <v>196</v>
      </c>
      <c r="G303" s="87">
        <v>9000.0</v>
      </c>
      <c r="H303" s="61">
        <v>1440000.0</v>
      </c>
      <c r="I303" s="96" t="s">
        <v>44</v>
      </c>
      <c r="J303" s="101">
        <v>900000.0</v>
      </c>
      <c r="K303" s="60" t="s">
        <v>42</v>
      </c>
      <c r="L303" s="100">
        <f t="shared" si="31"/>
        <v>540000</v>
      </c>
      <c r="M303" s="61">
        <v>920000.0</v>
      </c>
    </row>
    <row r="304" ht="15.75" customHeight="1">
      <c r="A304" s="86"/>
      <c r="B304" s="86">
        <v>45545.0</v>
      </c>
      <c r="C304" s="17" t="s">
        <v>134</v>
      </c>
      <c r="D304" s="17" t="s">
        <v>588</v>
      </c>
      <c r="E304" s="17" t="s">
        <v>96</v>
      </c>
      <c r="F304" s="17" t="s">
        <v>43</v>
      </c>
      <c r="G304" s="87">
        <v>10000.0</v>
      </c>
      <c r="H304" s="61">
        <v>1500000.0</v>
      </c>
      <c r="I304" s="96" t="s">
        <v>42</v>
      </c>
      <c r="J304" s="101">
        <v>850000.0</v>
      </c>
      <c r="K304" s="60" t="s">
        <v>42</v>
      </c>
      <c r="L304" s="100">
        <f t="shared" si="31"/>
        <v>650000</v>
      </c>
      <c r="M304" s="61"/>
    </row>
    <row r="305" ht="15.75" customHeight="1">
      <c r="A305" s="86"/>
      <c r="B305" s="86">
        <v>45546.0</v>
      </c>
      <c r="C305" s="17" t="s">
        <v>134</v>
      </c>
      <c r="D305" s="17" t="s">
        <v>588</v>
      </c>
      <c r="E305" s="17" t="s">
        <v>771</v>
      </c>
      <c r="F305" s="17" t="s">
        <v>547</v>
      </c>
      <c r="G305" s="87">
        <v>10000.0</v>
      </c>
      <c r="H305" s="61">
        <v>1300000.0</v>
      </c>
      <c r="I305" s="96" t="s">
        <v>42</v>
      </c>
      <c r="J305" s="101">
        <v>740000.0</v>
      </c>
      <c r="K305" s="60" t="s">
        <v>42</v>
      </c>
      <c r="L305" s="100">
        <f t="shared" si="31"/>
        <v>560000</v>
      </c>
      <c r="M305" s="61"/>
    </row>
    <row r="306" ht="15.75" customHeight="1">
      <c r="A306" s="86"/>
      <c r="B306" s="86">
        <v>45549.0</v>
      </c>
      <c r="C306" s="17" t="s">
        <v>134</v>
      </c>
      <c r="D306" s="17" t="s">
        <v>588</v>
      </c>
      <c r="E306" s="17" t="s">
        <v>96</v>
      </c>
      <c r="F306" s="17" t="s">
        <v>84</v>
      </c>
      <c r="G306" s="87">
        <v>9000.0</v>
      </c>
      <c r="H306" s="61">
        <v>1035000.0</v>
      </c>
      <c r="I306" s="96" t="s">
        <v>42</v>
      </c>
      <c r="J306" s="101">
        <v>600000.0</v>
      </c>
      <c r="K306" s="60" t="s">
        <v>42</v>
      </c>
      <c r="L306" s="100">
        <f t="shared" si="31"/>
        <v>435000</v>
      </c>
      <c r="M306" s="61"/>
    </row>
    <row r="307" ht="15.75" customHeight="1">
      <c r="A307" s="86"/>
      <c r="B307" s="86">
        <v>45552.0</v>
      </c>
      <c r="C307" s="17" t="s">
        <v>134</v>
      </c>
      <c r="D307" s="17" t="s">
        <v>588</v>
      </c>
      <c r="E307" s="17" t="s">
        <v>37</v>
      </c>
      <c r="F307" s="17" t="s">
        <v>43</v>
      </c>
      <c r="G307" s="87">
        <v>10000.0</v>
      </c>
      <c r="H307" s="61">
        <v>1500000.0</v>
      </c>
      <c r="I307" s="96" t="s">
        <v>44</v>
      </c>
      <c r="J307" s="101">
        <v>850000.0</v>
      </c>
      <c r="K307" s="60" t="s">
        <v>42</v>
      </c>
      <c r="L307" s="100">
        <f t="shared" si="31"/>
        <v>650000</v>
      </c>
      <c r="M307" s="61">
        <v>435000.0</v>
      </c>
    </row>
    <row r="308" ht="15.75" customHeight="1">
      <c r="A308" s="86"/>
      <c r="B308" s="86">
        <v>45552.0</v>
      </c>
      <c r="C308" s="17" t="s">
        <v>134</v>
      </c>
      <c r="D308" s="17" t="s">
        <v>588</v>
      </c>
      <c r="E308" s="17" t="s">
        <v>30</v>
      </c>
      <c r="F308" s="17" t="s">
        <v>772</v>
      </c>
      <c r="G308" s="87">
        <v>8000.0</v>
      </c>
      <c r="H308" s="61">
        <v>600000.0</v>
      </c>
      <c r="I308" s="96" t="s">
        <v>42</v>
      </c>
      <c r="J308" s="101">
        <v>300000.0</v>
      </c>
      <c r="K308" s="60" t="s">
        <v>42</v>
      </c>
      <c r="L308" s="100">
        <f t="shared" si="31"/>
        <v>300000</v>
      </c>
      <c r="M308" s="61"/>
    </row>
    <row r="309" ht="15.75" customHeight="1">
      <c r="A309" s="86"/>
      <c r="B309" s="86">
        <v>45554.0</v>
      </c>
      <c r="C309" s="17" t="s">
        <v>134</v>
      </c>
      <c r="D309" s="17" t="s">
        <v>588</v>
      </c>
      <c r="E309" s="17" t="s">
        <v>30</v>
      </c>
      <c r="F309" s="17" t="s">
        <v>103</v>
      </c>
      <c r="G309" s="87">
        <v>9000.0</v>
      </c>
      <c r="H309" s="61">
        <v>675000.0</v>
      </c>
      <c r="I309" s="96" t="s">
        <v>44</v>
      </c>
      <c r="J309" s="101">
        <v>375000.0</v>
      </c>
      <c r="K309" s="60" t="s">
        <v>44</v>
      </c>
      <c r="L309" s="100">
        <f t="shared" si="31"/>
        <v>300000</v>
      </c>
      <c r="M309" s="61"/>
    </row>
    <row r="310" ht="15.75" customHeight="1">
      <c r="A310" s="86"/>
      <c r="B310" s="86">
        <v>45554.0</v>
      </c>
      <c r="C310" s="17" t="s">
        <v>134</v>
      </c>
      <c r="D310" s="17" t="s">
        <v>588</v>
      </c>
      <c r="E310" s="17" t="s">
        <v>96</v>
      </c>
      <c r="F310" s="17" t="s">
        <v>214</v>
      </c>
      <c r="G310" s="87">
        <v>9000.0</v>
      </c>
      <c r="H310" s="61">
        <v>1400000.0</v>
      </c>
      <c r="I310" s="96" t="s">
        <v>44</v>
      </c>
      <c r="J310" s="101">
        <v>900000.0</v>
      </c>
      <c r="K310" s="60" t="s">
        <v>42</v>
      </c>
      <c r="L310" s="100">
        <f t="shared" si="31"/>
        <v>500000</v>
      </c>
      <c r="M310" s="61"/>
    </row>
    <row r="311" ht="15.75" customHeight="1">
      <c r="A311" s="86"/>
      <c r="B311" s="86">
        <v>45555.0</v>
      </c>
      <c r="C311" s="17" t="s">
        <v>134</v>
      </c>
      <c r="D311" s="17" t="s">
        <v>588</v>
      </c>
      <c r="E311" s="17" t="s">
        <v>37</v>
      </c>
      <c r="F311" s="17" t="s">
        <v>54</v>
      </c>
      <c r="G311" s="87">
        <v>9000.0</v>
      </c>
      <c r="H311" s="61">
        <v>1200000.0</v>
      </c>
      <c r="I311" s="93" t="s">
        <v>42</v>
      </c>
      <c r="J311" s="101">
        <v>640000.0</v>
      </c>
      <c r="K311" s="60" t="s">
        <v>44</v>
      </c>
      <c r="L311" s="100">
        <f t="shared" si="31"/>
        <v>560000</v>
      </c>
      <c r="M311" s="61"/>
    </row>
    <row r="312" ht="15.75" customHeight="1">
      <c r="A312" s="86"/>
      <c r="B312" s="86">
        <v>45556.0</v>
      </c>
      <c r="C312" s="17" t="s">
        <v>134</v>
      </c>
      <c r="D312" s="17" t="s">
        <v>588</v>
      </c>
      <c r="E312" s="17" t="s">
        <v>30</v>
      </c>
      <c r="F312" s="17" t="s">
        <v>772</v>
      </c>
      <c r="G312" s="87">
        <v>2800.0</v>
      </c>
      <c r="H312" s="58">
        <v>210000.0</v>
      </c>
      <c r="I312" s="93" t="s">
        <v>773</v>
      </c>
      <c r="L312" s="100">
        <f t="shared" si="31"/>
        <v>210000</v>
      </c>
      <c r="M312" s="61"/>
    </row>
    <row r="313" ht="15.75" customHeight="1">
      <c r="A313" s="86"/>
      <c r="B313" s="86">
        <v>45558.0</v>
      </c>
      <c r="C313" s="17" t="s">
        <v>134</v>
      </c>
      <c r="D313" s="17" t="s">
        <v>588</v>
      </c>
      <c r="E313" s="17" t="s">
        <v>37</v>
      </c>
      <c r="F313" s="17" t="s">
        <v>103</v>
      </c>
      <c r="G313" s="87">
        <v>10000.0</v>
      </c>
      <c r="H313" s="58">
        <v>750000.0</v>
      </c>
      <c r="I313" s="93" t="s">
        <v>44</v>
      </c>
      <c r="J313" s="101">
        <v>425000.0</v>
      </c>
      <c r="K313" s="21" t="s">
        <v>42</v>
      </c>
      <c r="L313" s="100">
        <f t="shared" si="31"/>
        <v>325000</v>
      </c>
      <c r="M313" s="61">
        <v>850000.0</v>
      </c>
    </row>
    <row r="314" ht="15.75" customHeight="1">
      <c r="A314" s="86"/>
      <c r="B314" s="86">
        <v>45561.0</v>
      </c>
      <c r="C314" s="17" t="s">
        <v>134</v>
      </c>
      <c r="D314" s="17" t="s">
        <v>588</v>
      </c>
      <c r="E314" s="17" t="s">
        <v>30</v>
      </c>
      <c r="F314" s="17" t="s">
        <v>103</v>
      </c>
      <c r="G314" s="87">
        <v>9000.0</v>
      </c>
      <c r="H314" s="58">
        <v>675000.0</v>
      </c>
      <c r="I314" s="93" t="s">
        <v>44</v>
      </c>
      <c r="J314" s="101">
        <v>375000.0</v>
      </c>
      <c r="K314" s="21" t="s">
        <v>42</v>
      </c>
      <c r="L314" s="100">
        <f t="shared" si="31"/>
        <v>300000</v>
      </c>
      <c r="M314" s="61">
        <v>60000.0</v>
      </c>
    </row>
    <row r="315" ht="15.75" customHeight="1">
      <c r="A315" s="86"/>
      <c r="B315" s="86">
        <v>45562.0</v>
      </c>
      <c r="C315" s="17" t="s">
        <v>134</v>
      </c>
      <c r="D315" s="17" t="s">
        <v>588</v>
      </c>
      <c r="E315" s="17" t="s">
        <v>771</v>
      </c>
      <c r="F315" s="17" t="s">
        <v>547</v>
      </c>
      <c r="G315" s="87">
        <v>10000.0</v>
      </c>
      <c r="H315" s="58">
        <v>1300000.0</v>
      </c>
      <c r="I315" s="93" t="s">
        <v>42</v>
      </c>
      <c r="J315" s="101">
        <v>740000.0</v>
      </c>
      <c r="K315" s="21" t="s">
        <v>42</v>
      </c>
      <c r="L315" s="100">
        <f t="shared" si="31"/>
        <v>560000</v>
      </c>
      <c r="M315" s="61"/>
    </row>
    <row r="316" ht="15.75" customHeight="1">
      <c r="A316" s="86"/>
      <c r="B316" s="86">
        <v>45563.0</v>
      </c>
      <c r="C316" s="17" t="s">
        <v>134</v>
      </c>
      <c r="D316" s="17" t="s">
        <v>588</v>
      </c>
      <c r="E316" s="17" t="s">
        <v>96</v>
      </c>
      <c r="F316" s="17" t="s">
        <v>84</v>
      </c>
      <c r="G316" s="87">
        <v>9000.0</v>
      </c>
      <c r="H316" s="61">
        <v>1125000.0</v>
      </c>
      <c r="I316" s="93" t="s">
        <v>42</v>
      </c>
      <c r="J316" s="101">
        <v>640000.0</v>
      </c>
      <c r="K316" s="21" t="s">
        <v>42</v>
      </c>
      <c r="L316" s="100">
        <f t="shared" si="31"/>
        <v>485000</v>
      </c>
      <c r="M316" s="61"/>
    </row>
    <row r="317" ht="15.75" customHeight="1">
      <c r="A317" s="86"/>
      <c r="B317" s="86">
        <v>45565.0</v>
      </c>
      <c r="C317" s="17" t="s">
        <v>134</v>
      </c>
      <c r="D317" s="17" t="s">
        <v>588</v>
      </c>
      <c r="E317" s="169" t="s">
        <v>96</v>
      </c>
      <c r="F317" s="17" t="s">
        <v>184</v>
      </c>
      <c r="G317" s="87">
        <v>9000.0</v>
      </c>
      <c r="H317" s="61">
        <v>800000.0</v>
      </c>
      <c r="I317" s="96" t="s">
        <v>42</v>
      </c>
      <c r="J317" s="101">
        <v>400000.0</v>
      </c>
      <c r="K317" s="21" t="s">
        <v>42</v>
      </c>
      <c r="L317" s="100">
        <f t="shared" si="31"/>
        <v>400000</v>
      </c>
      <c r="M317" s="238">
        <v>52000.0</v>
      </c>
    </row>
    <row r="318" ht="15.75" customHeight="1">
      <c r="A318" s="169"/>
      <c r="B318" s="169"/>
      <c r="C318" s="169"/>
      <c r="D318" s="169"/>
      <c r="E318" s="169"/>
      <c r="F318" s="169" t="s">
        <v>24</v>
      </c>
      <c r="G318" s="87"/>
      <c r="H318" s="202"/>
      <c r="I318" s="241"/>
      <c r="J318" s="172"/>
      <c r="K318" s="297"/>
      <c r="L318" s="52">
        <f t="shared" ref="L318:M318" si="32">SUM(L297:L317)</f>
        <v>9400000</v>
      </c>
      <c r="M318" s="30">
        <f t="shared" si="32"/>
        <v>2317000</v>
      </c>
    </row>
    <row r="319" ht="15.75" customHeight="1">
      <c r="A319" s="169"/>
      <c r="B319" s="169"/>
      <c r="C319" s="169"/>
      <c r="D319" s="169"/>
      <c r="E319" s="169"/>
      <c r="F319" s="169"/>
      <c r="G319" s="87"/>
      <c r="H319" s="202"/>
      <c r="I319" s="241"/>
      <c r="J319" s="172"/>
      <c r="K319" s="297"/>
      <c r="L319" s="33">
        <f>L318-M318</f>
        <v>7083000</v>
      </c>
      <c r="M319" s="61"/>
    </row>
    <row r="320" ht="15.75" customHeight="1">
      <c r="A320" s="169"/>
      <c r="B320" s="169"/>
      <c r="C320" s="169"/>
      <c r="D320" s="169"/>
      <c r="E320" s="169"/>
      <c r="F320" s="169"/>
      <c r="G320" s="87"/>
      <c r="H320" s="202"/>
      <c r="I320" s="241"/>
      <c r="J320" s="172"/>
      <c r="K320" s="297"/>
      <c r="L320" s="238"/>
      <c r="M320" s="238"/>
    </row>
    <row r="321" ht="15.75" customHeight="1">
      <c r="A321" s="89"/>
      <c r="B321" s="89" t="s">
        <v>0</v>
      </c>
      <c r="C321" s="89" t="s">
        <v>1</v>
      </c>
      <c r="D321" s="89" t="s">
        <v>2</v>
      </c>
      <c r="E321" s="90" t="s">
        <v>3</v>
      </c>
      <c r="F321" s="89" t="s">
        <v>4</v>
      </c>
      <c r="G321" s="91" t="s">
        <v>5</v>
      </c>
      <c r="H321" s="119" t="s">
        <v>6</v>
      </c>
      <c r="I321" s="92" t="s">
        <v>39</v>
      </c>
      <c r="J321" s="120" t="s">
        <v>7</v>
      </c>
      <c r="K321" s="293" t="s">
        <v>39</v>
      </c>
      <c r="L321" s="92" t="s">
        <v>8</v>
      </c>
      <c r="M321" s="119" t="s">
        <v>9</v>
      </c>
    </row>
    <row r="322" ht="15.75" customHeight="1">
      <c r="A322" s="86"/>
      <c r="B322" s="86">
        <v>45566.0</v>
      </c>
      <c r="C322" s="17" t="s">
        <v>134</v>
      </c>
      <c r="D322" s="17" t="s">
        <v>588</v>
      </c>
      <c r="E322" s="169" t="s">
        <v>30</v>
      </c>
      <c r="F322" s="17" t="s">
        <v>774</v>
      </c>
      <c r="G322" s="87">
        <v>9000.0</v>
      </c>
      <c r="H322" s="61">
        <v>675000.0</v>
      </c>
      <c r="I322" s="184" t="s">
        <v>42</v>
      </c>
      <c r="J322" s="104">
        <v>350000.0</v>
      </c>
      <c r="K322" s="60" t="s">
        <v>42</v>
      </c>
      <c r="L322" s="61">
        <f t="shared" ref="L322:L340" si="33">H322-J322</f>
        <v>325000</v>
      </c>
      <c r="M322" s="202"/>
    </row>
    <row r="323" ht="15.75" customHeight="1">
      <c r="A323" s="86"/>
      <c r="B323" s="86">
        <v>45566.0</v>
      </c>
      <c r="C323" s="17" t="s">
        <v>134</v>
      </c>
      <c r="D323" s="17" t="s">
        <v>588</v>
      </c>
      <c r="E323" s="169" t="s">
        <v>30</v>
      </c>
      <c r="F323" s="17" t="s">
        <v>775</v>
      </c>
      <c r="G323" s="87">
        <v>9000.0</v>
      </c>
      <c r="H323" s="61">
        <v>850000.0</v>
      </c>
      <c r="I323" s="96" t="s">
        <v>44</v>
      </c>
      <c r="J323" s="104">
        <v>350000.0</v>
      </c>
      <c r="K323" s="60" t="s">
        <v>42</v>
      </c>
      <c r="L323" s="61">
        <f t="shared" si="33"/>
        <v>500000</v>
      </c>
      <c r="M323" s="202"/>
    </row>
    <row r="324" ht="15.75" customHeight="1">
      <c r="A324" s="86"/>
      <c r="B324" s="86">
        <v>45567.0</v>
      </c>
      <c r="C324" s="17" t="s">
        <v>134</v>
      </c>
      <c r="D324" s="17" t="s">
        <v>588</v>
      </c>
      <c r="E324" s="169" t="s">
        <v>45</v>
      </c>
      <c r="F324" s="17" t="s">
        <v>161</v>
      </c>
      <c r="G324" s="87">
        <v>9000.0</v>
      </c>
      <c r="H324" s="58">
        <v>1215000.0</v>
      </c>
      <c r="I324" s="96" t="s">
        <v>44</v>
      </c>
      <c r="J324" s="104">
        <v>700000.0</v>
      </c>
      <c r="K324" s="203" t="s">
        <v>42</v>
      </c>
      <c r="L324" s="61">
        <f t="shared" si="33"/>
        <v>515000</v>
      </c>
      <c r="M324" s="202">
        <v>50000.0</v>
      </c>
    </row>
    <row r="325" ht="15.75" customHeight="1">
      <c r="A325" s="86"/>
      <c r="B325" s="86">
        <v>45568.0</v>
      </c>
      <c r="C325" s="17" t="s">
        <v>134</v>
      </c>
      <c r="D325" s="17" t="s">
        <v>588</v>
      </c>
      <c r="E325" s="169" t="s">
        <v>30</v>
      </c>
      <c r="F325" s="17" t="s">
        <v>161</v>
      </c>
      <c r="G325" s="87">
        <v>9000.0</v>
      </c>
      <c r="H325" s="100">
        <v>1215000.0</v>
      </c>
      <c r="I325" s="96" t="s">
        <v>44</v>
      </c>
      <c r="J325" s="104">
        <v>700000.0</v>
      </c>
      <c r="K325" s="203" t="s">
        <v>42</v>
      </c>
      <c r="L325" s="61">
        <f t="shared" si="33"/>
        <v>515000</v>
      </c>
    </row>
    <row r="326" ht="15.75" customHeight="1">
      <c r="A326" s="86"/>
      <c r="B326" s="86">
        <v>45569.0</v>
      </c>
      <c r="C326" s="17" t="s">
        <v>134</v>
      </c>
      <c r="D326" s="17" t="s">
        <v>588</v>
      </c>
      <c r="E326" s="169" t="s">
        <v>96</v>
      </c>
      <c r="F326" s="17" t="s">
        <v>184</v>
      </c>
      <c r="G326" s="87">
        <v>9000.0</v>
      </c>
      <c r="H326" s="61">
        <v>800000.0</v>
      </c>
      <c r="I326" s="96" t="s">
        <v>42</v>
      </c>
      <c r="J326" s="101">
        <v>400000.0</v>
      </c>
      <c r="K326" s="169" t="s">
        <v>44</v>
      </c>
      <c r="L326" s="61">
        <f t="shared" si="33"/>
        <v>400000</v>
      </c>
    </row>
    <row r="327" ht="15.75" customHeight="1">
      <c r="A327" s="86"/>
      <c r="B327" s="86">
        <v>45570.0</v>
      </c>
      <c r="C327" s="17" t="s">
        <v>134</v>
      </c>
      <c r="D327" s="17" t="s">
        <v>588</v>
      </c>
      <c r="E327" s="169" t="s">
        <v>37</v>
      </c>
      <c r="F327" s="17" t="s">
        <v>103</v>
      </c>
      <c r="G327" s="87">
        <v>10000.0</v>
      </c>
      <c r="H327" s="58">
        <v>750000.0</v>
      </c>
      <c r="I327" s="93" t="s">
        <v>44</v>
      </c>
      <c r="J327" s="101">
        <v>425000.0</v>
      </c>
      <c r="K327" s="203" t="s">
        <v>42</v>
      </c>
      <c r="L327" s="61">
        <f t="shared" si="33"/>
        <v>325000</v>
      </c>
      <c r="M327" s="202"/>
    </row>
    <row r="328" ht="15.75" customHeight="1">
      <c r="A328" s="86"/>
      <c r="B328" s="86">
        <v>45572.0</v>
      </c>
      <c r="C328" s="17" t="s">
        <v>134</v>
      </c>
      <c r="D328" s="17" t="s">
        <v>588</v>
      </c>
      <c r="E328" s="169" t="s">
        <v>30</v>
      </c>
      <c r="F328" s="169" t="s">
        <v>774</v>
      </c>
      <c r="G328" s="170">
        <v>9000.0</v>
      </c>
      <c r="H328" s="61">
        <v>675000.0</v>
      </c>
      <c r="I328" s="184" t="s">
        <v>42</v>
      </c>
      <c r="J328" s="104">
        <v>350000.0</v>
      </c>
      <c r="K328" s="203" t="s">
        <v>42</v>
      </c>
      <c r="L328" s="61">
        <f t="shared" si="33"/>
        <v>325000</v>
      </c>
      <c r="M328" s="202">
        <v>400000.0</v>
      </c>
    </row>
    <row r="329" ht="15.75" customHeight="1">
      <c r="A329" s="86"/>
      <c r="B329" s="86">
        <v>45573.0</v>
      </c>
      <c r="C329" s="17" t="s">
        <v>134</v>
      </c>
      <c r="D329" s="17" t="s">
        <v>588</v>
      </c>
      <c r="E329" s="169" t="s">
        <v>30</v>
      </c>
      <c r="F329" s="169" t="s">
        <v>161</v>
      </c>
      <c r="G329" s="170">
        <v>9000.0</v>
      </c>
      <c r="H329" s="100">
        <v>1215000.0</v>
      </c>
      <c r="I329" s="97" t="s">
        <v>44</v>
      </c>
      <c r="J329" s="104">
        <v>700000.0</v>
      </c>
      <c r="K329" s="203" t="s">
        <v>44</v>
      </c>
      <c r="L329" s="61">
        <f t="shared" si="33"/>
        <v>515000</v>
      </c>
      <c r="M329" s="202"/>
    </row>
    <row r="330" ht="15.75" customHeight="1">
      <c r="A330" s="86"/>
      <c r="B330" s="86">
        <v>45574.0</v>
      </c>
      <c r="C330" s="17" t="s">
        <v>134</v>
      </c>
      <c r="D330" s="17" t="s">
        <v>588</v>
      </c>
      <c r="E330" s="169" t="s">
        <v>96</v>
      </c>
      <c r="F330" s="169" t="s">
        <v>776</v>
      </c>
      <c r="G330" s="170">
        <v>10000.0</v>
      </c>
      <c r="H330" s="58">
        <v>1300000.0</v>
      </c>
      <c r="I330" s="96" t="s">
        <v>42</v>
      </c>
      <c r="J330" s="101">
        <v>690000.0</v>
      </c>
      <c r="K330" s="60" t="s">
        <v>44</v>
      </c>
      <c r="L330" s="58">
        <f t="shared" si="33"/>
        <v>610000</v>
      </c>
      <c r="M330" s="202"/>
    </row>
    <row r="331" ht="15.75" customHeight="1">
      <c r="A331" s="86"/>
      <c r="B331" s="86">
        <v>45575.0</v>
      </c>
      <c r="C331" s="17" t="s">
        <v>134</v>
      </c>
      <c r="D331" s="17" t="s">
        <v>588</v>
      </c>
      <c r="E331" s="169" t="s">
        <v>71</v>
      </c>
      <c r="F331" s="169" t="s">
        <v>103</v>
      </c>
      <c r="G331" s="170">
        <v>10000.0</v>
      </c>
      <c r="H331" s="202">
        <v>750000.0</v>
      </c>
      <c r="I331" s="241" t="s">
        <v>44</v>
      </c>
      <c r="J331" s="172">
        <v>425000.0</v>
      </c>
      <c r="K331" s="203" t="s">
        <v>42</v>
      </c>
      <c r="L331" s="61">
        <f t="shared" si="33"/>
        <v>325000</v>
      </c>
      <c r="M331" s="202"/>
    </row>
    <row r="332" ht="15.75" customHeight="1">
      <c r="A332" s="86"/>
      <c r="B332" s="86">
        <v>45576.0</v>
      </c>
      <c r="C332" s="17" t="s">
        <v>134</v>
      </c>
      <c r="D332" s="17" t="s">
        <v>588</v>
      </c>
      <c r="E332" s="169" t="s">
        <v>37</v>
      </c>
      <c r="F332" s="169" t="s">
        <v>36</v>
      </c>
      <c r="G332" s="170">
        <v>10000.0</v>
      </c>
      <c r="H332" s="202">
        <v>1500000.0</v>
      </c>
      <c r="I332" s="241" t="s">
        <v>44</v>
      </c>
      <c r="J332" s="172">
        <v>850000.0</v>
      </c>
      <c r="K332" s="203" t="s">
        <v>42</v>
      </c>
      <c r="L332" s="61">
        <f t="shared" si="33"/>
        <v>650000</v>
      </c>
      <c r="M332" s="202"/>
    </row>
    <row r="333" ht="15.75" customHeight="1">
      <c r="A333" s="86"/>
      <c r="B333" s="86">
        <v>45579.0</v>
      </c>
      <c r="C333" s="17" t="s">
        <v>134</v>
      </c>
      <c r="D333" s="17" t="s">
        <v>588</v>
      </c>
      <c r="E333" s="169" t="s">
        <v>37</v>
      </c>
      <c r="F333" s="169" t="s">
        <v>103</v>
      </c>
      <c r="G333" s="170">
        <v>10000.0</v>
      </c>
      <c r="H333" s="202">
        <v>750000.0</v>
      </c>
      <c r="I333" s="241" t="s">
        <v>44</v>
      </c>
      <c r="J333" s="172">
        <v>425000.0</v>
      </c>
      <c r="K333" s="203" t="s">
        <v>42</v>
      </c>
      <c r="L333" s="61">
        <f t="shared" si="33"/>
        <v>325000</v>
      </c>
      <c r="M333" s="202">
        <v>45000.0</v>
      </c>
    </row>
    <row r="334" ht="15.75" customHeight="1">
      <c r="A334" s="86"/>
      <c r="B334" s="86">
        <v>45586.0</v>
      </c>
      <c r="C334" s="17" t="s">
        <v>777</v>
      </c>
      <c r="D334" s="17" t="s">
        <v>588</v>
      </c>
      <c r="E334" s="169" t="s">
        <v>30</v>
      </c>
      <c r="F334" s="169" t="s">
        <v>103</v>
      </c>
      <c r="G334" s="170">
        <v>9000.0</v>
      </c>
      <c r="H334" s="202">
        <v>675000.0</v>
      </c>
      <c r="I334" s="241" t="s">
        <v>44</v>
      </c>
      <c r="J334" s="172">
        <v>375000.0</v>
      </c>
      <c r="K334" s="203" t="s">
        <v>42</v>
      </c>
      <c r="L334" s="61">
        <f t="shared" si="33"/>
        <v>300000</v>
      </c>
      <c r="M334" s="202">
        <v>1000000.0</v>
      </c>
    </row>
    <row r="335" ht="15.75" customHeight="1">
      <c r="A335" s="86"/>
      <c r="B335" s="86">
        <v>45587.0</v>
      </c>
      <c r="C335" s="17" t="s">
        <v>777</v>
      </c>
      <c r="D335" s="17" t="s">
        <v>588</v>
      </c>
      <c r="E335" s="169" t="s">
        <v>37</v>
      </c>
      <c r="F335" s="169" t="s">
        <v>36</v>
      </c>
      <c r="G335" s="170">
        <v>10000.0</v>
      </c>
      <c r="H335" s="202">
        <v>1500000.0</v>
      </c>
      <c r="I335" s="241" t="s">
        <v>44</v>
      </c>
      <c r="J335" s="172">
        <v>850000.0</v>
      </c>
      <c r="K335" s="203" t="s">
        <v>42</v>
      </c>
      <c r="L335" s="61">
        <f t="shared" si="33"/>
        <v>650000</v>
      </c>
      <c r="M335" s="202">
        <v>50000.0</v>
      </c>
    </row>
    <row r="336" ht="15.75" customHeight="1">
      <c r="A336" s="86"/>
      <c r="B336" s="86">
        <v>45589.0</v>
      </c>
      <c r="C336" s="17" t="s">
        <v>777</v>
      </c>
      <c r="D336" s="17" t="s">
        <v>588</v>
      </c>
      <c r="E336" s="17" t="s">
        <v>85</v>
      </c>
      <c r="F336" s="17" t="s">
        <v>55</v>
      </c>
      <c r="G336" s="87">
        <v>9000.0</v>
      </c>
      <c r="H336" s="101">
        <v>1305000.0</v>
      </c>
      <c r="I336" s="241" t="s">
        <v>44</v>
      </c>
      <c r="J336" s="101">
        <v>725000.0</v>
      </c>
      <c r="K336" s="203" t="s">
        <v>42</v>
      </c>
      <c r="L336" s="61">
        <f t="shared" si="33"/>
        <v>580000</v>
      </c>
      <c r="M336" s="202"/>
    </row>
    <row r="337" ht="15.75" customHeight="1">
      <c r="A337" s="86"/>
      <c r="B337" s="86">
        <v>45590.0</v>
      </c>
      <c r="C337" s="17" t="s">
        <v>777</v>
      </c>
      <c r="D337" s="17" t="s">
        <v>588</v>
      </c>
      <c r="E337" s="169" t="s">
        <v>96</v>
      </c>
      <c r="F337" s="169" t="s">
        <v>36</v>
      </c>
      <c r="G337" s="170">
        <v>10000.0</v>
      </c>
      <c r="H337" s="202">
        <v>1500000.0</v>
      </c>
      <c r="I337" s="93" t="s">
        <v>44</v>
      </c>
      <c r="J337" s="172">
        <v>850000.0</v>
      </c>
      <c r="K337" s="203" t="s">
        <v>42</v>
      </c>
      <c r="L337" s="61">
        <f t="shared" si="33"/>
        <v>650000</v>
      </c>
      <c r="M337" s="202"/>
    </row>
    <row r="338" ht="15.75" customHeight="1">
      <c r="A338" s="86"/>
      <c r="B338" s="86">
        <v>45593.0</v>
      </c>
      <c r="C338" s="17" t="s">
        <v>777</v>
      </c>
      <c r="D338" s="17" t="s">
        <v>588</v>
      </c>
      <c r="E338" s="169" t="s">
        <v>37</v>
      </c>
      <c r="F338" s="169" t="s">
        <v>36</v>
      </c>
      <c r="G338" s="170">
        <v>10000.0</v>
      </c>
      <c r="H338" s="202">
        <v>1500000.0</v>
      </c>
      <c r="I338" s="93" t="s">
        <v>44</v>
      </c>
      <c r="J338" s="172">
        <v>850000.0</v>
      </c>
      <c r="K338" s="203" t="s">
        <v>42</v>
      </c>
      <c r="L338" s="61">
        <f t="shared" si="33"/>
        <v>650000</v>
      </c>
      <c r="M338" s="202"/>
    </row>
    <row r="339" ht="15.75" customHeight="1">
      <c r="A339" s="86"/>
      <c r="B339" s="86">
        <v>45594.0</v>
      </c>
      <c r="C339" s="17" t="s">
        <v>777</v>
      </c>
      <c r="D339" s="17" t="s">
        <v>588</v>
      </c>
      <c r="E339" s="169" t="s">
        <v>45</v>
      </c>
      <c r="F339" s="17" t="s">
        <v>547</v>
      </c>
      <c r="G339" s="87">
        <v>9000.0</v>
      </c>
      <c r="H339" s="58">
        <v>1200000.0</v>
      </c>
      <c r="I339" s="59" t="s">
        <v>42</v>
      </c>
      <c r="J339" s="58">
        <v>690000.0</v>
      </c>
      <c r="K339" s="203" t="s">
        <v>645</v>
      </c>
      <c r="L339" s="61">
        <f t="shared" si="33"/>
        <v>510000</v>
      </c>
      <c r="M339" s="202"/>
      <c r="N339" s="240" t="s">
        <v>212</v>
      </c>
    </row>
    <row r="340" ht="15.75" customHeight="1">
      <c r="A340" s="86"/>
      <c r="B340" s="86">
        <v>45595.0</v>
      </c>
      <c r="C340" s="17" t="s">
        <v>777</v>
      </c>
      <c r="D340" s="17" t="s">
        <v>588</v>
      </c>
      <c r="E340" s="169" t="s">
        <v>37</v>
      </c>
      <c r="F340" s="17" t="s">
        <v>36</v>
      </c>
      <c r="G340" s="87">
        <v>10000.0</v>
      </c>
      <c r="H340" s="202">
        <v>1500000.0</v>
      </c>
      <c r="I340" s="93" t="s">
        <v>44</v>
      </c>
      <c r="J340" s="172">
        <v>850000.0</v>
      </c>
      <c r="K340" s="203" t="s">
        <v>42</v>
      </c>
      <c r="L340" s="61">
        <f t="shared" si="33"/>
        <v>650000</v>
      </c>
      <c r="M340" s="202">
        <v>185000.0</v>
      </c>
    </row>
    <row r="341" ht="15.75" customHeight="1">
      <c r="C341" s="169"/>
      <c r="D341" s="169"/>
      <c r="E341" s="169"/>
      <c r="F341" s="169"/>
      <c r="G341" s="170"/>
      <c r="H341" s="202"/>
      <c r="I341" s="241"/>
      <c r="J341" s="172"/>
      <c r="K341" s="203"/>
      <c r="L341" s="52">
        <f t="shared" ref="L341:M341" si="34">SUM(L322:L340)</f>
        <v>9320000</v>
      </c>
      <c r="M341" s="30">
        <f t="shared" si="34"/>
        <v>1730000</v>
      </c>
    </row>
    <row r="342" ht="15.75" customHeight="1">
      <c r="A342" s="169"/>
      <c r="B342" s="169"/>
      <c r="C342" s="169"/>
      <c r="D342" s="169"/>
      <c r="E342" s="169"/>
      <c r="F342" s="169"/>
      <c r="G342" s="170"/>
      <c r="H342" s="202"/>
      <c r="I342" s="241"/>
      <c r="J342" s="172"/>
      <c r="K342" s="203"/>
      <c r="L342" s="33">
        <f>L341-M341</f>
        <v>7590000</v>
      </c>
      <c r="M342" s="61"/>
    </row>
    <row r="343" ht="15.75" customHeight="1">
      <c r="A343" s="169"/>
      <c r="B343" s="169"/>
      <c r="C343" s="169"/>
      <c r="D343" s="169"/>
      <c r="E343" s="169"/>
      <c r="F343" s="169"/>
      <c r="G343" s="170"/>
      <c r="H343" s="202"/>
      <c r="I343" s="241"/>
      <c r="J343" s="172"/>
      <c r="K343" s="203"/>
      <c r="M343" s="202"/>
    </row>
    <row r="344" ht="15.75" customHeight="1">
      <c r="A344" s="89" t="s">
        <v>209</v>
      </c>
      <c r="B344" s="89" t="s">
        <v>0</v>
      </c>
      <c r="C344" s="89" t="s">
        <v>1</v>
      </c>
      <c r="D344" s="89" t="s">
        <v>2</v>
      </c>
      <c r="E344" s="90" t="s">
        <v>3</v>
      </c>
      <c r="F344" s="89" t="s">
        <v>4</v>
      </c>
      <c r="G344" s="91" t="s">
        <v>5</v>
      </c>
      <c r="H344" s="119" t="s">
        <v>6</v>
      </c>
      <c r="I344" s="92" t="s">
        <v>39</v>
      </c>
      <c r="J344" s="120" t="s">
        <v>7</v>
      </c>
      <c r="K344" s="293" t="s">
        <v>39</v>
      </c>
      <c r="L344" s="92" t="s">
        <v>8</v>
      </c>
      <c r="M344" s="119" t="s">
        <v>9</v>
      </c>
    </row>
    <row r="345" ht="15.75" customHeight="1">
      <c r="A345" s="17">
        <v>1.0</v>
      </c>
      <c r="B345" s="86">
        <v>45597.0</v>
      </c>
      <c r="C345" s="17" t="s">
        <v>777</v>
      </c>
      <c r="D345" s="17" t="s">
        <v>588</v>
      </c>
      <c r="E345" s="169" t="s">
        <v>40</v>
      </c>
      <c r="F345" s="17" t="s">
        <v>244</v>
      </c>
      <c r="G345" s="170">
        <v>9000.0</v>
      </c>
      <c r="H345" s="61">
        <v>800000.0</v>
      </c>
      <c r="I345" s="59" t="s">
        <v>42</v>
      </c>
      <c r="J345" s="101">
        <v>400000.0</v>
      </c>
      <c r="K345" s="203" t="s">
        <v>42</v>
      </c>
      <c r="L345" s="61">
        <f t="shared" ref="L345:L357" si="35">H345-J345</f>
        <v>400000</v>
      </c>
      <c r="M345" s="202">
        <v>175000.0</v>
      </c>
    </row>
    <row r="346" ht="15.75" customHeight="1">
      <c r="A346" s="17">
        <v>2.0</v>
      </c>
      <c r="B346" s="86">
        <v>45600.0</v>
      </c>
      <c r="C346" s="17" t="s">
        <v>777</v>
      </c>
      <c r="D346" s="17" t="s">
        <v>588</v>
      </c>
      <c r="E346" s="169" t="s">
        <v>778</v>
      </c>
      <c r="F346" s="169" t="s">
        <v>779</v>
      </c>
      <c r="G346" s="170">
        <v>0.0</v>
      </c>
      <c r="H346" s="202">
        <v>1500000.0</v>
      </c>
      <c r="I346" s="59" t="s">
        <v>42</v>
      </c>
      <c r="J346" s="172">
        <v>925000.0</v>
      </c>
      <c r="K346" s="203" t="s">
        <v>42</v>
      </c>
      <c r="L346" s="61">
        <f t="shared" si="35"/>
        <v>575000</v>
      </c>
      <c r="M346" s="298">
        <v>3520000.0</v>
      </c>
    </row>
    <row r="347" ht="15.75" customHeight="1">
      <c r="A347" s="17">
        <v>3.0</v>
      </c>
      <c r="B347" s="86">
        <v>45602.0</v>
      </c>
      <c r="C347" s="17" t="s">
        <v>777</v>
      </c>
      <c r="D347" s="17" t="s">
        <v>588</v>
      </c>
      <c r="E347" s="169" t="s">
        <v>45</v>
      </c>
      <c r="F347" s="169" t="s">
        <v>382</v>
      </c>
      <c r="G347" s="170">
        <v>10000.0</v>
      </c>
      <c r="H347" s="58">
        <v>1600000.0</v>
      </c>
      <c r="I347" s="241" t="s">
        <v>44</v>
      </c>
      <c r="J347" s="172">
        <v>1025000.0</v>
      </c>
      <c r="K347" s="203" t="s">
        <v>42</v>
      </c>
      <c r="L347" s="61">
        <f t="shared" si="35"/>
        <v>575000</v>
      </c>
      <c r="M347" s="202"/>
    </row>
    <row r="348" ht="15.75" customHeight="1">
      <c r="A348" s="17">
        <v>4.0</v>
      </c>
      <c r="B348" s="86">
        <v>45604.0</v>
      </c>
      <c r="C348" s="17" t="s">
        <v>777</v>
      </c>
      <c r="D348" s="17" t="s">
        <v>588</v>
      </c>
      <c r="E348" s="169" t="s">
        <v>243</v>
      </c>
      <c r="F348" s="169" t="s">
        <v>554</v>
      </c>
      <c r="G348" s="170">
        <v>10000.0</v>
      </c>
      <c r="H348" s="202">
        <v>1500000.0</v>
      </c>
      <c r="I348" s="241" t="s">
        <v>44</v>
      </c>
      <c r="J348" s="172">
        <v>975000.0</v>
      </c>
      <c r="K348" s="203" t="s">
        <v>44</v>
      </c>
      <c r="L348" s="61">
        <f t="shared" si="35"/>
        <v>525000</v>
      </c>
      <c r="M348" s="202"/>
    </row>
    <row r="349" ht="15.75" customHeight="1">
      <c r="A349" s="17">
        <v>5.0</v>
      </c>
      <c r="B349" s="86">
        <v>45605.0</v>
      </c>
      <c r="C349" s="17" t="s">
        <v>777</v>
      </c>
      <c r="D349" s="17" t="s">
        <v>588</v>
      </c>
      <c r="E349" s="169" t="s">
        <v>30</v>
      </c>
      <c r="F349" s="169" t="s">
        <v>103</v>
      </c>
      <c r="G349" s="170">
        <v>9000.0</v>
      </c>
      <c r="H349" s="202">
        <v>675000.0</v>
      </c>
      <c r="I349" s="241" t="s">
        <v>44</v>
      </c>
      <c r="J349" s="172">
        <v>375000.0</v>
      </c>
      <c r="K349" s="203" t="s">
        <v>44</v>
      </c>
      <c r="L349" s="61">
        <f t="shared" si="35"/>
        <v>300000</v>
      </c>
      <c r="M349" s="202"/>
    </row>
    <row r="350" ht="15.75" customHeight="1">
      <c r="A350" s="17">
        <v>6.0</v>
      </c>
      <c r="B350" s="86">
        <v>45607.0</v>
      </c>
      <c r="C350" s="17" t="s">
        <v>777</v>
      </c>
      <c r="D350" s="17" t="s">
        <v>588</v>
      </c>
      <c r="E350" s="169" t="s">
        <v>30</v>
      </c>
      <c r="F350" s="169" t="s">
        <v>554</v>
      </c>
      <c r="G350" s="170">
        <v>10000.0</v>
      </c>
      <c r="H350" s="202">
        <v>1500000.0</v>
      </c>
      <c r="I350" s="241" t="s">
        <v>44</v>
      </c>
      <c r="J350" s="172">
        <v>975000.0</v>
      </c>
      <c r="K350" s="203" t="s">
        <v>44</v>
      </c>
      <c r="L350" s="61">
        <f t="shared" si="35"/>
        <v>525000</v>
      </c>
      <c r="M350" s="202"/>
    </row>
    <row r="351" ht="15.75" customHeight="1">
      <c r="A351" s="17">
        <v>7.0</v>
      </c>
      <c r="B351" s="86">
        <v>45608.0</v>
      </c>
      <c r="C351" s="17" t="s">
        <v>777</v>
      </c>
      <c r="D351" s="17" t="s">
        <v>588</v>
      </c>
      <c r="E351" s="169" t="s">
        <v>30</v>
      </c>
      <c r="F351" s="169" t="s">
        <v>780</v>
      </c>
      <c r="G351" s="170">
        <v>10000.0</v>
      </c>
      <c r="H351" s="149">
        <v>750000.0</v>
      </c>
      <c r="I351" s="96" t="s">
        <v>42</v>
      </c>
      <c r="J351" s="149">
        <v>450000.0</v>
      </c>
      <c r="K351" s="203" t="s">
        <v>42</v>
      </c>
      <c r="L351" s="61">
        <f t="shared" si="35"/>
        <v>300000</v>
      </c>
      <c r="M351" s="202"/>
    </row>
    <row r="352" ht="15.75" customHeight="1">
      <c r="A352" s="17">
        <v>8.0</v>
      </c>
      <c r="B352" s="86">
        <v>45609.0</v>
      </c>
      <c r="C352" s="17" t="s">
        <v>777</v>
      </c>
      <c r="D352" s="17" t="s">
        <v>588</v>
      </c>
      <c r="E352" s="169" t="s">
        <v>30</v>
      </c>
      <c r="F352" s="169" t="s">
        <v>198</v>
      </c>
      <c r="G352" s="170">
        <v>9000.0</v>
      </c>
      <c r="H352" s="149">
        <v>1215000.0</v>
      </c>
      <c r="I352" s="241" t="s">
        <v>44</v>
      </c>
      <c r="J352" s="149">
        <v>700000.0</v>
      </c>
      <c r="K352" s="203" t="s">
        <v>42</v>
      </c>
      <c r="L352" s="61">
        <f t="shared" si="35"/>
        <v>515000</v>
      </c>
      <c r="M352" s="202"/>
    </row>
    <row r="353" ht="15.75" customHeight="1">
      <c r="A353" s="17">
        <v>9.0</v>
      </c>
      <c r="B353" s="86">
        <v>45610.0</v>
      </c>
      <c r="C353" s="17" t="s">
        <v>777</v>
      </c>
      <c r="D353" s="17" t="s">
        <v>588</v>
      </c>
      <c r="E353" s="169" t="s">
        <v>243</v>
      </c>
      <c r="F353" s="169" t="s">
        <v>781</v>
      </c>
      <c r="G353" s="170">
        <v>10000.0</v>
      </c>
      <c r="H353" s="101">
        <v>1500000.0</v>
      </c>
      <c r="I353" s="93" t="s">
        <v>44</v>
      </c>
      <c r="J353" s="105">
        <v>750000.0</v>
      </c>
      <c r="K353" s="203" t="s">
        <v>42</v>
      </c>
      <c r="L353" s="61">
        <f t="shared" si="35"/>
        <v>750000</v>
      </c>
      <c r="M353" s="202"/>
    </row>
    <row r="354" ht="15.75" customHeight="1">
      <c r="A354" s="17">
        <v>10.0</v>
      </c>
      <c r="B354" s="86">
        <v>45615.0</v>
      </c>
      <c r="C354" s="17" t="s">
        <v>777</v>
      </c>
      <c r="D354" s="17" t="s">
        <v>588</v>
      </c>
      <c r="E354" s="169" t="s">
        <v>45</v>
      </c>
      <c r="F354" s="169" t="s">
        <v>776</v>
      </c>
      <c r="G354" s="170">
        <v>9000.0</v>
      </c>
      <c r="H354" s="58">
        <v>1200000.0</v>
      </c>
      <c r="I354" s="59" t="s">
        <v>42</v>
      </c>
      <c r="J354" s="58">
        <v>740000.0</v>
      </c>
      <c r="K354" s="203" t="s">
        <v>42</v>
      </c>
      <c r="L354" s="61">
        <f t="shared" si="35"/>
        <v>460000</v>
      </c>
      <c r="M354" s="202">
        <v>2389000.0</v>
      </c>
    </row>
    <row r="355" ht="15.75" customHeight="1">
      <c r="A355" s="17">
        <v>11.0</v>
      </c>
      <c r="B355" s="86">
        <v>45621.0</v>
      </c>
      <c r="C355" s="17" t="s">
        <v>747</v>
      </c>
      <c r="D355" s="17" t="s">
        <v>588</v>
      </c>
      <c r="E355" s="169" t="s">
        <v>30</v>
      </c>
      <c r="F355" s="169" t="s">
        <v>501</v>
      </c>
      <c r="G355" s="87">
        <v>9000.0</v>
      </c>
      <c r="H355" s="61">
        <v>1350000.0</v>
      </c>
      <c r="I355" s="96" t="s">
        <v>42</v>
      </c>
      <c r="J355" s="101">
        <v>875000.0</v>
      </c>
      <c r="K355" s="203" t="s">
        <v>42</v>
      </c>
      <c r="L355" s="61">
        <f t="shared" si="35"/>
        <v>475000</v>
      </c>
      <c r="M355" s="202"/>
    </row>
    <row r="356" ht="15.75" customHeight="1">
      <c r="A356" s="17">
        <v>12.0</v>
      </c>
      <c r="B356" s="86">
        <v>45625.0</v>
      </c>
      <c r="C356" s="17" t="s">
        <v>747</v>
      </c>
      <c r="D356" s="17" t="s">
        <v>588</v>
      </c>
      <c r="E356" s="169" t="s">
        <v>37</v>
      </c>
      <c r="F356" s="169" t="s">
        <v>36</v>
      </c>
      <c r="G356" s="170">
        <v>10000.0</v>
      </c>
      <c r="H356" s="202">
        <v>1500000.0</v>
      </c>
      <c r="I356" s="241" t="s">
        <v>44</v>
      </c>
      <c r="J356" s="172">
        <v>850000.0</v>
      </c>
      <c r="K356" s="203" t="s">
        <v>42</v>
      </c>
      <c r="L356" s="61">
        <f t="shared" si="35"/>
        <v>650000</v>
      </c>
      <c r="M356" s="202"/>
    </row>
    <row r="357" ht="15.75" customHeight="1">
      <c r="A357" s="17">
        <v>13.0</v>
      </c>
      <c r="B357" s="86">
        <v>45626.0</v>
      </c>
      <c r="C357" s="17" t="s">
        <v>747</v>
      </c>
      <c r="D357" s="17" t="s">
        <v>588</v>
      </c>
      <c r="E357" s="17" t="s">
        <v>204</v>
      </c>
      <c r="F357" s="17" t="s">
        <v>479</v>
      </c>
      <c r="G357" s="87">
        <v>9000.0</v>
      </c>
      <c r="H357" s="104">
        <v>1125000.0</v>
      </c>
      <c r="I357" s="97" t="s">
        <v>42</v>
      </c>
      <c r="J357" s="104">
        <v>640000.0</v>
      </c>
      <c r="K357" s="203" t="s">
        <v>42</v>
      </c>
      <c r="L357" s="61">
        <f t="shared" si="35"/>
        <v>485000</v>
      </c>
      <c r="M357" s="202"/>
    </row>
    <row r="358" ht="15.75" customHeight="1">
      <c r="A358" s="169"/>
      <c r="B358" s="169"/>
      <c r="C358" s="169"/>
      <c r="D358" s="169"/>
      <c r="E358" s="169"/>
      <c r="F358" s="169"/>
      <c r="G358" s="170"/>
      <c r="H358" s="202"/>
      <c r="I358" s="241"/>
      <c r="J358" s="172"/>
      <c r="K358" s="203"/>
      <c r="L358" s="52">
        <f t="shared" ref="L358:M358" si="36">SUM(L345:L357)</f>
        <v>6535000</v>
      </c>
      <c r="M358" s="30">
        <f t="shared" si="36"/>
        <v>6084000</v>
      </c>
    </row>
    <row r="359" ht="15.75" customHeight="1">
      <c r="A359" s="169"/>
      <c r="B359" s="169"/>
      <c r="C359" s="169"/>
      <c r="D359" s="169"/>
      <c r="E359" s="169"/>
      <c r="F359" s="169"/>
      <c r="G359" s="170"/>
      <c r="H359" s="202"/>
      <c r="I359" s="241"/>
      <c r="J359" s="172"/>
      <c r="K359" s="203" t="s">
        <v>24</v>
      </c>
      <c r="L359" s="33">
        <f>L358-M358</f>
        <v>451000</v>
      </c>
      <c r="M359" s="61"/>
    </row>
    <row r="360" ht="15.75" customHeight="1">
      <c r="A360" s="169"/>
      <c r="B360" s="169"/>
      <c r="C360" s="169"/>
      <c r="D360" s="169"/>
      <c r="E360" s="169"/>
      <c r="F360" s="169"/>
      <c r="G360" s="170"/>
      <c r="H360" s="202"/>
      <c r="I360" s="241"/>
      <c r="J360" s="172"/>
      <c r="K360" s="203"/>
      <c r="M360" s="202"/>
    </row>
    <row r="361" ht="15.75" customHeight="1">
      <c r="A361" s="89" t="s">
        <v>209</v>
      </c>
      <c r="B361" s="89" t="s">
        <v>0</v>
      </c>
      <c r="C361" s="89" t="s">
        <v>1</v>
      </c>
      <c r="D361" s="89" t="s">
        <v>2</v>
      </c>
      <c r="E361" s="90" t="s">
        <v>3</v>
      </c>
      <c r="F361" s="89" t="s">
        <v>4</v>
      </c>
      <c r="G361" s="91" t="s">
        <v>5</v>
      </c>
      <c r="H361" s="119" t="s">
        <v>6</v>
      </c>
      <c r="I361" s="92" t="s">
        <v>39</v>
      </c>
      <c r="J361" s="120" t="s">
        <v>7</v>
      </c>
      <c r="K361" s="293" t="s">
        <v>39</v>
      </c>
      <c r="L361" s="92" t="s">
        <v>8</v>
      </c>
      <c r="M361" s="119" t="s">
        <v>9</v>
      </c>
    </row>
    <row r="362" ht="15.75" customHeight="1">
      <c r="A362" s="169">
        <v>1.0</v>
      </c>
      <c r="B362" s="86">
        <v>45632.0</v>
      </c>
      <c r="C362" s="17" t="s">
        <v>777</v>
      </c>
      <c r="D362" s="17" t="s">
        <v>588</v>
      </c>
      <c r="E362" s="169" t="s">
        <v>243</v>
      </c>
      <c r="F362" s="17" t="s">
        <v>502</v>
      </c>
      <c r="G362" s="87">
        <v>9000.0</v>
      </c>
      <c r="H362" s="104">
        <v>1035000.0</v>
      </c>
      <c r="I362" s="97" t="s">
        <v>782</v>
      </c>
      <c r="J362" s="104">
        <v>600000.0</v>
      </c>
      <c r="K362" s="203" t="s">
        <v>42</v>
      </c>
      <c r="L362" s="61">
        <f t="shared" ref="L362:L384" si="37">H362-J362</f>
        <v>435000</v>
      </c>
      <c r="M362" s="202"/>
    </row>
    <row r="363" ht="15.75" customHeight="1">
      <c r="A363" s="169">
        <v>2.0</v>
      </c>
      <c r="B363" s="86">
        <v>45633.0</v>
      </c>
      <c r="C363" s="17" t="s">
        <v>777</v>
      </c>
      <c r="D363" s="17" t="s">
        <v>588</v>
      </c>
      <c r="E363" s="169" t="s">
        <v>45</v>
      </c>
      <c r="F363" s="169" t="s">
        <v>495</v>
      </c>
      <c r="G363" s="170">
        <v>9000.0</v>
      </c>
      <c r="H363" s="101">
        <v>1215000.0</v>
      </c>
      <c r="I363" s="97" t="s">
        <v>44</v>
      </c>
      <c r="J363" s="101">
        <v>700000.0</v>
      </c>
      <c r="K363" s="203" t="s">
        <v>782</v>
      </c>
      <c r="L363" s="61">
        <f t="shared" si="37"/>
        <v>515000</v>
      </c>
      <c r="M363" s="202">
        <v>1.6355E7</v>
      </c>
    </row>
    <row r="364" ht="15.75" customHeight="1">
      <c r="A364" s="169">
        <v>3.0</v>
      </c>
      <c r="B364" s="86">
        <v>45635.0</v>
      </c>
      <c r="C364" s="17" t="s">
        <v>777</v>
      </c>
      <c r="D364" s="17" t="s">
        <v>588</v>
      </c>
      <c r="E364" s="169" t="s">
        <v>243</v>
      </c>
      <c r="F364" s="169" t="s">
        <v>244</v>
      </c>
      <c r="G364" s="170">
        <v>9000.0</v>
      </c>
      <c r="H364" s="202">
        <v>800000.0</v>
      </c>
      <c r="I364" s="97" t="s">
        <v>42</v>
      </c>
      <c r="J364" s="202">
        <v>400000.0</v>
      </c>
      <c r="K364" s="203" t="s">
        <v>42</v>
      </c>
      <c r="L364" s="61">
        <f t="shared" si="37"/>
        <v>400000</v>
      </c>
      <c r="M364" s="202"/>
    </row>
    <row r="365" ht="15.75" customHeight="1">
      <c r="A365" s="169">
        <v>4.0</v>
      </c>
      <c r="B365" s="86">
        <v>45636.0</v>
      </c>
      <c r="C365" s="17" t="s">
        <v>777</v>
      </c>
      <c r="D365" s="17" t="s">
        <v>588</v>
      </c>
      <c r="E365" s="169" t="s">
        <v>71</v>
      </c>
      <c r="F365" s="169" t="s">
        <v>783</v>
      </c>
      <c r="G365" s="170">
        <v>9000.0</v>
      </c>
      <c r="H365" s="202">
        <v>1000000.0</v>
      </c>
      <c r="I365" s="241" t="s">
        <v>42</v>
      </c>
      <c r="J365" s="172">
        <v>550000.0</v>
      </c>
      <c r="K365" s="203" t="s">
        <v>42</v>
      </c>
      <c r="L365" s="61">
        <f t="shared" si="37"/>
        <v>450000</v>
      </c>
      <c r="M365" s="202"/>
    </row>
    <row r="366" ht="15.75" customHeight="1">
      <c r="A366" s="169">
        <v>5.0</v>
      </c>
      <c r="B366" s="86">
        <v>45637.0</v>
      </c>
      <c r="C366" s="17" t="s">
        <v>777</v>
      </c>
      <c r="D366" s="17" t="s">
        <v>588</v>
      </c>
      <c r="E366" s="169" t="s">
        <v>45</v>
      </c>
      <c r="F366" s="169" t="s">
        <v>495</v>
      </c>
      <c r="G366" s="170">
        <v>9000.0</v>
      </c>
      <c r="H366" s="202">
        <v>1215000.0</v>
      </c>
      <c r="I366" s="206" t="s">
        <v>44</v>
      </c>
      <c r="J366" s="172">
        <v>700000.0</v>
      </c>
      <c r="K366" s="203" t="s">
        <v>42</v>
      </c>
      <c r="L366" s="61">
        <f t="shared" si="37"/>
        <v>515000</v>
      </c>
      <c r="M366" s="202">
        <v>82000.0</v>
      </c>
    </row>
    <row r="367" ht="15.75" customHeight="1">
      <c r="A367" s="169">
        <v>6.0</v>
      </c>
      <c r="B367" s="86">
        <v>45638.0</v>
      </c>
      <c r="C367" s="17" t="s">
        <v>777</v>
      </c>
      <c r="D367" s="17" t="s">
        <v>588</v>
      </c>
      <c r="E367" s="169" t="s">
        <v>45</v>
      </c>
      <c r="F367" s="98" t="s">
        <v>784</v>
      </c>
      <c r="G367" s="110">
        <v>9000.0</v>
      </c>
      <c r="H367" s="121">
        <v>1350000.0</v>
      </c>
      <c r="I367" s="122" t="s">
        <v>42</v>
      </c>
      <c r="J367" s="104">
        <f>850000+25000</f>
        <v>875000</v>
      </c>
      <c r="K367" s="212" t="s">
        <v>44</v>
      </c>
      <c r="L367" s="61">
        <f t="shared" si="37"/>
        <v>475000</v>
      </c>
      <c r="M367" s="202"/>
    </row>
    <row r="368" ht="15.75" customHeight="1">
      <c r="A368" s="169">
        <v>7.0</v>
      </c>
      <c r="B368" s="86">
        <v>45639.0</v>
      </c>
      <c r="C368" s="17" t="s">
        <v>777</v>
      </c>
      <c r="D368" s="17" t="s">
        <v>588</v>
      </c>
      <c r="E368" s="204" t="s">
        <v>30</v>
      </c>
      <c r="F368" s="204" t="s">
        <v>554</v>
      </c>
      <c r="G368" s="151">
        <v>10000.0</v>
      </c>
      <c r="H368" s="135">
        <v>1500000.0</v>
      </c>
      <c r="I368" s="206" t="s">
        <v>238</v>
      </c>
      <c r="J368" s="207">
        <v>975000.0</v>
      </c>
      <c r="K368" s="212" t="s">
        <v>42</v>
      </c>
      <c r="L368" s="61">
        <f t="shared" si="37"/>
        <v>525000</v>
      </c>
      <c r="M368" s="202"/>
    </row>
    <row r="369" ht="15.75" customHeight="1">
      <c r="A369" s="169">
        <v>8.0</v>
      </c>
      <c r="B369" s="86">
        <v>45640.0</v>
      </c>
      <c r="C369" s="17" t="s">
        <v>777</v>
      </c>
      <c r="D369" s="17" t="s">
        <v>588</v>
      </c>
      <c r="E369" s="204" t="s">
        <v>37</v>
      </c>
      <c r="F369" s="204" t="s">
        <v>36</v>
      </c>
      <c r="G369" s="151">
        <v>10000.0</v>
      </c>
      <c r="H369" s="135">
        <v>1500000.0</v>
      </c>
      <c r="I369" s="206" t="s">
        <v>44</v>
      </c>
      <c r="J369" s="207">
        <v>850000.0</v>
      </c>
      <c r="K369" s="212" t="s">
        <v>785</v>
      </c>
      <c r="L369" s="61">
        <f t="shared" si="37"/>
        <v>650000</v>
      </c>
      <c r="M369" s="202"/>
    </row>
    <row r="370" ht="15.75" customHeight="1">
      <c r="A370" s="169">
        <v>9.0</v>
      </c>
      <c r="B370" s="112">
        <v>45642.0</v>
      </c>
      <c r="C370" s="17" t="s">
        <v>777</v>
      </c>
      <c r="D370" s="17" t="s">
        <v>588</v>
      </c>
      <c r="E370" s="204" t="s">
        <v>40</v>
      </c>
      <c r="F370" s="204" t="s">
        <v>786</v>
      </c>
      <c r="G370" s="151">
        <v>10000.0</v>
      </c>
      <c r="H370" s="135">
        <v>1500000.0</v>
      </c>
      <c r="I370" s="206" t="s">
        <v>238</v>
      </c>
      <c r="J370" s="207">
        <v>850000.0</v>
      </c>
      <c r="K370" s="212" t="s">
        <v>44</v>
      </c>
      <c r="L370" s="61">
        <f t="shared" si="37"/>
        <v>650000</v>
      </c>
      <c r="M370" s="202"/>
    </row>
    <row r="371" ht="15.75" customHeight="1">
      <c r="A371" s="169">
        <v>10.0</v>
      </c>
      <c r="B371" s="112">
        <v>45643.0</v>
      </c>
      <c r="C371" s="17" t="s">
        <v>777</v>
      </c>
      <c r="D371" s="17" t="s">
        <v>588</v>
      </c>
      <c r="E371" s="204" t="s">
        <v>40</v>
      </c>
      <c r="F371" s="204" t="s">
        <v>787</v>
      </c>
      <c r="G371" s="151">
        <v>9000.0</v>
      </c>
      <c r="H371" s="150">
        <v>1125000.0</v>
      </c>
      <c r="I371" s="152" t="s">
        <v>212</v>
      </c>
      <c r="J371" s="150">
        <v>640000.0</v>
      </c>
      <c r="K371" s="212" t="s">
        <v>212</v>
      </c>
      <c r="L371" s="61">
        <f t="shared" si="37"/>
        <v>485000</v>
      </c>
      <c r="M371" s="202"/>
      <c r="N371" s="205" t="s">
        <v>788</v>
      </c>
    </row>
    <row r="372" ht="15.75" customHeight="1">
      <c r="A372" s="169">
        <v>11.0</v>
      </c>
      <c r="B372" s="112">
        <v>45644.0</v>
      </c>
      <c r="C372" s="17" t="s">
        <v>777</v>
      </c>
      <c r="D372" s="17" t="s">
        <v>588</v>
      </c>
      <c r="E372" s="204" t="s">
        <v>30</v>
      </c>
      <c r="F372" s="204" t="s">
        <v>789</v>
      </c>
      <c r="G372" s="151">
        <v>9000.0</v>
      </c>
      <c r="H372" s="121">
        <v>1350000.0</v>
      </c>
      <c r="I372" s="122" t="s">
        <v>212</v>
      </c>
      <c r="J372" s="104">
        <f>850000+25000</f>
        <v>875000</v>
      </c>
      <c r="K372" s="212" t="s">
        <v>212</v>
      </c>
      <c r="L372" s="61">
        <f t="shared" si="37"/>
        <v>475000</v>
      </c>
      <c r="M372" s="202"/>
    </row>
    <row r="373" ht="15.75" customHeight="1">
      <c r="A373" s="169">
        <v>12.0</v>
      </c>
      <c r="B373" s="112">
        <v>45645.0</v>
      </c>
      <c r="C373" s="17" t="s">
        <v>777</v>
      </c>
      <c r="D373" s="17" t="s">
        <v>588</v>
      </c>
      <c r="E373" s="204" t="s">
        <v>256</v>
      </c>
      <c r="F373" s="204" t="s">
        <v>236</v>
      </c>
      <c r="G373" s="151">
        <v>9000.0</v>
      </c>
      <c r="H373" s="58">
        <v>675000.0</v>
      </c>
      <c r="I373" s="108" t="s">
        <v>238</v>
      </c>
      <c r="J373" s="60">
        <v>375000.0</v>
      </c>
      <c r="K373" s="212" t="s">
        <v>212</v>
      </c>
      <c r="L373" s="61">
        <f t="shared" si="37"/>
        <v>300000</v>
      </c>
      <c r="M373" s="202"/>
    </row>
    <row r="374" ht="15.75" customHeight="1">
      <c r="A374" s="169">
        <v>13.0</v>
      </c>
      <c r="B374" s="112">
        <v>45645.0</v>
      </c>
      <c r="C374" s="17" t="s">
        <v>777</v>
      </c>
      <c r="D374" s="17" t="s">
        <v>588</v>
      </c>
      <c r="E374" s="204" t="s">
        <v>279</v>
      </c>
      <c r="F374" s="204" t="s">
        <v>207</v>
      </c>
      <c r="G374" s="151">
        <v>10000.0</v>
      </c>
      <c r="H374" s="58">
        <v>1600000.0</v>
      </c>
      <c r="I374" s="125" t="s">
        <v>238</v>
      </c>
      <c r="J374" s="60">
        <v>975000.0</v>
      </c>
      <c r="K374" s="212" t="s">
        <v>212</v>
      </c>
      <c r="L374" s="61">
        <f t="shared" si="37"/>
        <v>625000</v>
      </c>
      <c r="M374" s="230">
        <v>4524000.0</v>
      </c>
      <c r="N374" s="205" t="s">
        <v>790</v>
      </c>
    </row>
    <row r="375" ht="15.75" customHeight="1">
      <c r="A375" s="169">
        <v>14.0</v>
      </c>
      <c r="B375" s="112">
        <v>45646.0</v>
      </c>
      <c r="C375" s="17" t="s">
        <v>777</v>
      </c>
      <c r="D375" s="17" t="s">
        <v>588</v>
      </c>
      <c r="E375" s="204" t="s">
        <v>80</v>
      </c>
      <c r="F375" s="204" t="s">
        <v>207</v>
      </c>
      <c r="G375" s="151">
        <v>10000.0</v>
      </c>
      <c r="H375" s="58">
        <v>1600000.0</v>
      </c>
      <c r="I375" s="125" t="s">
        <v>238</v>
      </c>
      <c r="J375" s="60">
        <v>975000.0</v>
      </c>
      <c r="K375" s="212" t="s">
        <v>238</v>
      </c>
      <c r="L375" s="61">
        <f t="shared" si="37"/>
        <v>625000</v>
      </c>
      <c r="M375" s="230">
        <f>440000+50000</f>
        <v>490000</v>
      </c>
      <c r="N375" s="205" t="s">
        <v>791</v>
      </c>
    </row>
    <row r="376" ht="15.75" customHeight="1">
      <c r="A376" s="169">
        <v>15.0</v>
      </c>
      <c r="B376" s="112">
        <v>45647.0</v>
      </c>
      <c r="C376" s="17" t="s">
        <v>777</v>
      </c>
      <c r="D376" s="17" t="s">
        <v>588</v>
      </c>
      <c r="E376" s="204" t="s">
        <v>279</v>
      </c>
      <c r="F376" s="204" t="s">
        <v>234</v>
      </c>
      <c r="G376" s="151">
        <v>10000.0</v>
      </c>
      <c r="H376" s="135">
        <v>1500000.0</v>
      </c>
      <c r="I376" s="206" t="s">
        <v>238</v>
      </c>
      <c r="J376" s="207">
        <v>975000.0</v>
      </c>
      <c r="K376" s="212" t="s">
        <v>212</v>
      </c>
      <c r="L376" s="61">
        <f t="shared" si="37"/>
        <v>525000</v>
      </c>
      <c r="M376" s="61"/>
    </row>
    <row r="377" ht="15.75" customHeight="1">
      <c r="A377" s="169">
        <v>16.0</v>
      </c>
      <c r="B377" s="112">
        <v>45649.0</v>
      </c>
      <c r="C377" s="17" t="s">
        <v>777</v>
      </c>
      <c r="D377" s="17" t="s">
        <v>588</v>
      </c>
      <c r="E377" s="204" t="s">
        <v>792</v>
      </c>
      <c r="F377" s="204" t="s">
        <v>793</v>
      </c>
      <c r="G377" s="151">
        <v>9000.0</v>
      </c>
      <c r="H377" s="135">
        <v>720000.0</v>
      </c>
      <c r="I377" s="206" t="s">
        <v>238</v>
      </c>
      <c r="J377" s="207">
        <v>350000.0</v>
      </c>
      <c r="K377" s="212" t="s">
        <v>238</v>
      </c>
      <c r="L377" s="61">
        <f t="shared" si="37"/>
        <v>370000</v>
      </c>
      <c r="M377" s="202"/>
    </row>
    <row r="378" ht="15.75" customHeight="1">
      <c r="A378" s="169">
        <v>17.0</v>
      </c>
      <c r="B378" s="112">
        <v>45649.0</v>
      </c>
      <c r="C378" s="17" t="s">
        <v>777</v>
      </c>
      <c r="D378" s="17" t="s">
        <v>588</v>
      </c>
      <c r="E378" s="204" t="s">
        <v>256</v>
      </c>
      <c r="F378" s="204" t="s">
        <v>236</v>
      </c>
      <c r="G378" s="151">
        <v>9000.0</v>
      </c>
      <c r="H378" s="58">
        <v>675000.0</v>
      </c>
      <c r="I378" s="108" t="s">
        <v>238</v>
      </c>
      <c r="J378" s="60">
        <v>375000.0</v>
      </c>
      <c r="K378" s="212" t="s">
        <v>238</v>
      </c>
      <c r="L378" s="61">
        <f t="shared" si="37"/>
        <v>300000</v>
      </c>
      <c r="M378" s="202"/>
    </row>
    <row r="379" ht="15.75" customHeight="1">
      <c r="A379" s="169">
        <v>18.0</v>
      </c>
      <c r="B379" s="112">
        <v>45650.0</v>
      </c>
      <c r="C379" s="17" t="s">
        <v>777</v>
      </c>
      <c r="D379" s="17" t="s">
        <v>588</v>
      </c>
      <c r="E379" s="204" t="s">
        <v>273</v>
      </c>
      <c r="F379" s="204" t="s">
        <v>585</v>
      </c>
      <c r="G379" s="151">
        <v>9000.0</v>
      </c>
      <c r="H379" s="121">
        <v>1350000.0</v>
      </c>
      <c r="I379" s="206" t="s">
        <v>212</v>
      </c>
      <c r="J379" s="104">
        <f>850000+25000</f>
        <v>875000</v>
      </c>
      <c r="K379" s="212" t="s">
        <v>212</v>
      </c>
      <c r="L379" s="61">
        <f t="shared" si="37"/>
        <v>475000</v>
      </c>
      <c r="M379" s="202"/>
    </row>
    <row r="380" ht="15.75" customHeight="1">
      <c r="A380" s="169">
        <v>19.0</v>
      </c>
      <c r="B380" s="112">
        <v>45652.0</v>
      </c>
      <c r="C380" s="17" t="s">
        <v>777</v>
      </c>
      <c r="D380" s="17" t="s">
        <v>588</v>
      </c>
      <c r="E380" s="204" t="s">
        <v>254</v>
      </c>
      <c r="F380" s="204" t="s">
        <v>303</v>
      </c>
      <c r="G380" s="151">
        <v>9000.0</v>
      </c>
      <c r="H380" s="135">
        <v>1215000.0</v>
      </c>
      <c r="I380" s="206" t="s">
        <v>238</v>
      </c>
      <c r="J380" s="207">
        <v>700000.0</v>
      </c>
      <c r="K380" s="212" t="s">
        <v>212</v>
      </c>
      <c r="L380" s="61">
        <f t="shared" si="37"/>
        <v>515000</v>
      </c>
      <c r="M380" s="135">
        <v>905000.0</v>
      </c>
      <c r="N380" s="205" t="s">
        <v>794</v>
      </c>
    </row>
    <row r="381" ht="15.75" customHeight="1">
      <c r="A381" s="169">
        <v>20.0</v>
      </c>
      <c r="B381" s="112">
        <v>45653.0</v>
      </c>
      <c r="C381" s="17" t="s">
        <v>777</v>
      </c>
      <c r="D381" s="17" t="s">
        <v>588</v>
      </c>
      <c r="E381" s="204" t="s">
        <v>320</v>
      </c>
      <c r="F381" s="204" t="s">
        <v>510</v>
      </c>
      <c r="G381" s="151">
        <v>10000.0</v>
      </c>
      <c r="H381" s="135">
        <v>1250000.0</v>
      </c>
      <c r="I381" s="115" t="s">
        <v>212</v>
      </c>
      <c r="J381" s="135">
        <v>690000.0</v>
      </c>
      <c r="K381" s="212" t="s">
        <v>212</v>
      </c>
      <c r="L381" s="61">
        <f t="shared" si="37"/>
        <v>560000</v>
      </c>
    </row>
    <row r="382" ht="15.75" customHeight="1">
      <c r="A382" s="204">
        <v>21.0</v>
      </c>
      <c r="B382" s="112">
        <v>45654.0</v>
      </c>
      <c r="C382" s="17" t="s">
        <v>777</v>
      </c>
      <c r="D382" s="17" t="s">
        <v>588</v>
      </c>
      <c r="E382" s="204" t="s">
        <v>279</v>
      </c>
      <c r="F382" s="204" t="s">
        <v>324</v>
      </c>
      <c r="G382" s="151">
        <v>9000.0</v>
      </c>
      <c r="H382" s="104">
        <v>675000.0</v>
      </c>
      <c r="I382" s="122" t="s">
        <v>212</v>
      </c>
      <c r="J382" s="104">
        <v>350000.0</v>
      </c>
      <c r="K382" s="212" t="s">
        <v>212</v>
      </c>
      <c r="L382" s="61">
        <f t="shared" si="37"/>
        <v>325000</v>
      </c>
      <c r="M382" s="205">
        <v>655000.0</v>
      </c>
    </row>
    <row r="383" ht="15.75" customHeight="1">
      <c r="A383" s="204">
        <v>22.0</v>
      </c>
      <c r="B383" s="112">
        <v>45654.0</v>
      </c>
      <c r="C383" s="17" t="s">
        <v>777</v>
      </c>
      <c r="D383" s="98" t="s">
        <v>588</v>
      </c>
      <c r="E383" s="98" t="s">
        <v>30</v>
      </c>
      <c r="F383" s="98" t="s">
        <v>585</v>
      </c>
      <c r="G383" s="151">
        <v>9000.0</v>
      </c>
      <c r="H383" s="121">
        <v>1350000.0</v>
      </c>
      <c r="I383" s="122" t="s">
        <v>212</v>
      </c>
      <c r="J383" s="104">
        <f>850000</f>
        <v>850000</v>
      </c>
      <c r="K383" s="212" t="s">
        <v>212</v>
      </c>
      <c r="L383" s="61">
        <f t="shared" si="37"/>
        <v>500000</v>
      </c>
      <c r="M383" s="202"/>
    </row>
    <row r="384" ht="15.75" customHeight="1">
      <c r="A384" s="204">
        <v>23.0</v>
      </c>
      <c r="B384" s="112">
        <v>45656.0</v>
      </c>
      <c r="C384" s="17" t="s">
        <v>777</v>
      </c>
      <c r="D384" s="98" t="s">
        <v>588</v>
      </c>
      <c r="E384" s="204" t="s">
        <v>256</v>
      </c>
      <c r="F384" s="204" t="s">
        <v>292</v>
      </c>
      <c r="G384" s="151">
        <v>9000.0</v>
      </c>
      <c r="H384" s="58">
        <v>1100000.0</v>
      </c>
      <c r="I384" s="122" t="s">
        <v>212</v>
      </c>
      <c r="J384" s="58">
        <v>650000.0</v>
      </c>
      <c r="K384" s="212" t="s">
        <v>212</v>
      </c>
      <c r="L384" s="61">
        <f t="shared" si="37"/>
        <v>450000</v>
      </c>
      <c r="M384" s="202"/>
    </row>
    <row r="385" ht="15.75" customHeight="1">
      <c r="A385" s="169"/>
      <c r="B385" s="112"/>
      <c r="C385" s="17"/>
      <c r="D385" s="98"/>
      <c r="E385" s="169"/>
      <c r="F385" s="169"/>
      <c r="G385" s="170"/>
      <c r="H385" s="202"/>
      <c r="I385" s="241"/>
      <c r="J385" s="172"/>
      <c r="K385" s="203"/>
      <c r="L385" s="52">
        <f t="shared" ref="L385:M385" si="38">SUM(L362:L384)</f>
        <v>11145000</v>
      </c>
      <c r="M385" s="30">
        <f t="shared" si="38"/>
        <v>23011000</v>
      </c>
    </row>
    <row r="386" ht="15.75" customHeight="1">
      <c r="A386" s="169"/>
      <c r="B386" s="169"/>
      <c r="C386" s="169"/>
      <c r="D386" s="169"/>
      <c r="E386" s="169"/>
      <c r="F386" s="169"/>
      <c r="G386" s="170"/>
      <c r="H386" s="202"/>
      <c r="I386" s="241"/>
      <c r="J386" s="172"/>
      <c r="K386" s="203"/>
      <c r="L386" s="33">
        <f>L385-M385</f>
        <v>-11866000</v>
      </c>
      <c r="M386" s="26"/>
    </row>
    <row r="387" ht="15.75" customHeight="1">
      <c r="A387" s="169"/>
      <c r="B387" s="169"/>
      <c r="C387" s="169"/>
      <c r="D387" s="169"/>
      <c r="E387" s="169"/>
      <c r="F387" s="169"/>
      <c r="G387" s="170"/>
      <c r="H387" s="202"/>
      <c r="I387" s="241"/>
      <c r="J387" s="172"/>
      <c r="K387" s="203"/>
      <c r="M387" s="202"/>
    </row>
    <row r="388" ht="15.75" customHeight="1">
      <c r="A388" s="89" t="s">
        <v>209</v>
      </c>
      <c r="B388" s="89" t="s">
        <v>0</v>
      </c>
      <c r="C388" s="89" t="s">
        <v>1</v>
      </c>
      <c r="D388" s="89" t="s">
        <v>2</v>
      </c>
      <c r="E388" s="90" t="s">
        <v>3</v>
      </c>
      <c r="F388" s="89" t="s">
        <v>4</v>
      </c>
      <c r="G388" s="91" t="s">
        <v>5</v>
      </c>
      <c r="H388" s="119" t="s">
        <v>6</v>
      </c>
      <c r="I388" s="92" t="s">
        <v>39</v>
      </c>
      <c r="J388" s="119" t="s">
        <v>7</v>
      </c>
      <c r="K388" s="91" t="s">
        <v>39</v>
      </c>
      <c r="L388" s="92" t="s">
        <v>8</v>
      </c>
      <c r="M388" s="120" t="s">
        <v>9</v>
      </c>
    </row>
    <row r="389" ht="15.75" customHeight="1">
      <c r="A389" s="203">
        <v>1.0</v>
      </c>
      <c r="B389" s="112">
        <v>45659.0</v>
      </c>
      <c r="C389" s="17" t="s">
        <v>777</v>
      </c>
      <c r="D389" s="17" t="s">
        <v>588</v>
      </c>
      <c r="E389" s="204" t="s">
        <v>795</v>
      </c>
      <c r="F389" s="204" t="s">
        <v>259</v>
      </c>
      <c r="G389" s="151">
        <v>10000.0</v>
      </c>
      <c r="H389" s="135">
        <v>1500000.0</v>
      </c>
      <c r="I389" s="206" t="s">
        <v>238</v>
      </c>
      <c r="J389" s="207">
        <v>850000.0</v>
      </c>
      <c r="K389" s="212" t="s">
        <v>212</v>
      </c>
      <c r="L389" s="58">
        <f t="shared" ref="L389:L409" si="39">H389-J389</f>
        <v>650000</v>
      </c>
      <c r="M389" s="149"/>
    </row>
    <row r="390" ht="15.75" customHeight="1">
      <c r="A390" s="204">
        <v>2.0</v>
      </c>
      <c r="B390" s="112">
        <v>45660.0</v>
      </c>
      <c r="C390" s="17" t="s">
        <v>777</v>
      </c>
      <c r="D390" s="17" t="s">
        <v>588</v>
      </c>
      <c r="E390" s="204" t="s">
        <v>243</v>
      </c>
      <c r="F390" s="204" t="s">
        <v>268</v>
      </c>
      <c r="G390" s="151">
        <v>9000.0</v>
      </c>
      <c r="H390" s="104">
        <v>1400000.0</v>
      </c>
      <c r="I390" s="206" t="s">
        <v>238</v>
      </c>
      <c r="J390" s="104">
        <v>850000.0</v>
      </c>
      <c r="K390" s="212" t="s">
        <v>212</v>
      </c>
      <c r="L390" s="58">
        <f t="shared" si="39"/>
        <v>550000</v>
      </c>
      <c r="M390" s="202"/>
    </row>
    <row r="391" ht="15.75" customHeight="1">
      <c r="A391" s="204">
        <v>3.0</v>
      </c>
      <c r="B391" s="112">
        <v>45661.0</v>
      </c>
      <c r="C391" s="17" t="s">
        <v>777</v>
      </c>
      <c r="D391" s="17" t="s">
        <v>588</v>
      </c>
      <c r="E391" s="204" t="s">
        <v>243</v>
      </c>
      <c r="F391" s="204" t="s">
        <v>582</v>
      </c>
      <c r="G391" s="170">
        <v>9000.0</v>
      </c>
      <c r="H391" s="149">
        <v>1035000.0</v>
      </c>
      <c r="I391" s="206" t="s">
        <v>212</v>
      </c>
      <c r="J391" s="149">
        <v>600000.0</v>
      </c>
      <c r="K391" s="212" t="s">
        <v>238</v>
      </c>
      <c r="L391" s="58">
        <f t="shared" si="39"/>
        <v>435000</v>
      </c>
      <c r="M391" s="202"/>
    </row>
    <row r="392" ht="15.75" customHeight="1">
      <c r="A392" s="204">
        <v>4.0</v>
      </c>
      <c r="B392" s="112">
        <v>45663.0</v>
      </c>
      <c r="C392" s="17" t="s">
        <v>777</v>
      </c>
      <c r="D392" s="17" t="s">
        <v>588</v>
      </c>
      <c r="E392" s="17" t="s">
        <v>45</v>
      </c>
      <c r="F392" s="204" t="s">
        <v>796</v>
      </c>
      <c r="G392" s="57">
        <v>9000.0</v>
      </c>
      <c r="H392" s="121">
        <v>975000.0</v>
      </c>
      <c r="I392" s="122" t="s">
        <v>212</v>
      </c>
      <c r="J392" s="121">
        <v>525000.0</v>
      </c>
      <c r="K392" s="212" t="s">
        <v>212</v>
      </c>
      <c r="L392" s="58">
        <f t="shared" si="39"/>
        <v>450000</v>
      </c>
      <c r="M392" s="202"/>
    </row>
    <row r="393" ht="15.75" customHeight="1">
      <c r="A393" s="204">
        <v>5.0</v>
      </c>
      <c r="B393" s="112">
        <v>45664.0</v>
      </c>
      <c r="C393" s="17" t="s">
        <v>777</v>
      </c>
      <c r="D393" s="17" t="s">
        <v>588</v>
      </c>
      <c r="E393" s="204" t="s">
        <v>243</v>
      </c>
      <c r="F393" s="204" t="s">
        <v>510</v>
      </c>
      <c r="G393" s="151">
        <v>9000.0</v>
      </c>
      <c r="H393" s="208">
        <v>1125000.0</v>
      </c>
      <c r="I393" s="211" t="s">
        <v>212</v>
      </c>
      <c r="J393" s="121">
        <v>640000.0</v>
      </c>
      <c r="K393" s="212" t="s">
        <v>212</v>
      </c>
      <c r="L393" s="58">
        <f t="shared" si="39"/>
        <v>485000</v>
      </c>
      <c r="M393" s="202"/>
    </row>
    <row r="394" ht="15.75" customHeight="1">
      <c r="A394" s="204">
        <v>6.0</v>
      </c>
      <c r="B394" s="112">
        <v>45665.0</v>
      </c>
      <c r="C394" s="17" t="s">
        <v>777</v>
      </c>
      <c r="D394" s="17" t="s">
        <v>588</v>
      </c>
      <c r="E394" s="204" t="s">
        <v>123</v>
      </c>
      <c r="F394" s="204" t="s">
        <v>797</v>
      </c>
      <c r="G394" s="151">
        <v>9000.0</v>
      </c>
      <c r="H394" s="135">
        <v>720000.0</v>
      </c>
      <c r="I394" s="299" t="s">
        <v>238</v>
      </c>
      <c r="J394" s="121">
        <v>350000.0</v>
      </c>
      <c r="K394" s="212" t="s">
        <v>212</v>
      </c>
      <c r="L394" s="58">
        <f t="shared" si="39"/>
        <v>370000</v>
      </c>
      <c r="M394" s="202"/>
    </row>
    <row r="395" ht="15.75" customHeight="1">
      <c r="A395" s="204">
        <v>7.0</v>
      </c>
      <c r="B395" s="112">
        <v>45666.0</v>
      </c>
      <c r="C395" s="17" t="s">
        <v>777</v>
      </c>
      <c r="D395" s="17" t="s">
        <v>588</v>
      </c>
      <c r="E395" s="204" t="s">
        <v>45</v>
      </c>
      <c r="F395" s="204" t="s">
        <v>328</v>
      </c>
      <c r="G395" s="151">
        <v>9000.0</v>
      </c>
      <c r="H395" s="104">
        <v>1440000.0</v>
      </c>
      <c r="I395" s="115" t="s">
        <v>238</v>
      </c>
      <c r="J395" s="121">
        <v>925000.0</v>
      </c>
      <c r="K395" s="212" t="s">
        <v>212</v>
      </c>
      <c r="L395" s="58">
        <f t="shared" si="39"/>
        <v>515000</v>
      </c>
      <c r="N395" s="135">
        <v>850000.0</v>
      </c>
      <c r="O395" s="205" t="s">
        <v>798</v>
      </c>
    </row>
    <row r="396" ht="15.75" customHeight="1">
      <c r="A396" s="204">
        <v>8.0</v>
      </c>
      <c r="B396" s="112">
        <v>45667.0</v>
      </c>
      <c r="C396" s="17" t="s">
        <v>777</v>
      </c>
      <c r="D396" s="17" t="s">
        <v>588</v>
      </c>
      <c r="E396" s="204" t="s">
        <v>242</v>
      </c>
      <c r="F396" s="204" t="s">
        <v>259</v>
      </c>
      <c r="G396" s="151">
        <v>10000.0</v>
      </c>
      <c r="H396" s="135">
        <v>1500000.0</v>
      </c>
      <c r="I396" s="206" t="s">
        <v>238</v>
      </c>
      <c r="J396" s="207">
        <v>850000.0</v>
      </c>
      <c r="K396" s="212" t="s">
        <v>238</v>
      </c>
      <c r="L396" s="58">
        <f t="shared" si="39"/>
        <v>650000</v>
      </c>
      <c r="M396" s="135">
        <v>50000.0</v>
      </c>
    </row>
    <row r="397" ht="15.75" customHeight="1">
      <c r="A397" s="204">
        <v>9.0</v>
      </c>
      <c r="B397" s="112">
        <v>45670.0</v>
      </c>
      <c r="C397" s="143" t="s">
        <v>777</v>
      </c>
      <c r="D397" s="143" t="s">
        <v>588</v>
      </c>
      <c r="E397" s="300" t="s">
        <v>256</v>
      </c>
      <c r="F397" s="300" t="s">
        <v>292</v>
      </c>
      <c r="G397" s="301">
        <v>9000.0</v>
      </c>
      <c r="H397" s="146">
        <v>1100000.0</v>
      </c>
      <c r="I397" s="206" t="s">
        <v>238</v>
      </c>
      <c r="J397" s="146">
        <v>650000.0</v>
      </c>
      <c r="K397" s="169" t="s">
        <v>212</v>
      </c>
      <c r="L397" s="127">
        <f t="shared" si="39"/>
        <v>450000</v>
      </c>
      <c r="M397" s="202"/>
    </row>
    <row r="398" ht="15.75" customHeight="1">
      <c r="A398" s="204">
        <v>10.0</v>
      </c>
      <c r="B398" s="112">
        <v>45671.0</v>
      </c>
      <c r="C398" s="143" t="s">
        <v>777</v>
      </c>
      <c r="D398" s="143" t="s">
        <v>588</v>
      </c>
      <c r="E398" s="204" t="s">
        <v>45</v>
      </c>
      <c r="F398" s="204" t="s">
        <v>259</v>
      </c>
      <c r="G398" s="151">
        <v>10000.0</v>
      </c>
      <c r="H398" s="135">
        <v>1500000.0</v>
      </c>
      <c r="I398" s="206" t="s">
        <v>238</v>
      </c>
      <c r="J398" s="207">
        <v>875000.0</v>
      </c>
      <c r="K398" s="212" t="s">
        <v>238</v>
      </c>
      <c r="L398" s="127">
        <f t="shared" si="39"/>
        <v>625000</v>
      </c>
      <c r="M398" s="202"/>
    </row>
    <row r="399" ht="15.75" customHeight="1">
      <c r="A399" s="204">
        <v>11.0</v>
      </c>
      <c r="B399" s="112">
        <v>45672.0</v>
      </c>
      <c r="C399" s="143" t="s">
        <v>777</v>
      </c>
      <c r="D399" s="143" t="s">
        <v>588</v>
      </c>
      <c r="E399" s="204" t="s">
        <v>45</v>
      </c>
      <c r="F399" s="204" t="s">
        <v>328</v>
      </c>
      <c r="G399" s="151">
        <v>9000.0</v>
      </c>
      <c r="H399" s="104">
        <v>1440000.0</v>
      </c>
      <c r="I399" s="115" t="s">
        <v>238</v>
      </c>
      <c r="J399" s="121">
        <v>925000.0</v>
      </c>
      <c r="K399" s="212" t="s">
        <v>238</v>
      </c>
      <c r="L399" s="127">
        <f t="shared" si="39"/>
        <v>515000</v>
      </c>
      <c r="M399" s="202"/>
    </row>
    <row r="400" ht="15.75" customHeight="1">
      <c r="A400" s="204">
        <v>12.0</v>
      </c>
      <c r="B400" s="112">
        <v>45674.0</v>
      </c>
      <c r="C400" s="143" t="s">
        <v>777</v>
      </c>
      <c r="D400" s="143" t="s">
        <v>588</v>
      </c>
      <c r="E400" s="204" t="s">
        <v>279</v>
      </c>
      <c r="F400" s="204" t="s">
        <v>324</v>
      </c>
      <c r="G400" s="151">
        <v>9000.0</v>
      </c>
      <c r="H400" s="104">
        <v>675000.0</v>
      </c>
      <c r="I400" s="122" t="s">
        <v>212</v>
      </c>
      <c r="J400" s="104">
        <v>350000.0</v>
      </c>
      <c r="K400" s="169" t="s">
        <v>212</v>
      </c>
      <c r="L400" s="127">
        <f t="shared" si="39"/>
        <v>325000</v>
      </c>
      <c r="M400" s="202"/>
    </row>
    <row r="401" ht="15.75" customHeight="1">
      <c r="A401" s="204">
        <v>13.0</v>
      </c>
      <c r="B401" s="112">
        <v>45677.0</v>
      </c>
      <c r="C401" s="143" t="s">
        <v>777</v>
      </c>
      <c r="D401" s="143" t="s">
        <v>588</v>
      </c>
      <c r="E401" s="204" t="s">
        <v>45</v>
      </c>
      <c r="F401" s="169" t="s">
        <v>781</v>
      </c>
      <c r="G401" s="170">
        <v>10000.0</v>
      </c>
      <c r="H401" s="101">
        <v>1500000.0</v>
      </c>
      <c r="I401" s="125" t="s">
        <v>238</v>
      </c>
      <c r="J401" s="126">
        <v>775000.0</v>
      </c>
      <c r="K401" s="212" t="s">
        <v>238</v>
      </c>
      <c r="L401" s="127">
        <f t="shared" si="39"/>
        <v>725000</v>
      </c>
      <c r="M401" s="202"/>
    </row>
    <row r="402" ht="15.75" customHeight="1">
      <c r="A402" s="204">
        <v>14.0</v>
      </c>
      <c r="B402" s="112">
        <v>45678.0</v>
      </c>
      <c r="C402" s="143" t="s">
        <v>777</v>
      </c>
      <c r="D402" s="143" t="s">
        <v>588</v>
      </c>
      <c r="E402" s="204" t="s">
        <v>45</v>
      </c>
      <c r="F402" s="204" t="s">
        <v>511</v>
      </c>
      <c r="G402" s="151">
        <v>10000.0</v>
      </c>
      <c r="H402" s="121">
        <v>1500000.0</v>
      </c>
      <c r="I402" s="115" t="s">
        <v>238</v>
      </c>
      <c r="J402" s="121">
        <v>325000.0</v>
      </c>
      <c r="K402" s="169" t="s">
        <v>212</v>
      </c>
      <c r="L402" s="127">
        <f t="shared" si="39"/>
        <v>1175000</v>
      </c>
      <c r="M402" s="202"/>
    </row>
    <row r="403" ht="15.75" customHeight="1">
      <c r="A403" s="204">
        <v>15.0</v>
      </c>
      <c r="B403" s="112">
        <v>45679.0</v>
      </c>
      <c r="C403" s="143" t="s">
        <v>777</v>
      </c>
      <c r="D403" s="143" t="s">
        <v>588</v>
      </c>
      <c r="E403" s="204" t="s">
        <v>45</v>
      </c>
      <c r="F403" s="204" t="s">
        <v>249</v>
      </c>
      <c r="G403" s="302">
        <v>9000.0</v>
      </c>
      <c r="H403" s="107">
        <v>1450000.0</v>
      </c>
      <c r="I403" s="108" t="s">
        <v>212</v>
      </c>
      <c r="J403" s="109">
        <v>925000.0</v>
      </c>
      <c r="K403" s="169" t="s">
        <v>212</v>
      </c>
      <c r="L403" s="127">
        <f t="shared" si="39"/>
        <v>525000</v>
      </c>
      <c r="M403" s="135">
        <v>130000.0</v>
      </c>
    </row>
    <row r="404" ht="15.75" customHeight="1">
      <c r="A404" s="204">
        <v>16.0</v>
      </c>
      <c r="B404" s="112">
        <v>45680.0</v>
      </c>
      <c r="C404" s="143" t="s">
        <v>777</v>
      </c>
      <c r="D404" s="143" t="s">
        <v>588</v>
      </c>
      <c r="E404" s="204" t="s">
        <v>279</v>
      </c>
      <c r="F404" s="204" t="s">
        <v>303</v>
      </c>
      <c r="G404" s="151">
        <v>9000.0</v>
      </c>
      <c r="H404" s="135">
        <v>1215000.0</v>
      </c>
      <c r="I404" s="115" t="s">
        <v>238</v>
      </c>
      <c r="J404" s="207">
        <v>700000.0</v>
      </c>
      <c r="K404" s="212" t="s">
        <v>212</v>
      </c>
      <c r="L404" s="61">
        <f t="shared" si="39"/>
        <v>515000</v>
      </c>
      <c r="M404" s="202"/>
    </row>
    <row r="405" ht="15.75" customHeight="1">
      <c r="A405" s="204">
        <v>17.0</v>
      </c>
      <c r="B405" s="112">
        <v>45681.0</v>
      </c>
      <c r="C405" s="143" t="s">
        <v>777</v>
      </c>
      <c r="D405" s="143" t="s">
        <v>588</v>
      </c>
      <c r="E405" s="204" t="s">
        <v>254</v>
      </c>
      <c r="F405" s="204" t="s">
        <v>585</v>
      </c>
      <c r="G405" s="151">
        <v>9000.0</v>
      </c>
      <c r="H405" s="121">
        <v>1170000.0</v>
      </c>
      <c r="I405" s="108" t="s">
        <v>212</v>
      </c>
      <c r="J405" s="121">
        <v>640000.0</v>
      </c>
      <c r="K405" s="212" t="s">
        <v>212</v>
      </c>
      <c r="L405" s="61">
        <f t="shared" si="39"/>
        <v>530000</v>
      </c>
      <c r="M405" s="202"/>
      <c r="N405" s="205" t="s">
        <v>799</v>
      </c>
    </row>
    <row r="406" ht="15.75" customHeight="1">
      <c r="A406" s="204">
        <v>18.0</v>
      </c>
      <c r="B406" s="112">
        <v>45682.0</v>
      </c>
      <c r="C406" s="143" t="s">
        <v>777</v>
      </c>
      <c r="D406" s="143" t="s">
        <v>588</v>
      </c>
      <c r="E406" s="204" t="s">
        <v>242</v>
      </c>
      <c r="F406" s="204" t="s">
        <v>255</v>
      </c>
      <c r="G406" s="151">
        <v>10000.0</v>
      </c>
      <c r="H406" s="135">
        <v>1500000.0</v>
      </c>
      <c r="I406" s="206" t="s">
        <v>238</v>
      </c>
      <c r="J406" s="207">
        <v>975000.0</v>
      </c>
      <c r="K406" s="212" t="s">
        <v>212</v>
      </c>
      <c r="L406" s="61">
        <f t="shared" si="39"/>
        <v>525000</v>
      </c>
      <c r="M406" s="135">
        <v>155000.0</v>
      </c>
    </row>
    <row r="407" ht="15.75" customHeight="1">
      <c r="A407" s="204">
        <v>19.0</v>
      </c>
      <c r="B407" s="112">
        <v>45685.0</v>
      </c>
      <c r="C407" s="143" t="s">
        <v>777</v>
      </c>
      <c r="D407" s="143" t="s">
        <v>588</v>
      </c>
      <c r="E407" s="204" t="s">
        <v>242</v>
      </c>
      <c r="F407" s="204" t="s">
        <v>324</v>
      </c>
      <c r="G407" s="151">
        <v>10000.0</v>
      </c>
      <c r="H407" s="135">
        <v>750000.0</v>
      </c>
      <c r="I407" s="108" t="s">
        <v>212</v>
      </c>
      <c r="J407" s="207">
        <v>400000.0</v>
      </c>
      <c r="K407" s="212" t="s">
        <v>212</v>
      </c>
      <c r="L407" s="61">
        <f t="shared" si="39"/>
        <v>350000</v>
      </c>
      <c r="M407" s="202"/>
    </row>
    <row r="408" ht="15.75" customHeight="1">
      <c r="A408" s="204">
        <v>20.0</v>
      </c>
      <c r="B408" s="112">
        <v>45687.0</v>
      </c>
      <c r="C408" s="143" t="s">
        <v>777</v>
      </c>
      <c r="D408" s="143" t="s">
        <v>588</v>
      </c>
      <c r="E408" s="204" t="s">
        <v>45</v>
      </c>
      <c r="F408" s="204" t="s">
        <v>249</v>
      </c>
      <c r="G408" s="302">
        <v>9000.0</v>
      </c>
      <c r="H408" s="107">
        <v>1450000.0</v>
      </c>
      <c r="I408" s="108" t="s">
        <v>212</v>
      </c>
      <c r="J408" s="109">
        <v>925000.0</v>
      </c>
      <c r="K408" s="212" t="s">
        <v>212</v>
      </c>
      <c r="L408" s="127">
        <f t="shared" si="39"/>
        <v>525000</v>
      </c>
      <c r="M408" s="135"/>
    </row>
    <row r="409" ht="15.75" customHeight="1">
      <c r="A409" s="204">
        <v>21.0</v>
      </c>
      <c r="B409" s="112">
        <v>45688.0</v>
      </c>
      <c r="C409" s="143" t="s">
        <v>777</v>
      </c>
      <c r="D409" s="143" t="s">
        <v>588</v>
      </c>
      <c r="E409" s="204" t="s">
        <v>279</v>
      </c>
      <c r="F409" s="204" t="s">
        <v>271</v>
      </c>
      <c r="G409" s="151">
        <v>9000.0</v>
      </c>
      <c r="H409" s="58">
        <v>675000.0</v>
      </c>
      <c r="I409" s="108" t="s">
        <v>238</v>
      </c>
      <c r="J409" s="60">
        <v>375000.0</v>
      </c>
      <c r="K409" s="212" t="s">
        <v>212</v>
      </c>
      <c r="L409" s="127">
        <f t="shared" si="39"/>
        <v>300000</v>
      </c>
      <c r="M409" s="202"/>
    </row>
    <row r="410" ht="15.75" customHeight="1">
      <c r="A410" s="169"/>
      <c r="B410" s="169"/>
      <c r="C410" s="169"/>
      <c r="D410" s="169"/>
      <c r="E410" s="169"/>
      <c r="F410" s="169"/>
      <c r="G410" s="170"/>
      <c r="H410" s="202"/>
      <c r="I410" s="241"/>
      <c r="J410" s="172"/>
      <c r="K410" s="203"/>
      <c r="L410" s="52">
        <f t="shared" ref="L410:M410" si="40">SUM(L387:L409)</f>
        <v>11190000</v>
      </c>
      <c r="M410" s="30">
        <f t="shared" si="40"/>
        <v>335000</v>
      </c>
    </row>
    <row r="411" ht="15.75" customHeight="1">
      <c r="A411" s="169"/>
      <c r="B411" s="169"/>
      <c r="C411" s="169"/>
      <c r="D411" s="169"/>
      <c r="E411" s="169"/>
      <c r="F411" s="169"/>
      <c r="G411" s="170"/>
      <c r="H411" s="202"/>
      <c r="I411" s="241"/>
      <c r="J411" s="172"/>
      <c r="K411" s="203"/>
      <c r="L411" s="33">
        <f>L410-M410</f>
        <v>10855000</v>
      </c>
      <c r="M411" s="26"/>
    </row>
    <row r="412" ht="15.75" customHeight="1">
      <c r="A412" s="169"/>
      <c r="B412" s="169"/>
      <c r="C412" s="169"/>
      <c r="D412" s="169"/>
      <c r="E412" s="169"/>
      <c r="F412" s="169"/>
      <c r="G412" s="170"/>
      <c r="H412" s="202"/>
      <c r="I412" s="241"/>
      <c r="J412" s="172"/>
      <c r="K412" s="203"/>
      <c r="M412" s="202"/>
    </row>
    <row r="413" ht="15.75" customHeight="1">
      <c r="A413" s="89" t="s">
        <v>209</v>
      </c>
      <c r="B413" s="89" t="s">
        <v>0</v>
      </c>
      <c r="C413" s="89" t="s">
        <v>1</v>
      </c>
      <c r="D413" s="89" t="s">
        <v>2</v>
      </c>
      <c r="E413" s="90" t="s">
        <v>3</v>
      </c>
      <c r="F413" s="89" t="s">
        <v>4</v>
      </c>
      <c r="G413" s="91" t="s">
        <v>5</v>
      </c>
      <c r="H413" s="119" t="s">
        <v>6</v>
      </c>
      <c r="I413" s="92" t="s">
        <v>39</v>
      </c>
      <c r="J413" s="119" t="s">
        <v>7</v>
      </c>
      <c r="K413" s="91" t="s">
        <v>39</v>
      </c>
      <c r="L413" s="92" t="s">
        <v>8</v>
      </c>
      <c r="M413" s="120" t="s">
        <v>9</v>
      </c>
    </row>
    <row r="414" ht="15.75" customHeight="1">
      <c r="A414" s="203">
        <v>1.0</v>
      </c>
      <c r="B414" s="112">
        <v>45689.0</v>
      </c>
      <c r="C414" s="143" t="s">
        <v>777</v>
      </c>
      <c r="D414" s="143" t="s">
        <v>588</v>
      </c>
      <c r="E414" s="204" t="s">
        <v>310</v>
      </c>
      <c r="F414" s="110" t="s">
        <v>298</v>
      </c>
      <c r="G414" s="170">
        <v>9000.0</v>
      </c>
      <c r="H414" s="121">
        <v>1300000.0</v>
      </c>
      <c r="I414" s="108" t="s">
        <v>238</v>
      </c>
      <c r="J414" s="109">
        <v>900000.0</v>
      </c>
      <c r="K414" s="212" t="s">
        <v>212</v>
      </c>
      <c r="L414" s="58">
        <f t="shared" ref="L414:L432" si="41">H414-J414</f>
        <v>400000</v>
      </c>
      <c r="M414" s="149"/>
    </row>
    <row r="415" ht="15.75" customHeight="1">
      <c r="A415" s="204">
        <v>2.0</v>
      </c>
      <c r="B415" s="112">
        <v>45691.0</v>
      </c>
      <c r="C415" s="143" t="s">
        <v>777</v>
      </c>
      <c r="D415" s="143" t="s">
        <v>588</v>
      </c>
      <c r="E415" s="98" t="s">
        <v>243</v>
      </c>
      <c r="F415" s="110" t="s">
        <v>264</v>
      </c>
      <c r="G415" s="110">
        <v>10000.0</v>
      </c>
      <c r="H415" s="107">
        <v>1500000.0</v>
      </c>
      <c r="I415" s="108" t="s">
        <v>238</v>
      </c>
      <c r="J415" s="109">
        <v>950000.0</v>
      </c>
      <c r="K415" s="212" t="s">
        <v>212</v>
      </c>
      <c r="L415" s="58">
        <f t="shared" si="41"/>
        <v>550000</v>
      </c>
      <c r="M415" s="135"/>
    </row>
    <row r="416" ht="15.75" customHeight="1">
      <c r="A416" s="204">
        <v>3.0</v>
      </c>
      <c r="B416" s="112">
        <v>45692.0</v>
      </c>
      <c r="C416" s="143" t="s">
        <v>777</v>
      </c>
      <c r="D416" s="143" t="s">
        <v>588</v>
      </c>
      <c r="E416" s="17" t="s">
        <v>30</v>
      </c>
      <c r="F416" s="110" t="s">
        <v>549</v>
      </c>
      <c r="G416" s="57">
        <v>9000.0</v>
      </c>
      <c r="H416" s="61">
        <v>1305000.0</v>
      </c>
      <c r="I416" s="115" t="s">
        <v>238</v>
      </c>
      <c r="J416" s="61">
        <v>725000.0</v>
      </c>
      <c r="K416" s="98" t="s">
        <v>212</v>
      </c>
      <c r="L416" s="61">
        <f t="shared" si="41"/>
        <v>580000</v>
      </c>
      <c r="M416" s="135">
        <v>50000.0</v>
      </c>
    </row>
    <row r="417" ht="15.75" customHeight="1">
      <c r="A417" s="204">
        <v>4.0</v>
      </c>
      <c r="B417" s="112">
        <v>45693.0</v>
      </c>
      <c r="C417" s="143" t="s">
        <v>777</v>
      </c>
      <c r="D417" s="143" t="s">
        <v>588</v>
      </c>
      <c r="E417" s="204" t="s">
        <v>123</v>
      </c>
      <c r="F417" s="110" t="s">
        <v>585</v>
      </c>
      <c r="G417" s="151">
        <v>9000.0</v>
      </c>
      <c r="H417" s="121">
        <v>1350000.0</v>
      </c>
      <c r="I417" s="108" t="s">
        <v>212</v>
      </c>
      <c r="J417" s="121">
        <v>850000.0</v>
      </c>
      <c r="K417" s="212" t="s">
        <v>238</v>
      </c>
      <c r="L417" s="61">
        <f t="shared" si="41"/>
        <v>500000</v>
      </c>
      <c r="M417" s="202"/>
    </row>
    <row r="418" ht="15.75" customHeight="1">
      <c r="A418" s="204">
        <v>5.0</v>
      </c>
      <c r="B418" s="112">
        <v>45694.0</v>
      </c>
      <c r="C418" s="143" t="s">
        <v>777</v>
      </c>
      <c r="D418" s="143" t="s">
        <v>588</v>
      </c>
      <c r="E418" s="204" t="s">
        <v>243</v>
      </c>
      <c r="F418" s="110" t="s">
        <v>255</v>
      </c>
      <c r="G418" s="151">
        <v>10000.0</v>
      </c>
      <c r="H418" s="135">
        <v>1500000.0</v>
      </c>
      <c r="I418" s="206" t="s">
        <v>238</v>
      </c>
      <c r="J418" s="207">
        <v>975000.0</v>
      </c>
      <c r="K418" s="212" t="s">
        <v>238</v>
      </c>
      <c r="L418" s="61">
        <f t="shared" si="41"/>
        <v>525000</v>
      </c>
      <c r="M418" s="202"/>
    </row>
    <row r="419" ht="15.75" customHeight="1">
      <c r="A419" s="204">
        <v>6.0</v>
      </c>
      <c r="B419" s="112">
        <v>45696.0</v>
      </c>
      <c r="C419" s="143" t="s">
        <v>777</v>
      </c>
      <c r="D419" s="143" t="s">
        <v>588</v>
      </c>
      <c r="E419" s="204" t="s">
        <v>280</v>
      </c>
      <c r="F419" s="110" t="s">
        <v>326</v>
      </c>
      <c r="G419" s="151">
        <v>9000.0</v>
      </c>
      <c r="H419" s="121">
        <v>1300000.0</v>
      </c>
      <c r="I419" s="108" t="s">
        <v>238</v>
      </c>
      <c r="J419" s="109">
        <v>900000.0</v>
      </c>
      <c r="K419" s="212" t="s">
        <v>238</v>
      </c>
      <c r="L419" s="61">
        <f t="shared" si="41"/>
        <v>400000</v>
      </c>
      <c r="M419" s="202"/>
    </row>
    <row r="420" ht="15.75" customHeight="1">
      <c r="A420" s="204">
        <v>7.0</v>
      </c>
      <c r="B420" s="112">
        <v>45698.0</v>
      </c>
      <c r="C420" s="143" t="s">
        <v>777</v>
      </c>
      <c r="D420" s="143" t="s">
        <v>588</v>
      </c>
      <c r="E420" s="204" t="s">
        <v>256</v>
      </c>
      <c r="F420" s="110" t="s">
        <v>271</v>
      </c>
      <c r="G420" s="151">
        <v>9000.0</v>
      </c>
      <c r="H420" s="58">
        <v>675000.0</v>
      </c>
      <c r="I420" s="108" t="s">
        <v>238</v>
      </c>
      <c r="J420" s="60">
        <v>375000.0</v>
      </c>
      <c r="K420" s="213" t="s">
        <v>212</v>
      </c>
      <c r="L420" s="61">
        <f t="shared" si="41"/>
        <v>300000</v>
      </c>
      <c r="M420" s="135">
        <v>70000.0</v>
      </c>
    </row>
    <row r="421" ht="15.75" customHeight="1">
      <c r="A421" s="204">
        <v>8.0</v>
      </c>
      <c r="B421" s="112">
        <v>45699.0</v>
      </c>
      <c r="C421" s="143" t="s">
        <v>777</v>
      </c>
      <c r="D421" s="143" t="s">
        <v>588</v>
      </c>
      <c r="E421" s="204" t="s">
        <v>242</v>
      </c>
      <c r="F421" s="110" t="s">
        <v>43</v>
      </c>
      <c r="G421" s="151">
        <v>10000.0</v>
      </c>
      <c r="H421" s="135">
        <v>1500000.0</v>
      </c>
      <c r="I421" s="115" t="s">
        <v>238</v>
      </c>
      <c r="J421" s="135">
        <v>850000.0</v>
      </c>
      <c r="K421" s="98" t="s">
        <v>212</v>
      </c>
      <c r="L421" s="127">
        <f t="shared" si="41"/>
        <v>650000</v>
      </c>
      <c r="M421" s="202"/>
    </row>
    <row r="422" ht="15.75" customHeight="1">
      <c r="A422" s="204">
        <v>9.0</v>
      </c>
      <c r="B422" s="112">
        <v>45703.0</v>
      </c>
      <c r="C422" s="143" t="s">
        <v>777</v>
      </c>
      <c r="D422" s="143" t="s">
        <v>588</v>
      </c>
      <c r="E422" s="204" t="s">
        <v>254</v>
      </c>
      <c r="F422" s="110" t="s">
        <v>264</v>
      </c>
      <c r="G422" s="151">
        <v>10000.0</v>
      </c>
      <c r="H422" s="135">
        <v>1500000.0</v>
      </c>
      <c r="I422" s="206" t="s">
        <v>238</v>
      </c>
      <c r="J422" s="207">
        <v>950000.0</v>
      </c>
      <c r="K422" s="98" t="s">
        <v>212</v>
      </c>
      <c r="L422" s="127">
        <f t="shared" si="41"/>
        <v>550000</v>
      </c>
      <c r="M422" s="202"/>
    </row>
    <row r="423" ht="15.75" customHeight="1">
      <c r="A423" s="204">
        <v>10.0</v>
      </c>
      <c r="B423" s="112">
        <v>45705.0</v>
      </c>
      <c r="C423" s="143" t="s">
        <v>777</v>
      </c>
      <c r="D423" s="143" t="s">
        <v>588</v>
      </c>
      <c r="E423" s="204" t="s">
        <v>327</v>
      </c>
      <c r="F423" s="110" t="s">
        <v>271</v>
      </c>
      <c r="G423" s="151">
        <v>9000.0</v>
      </c>
      <c r="H423" s="135">
        <v>675000.0</v>
      </c>
      <c r="I423" s="206" t="s">
        <v>238</v>
      </c>
      <c r="J423" s="207">
        <v>375000.0</v>
      </c>
      <c r="K423" s="98" t="s">
        <v>212</v>
      </c>
      <c r="L423" s="127">
        <f t="shared" si="41"/>
        <v>300000</v>
      </c>
      <c r="M423" s="135">
        <v>205000.0</v>
      </c>
    </row>
    <row r="424" ht="15.75" customHeight="1">
      <c r="A424" s="204">
        <v>11.0</v>
      </c>
      <c r="B424" s="142">
        <v>45705.0</v>
      </c>
      <c r="C424" s="143" t="s">
        <v>777</v>
      </c>
      <c r="D424" s="143" t="s">
        <v>588</v>
      </c>
      <c r="E424" s="213" t="s">
        <v>327</v>
      </c>
      <c r="F424" s="110" t="s">
        <v>296</v>
      </c>
      <c r="G424" s="110">
        <v>9000.0</v>
      </c>
      <c r="H424" s="61">
        <v>765000.0</v>
      </c>
      <c r="I424" s="115" t="s">
        <v>238</v>
      </c>
      <c r="J424" s="61">
        <v>450000.0</v>
      </c>
      <c r="K424" s="98" t="s">
        <v>212</v>
      </c>
      <c r="L424" s="127">
        <f t="shared" si="41"/>
        <v>315000</v>
      </c>
      <c r="M424" s="202"/>
    </row>
    <row r="425" ht="15.75" customHeight="1">
      <c r="A425" s="204">
        <v>12.0</v>
      </c>
      <c r="B425" s="142">
        <v>45706.0</v>
      </c>
      <c r="C425" s="143" t="s">
        <v>777</v>
      </c>
      <c r="D425" s="143" t="s">
        <v>588</v>
      </c>
      <c r="E425" s="204" t="s">
        <v>273</v>
      </c>
      <c r="F425" s="110" t="s">
        <v>326</v>
      </c>
      <c r="G425" s="151">
        <v>10000.0</v>
      </c>
      <c r="H425" s="135">
        <v>1500000.0</v>
      </c>
      <c r="I425" s="206" t="s">
        <v>238</v>
      </c>
      <c r="J425" s="207">
        <v>975000.0</v>
      </c>
      <c r="K425" s="98" t="s">
        <v>212</v>
      </c>
      <c r="L425" s="127">
        <f t="shared" si="41"/>
        <v>525000</v>
      </c>
      <c r="M425" s="202"/>
    </row>
    <row r="426" ht="15.75" customHeight="1">
      <c r="A426" s="204">
        <v>13.0</v>
      </c>
      <c r="B426" s="142">
        <v>45709.0</v>
      </c>
      <c r="C426" s="143" t="s">
        <v>777</v>
      </c>
      <c r="D426" s="143" t="s">
        <v>588</v>
      </c>
      <c r="E426" s="204" t="s">
        <v>243</v>
      </c>
      <c r="F426" s="204" t="s">
        <v>330</v>
      </c>
      <c r="G426" s="151">
        <v>8500.0</v>
      </c>
      <c r="H426" s="135">
        <v>1200000.0</v>
      </c>
      <c r="I426" s="108" t="s">
        <v>212</v>
      </c>
      <c r="J426" s="207">
        <v>640000.0</v>
      </c>
      <c r="K426" s="212" t="s">
        <v>238</v>
      </c>
      <c r="L426" s="127">
        <f t="shared" si="41"/>
        <v>560000</v>
      </c>
      <c r="M426" s="202"/>
    </row>
    <row r="427" ht="15.75" customHeight="1">
      <c r="A427" s="204">
        <v>14.0</v>
      </c>
      <c r="B427" s="142">
        <v>45710.0</v>
      </c>
      <c r="C427" s="143" t="s">
        <v>777</v>
      </c>
      <c r="D427" s="143" t="s">
        <v>588</v>
      </c>
      <c r="E427" s="204" t="s">
        <v>279</v>
      </c>
      <c r="F427" s="204" t="s">
        <v>302</v>
      </c>
      <c r="G427" s="151">
        <v>9000.0</v>
      </c>
      <c r="H427" s="135">
        <v>720000.0</v>
      </c>
      <c r="I427" s="206" t="s">
        <v>238</v>
      </c>
      <c r="J427" s="207">
        <v>350000.0</v>
      </c>
      <c r="K427" s="98" t="s">
        <v>212</v>
      </c>
      <c r="L427" s="127">
        <f t="shared" si="41"/>
        <v>370000</v>
      </c>
      <c r="M427" s="202"/>
    </row>
    <row r="428" ht="15.75" customHeight="1">
      <c r="A428" s="204">
        <v>15.0</v>
      </c>
      <c r="B428" s="142">
        <v>45710.0</v>
      </c>
      <c r="C428" s="143" t="s">
        <v>777</v>
      </c>
      <c r="D428" s="143" t="s">
        <v>588</v>
      </c>
      <c r="E428" s="204" t="s">
        <v>800</v>
      </c>
      <c r="F428" s="204" t="s">
        <v>510</v>
      </c>
      <c r="G428" s="151">
        <v>9000.0</v>
      </c>
      <c r="H428" s="135">
        <v>1125000.0</v>
      </c>
      <c r="I428" s="108" t="s">
        <v>212</v>
      </c>
      <c r="J428" s="207">
        <v>640000.0</v>
      </c>
      <c r="K428" s="98" t="s">
        <v>212</v>
      </c>
      <c r="L428" s="127">
        <f t="shared" si="41"/>
        <v>485000</v>
      </c>
      <c r="M428" s="202"/>
    </row>
    <row r="429" ht="15.75" customHeight="1">
      <c r="A429" s="204">
        <v>16.0</v>
      </c>
      <c r="B429" s="142">
        <v>45712.0</v>
      </c>
      <c r="C429" s="143" t="s">
        <v>777</v>
      </c>
      <c r="D429" s="143" t="s">
        <v>588</v>
      </c>
      <c r="E429" s="204" t="s">
        <v>327</v>
      </c>
      <c r="F429" s="204" t="s">
        <v>302</v>
      </c>
      <c r="G429" s="151">
        <v>9000.0</v>
      </c>
      <c r="H429" s="135">
        <v>720000.0</v>
      </c>
      <c r="I429" s="206" t="s">
        <v>238</v>
      </c>
      <c r="J429" s="207">
        <v>350000.0</v>
      </c>
      <c r="K429" s="98" t="s">
        <v>212</v>
      </c>
      <c r="L429" s="127">
        <f t="shared" si="41"/>
        <v>370000</v>
      </c>
      <c r="M429" s="202"/>
    </row>
    <row r="430" ht="15.75" customHeight="1">
      <c r="A430" s="204">
        <v>17.0</v>
      </c>
      <c r="B430" s="142">
        <v>45713.0</v>
      </c>
      <c r="C430" s="143" t="s">
        <v>777</v>
      </c>
      <c r="D430" s="143" t="s">
        <v>588</v>
      </c>
      <c r="E430" s="204" t="s">
        <v>273</v>
      </c>
      <c r="F430" s="204" t="s">
        <v>298</v>
      </c>
      <c r="G430" s="151">
        <v>9000.0</v>
      </c>
      <c r="H430" s="135">
        <v>1300000.0</v>
      </c>
      <c r="I430" s="206" t="s">
        <v>238</v>
      </c>
      <c r="J430" s="207">
        <v>925000.0</v>
      </c>
      <c r="K430" s="98" t="s">
        <v>212</v>
      </c>
      <c r="L430" s="127">
        <f t="shared" si="41"/>
        <v>375000</v>
      </c>
      <c r="M430" s="135">
        <v>390000.0</v>
      </c>
    </row>
    <row r="431" ht="15.75" customHeight="1">
      <c r="A431" s="204">
        <v>18.0</v>
      </c>
      <c r="B431" s="142">
        <v>45715.0</v>
      </c>
      <c r="C431" s="143" t="s">
        <v>777</v>
      </c>
      <c r="D431" s="143" t="s">
        <v>588</v>
      </c>
      <c r="E431" s="204" t="s">
        <v>243</v>
      </c>
      <c r="F431" s="204" t="s">
        <v>264</v>
      </c>
      <c r="G431" s="151">
        <v>10000.0</v>
      </c>
      <c r="H431" s="135">
        <v>1500000.0</v>
      </c>
      <c r="I431" s="206" t="s">
        <v>238</v>
      </c>
      <c r="J431" s="207">
        <v>950000.0</v>
      </c>
      <c r="K431" s="98" t="s">
        <v>212</v>
      </c>
      <c r="L431" s="127">
        <f t="shared" si="41"/>
        <v>550000</v>
      </c>
      <c r="M431" s="202"/>
    </row>
    <row r="432" ht="15.75" customHeight="1">
      <c r="A432" s="204">
        <v>19.0</v>
      </c>
      <c r="B432" s="142">
        <v>45716.0</v>
      </c>
      <c r="C432" s="143" t="s">
        <v>777</v>
      </c>
      <c r="D432" s="143" t="s">
        <v>588</v>
      </c>
      <c r="E432" s="204" t="s">
        <v>254</v>
      </c>
      <c r="F432" s="204" t="s">
        <v>324</v>
      </c>
      <c r="G432" s="151">
        <v>10000.0</v>
      </c>
      <c r="H432" s="135">
        <v>750000.0</v>
      </c>
      <c r="I432" s="108" t="s">
        <v>212</v>
      </c>
      <c r="J432" s="207">
        <v>400000.0</v>
      </c>
      <c r="K432" s="98" t="s">
        <v>212</v>
      </c>
      <c r="L432" s="127">
        <f t="shared" si="41"/>
        <v>350000</v>
      </c>
      <c r="M432" s="135">
        <v>70000.0</v>
      </c>
    </row>
    <row r="433" ht="15.75" customHeight="1">
      <c r="A433" s="204"/>
      <c r="B433" s="169"/>
      <c r="C433" s="169"/>
      <c r="D433" s="169"/>
      <c r="E433" s="169"/>
      <c r="F433" s="169"/>
      <c r="G433" s="170"/>
      <c r="H433" s="202"/>
      <c r="I433" s="241"/>
      <c r="J433" s="207"/>
      <c r="K433" s="98"/>
      <c r="L433" s="52">
        <f t="shared" ref="L433:M433" si="42">SUM(L414:L432)</f>
        <v>8655000</v>
      </c>
      <c r="M433" s="30">
        <f t="shared" si="42"/>
        <v>785000</v>
      </c>
    </row>
    <row r="434" ht="15.75" customHeight="1">
      <c r="A434" s="169"/>
      <c r="B434" s="169"/>
      <c r="C434" s="169"/>
      <c r="D434" s="169"/>
      <c r="E434" s="169"/>
      <c r="F434" s="169"/>
      <c r="G434" s="170"/>
      <c r="H434" s="202"/>
      <c r="I434" s="241"/>
      <c r="J434" s="172"/>
      <c r="K434" s="203"/>
      <c r="L434" s="33">
        <f>L433-M433</f>
        <v>7870000</v>
      </c>
      <c r="M434" s="26"/>
    </row>
    <row r="435" ht="15.75" customHeight="1">
      <c r="A435" s="169"/>
      <c r="B435" s="169"/>
      <c r="C435" s="169"/>
      <c r="D435" s="169"/>
      <c r="E435" s="169"/>
      <c r="F435" s="169"/>
      <c r="G435" s="170"/>
      <c r="H435" s="202"/>
      <c r="I435" s="241"/>
      <c r="J435" s="172"/>
      <c r="K435" s="203"/>
      <c r="M435" s="202"/>
    </row>
    <row r="436" ht="15.75" customHeight="1">
      <c r="A436" s="89" t="s">
        <v>209</v>
      </c>
      <c r="B436" s="89" t="s">
        <v>0</v>
      </c>
      <c r="C436" s="89" t="s">
        <v>1</v>
      </c>
      <c r="D436" s="89" t="s">
        <v>2</v>
      </c>
      <c r="E436" s="90" t="s">
        <v>3</v>
      </c>
      <c r="F436" s="89" t="s">
        <v>4</v>
      </c>
      <c r="G436" s="91" t="s">
        <v>5</v>
      </c>
      <c r="H436" s="119" t="s">
        <v>6</v>
      </c>
      <c r="I436" s="92" t="s">
        <v>39</v>
      </c>
      <c r="J436" s="119" t="s">
        <v>7</v>
      </c>
      <c r="K436" s="91" t="s">
        <v>39</v>
      </c>
      <c r="L436" s="92" t="s">
        <v>8</v>
      </c>
      <c r="M436" s="120" t="s">
        <v>9</v>
      </c>
    </row>
    <row r="437" ht="15.75" customHeight="1">
      <c r="A437" s="203">
        <v>1.0</v>
      </c>
      <c r="B437" s="112">
        <v>45717.0</v>
      </c>
      <c r="C437" s="143" t="s">
        <v>777</v>
      </c>
      <c r="D437" s="143" t="s">
        <v>588</v>
      </c>
      <c r="E437" s="204" t="s">
        <v>254</v>
      </c>
      <c r="F437" s="204" t="s">
        <v>264</v>
      </c>
      <c r="G437" s="151">
        <v>10000.0</v>
      </c>
      <c r="H437" s="121">
        <v>1500000.0</v>
      </c>
      <c r="I437" s="108" t="s">
        <v>238</v>
      </c>
      <c r="J437" s="109">
        <v>950000.0</v>
      </c>
      <c r="K437" s="212" t="s">
        <v>212</v>
      </c>
      <c r="L437" s="58">
        <f t="shared" ref="L437:L453" si="43">H437-J437</f>
        <v>550000</v>
      </c>
      <c r="M437" s="149"/>
    </row>
    <row r="438" ht="15.75" customHeight="1">
      <c r="A438" s="204">
        <v>2.0</v>
      </c>
      <c r="B438" s="112">
        <v>45719.0</v>
      </c>
      <c r="C438" s="143" t="s">
        <v>777</v>
      </c>
      <c r="D438" s="143" t="s">
        <v>588</v>
      </c>
      <c r="E438" s="204" t="s">
        <v>273</v>
      </c>
      <c r="F438" s="204" t="s">
        <v>326</v>
      </c>
      <c r="G438" s="151">
        <v>9000.0</v>
      </c>
      <c r="H438" s="135">
        <v>1300000.0</v>
      </c>
      <c r="I438" s="206" t="s">
        <v>238</v>
      </c>
      <c r="J438" s="207">
        <v>925000.0</v>
      </c>
      <c r="K438" s="212" t="s">
        <v>212</v>
      </c>
      <c r="L438" s="58">
        <f t="shared" si="43"/>
        <v>375000</v>
      </c>
      <c r="M438" s="135">
        <v>120000.0</v>
      </c>
    </row>
    <row r="439" ht="15.75" customHeight="1">
      <c r="A439" s="204">
        <v>3.0</v>
      </c>
      <c r="B439" s="112">
        <v>45720.0</v>
      </c>
      <c r="C439" s="143" t="s">
        <v>777</v>
      </c>
      <c r="D439" s="143" t="s">
        <v>588</v>
      </c>
      <c r="E439" s="204" t="s">
        <v>279</v>
      </c>
      <c r="F439" s="204" t="s">
        <v>324</v>
      </c>
      <c r="G439" s="151">
        <v>9000.0</v>
      </c>
      <c r="H439" s="135">
        <v>675000.0</v>
      </c>
      <c r="I439" s="108" t="s">
        <v>212</v>
      </c>
      <c r="J439" s="207">
        <v>350000.0</v>
      </c>
      <c r="K439" s="212" t="s">
        <v>212</v>
      </c>
      <c r="L439" s="58">
        <f t="shared" si="43"/>
        <v>325000</v>
      </c>
      <c r="M439" s="202"/>
    </row>
    <row r="440" ht="15.75" customHeight="1">
      <c r="A440" s="204">
        <v>4.0</v>
      </c>
      <c r="B440" s="112">
        <v>45721.0</v>
      </c>
      <c r="C440" s="143" t="s">
        <v>777</v>
      </c>
      <c r="D440" s="143" t="s">
        <v>588</v>
      </c>
      <c r="E440" s="204" t="s">
        <v>243</v>
      </c>
      <c r="F440" s="204" t="s">
        <v>264</v>
      </c>
      <c r="G440" s="151">
        <v>10000.0</v>
      </c>
      <c r="H440" s="135">
        <v>1500000.0</v>
      </c>
      <c r="I440" s="206" t="s">
        <v>238</v>
      </c>
      <c r="J440" s="207">
        <v>950000.0</v>
      </c>
      <c r="K440" s="212" t="s">
        <v>212</v>
      </c>
      <c r="L440" s="58">
        <f t="shared" si="43"/>
        <v>550000</v>
      </c>
      <c r="M440" s="202"/>
    </row>
    <row r="441" ht="15.75" customHeight="1">
      <c r="A441" s="204">
        <v>5.0</v>
      </c>
      <c r="B441" s="112">
        <v>45723.0</v>
      </c>
      <c r="C441" s="143" t="s">
        <v>777</v>
      </c>
      <c r="D441" s="143" t="s">
        <v>588</v>
      </c>
      <c r="E441" s="204" t="s">
        <v>273</v>
      </c>
      <c r="F441" s="204" t="s">
        <v>298</v>
      </c>
      <c r="G441" s="151">
        <v>10000.0</v>
      </c>
      <c r="H441" s="135">
        <v>1500000.0</v>
      </c>
      <c r="I441" s="206" t="s">
        <v>238</v>
      </c>
      <c r="J441" s="207">
        <v>975000.0</v>
      </c>
      <c r="K441" s="212" t="s">
        <v>212</v>
      </c>
      <c r="L441" s="58">
        <f t="shared" si="43"/>
        <v>525000</v>
      </c>
      <c r="M441" s="135">
        <v>202000.0</v>
      </c>
    </row>
    <row r="442" ht="15.75" customHeight="1">
      <c r="A442" s="204">
        <v>6.0</v>
      </c>
      <c r="B442" s="112">
        <v>45726.0</v>
      </c>
      <c r="C442" s="143" t="s">
        <v>777</v>
      </c>
      <c r="D442" s="143" t="s">
        <v>588</v>
      </c>
      <c r="E442" s="204" t="s">
        <v>243</v>
      </c>
      <c r="F442" s="204" t="s">
        <v>264</v>
      </c>
      <c r="G442" s="151">
        <v>10000.0</v>
      </c>
      <c r="H442" s="135">
        <v>1500000.0</v>
      </c>
      <c r="I442" s="206" t="s">
        <v>238</v>
      </c>
      <c r="J442" s="207">
        <v>950000.0</v>
      </c>
      <c r="K442" s="212" t="s">
        <v>238</v>
      </c>
      <c r="L442" s="58">
        <f t="shared" si="43"/>
        <v>550000</v>
      </c>
      <c r="M442" s="135">
        <v>755000.0</v>
      </c>
    </row>
    <row r="443" ht="15.75" customHeight="1">
      <c r="A443" s="204">
        <v>7.0</v>
      </c>
      <c r="B443" s="112">
        <v>45728.0</v>
      </c>
      <c r="C443" s="143" t="s">
        <v>777</v>
      </c>
      <c r="D443" s="143" t="s">
        <v>588</v>
      </c>
      <c r="E443" s="204" t="s">
        <v>254</v>
      </c>
      <c r="F443" s="204" t="s">
        <v>298</v>
      </c>
      <c r="G443" s="151">
        <v>9000.0</v>
      </c>
      <c r="H443" s="135">
        <v>1350000.0</v>
      </c>
      <c r="I443" s="206" t="s">
        <v>238</v>
      </c>
      <c r="J443" s="207">
        <v>900000.0</v>
      </c>
      <c r="K443" s="212" t="s">
        <v>212</v>
      </c>
      <c r="L443" s="58">
        <f t="shared" si="43"/>
        <v>450000</v>
      </c>
      <c r="M443" s="202"/>
    </row>
    <row r="444" ht="15.75" customHeight="1">
      <c r="A444" s="204">
        <v>8.0</v>
      </c>
      <c r="B444" s="112">
        <v>45730.0</v>
      </c>
      <c r="C444" s="143" t="s">
        <v>777</v>
      </c>
      <c r="D444" s="143" t="s">
        <v>588</v>
      </c>
      <c r="E444" s="204" t="s">
        <v>243</v>
      </c>
      <c r="F444" s="204" t="s">
        <v>271</v>
      </c>
      <c r="G444" s="151">
        <v>10000.0</v>
      </c>
      <c r="H444" s="135">
        <v>750000.0</v>
      </c>
      <c r="I444" s="206" t="s">
        <v>238</v>
      </c>
      <c r="J444" s="207">
        <v>400000.0</v>
      </c>
      <c r="K444" s="212" t="s">
        <v>212</v>
      </c>
      <c r="L444" s="58">
        <f t="shared" si="43"/>
        <v>350000</v>
      </c>
      <c r="M444" s="202"/>
    </row>
    <row r="445" ht="15.75" customHeight="1">
      <c r="A445" s="204">
        <v>9.0</v>
      </c>
      <c r="B445" s="112">
        <v>45731.0</v>
      </c>
      <c r="C445" s="143" t="s">
        <v>777</v>
      </c>
      <c r="D445" s="143" t="s">
        <v>588</v>
      </c>
      <c r="E445" s="204" t="s">
        <v>273</v>
      </c>
      <c r="F445" s="204" t="s">
        <v>298</v>
      </c>
      <c r="G445" s="151">
        <v>9000.0</v>
      </c>
      <c r="H445" s="135">
        <v>1350000.0</v>
      </c>
      <c r="I445" s="206" t="s">
        <v>238</v>
      </c>
      <c r="J445" s="207">
        <v>925000.0</v>
      </c>
      <c r="K445" s="212" t="s">
        <v>212</v>
      </c>
      <c r="L445" s="58">
        <f t="shared" si="43"/>
        <v>425000</v>
      </c>
      <c r="M445" s="202"/>
    </row>
    <row r="446" ht="15.75" customHeight="1">
      <c r="A446" s="204">
        <v>10.0</v>
      </c>
      <c r="B446" s="112">
        <v>45733.0</v>
      </c>
      <c r="C446" s="143" t="s">
        <v>777</v>
      </c>
      <c r="D446" s="143" t="s">
        <v>588</v>
      </c>
      <c r="E446" s="204" t="s">
        <v>273</v>
      </c>
      <c r="F446" s="204" t="s">
        <v>298</v>
      </c>
      <c r="G446" s="151">
        <v>9000.0</v>
      </c>
      <c r="H446" s="135">
        <v>1350000.0</v>
      </c>
      <c r="I446" s="206" t="s">
        <v>238</v>
      </c>
      <c r="J446" s="207">
        <v>925000.0</v>
      </c>
      <c r="K446" s="212" t="s">
        <v>212</v>
      </c>
      <c r="L446" s="58">
        <f t="shared" si="43"/>
        <v>425000</v>
      </c>
      <c r="M446" s="202"/>
    </row>
    <row r="447" ht="15.75" customHeight="1">
      <c r="A447" s="204">
        <v>11.0</v>
      </c>
      <c r="B447" s="112">
        <v>45734.0</v>
      </c>
      <c r="C447" s="143" t="s">
        <v>777</v>
      </c>
      <c r="D447" s="143" t="s">
        <v>588</v>
      </c>
      <c r="E447" s="204" t="s">
        <v>280</v>
      </c>
      <c r="F447" s="204" t="s">
        <v>281</v>
      </c>
      <c r="G447" s="151">
        <v>9000.0</v>
      </c>
      <c r="H447" s="135">
        <v>1440000.0</v>
      </c>
      <c r="I447" s="206" t="s">
        <v>238</v>
      </c>
      <c r="J447" s="207">
        <v>900000.0</v>
      </c>
      <c r="K447" s="212" t="s">
        <v>212</v>
      </c>
      <c r="L447" s="58">
        <f t="shared" si="43"/>
        <v>540000</v>
      </c>
      <c r="M447" s="135">
        <v>100000.0</v>
      </c>
    </row>
    <row r="448" ht="15.75" customHeight="1">
      <c r="A448" s="204">
        <v>12.0</v>
      </c>
      <c r="B448" s="112">
        <v>45738.0</v>
      </c>
      <c r="C448" s="143" t="s">
        <v>777</v>
      </c>
      <c r="D448" s="143" t="s">
        <v>588</v>
      </c>
      <c r="E448" s="204" t="s">
        <v>279</v>
      </c>
      <c r="F448" s="204" t="s">
        <v>271</v>
      </c>
      <c r="G448" s="151">
        <v>9000.0</v>
      </c>
      <c r="H448" s="135">
        <v>675000.0</v>
      </c>
      <c r="I448" s="206" t="s">
        <v>238</v>
      </c>
      <c r="J448" s="207">
        <v>375000.0</v>
      </c>
      <c r="K448" s="212" t="s">
        <v>212</v>
      </c>
      <c r="L448" s="58">
        <f t="shared" si="43"/>
        <v>300000</v>
      </c>
      <c r="M448" s="202"/>
    </row>
    <row r="449" ht="15.75" customHeight="1">
      <c r="A449" s="204">
        <v>13.0</v>
      </c>
      <c r="B449" s="112">
        <v>45741.0</v>
      </c>
      <c r="C449" s="143" t="s">
        <v>777</v>
      </c>
      <c r="D449" s="143" t="s">
        <v>588</v>
      </c>
      <c r="E449" s="204" t="s">
        <v>123</v>
      </c>
      <c r="F449" s="204" t="s">
        <v>311</v>
      </c>
      <c r="G449" s="151">
        <v>10000.0</v>
      </c>
      <c r="H449" s="135">
        <v>800000.0</v>
      </c>
      <c r="I449" s="108" t="s">
        <v>212</v>
      </c>
      <c r="J449" s="207">
        <v>375000.0</v>
      </c>
      <c r="K449" s="212" t="s">
        <v>212</v>
      </c>
      <c r="L449" s="58">
        <f t="shared" si="43"/>
        <v>425000</v>
      </c>
      <c r="M449" s="202"/>
    </row>
    <row r="450" ht="15.75" customHeight="1">
      <c r="A450" s="204">
        <v>14.0</v>
      </c>
      <c r="B450" s="112">
        <v>45741.0</v>
      </c>
      <c r="C450" s="143" t="s">
        <v>777</v>
      </c>
      <c r="D450" s="143" t="s">
        <v>588</v>
      </c>
      <c r="E450" s="204" t="s">
        <v>256</v>
      </c>
      <c r="F450" s="204" t="s">
        <v>328</v>
      </c>
      <c r="G450" s="151">
        <v>9000.0</v>
      </c>
      <c r="H450" s="121">
        <v>1440000.0</v>
      </c>
      <c r="I450" s="122" t="s">
        <v>238</v>
      </c>
      <c r="J450" s="121">
        <v>900000.0</v>
      </c>
      <c r="K450" s="212" t="s">
        <v>212</v>
      </c>
      <c r="L450" s="58">
        <f t="shared" si="43"/>
        <v>540000</v>
      </c>
      <c r="M450" s="202"/>
    </row>
    <row r="451" ht="15.75" customHeight="1">
      <c r="A451" s="204">
        <v>15.0</v>
      </c>
      <c r="B451" s="112">
        <v>45742.0</v>
      </c>
      <c r="C451" s="143" t="s">
        <v>777</v>
      </c>
      <c r="D451" s="143" t="s">
        <v>588</v>
      </c>
      <c r="E451" s="204" t="s">
        <v>256</v>
      </c>
      <c r="F451" s="204" t="s">
        <v>339</v>
      </c>
      <c r="G451" s="151">
        <v>9000.0</v>
      </c>
      <c r="H451" s="135">
        <v>975000.0</v>
      </c>
      <c r="I451" s="108" t="s">
        <v>212</v>
      </c>
      <c r="J451" s="207">
        <v>500000.0</v>
      </c>
      <c r="K451" s="212" t="s">
        <v>212</v>
      </c>
      <c r="L451" s="58">
        <f t="shared" si="43"/>
        <v>475000</v>
      </c>
      <c r="M451" s="202"/>
    </row>
    <row r="452" ht="15.75" customHeight="1">
      <c r="A452" s="204">
        <v>16.0</v>
      </c>
      <c r="B452" s="112">
        <v>45743.0</v>
      </c>
      <c r="C452" s="143" t="s">
        <v>777</v>
      </c>
      <c r="D452" s="143" t="s">
        <v>588</v>
      </c>
      <c r="E452" s="204" t="s">
        <v>256</v>
      </c>
      <c r="F452" s="204" t="s">
        <v>591</v>
      </c>
      <c r="G452" s="151">
        <v>9000.0</v>
      </c>
      <c r="H452" s="135">
        <v>1350000.0</v>
      </c>
      <c r="I452" s="108" t="s">
        <v>212</v>
      </c>
      <c r="J452" s="207">
        <v>800000.0</v>
      </c>
      <c r="K452" s="212" t="s">
        <v>212</v>
      </c>
      <c r="L452" s="58">
        <f t="shared" si="43"/>
        <v>550000</v>
      </c>
      <c r="M452" s="202"/>
    </row>
    <row r="453" ht="15.75" customHeight="1">
      <c r="A453" s="204">
        <v>17.0</v>
      </c>
      <c r="B453" s="112">
        <v>45744.0</v>
      </c>
      <c r="C453" s="143" t="s">
        <v>777</v>
      </c>
      <c r="D453" s="143" t="s">
        <v>588</v>
      </c>
      <c r="E453" s="204" t="s">
        <v>322</v>
      </c>
      <c r="F453" s="204" t="s">
        <v>326</v>
      </c>
      <c r="G453" s="151">
        <v>9000.0</v>
      </c>
      <c r="H453" s="135">
        <v>1350000.0</v>
      </c>
      <c r="I453" s="206" t="s">
        <v>238</v>
      </c>
      <c r="J453" s="207">
        <v>925000.0</v>
      </c>
      <c r="K453" s="212" t="s">
        <v>212</v>
      </c>
      <c r="L453" s="58">
        <f t="shared" si="43"/>
        <v>425000</v>
      </c>
      <c r="M453" s="202"/>
      <c r="N453" s="205" t="s">
        <v>801</v>
      </c>
    </row>
    <row r="454" ht="15.75" customHeight="1">
      <c r="A454" s="169"/>
      <c r="B454" s="169"/>
      <c r="C454" s="169"/>
      <c r="D454" s="169"/>
      <c r="E454" s="169"/>
      <c r="F454" s="169"/>
      <c r="G454" s="170"/>
      <c r="H454" s="202"/>
      <c r="I454" s="241"/>
      <c r="J454" s="172"/>
      <c r="K454" s="203"/>
      <c r="L454" s="216">
        <f t="shared" ref="L454:M454" si="44">SUM(L437:L453)</f>
        <v>7780000</v>
      </c>
      <c r="M454" s="217">
        <f t="shared" si="44"/>
        <v>1177000</v>
      </c>
    </row>
    <row r="455" ht="15.75" customHeight="1">
      <c r="A455" s="169"/>
      <c r="B455" s="169"/>
      <c r="C455" s="169"/>
      <c r="D455" s="169"/>
      <c r="E455" s="169"/>
      <c r="F455" s="169"/>
      <c r="G455" s="170"/>
      <c r="H455" s="202"/>
      <c r="I455" s="241"/>
      <c r="J455" s="172"/>
      <c r="K455" s="203"/>
      <c r="L455" s="218">
        <f>L454-M454</f>
        <v>6603000</v>
      </c>
      <c r="M455" s="219"/>
    </row>
    <row r="456" ht="15.75" customHeight="1">
      <c r="A456" s="169"/>
      <c r="B456" s="169"/>
      <c r="C456" s="169"/>
      <c r="D456" s="169"/>
      <c r="E456" s="169"/>
      <c r="F456" s="169"/>
      <c r="G456" s="170"/>
      <c r="H456" s="202"/>
      <c r="I456" s="241"/>
      <c r="J456" s="172"/>
      <c r="K456" s="203"/>
      <c r="M456" s="202"/>
    </row>
    <row r="457" ht="15.75" customHeight="1">
      <c r="A457" s="169"/>
      <c r="B457" s="169"/>
      <c r="C457" s="169"/>
      <c r="D457" s="169"/>
      <c r="E457" s="169"/>
      <c r="F457" s="169"/>
      <c r="G457" s="170"/>
      <c r="H457" s="202"/>
      <c r="I457" s="241"/>
      <c r="J457" s="172"/>
      <c r="K457" s="203"/>
      <c r="M457" s="202"/>
    </row>
    <row r="458" ht="15.75" customHeight="1">
      <c r="A458" s="89" t="s">
        <v>209</v>
      </c>
      <c r="B458" s="89" t="s">
        <v>0</v>
      </c>
      <c r="C458" s="89" t="s">
        <v>1</v>
      </c>
      <c r="D458" s="89" t="s">
        <v>2</v>
      </c>
      <c r="E458" s="90" t="s">
        <v>3</v>
      </c>
      <c r="F458" s="89" t="s">
        <v>4</v>
      </c>
      <c r="G458" s="91" t="s">
        <v>5</v>
      </c>
      <c r="H458" s="119" t="s">
        <v>6</v>
      </c>
      <c r="I458" s="92" t="s">
        <v>39</v>
      </c>
      <c r="J458" s="119" t="s">
        <v>7</v>
      </c>
      <c r="K458" s="91" t="s">
        <v>39</v>
      </c>
      <c r="L458" s="92" t="s">
        <v>8</v>
      </c>
      <c r="M458" s="120" t="s">
        <v>9</v>
      </c>
    </row>
    <row r="459" ht="15.75" customHeight="1">
      <c r="A459" s="203">
        <v>1.0</v>
      </c>
      <c r="B459" s="112">
        <v>45756.0</v>
      </c>
      <c r="C459" s="143" t="s">
        <v>777</v>
      </c>
      <c r="D459" s="143" t="s">
        <v>588</v>
      </c>
      <c r="E459" s="204" t="s">
        <v>242</v>
      </c>
      <c r="F459" s="204" t="s">
        <v>324</v>
      </c>
      <c r="G459" s="151">
        <v>10000.0</v>
      </c>
      <c r="H459" s="121">
        <v>750000.0</v>
      </c>
      <c r="I459" s="108" t="s">
        <v>212</v>
      </c>
      <c r="J459" s="109">
        <v>375000.0</v>
      </c>
      <c r="K459" s="212" t="s">
        <v>212</v>
      </c>
      <c r="L459" s="58">
        <f t="shared" ref="L459:L470" si="45">H459-J459</f>
        <v>375000</v>
      </c>
      <c r="M459" s="150"/>
    </row>
    <row r="460" ht="15.75" customHeight="1">
      <c r="A460" s="204">
        <v>2.0</v>
      </c>
      <c r="B460" s="112">
        <v>45757.0</v>
      </c>
      <c r="C460" s="143" t="s">
        <v>777</v>
      </c>
      <c r="D460" s="143" t="s">
        <v>588</v>
      </c>
      <c r="E460" s="204" t="s">
        <v>123</v>
      </c>
      <c r="F460" s="204" t="s">
        <v>313</v>
      </c>
      <c r="G460" s="151">
        <v>8500.0</v>
      </c>
      <c r="H460" s="121">
        <v>1200000.0</v>
      </c>
      <c r="I460" s="108" t="s">
        <v>212</v>
      </c>
      <c r="J460" s="207">
        <v>640000.0</v>
      </c>
      <c r="K460" s="212" t="s">
        <v>212</v>
      </c>
      <c r="L460" s="58">
        <f t="shared" si="45"/>
        <v>560000</v>
      </c>
      <c r="M460" s="135"/>
    </row>
    <row r="461" ht="15.75" customHeight="1">
      <c r="A461" s="204">
        <v>3.0</v>
      </c>
      <c r="B461" s="112">
        <v>45762.0</v>
      </c>
      <c r="C461" s="143" t="s">
        <v>777</v>
      </c>
      <c r="D461" s="143" t="s">
        <v>588</v>
      </c>
      <c r="E461" s="204" t="s">
        <v>242</v>
      </c>
      <c r="F461" s="204" t="s">
        <v>259</v>
      </c>
      <c r="G461" s="151">
        <v>10000.0</v>
      </c>
      <c r="H461" s="121">
        <v>1500000.0</v>
      </c>
      <c r="I461" s="108" t="s">
        <v>238</v>
      </c>
      <c r="J461" s="207">
        <v>850000.0</v>
      </c>
      <c r="K461" s="212" t="s">
        <v>238</v>
      </c>
      <c r="L461" s="58">
        <f t="shared" si="45"/>
        <v>650000</v>
      </c>
      <c r="M461" s="135">
        <v>1316000.0</v>
      </c>
    </row>
    <row r="462" ht="15.75" customHeight="1">
      <c r="A462" s="204">
        <v>4.0</v>
      </c>
      <c r="B462" s="112">
        <v>45763.0</v>
      </c>
      <c r="C462" s="143" t="s">
        <v>777</v>
      </c>
      <c r="D462" s="143" t="s">
        <v>588</v>
      </c>
      <c r="E462" s="204" t="s">
        <v>242</v>
      </c>
      <c r="F462" s="204" t="s">
        <v>331</v>
      </c>
      <c r="G462" s="151">
        <v>9000.0</v>
      </c>
      <c r="H462" s="135">
        <v>1305000.0</v>
      </c>
      <c r="I462" s="206" t="s">
        <v>238</v>
      </c>
      <c r="J462" s="207">
        <v>725000.0</v>
      </c>
      <c r="K462" s="212" t="s">
        <v>238</v>
      </c>
      <c r="L462" s="58">
        <f t="shared" si="45"/>
        <v>580000</v>
      </c>
      <c r="M462" s="202"/>
    </row>
    <row r="463" ht="15.75" customHeight="1">
      <c r="A463" s="204">
        <v>5.0</v>
      </c>
      <c r="B463" s="112">
        <v>45764.0</v>
      </c>
      <c r="C463" s="143" t="s">
        <v>777</v>
      </c>
      <c r="D463" s="143" t="s">
        <v>588</v>
      </c>
      <c r="E463" s="204" t="s">
        <v>322</v>
      </c>
      <c r="F463" s="204" t="s">
        <v>249</v>
      </c>
      <c r="G463" s="151">
        <v>9000.0</v>
      </c>
      <c r="H463" s="135">
        <v>1450000.0</v>
      </c>
      <c r="I463" s="108" t="s">
        <v>212</v>
      </c>
      <c r="J463" s="207">
        <v>925000.0</v>
      </c>
      <c r="K463" s="212" t="s">
        <v>212</v>
      </c>
      <c r="L463" s="58">
        <f t="shared" si="45"/>
        <v>525000</v>
      </c>
      <c r="M463" s="135"/>
    </row>
    <row r="464" ht="15.75" customHeight="1">
      <c r="A464" s="204">
        <v>6.0</v>
      </c>
      <c r="B464" s="112">
        <v>45766.0</v>
      </c>
      <c r="C464" s="143" t="s">
        <v>777</v>
      </c>
      <c r="D464" s="143" t="s">
        <v>588</v>
      </c>
      <c r="E464" s="204" t="s">
        <v>242</v>
      </c>
      <c r="F464" s="204" t="s">
        <v>591</v>
      </c>
      <c r="G464" s="151">
        <v>9000.0</v>
      </c>
      <c r="H464" s="135">
        <v>1350000.0</v>
      </c>
      <c r="I464" s="206" t="s">
        <v>238</v>
      </c>
      <c r="J464" s="207">
        <v>800000.0</v>
      </c>
      <c r="K464" s="212" t="s">
        <v>212</v>
      </c>
      <c r="L464" s="58">
        <f t="shared" si="45"/>
        <v>550000</v>
      </c>
      <c r="M464" s="135">
        <v>110000.0</v>
      </c>
    </row>
    <row r="465" ht="15.75" customHeight="1">
      <c r="A465" s="204">
        <v>7.0</v>
      </c>
      <c r="B465" s="112">
        <v>45768.0</v>
      </c>
      <c r="C465" s="143" t="s">
        <v>777</v>
      </c>
      <c r="D465" s="143" t="s">
        <v>588</v>
      </c>
      <c r="E465" s="204" t="s">
        <v>243</v>
      </c>
      <c r="F465" s="204" t="s">
        <v>264</v>
      </c>
      <c r="G465" s="151">
        <v>10000.0</v>
      </c>
      <c r="H465" s="135">
        <v>1500000.0</v>
      </c>
      <c r="I465" s="206" t="s">
        <v>238</v>
      </c>
      <c r="J465" s="207">
        <v>950000.0</v>
      </c>
      <c r="K465" s="212" t="s">
        <v>212</v>
      </c>
      <c r="L465" s="58">
        <f t="shared" si="45"/>
        <v>550000</v>
      </c>
      <c r="M465" s="135">
        <v>225000.0</v>
      </c>
    </row>
    <row r="466" ht="15.75" customHeight="1">
      <c r="A466" s="204">
        <v>8.0</v>
      </c>
      <c r="B466" s="112">
        <v>45769.0</v>
      </c>
      <c r="C466" s="143" t="s">
        <v>777</v>
      </c>
      <c r="D466" s="143" t="s">
        <v>588</v>
      </c>
      <c r="E466" s="204" t="s">
        <v>322</v>
      </c>
      <c r="F466" s="204" t="s">
        <v>326</v>
      </c>
      <c r="G466" s="151">
        <v>9000.0</v>
      </c>
      <c r="H466" s="135">
        <v>1350000.0</v>
      </c>
      <c r="I466" s="206" t="s">
        <v>238</v>
      </c>
      <c r="J466" s="207">
        <v>925000.0</v>
      </c>
      <c r="K466" s="212" t="s">
        <v>238</v>
      </c>
      <c r="L466" s="58">
        <f t="shared" si="45"/>
        <v>425000</v>
      </c>
      <c r="M466" s="202"/>
    </row>
    <row r="467" ht="15.75" customHeight="1">
      <c r="A467" s="204">
        <v>9.0</v>
      </c>
      <c r="B467" s="112">
        <v>45770.0</v>
      </c>
      <c r="C467" s="143" t="s">
        <v>777</v>
      </c>
      <c r="D467" s="143" t="s">
        <v>588</v>
      </c>
      <c r="E467" s="204" t="s">
        <v>242</v>
      </c>
      <c r="F467" s="204" t="s">
        <v>259</v>
      </c>
      <c r="G467" s="151">
        <v>10000.0</v>
      </c>
      <c r="H467" s="135">
        <v>1500000.0</v>
      </c>
      <c r="I467" s="206" t="s">
        <v>238</v>
      </c>
      <c r="J467" s="207">
        <v>850000.0</v>
      </c>
      <c r="K467" s="212" t="s">
        <v>238</v>
      </c>
      <c r="L467" s="58">
        <f t="shared" si="45"/>
        <v>650000</v>
      </c>
      <c r="M467" s="202"/>
    </row>
    <row r="468" ht="15.75" customHeight="1">
      <c r="A468" s="204">
        <v>10.0</v>
      </c>
      <c r="B468" s="112">
        <v>45776.0</v>
      </c>
      <c r="C468" s="143" t="s">
        <v>777</v>
      </c>
      <c r="D468" s="143" t="s">
        <v>588</v>
      </c>
      <c r="E468" s="204" t="s">
        <v>802</v>
      </c>
      <c r="F468" s="204" t="s">
        <v>303</v>
      </c>
      <c r="G468" s="151">
        <v>9000.0</v>
      </c>
      <c r="H468" s="135">
        <v>1215000.0</v>
      </c>
      <c r="I468" s="206" t="s">
        <v>238</v>
      </c>
      <c r="J468" s="207">
        <v>700000.0</v>
      </c>
      <c r="K468" s="212" t="s">
        <v>212</v>
      </c>
      <c r="L468" s="58">
        <f t="shared" si="45"/>
        <v>515000</v>
      </c>
      <c r="M468" s="202"/>
    </row>
    <row r="469" ht="15.75" customHeight="1">
      <c r="A469" s="204">
        <v>11.0</v>
      </c>
      <c r="B469" s="112">
        <v>45777.0</v>
      </c>
      <c r="C469" s="143" t="s">
        <v>777</v>
      </c>
      <c r="D469" s="143" t="s">
        <v>588</v>
      </c>
      <c r="E469" s="204" t="s">
        <v>123</v>
      </c>
      <c r="F469" s="204" t="s">
        <v>324</v>
      </c>
      <c r="G469" s="151">
        <v>9000.0</v>
      </c>
      <c r="H469" s="135">
        <v>675000.0</v>
      </c>
      <c r="I469" s="206" t="s">
        <v>212</v>
      </c>
      <c r="J469" s="207">
        <v>350000.0</v>
      </c>
      <c r="K469" s="212" t="s">
        <v>212</v>
      </c>
      <c r="L469" s="58">
        <f t="shared" si="45"/>
        <v>325000</v>
      </c>
      <c r="M469" s="135"/>
    </row>
    <row r="470" ht="15.75" customHeight="1">
      <c r="A470" s="204">
        <v>12.0</v>
      </c>
      <c r="B470" s="112">
        <v>45777.0</v>
      </c>
      <c r="C470" s="143" t="s">
        <v>777</v>
      </c>
      <c r="D470" s="143" t="s">
        <v>588</v>
      </c>
      <c r="E470" s="204" t="s">
        <v>243</v>
      </c>
      <c r="F470" s="204" t="s">
        <v>324</v>
      </c>
      <c r="G470" s="151">
        <v>10000.0</v>
      </c>
      <c r="H470" s="121">
        <v>750000.0</v>
      </c>
      <c r="I470" s="206" t="s">
        <v>212</v>
      </c>
      <c r="J470" s="207">
        <v>400000.0</v>
      </c>
      <c r="K470" s="212" t="s">
        <v>212</v>
      </c>
      <c r="L470" s="58">
        <f t="shared" si="45"/>
        <v>350000</v>
      </c>
      <c r="M470" s="202"/>
      <c r="N470" s="205" t="s">
        <v>803</v>
      </c>
    </row>
    <row r="471" ht="15.75" customHeight="1">
      <c r="A471" s="204"/>
      <c r="B471" s="112"/>
      <c r="C471" s="143"/>
      <c r="D471" s="143"/>
      <c r="E471" s="204"/>
      <c r="F471" s="204"/>
      <c r="G471" s="151"/>
      <c r="H471" s="135"/>
      <c r="I471" s="108"/>
      <c r="J471" s="207"/>
      <c r="K471" s="212"/>
      <c r="L471" s="216">
        <f t="shared" ref="L471:M471" si="46">SUM(L459:L470)</f>
        <v>6055000</v>
      </c>
      <c r="M471" s="217">
        <f t="shared" si="46"/>
        <v>1651000</v>
      </c>
    </row>
    <row r="472" ht="15.75" customHeight="1">
      <c r="A472" s="204"/>
      <c r="B472" s="112"/>
      <c r="C472" s="143"/>
      <c r="D472" s="143"/>
      <c r="E472" s="204"/>
      <c r="F472" s="204"/>
      <c r="G472" s="151"/>
      <c r="H472" s="121"/>
      <c r="I472" s="122"/>
      <c r="J472" s="121"/>
      <c r="K472" s="212"/>
      <c r="L472" s="218">
        <f>L471-M471</f>
        <v>4404000</v>
      </c>
      <c r="M472" s="219"/>
    </row>
    <row r="473" ht="15.75" customHeight="1">
      <c r="A473" s="204"/>
      <c r="B473" s="112"/>
      <c r="C473" s="143"/>
      <c r="D473" s="143"/>
      <c r="E473" s="204"/>
      <c r="F473" s="204"/>
      <c r="G473" s="151"/>
      <c r="H473" s="135"/>
      <c r="I473" s="108"/>
      <c r="J473" s="207"/>
      <c r="K473" s="212"/>
      <c r="L473" s="58"/>
      <c r="M473" s="202"/>
    </row>
    <row r="474" ht="15.75" customHeight="1">
      <c r="A474" s="89" t="s">
        <v>209</v>
      </c>
      <c r="B474" s="89" t="s">
        <v>0</v>
      </c>
      <c r="C474" s="89" t="s">
        <v>1</v>
      </c>
      <c r="D474" s="89" t="s">
        <v>2</v>
      </c>
      <c r="E474" s="90" t="s">
        <v>3</v>
      </c>
      <c r="F474" s="89" t="s">
        <v>4</v>
      </c>
      <c r="G474" s="91" t="s">
        <v>5</v>
      </c>
      <c r="H474" s="119" t="s">
        <v>6</v>
      </c>
      <c r="I474" s="92" t="s">
        <v>39</v>
      </c>
      <c r="J474" s="119" t="s">
        <v>7</v>
      </c>
      <c r="K474" s="91" t="s">
        <v>39</v>
      </c>
      <c r="L474" s="92" t="s">
        <v>8</v>
      </c>
      <c r="M474" s="120" t="s">
        <v>9</v>
      </c>
    </row>
    <row r="475" ht="15.75" customHeight="1">
      <c r="A475" s="21">
        <v>1.0</v>
      </c>
      <c r="B475" s="112">
        <v>45779.0</v>
      </c>
      <c r="C475" s="143" t="s">
        <v>777</v>
      </c>
      <c r="D475" s="143" t="s">
        <v>588</v>
      </c>
      <c r="E475" s="98" t="s">
        <v>804</v>
      </c>
      <c r="F475" s="98" t="s">
        <v>303</v>
      </c>
      <c r="G475" s="110">
        <v>9000.0</v>
      </c>
      <c r="H475" s="121">
        <v>1215000.0</v>
      </c>
      <c r="I475" s="108" t="s">
        <v>238</v>
      </c>
      <c r="J475" s="121">
        <v>700000.0</v>
      </c>
      <c r="K475" s="109" t="s">
        <v>212</v>
      </c>
      <c r="L475" s="58">
        <f t="shared" ref="L475:L498" si="47">H475-J475</f>
        <v>515000</v>
      </c>
      <c r="M475" s="121">
        <v>2100000.0</v>
      </c>
    </row>
    <row r="476" ht="15.75" customHeight="1">
      <c r="A476" s="118">
        <v>2.0</v>
      </c>
      <c r="B476" s="112">
        <v>45780.0</v>
      </c>
      <c r="C476" s="143" t="s">
        <v>777</v>
      </c>
      <c r="D476" s="143" t="s">
        <v>588</v>
      </c>
      <c r="E476" s="98" t="s">
        <v>305</v>
      </c>
      <c r="F476" s="98" t="s">
        <v>306</v>
      </c>
      <c r="G476" s="110">
        <v>9000.0</v>
      </c>
      <c r="H476" s="121">
        <v>1035000.0</v>
      </c>
      <c r="I476" s="206" t="s">
        <v>212</v>
      </c>
      <c r="J476" s="109">
        <v>600000.0</v>
      </c>
      <c r="K476" s="109" t="s">
        <v>212</v>
      </c>
      <c r="L476" s="58">
        <f t="shared" si="47"/>
        <v>435000</v>
      </c>
      <c r="M476" s="106">
        <v>95000.0</v>
      </c>
    </row>
    <row r="477" ht="15.75" customHeight="1">
      <c r="A477" s="118">
        <v>3.0</v>
      </c>
      <c r="B477" s="112">
        <v>45782.0</v>
      </c>
      <c r="C477" s="143" t="s">
        <v>777</v>
      </c>
      <c r="D477" s="143" t="s">
        <v>588</v>
      </c>
      <c r="E477" s="98" t="s">
        <v>242</v>
      </c>
      <c r="F477" s="98" t="s">
        <v>326</v>
      </c>
      <c r="G477" s="110">
        <v>9000.0</v>
      </c>
      <c r="H477" s="121">
        <v>1350000.0</v>
      </c>
      <c r="I477" s="108" t="s">
        <v>238</v>
      </c>
      <c r="J477" s="121">
        <v>900000.0</v>
      </c>
      <c r="K477" s="109" t="s">
        <v>212</v>
      </c>
      <c r="L477" s="58">
        <f t="shared" si="47"/>
        <v>450000</v>
      </c>
      <c r="M477" s="61"/>
    </row>
    <row r="478" ht="15.75" customHeight="1">
      <c r="A478" s="118">
        <v>4.0</v>
      </c>
      <c r="B478" s="112">
        <v>45783.0</v>
      </c>
      <c r="C478" s="143" t="s">
        <v>777</v>
      </c>
      <c r="D478" s="143" t="s">
        <v>588</v>
      </c>
      <c r="E478" s="98" t="s">
        <v>242</v>
      </c>
      <c r="F478" s="98" t="s">
        <v>326</v>
      </c>
      <c r="G478" s="110">
        <v>9000.0</v>
      </c>
      <c r="H478" s="121">
        <v>1350000.0</v>
      </c>
      <c r="I478" s="108" t="s">
        <v>238</v>
      </c>
      <c r="J478" s="121">
        <v>900000.0</v>
      </c>
      <c r="K478" s="109" t="s">
        <v>212</v>
      </c>
      <c r="L478" s="58">
        <f t="shared" si="47"/>
        <v>450000</v>
      </c>
      <c r="M478" s="106"/>
    </row>
    <row r="479" ht="15.75" customHeight="1">
      <c r="A479" s="118">
        <v>5.0</v>
      </c>
      <c r="B479" s="112">
        <v>45784.0</v>
      </c>
      <c r="C479" s="143" t="s">
        <v>777</v>
      </c>
      <c r="D479" s="143" t="s">
        <v>588</v>
      </c>
      <c r="E479" s="98" t="s">
        <v>322</v>
      </c>
      <c r="F479" s="98" t="s">
        <v>303</v>
      </c>
      <c r="G479" s="110">
        <v>9000.0</v>
      </c>
      <c r="H479" s="121">
        <v>1215000.0</v>
      </c>
      <c r="I479" s="108" t="s">
        <v>238</v>
      </c>
      <c r="J479" s="121">
        <v>725000.0</v>
      </c>
      <c r="K479" s="109" t="s">
        <v>238</v>
      </c>
      <c r="L479" s="58">
        <f t="shared" si="47"/>
        <v>490000</v>
      </c>
      <c r="M479" s="106">
        <v>280000.0</v>
      </c>
    </row>
    <row r="480" ht="15.75" customHeight="1">
      <c r="A480" s="118">
        <v>6.0</v>
      </c>
      <c r="B480" s="112">
        <v>45786.0</v>
      </c>
      <c r="C480" s="143" t="s">
        <v>777</v>
      </c>
      <c r="D480" s="143" t="s">
        <v>588</v>
      </c>
      <c r="E480" s="98" t="s">
        <v>256</v>
      </c>
      <c r="F480" s="98" t="s">
        <v>330</v>
      </c>
      <c r="G480" s="110">
        <v>8500.0</v>
      </c>
      <c r="H480" s="121">
        <v>1200000.0</v>
      </c>
      <c r="I480" s="206" t="s">
        <v>212</v>
      </c>
      <c r="J480" s="121">
        <v>640000.0</v>
      </c>
      <c r="K480" s="109" t="s">
        <v>212</v>
      </c>
      <c r="L480" s="58">
        <f t="shared" si="47"/>
        <v>560000</v>
      </c>
      <c r="M480" s="106">
        <v>595000.0</v>
      </c>
    </row>
    <row r="481" ht="15.75" customHeight="1">
      <c r="A481" s="118">
        <v>7.0</v>
      </c>
      <c r="B481" s="112">
        <v>45787.0</v>
      </c>
      <c r="C481" s="143" t="s">
        <v>777</v>
      </c>
      <c r="D481" s="143" t="s">
        <v>588</v>
      </c>
      <c r="E481" s="98" t="s">
        <v>243</v>
      </c>
      <c r="F481" s="98" t="s">
        <v>271</v>
      </c>
      <c r="G481" s="110">
        <v>9000.0</v>
      </c>
      <c r="H481" s="121">
        <v>675000.0</v>
      </c>
      <c r="I481" s="108" t="s">
        <v>238</v>
      </c>
      <c r="J481" s="121">
        <v>375000.0</v>
      </c>
      <c r="K481" s="109" t="s">
        <v>212</v>
      </c>
      <c r="L481" s="58">
        <f t="shared" si="47"/>
        <v>300000</v>
      </c>
      <c r="M481" s="61"/>
    </row>
    <row r="482" ht="15.75" customHeight="1">
      <c r="A482" s="118">
        <v>8.0</v>
      </c>
      <c r="B482" s="112">
        <v>45790.0</v>
      </c>
      <c r="C482" s="143" t="s">
        <v>777</v>
      </c>
      <c r="D482" s="143" t="s">
        <v>588</v>
      </c>
      <c r="E482" s="98" t="s">
        <v>320</v>
      </c>
      <c r="F482" s="98" t="s">
        <v>324</v>
      </c>
      <c r="G482" s="110">
        <v>9000.0</v>
      </c>
      <c r="H482" s="121">
        <v>675000.0</v>
      </c>
      <c r="I482" s="122" t="s">
        <v>212</v>
      </c>
      <c r="J482" s="121">
        <v>350000.0</v>
      </c>
      <c r="K482" s="109" t="s">
        <v>212</v>
      </c>
      <c r="L482" s="58">
        <f t="shared" si="47"/>
        <v>325000</v>
      </c>
      <c r="M482" s="106"/>
    </row>
    <row r="483" ht="15.75" customHeight="1">
      <c r="A483" s="118">
        <v>9.0</v>
      </c>
      <c r="B483" s="112">
        <v>45790.0</v>
      </c>
      <c r="C483" s="143" t="s">
        <v>777</v>
      </c>
      <c r="D483" s="143" t="s">
        <v>588</v>
      </c>
      <c r="E483" s="98" t="s">
        <v>279</v>
      </c>
      <c r="F483" s="98" t="s">
        <v>331</v>
      </c>
      <c r="G483" s="110">
        <v>9000.0</v>
      </c>
      <c r="H483" s="121">
        <v>1305000.0</v>
      </c>
      <c r="I483" s="115" t="s">
        <v>238</v>
      </c>
      <c r="J483" s="121">
        <v>725000.0</v>
      </c>
      <c r="K483" s="109" t="s">
        <v>212</v>
      </c>
      <c r="L483" s="58">
        <f t="shared" si="47"/>
        <v>580000</v>
      </c>
      <c r="M483" s="106">
        <v>250000.0</v>
      </c>
    </row>
    <row r="484" ht="15.75" customHeight="1">
      <c r="A484" s="118">
        <v>10.0</v>
      </c>
      <c r="B484" s="112">
        <v>45791.0</v>
      </c>
      <c r="C484" s="143" t="s">
        <v>777</v>
      </c>
      <c r="D484" s="143" t="s">
        <v>588</v>
      </c>
      <c r="E484" s="98" t="s">
        <v>242</v>
      </c>
      <c r="F484" s="98" t="s">
        <v>325</v>
      </c>
      <c r="G484" s="110">
        <v>10000.0</v>
      </c>
      <c r="H484" s="121">
        <v>1200000.0</v>
      </c>
      <c r="I484" s="122" t="s">
        <v>212</v>
      </c>
      <c r="J484" s="121">
        <v>690000.0</v>
      </c>
      <c r="K484" s="109" t="s">
        <v>238</v>
      </c>
      <c r="L484" s="58">
        <f t="shared" si="47"/>
        <v>510000</v>
      </c>
      <c r="M484" s="106"/>
    </row>
    <row r="485" ht="15.75" customHeight="1">
      <c r="A485" s="118">
        <v>11.0</v>
      </c>
      <c r="B485" s="112">
        <v>45792.0</v>
      </c>
      <c r="C485" s="143" t="s">
        <v>777</v>
      </c>
      <c r="D485" s="143" t="s">
        <v>588</v>
      </c>
      <c r="E485" s="98" t="s">
        <v>320</v>
      </c>
      <c r="F485" s="98" t="s">
        <v>328</v>
      </c>
      <c r="G485" s="110">
        <v>10000.0</v>
      </c>
      <c r="H485" s="135">
        <v>1600000.0</v>
      </c>
      <c r="I485" s="206" t="s">
        <v>238</v>
      </c>
      <c r="J485" s="207">
        <v>950000.0</v>
      </c>
      <c r="K485" s="109" t="s">
        <v>238</v>
      </c>
      <c r="L485" s="58">
        <f t="shared" si="47"/>
        <v>650000</v>
      </c>
      <c r="M485" s="106"/>
    </row>
    <row r="486" ht="15.75" customHeight="1">
      <c r="A486" s="118">
        <v>12.0</v>
      </c>
      <c r="B486" s="112">
        <v>45793.0</v>
      </c>
      <c r="C486" s="143" t="s">
        <v>777</v>
      </c>
      <c r="D486" s="143" t="s">
        <v>588</v>
      </c>
      <c r="E486" s="98" t="s">
        <v>279</v>
      </c>
      <c r="F486" s="98" t="s">
        <v>264</v>
      </c>
      <c r="G486" s="110">
        <v>9000.0</v>
      </c>
      <c r="H486" s="121">
        <v>1400000.0</v>
      </c>
      <c r="I486" s="115" t="s">
        <v>238</v>
      </c>
      <c r="J486" s="121">
        <v>900000.0</v>
      </c>
      <c r="K486" s="109" t="s">
        <v>238</v>
      </c>
      <c r="L486" s="58">
        <f t="shared" si="47"/>
        <v>500000</v>
      </c>
      <c r="M486" s="61"/>
    </row>
    <row r="487" ht="15.75" customHeight="1">
      <c r="A487" s="118">
        <v>13.0</v>
      </c>
      <c r="B487" s="112">
        <v>45796.0</v>
      </c>
      <c r="C487" s="143" t="s">
        <v>777</v>
      </c>
      <c r="D487" s="143" t="s">
        <v>588</v>
      </c>
      <c r="E487" s="98" t="s">
        <v>243</v>
      </c>
      <c r="F487" s="98" t="s">
        <v>304</v>
      </c>
      <c r="G487" s="110">
        <v>10000.0</v>
      </c>
      <c r="H487" s="121">
        <v>1000000.0</v>
      </c>
      <c r="I487" s="115" t="s">
        <v>238</v>
      </c>
      <c r="J487" s="109">
        <v>450000.0</v>
      </c>
      <c r="K487" s="109" t="s">
        <v>238</v>
      </c>
      <c r="L487" s="58">
        <f t="shared" si="47"/>
        <v>550000</v>
      </c>
      <c r="M487" s="61"/>
    </row>
    <row r="488" ht="15.75" customHeight="1">
      <c r="A488" s="118">
        <v>14.0</v>
      </c>
      <c r="B488" s="112">
        <v>45796.0</v>
      </c>
      <c r="C488" s="143" t="s">
        <v>777</v>
      </c>
      <c r="D488" s="143" t="s">
        <v>588</v>
      </c>
      <c r="E488" s="98" t="s">
        <v>243</v>
      </c>
      <c r="F488" s="98" t="s">
        <v>321</v>
      </c>
      <c r="G488" s="110">
        <v>10000.0</v>
      </c>
      <c r="H488" s="107">
        <v>900000.0</v>
      </c>
      <c r="I488" s="122" t="s">
        <v>212</v>
      </c>
      <c r="J488" s="121">
        <v>425000.0</v>
      </c>
      <c r="K488" s="109" t="s">
        <v>238</v>
      </c>
      <c r="L488" s="58">
        <f t="shared" si="47"/>
        <v>475000</v>
      </c>
      <c r="M488" s="61"/>
    </row>
    <row r="489" ht="15.75" customHeight="1">
      <c r="A489" s="118">
        <v>15.0</v>
      </c>
      <c r="B489" s="112">
        <v>45797.0</v>
      </c>
      <c r="C489" s="143" t="s">
        <v>777</v>
      </c>
      <c r="D489" s="143" t="s">
        <v>588</v>
      </c>
      <c r="E489" s="98" t="s">
        <v>279</v>
      </c>
      <c r="F489" s="98" t="s">
        <v>303</v>
      </c>
      <c r="G489" s="110">
        <v>9000.0</v>
      </c>
      <c r="H489" s="107">
        <v>1215000.0</v>
      </c>
      <c r="I489" s="115" t="s">
        <v>238</v>
      </c>
      <c r="J489" s="121">
        <v>700000.0</v>
      </c>
      <c r="K489" s="109" t="s">
        <v>238</v>
      </c>
      <c r="L489" s="58">
        <f t="shared" si="47"/>
        <v>515000</v>
      </c>
      <c r="M489" s="61"/>
    </row>
    <row r="490" ht="15.75" customHeight="1">
      <c r="A490" s="118">
        <v>16.0</v>
      </c>
      <c r="B490" s="112">
        <v>45799.0</v>
      </c>
      <c r="C490" s="143" t="s">
        <v>777</v>
      </c>
      <c r="D490" s="143" t="s">
        <v>588</v>
      </c>
      <c r="E490" s="98" t="s">
        <v>242</v>
      </c>
      <c r="F490" s="98" t="s">
        <v>519</v>
      </c>
      <c r="G490" s="110">
        <v>10000.0</v>
      </c>
      <c r="H490" s="107">
        <v>750000.0</v>
      </c>
      <c r="I490" s="108" t="s">
        <v>238</v>
      </c>
      <c r="J490" s="121">
        <v>400000.0</v>
      </c>
      <c r="K490" s="109" t="s">
        <v>238</v>
      </c>
      <c r="L490" s="58">
        <f t="shared" si="47"/>
        <v>350000</v>
      </c>
      <c r="M490" s="106">
        <v>55000.0</v>
      </c>
    </row>
    <row r="491" ht="15.75" customHeight="1">
      <c r="A491" s="118">
        <v>17.0</v>
      </c>
      <c r="B491" s="112">
        <v>45800.0</v>
      </c>
      <c r="C491" s="143" t="s">
        <v>777</v>
      </c>
      <c r="D491" s="143" t="s">
        <v>588</v>
      </c>
      <c r="E491" s="98" t="s">
        <v>242</v>
      </c>
      <c r="F491" s="98" t="s">
        <v>325</v>
      </c>
      <c r="G491" s="110">
        <v>10000.0</v>
      </c>
      <c r="H491" s="107">
        <v>1200000.0</v>
      </c>
      <c r="I491" s="122" t="s">
        <v>212</v>
      </c>
      <c r="J491" s="121">
        <v>690000.0</v>
      </c>
      <c r="K491" s="109" t="s">
        <v>212</v>
      </c>
      <c r="L491" s="58">
        <f t="shared" si="47"/>
        <v>510000</v>
      </c>
      <c r="M491" s="106">
        <v>1970000.0</v>
      </c>
    </row>
    <row r="492" ht="15.75" customHeight="1">
      <c r="A492" s="118">
        <v>18.0</v>
      </c>
      <c r="B492" s="112">
        <v>45801.0</v>
      </c>
      <c r="C492" s="143" t="s">
        <v>777</v>
      </c>
      <c r="D492" s="143" t="s">
        <v>588</v>
      </c>
      <c r="E492" s="98" t="s">
        <v>242</v>
      </c>
      <c r="F492" s="98" t="s">
        <v>259</v>
      </c>
      <c r="G492" s="110">
        <v>10000.0</v>
      </c>
      <c r="H492" s="107">
        <v>1500000.0</v>
      </c>
      <c r="I492" s="108" t="s">
        <v>238</v>
      </c>
      <c r="J492" s="121">
        <v>850000.0</v>
      </c>
      <c r="K492" s="109" t="s">
        <v>212</v>
      </c>
      <c r="L492" s="58">
        <f t="shared" si="47"/>
        <v>650000</v>
      </c>
      <c r="M492" s="106"/>
    </row>
    <row r="493" ht="15.75" customHeight="1">
      <c r="A493" s="118">
        <v>19.0</v>
      </c>
      <c r="B493" s="112">
        <v>45803.0</v>
      </c>
      <c r="C493" s="143" t="s">
        <v>777</v>
      </c>
      <c r="D493" s="143" t="s">
        <v>588</v>
      </c>
      <c r="E493" s="98" t="s">
        <v>243</v>
      </c>
      <c r="F493" s="98" t="s">
        <v>306</v>
      </c>
      <c r="G493" s="110">
        <v>9000.0</v>
      </c>
      <c r="H493" s="107">
        <v>1035000.0</v>
      </c>
      <c r="I493" s="122" t="s">
        <v>212</v>
      </c>
      <c r="J493" s="121">
        <v>600000.0</v>
      </c>
      <c r="K493" s="109" t="s">
        <v>212</v>
      </c>
      <c r="L493" s="58">
        <f t="shared" si="47"/>
        <v>435000</v>
      </c>
      <c r="M493" s="106">
        <v>50000.0</v>
      </c>
    </row>
    <row r="494" ht="15.75" customHeight="1">
      <c r="A494" s="118">
        <v>20.0</v>
      </c>
      <c r="B494" s="112">
        <v>45804.0</v>
      </c>
      <c r="C494" s="143" t="s">
        <v>777</v>
      </c>
      <c r="D494" s="143" t="s">
        <v>588</v>
      </c>
      <c r="E494" s="98" t="s">
        <v>327</v>
      </c>
      <c r="F494" s="98" t="s">
        <v>304</v>
      </c>
      <c r="G494" s="110">
        <v>9000.0</v>
      </c>
      <c r="H494" s="121">
        <v>900000.0</v>
      </c>
      <c r="I494" s="108" t="s">
        <v>238</v>
      </c>
      <c r="J494" s="109">
        <v>425000.0</v>
      </c>
      <c r="K494" s="109" t="s">
        <v>212</v>
      </c>
      <c r="L494" s="58">
        <f t="shared" si="47"/>
        <v>475000</v>
      </c>
      <c r="M494" s="106"/>
    </row>
    <row r="495" ht="15.75" customHeight="1">
      <c r="A495" s="118">
        <v>21.0</v>
      </c>
      <c r="B495" s="112">
        <v>45804.0</v>
      </c>
      <c r="C495" s="143" t="s">
        <v>777</v>
      </c>
      <c r="D495" s="143" t="s">
        <v>588</v>
      </c>
      <c r="E495" s="98" t="s">
        <v>243</v>
      </c>
      <c r="F495" s="98" t="s">
        <v>512</v>
      </c>
      <c r="G495" s="110">
        <v>9000.0</v>
      </c>
      <c r="H495" s="107">
        <v>810000.0</v>
      </c>
      <c r="I495" s="108" t="s">
        <v>238</v>
      </c>
      <c r="J495" s="121">
        <v>450000.0</v>
      </c>
      <c r="K495" s="109" t="s">
        <v>212</v>
      </c>
      <c r="L495" s="58">
        <f t="shared" si="47"/>
        <v>360000</v>
      </c>
      <c r="M495" s="106"/>
    </row>
    <row r="496" ht="15.75" customHeight="1">
      <c r="A496" s="118">
        <v>22.0</v>
      </c>
      <c r="B496" s="112">
        <v>45805.0</v>
      </c>
      <c r="C496" s="143" t="s">
        <v>777</v>
      </c>
      <c r="D496" s="143" t="s">
        <v>588</v>
      </c>
      <c r="E496" s="98" t="s">
        <v>279</v>
      </c>
      <c r="F496" s="98" t="s">
        <v>295</v>
      </c>
      <c r="G496" s="110">
        <v>9000.0</v>
      </c>
      <c r="H496" s="107">
        <v>1125000.0</v>
      </c>
      <c r="I496" s="122" t="s">
        <v>212</v>
      </c>
      <c r="J496" s="121">
        <v>640000.0</v>
      </c>
      <c r="K496" s="109" t="s">
        <v>212</v>
      </c>
      <c r="L496" s="58">
        <f t="shared" si="47"/>
        <v>485000</v>
      </c>
      <c r="M496" s="106">
        <v>2665000.0</v>
      </c>
    </row>
    <row r="497" ht="15.75" customHeight="1">
      <c r="A497" s="118">
        <v>23.0</v>
      </c>
      <c r="B497" s="112">
        <v>45807.0</v>
      </c>
      <c r="C497" s="143" t="s">
        <v>777</v>
      </c>
      <c r="D497" s="143" t="s">
        <v>588</v>
      </c>
      <c r="E497" s="98" t="s">
        <v>320</v>
      </c>
      <c r="F497" s="98" t="s">
        <v>324</v>
      </c>
      <c r="G497" s="110">
        <v>10000.0</v>
      </c>
      <c r="H497" s="107">
        <v>750000.0</v>
      </c>
      <c r="I497" s="122" t="s">
        <v>212</v>
      </c>
      <c r="J497" s="121">
        <v>375000.0</v>
      </c>
      <c r="K497" s="109" t="s">
        <v>212</v>
      </c>
      <c r="L497" s="58">
        <f t="shared" si="47"/>
        <v>375000</v>
      </c>
    </row>
    <row r="498" ht="15.75" customHeight="1">
      <c r="A498" s="118">
        <v>24.0</v>
      </c>
      <c r="B498" s="112">
        <v>45808.0</v>
      </c>
      <c r="C498" s="143" t="s">
        <v>777</v>
      </c>
      <c r="D498" s="143" t="s">
        <v>588</v>
      </c>
      <c r="E498" s="98" t="s">
        <v>320</v>
      </c>
      <c r="F498" s="98" t="s">
        <v>348</v>
      </c>
      <c r="G498" s="110">
        <v>10000.0</v>
      </c>
      <c r="H498" s="107">
        <v>1000000.0</v>
      </c>
      <c r="I498" s="108" t="s">
        <v>238</v>
      </c>
      <c r="J498" s="121">
        <v>475000.0</v>
      </c>
      <c r="K498" s="109" t="s">
        <v>212</v>
      </c>
      <c r="L498" s="58">
        <f t="shared" si="47"/>
        <v>525000</v>
      </c>
    </row>
    <row r="499" ht="15.75" customHeight="1">
      <c r="A499" s="204"/>
      <c r="B499" s="169"/>
      <c r="C499" s="169"/>
      <c r="D499" s="169"/>
      <c r="E499" s="169"/>
      <c r="F499" s="169"/>
      <c r="G499" s="170"/>
      <c r="H499" s="202"/>
      <c r="I499" s="241"/>
      <c r="J499" s="172"/>
      <c r="K499" s="203"/>
      <c r="L499" s="52">
        <f>SUM(L475:L498)</f>
        <v>11470000</v>
      </c>
      <c r="M499" s="30">
        <f>SUM(M475:M496)</f>
        <v>8060000</v>
      </c>
    </row>
    <row r="500" ht="15.75" customHeight="1">
      <c r="A500" s="169"/>
      <c r="B500" s="169"/>
      <c r="C500" s="169"/>
      <c r="D500" s="169"/>
      <c r="E500" s="169"/>
      <c r="F500" s="169"/>
      <c r="G500" s="170"/>
      <c r="H500" s="202"/>
      <c r="I500" s="241"/>
      <c r="J500" s="172"/>
      <c r="K500" s="203"/>
      <c r="L500" s="33">
        <f>L499-M499</f>
        <v>3410000</v>
      </c>
      <c r="M500" s="26"/>
    </row>
    <row r="501" ht="15.75" customHeight="1">
      <c r="A501" s="169"/>
      <c r="B501" s="169"/>
      <c r="C501" s="169"/>
      <c r="D501" s="169"/>
      <c r="E501" s="169"/>
      <c r="F501" s="169"/>
      <c r="G501" s="170"/>
      <c r="H501" s="202"/>
      <c r="I501" s="241"/>
      <c r="J501" s="172"/>
      <c r="K501" s="203"/>
    </row>
    <row r="502" ht="15.75" customHeight="1">
      <c r="A502" s="136" t="s">
        <v>209</v>
      </c>
      <c r="B502" s="136" t="s">
        <v>0</v>
      </c>
      <c r="C502" s="136" t="s">
        <v>1</v>
      </c>
      <c r="D502" s="136" t="s">
        <v>2</v>
      </c>
      <c r="E502" s="137" t="s">
        <v>3</v>
      </c>
      <c r="F502" s="136" t="s">
        <v>4</v>
      </c>
      <c r="G502" s="138" t="s">
        <v>5</v>
      </c>
      <c r="H502" s="139" t="s">
        <v>6</v>
      </c>
      <c r="I502" s="140" t="s">
        <v>39</v>
      </c>
      <c r="J502" s="139" t="s">
        <v>7</v>
      </c>
      <c r="K502" s="138" t="s">
        <v>39</v>
      </c>
      <c r="L502" s="140" t="s">
        <v>8</v>
      </c>
      <c r="M502" s="141" t="s">
        <v>9</v>
      </c>
    </row>
    <row r="503" ht="15.75" customHeight="1">
      <c r="A503" s="17">
        <v>1.0</v>
      </c>
      <c r="B503" s="142">
        <v>45810.0</v>
      </c>
      <c r="C503" s="143" t="s">
        <v>777</v>
      </c>
      <c r="D503" s="143" t="s">
        <v>588</v>
      </c>
      <c r="E503" s="144" t="s">
        <v>242</v>
      </c>
      <c r="F503" s="144" t="s">
        <v>271</v>
      </c>
      <c r="G503" s="148">
        <v>9000.0</v>
      </c>
      <c r="H503" s="121">
        <v>675000.0</v>
      </c>
      <c r="I503" s="108" t="s">
        <v>238</v>
      </c>
      <c r="J503" s="121">
        <v>375000.0</v>
      </c>
      <c r="K503" s="109" t="s">
        <v>212</v>
      </c>
      <c r="L503" s="58">
        <f t="shared" ref="L503:L526" si="48">H503-J503</f>
        <v>300000</v>
      </c>
      <c r="M503" s="147">
        <v>765000.0</v>
      </c>
    </row>
    <row r="504" ht="15.75" customHeight="1">
      <c r="A504" s="118">
        <v>2.0</v>
      </c>
      <c r="B504" s="142">
        <v>45810.0</v>
      </c>
      <c r="C504" s="143" t="s">
        <v>777</v>
      </c>
      <c r="D504" s="143" t="s">
        <v>588</v>
      </c>
      <c r="E504" s="144" t="s">
        <v>242</v>
      </c>
      <c r="F504" s="144" t="s">
        <v>519</v>
      </c>
      <c r="G504" s="148">
        <v>10000.0</v>
      </c>
      <c r="H504" s="121">
        <v>750000.0</v>
      </c>
      <c r="I504" s="303" t="s">
        <v>238</v>
      </c>
      <c r="J504" s="121">
        <v>400000.0</v>
      </c>
      <c r="K504" s="109" t="s">
        <v>238</v>
      </c>
      <c r="L504" s="58">
        <f t="shared" si="48"/>
        <v>350000</v>
      </c>
      <c r="M504" s="202"/>
    </row>
    <row r="505" ht="15.75" customHeight="1">
      <c r="A505" s="118">
        <v>3.0</v>
      </c>
      <c r="B505" s="142">
        <v>45811.0</v>
      </c>
      <c r="C505" s="143" t="s">
        <v>777</v>
      </c>
      <c r="D505" s="143" t="s">
        <v>588</v>
      </c>
      <c r="E505" s="204" t="s">
        <v>279</v>
      </c>
      <c r="F505" s="144" t="s">
        <v>271</v>
      </c>
      <c r="G505" s="151">
        <v>9000.0</v>
      </c>
      <c r="H505" s="135">
        <v>675000.0</v>
      </c>
      <c r="I505" s="206" t="s">
        <v>238</v>
      </c>
      <c r="J505" s="207">
        <v>375000.0</v>
      </c>
      <c r="K505" s="109" t="s">
        <v>212</v>
      </c>
      <c r="L505" s="58">
        <f t="shared" si="48"/>
        <v>300000</v>
      </c>
      <c r="M505" s="202"/>
    </row>
    <row r="506" ht="15.75" customHeight="1">
      <c r="A506" s="118">
        <v>4.0</v>
      </c>
      <c r="B506" s="142">
        <v>45811.0</v>
      </c>
      <c r="C506" s="143" t="s">
        <v>777</v>
      </c>
      <c r="D506" s="143" t="s">
        <v>588</v>
      </c>
      <c r="E506" s="204" t="s">
        <v>243</v>
      </c>
      <c r="F506" s="144" t="s">
        <v>329</v>
      </c>
      <c r="G506" s="148">
        <v>10000.0</v>
      </c>
      <c r="H506" s="134">
        <v>1100000.0</v>
      </c>
      <c r="I506" s="145" t="s">
        <v>238</v>
      </c>
      <c r="J506" s="134">
        <v>600000.0</v>
      </c>
      <c r="K506" s="109" t="s">
        <v>238</v>
      </c>
      <c r="L506" s="58">
        <f t="shared" si="48"/>
        <v>500000</v>
      </c>
      <c r="M506" s="202"/>
    </row>
    <row r="507" ht="15.75" customHeight="1">
      <c r="A507" s="118">
        <v>5.0</v>
      </c>
      <c r="B507" s="142">
        <v>45812.0</v>
      </c>
      <c r="C507" s="143" t="s">
        <v>777</v>
      </c>
      <c r="D507" s="143" t="s">
        <v>588</v>
      </c>
      <c r="E507" s="131" t="s">
        <v>269</v>
      </c>
      <c r="F507" s="144" t="s">
        <v>805</v>
      </c>
      <c r="G507" s="132">
        <v>6000.0</v>
      </c>
      <c r="H507" s="133">
        <v>1400000.0</v>
      </c>
      <c r="I507" s="304" t="s">
        <v>238</v>
      </c>
      <c r="J507" s="133">
        <v>640000.0</v>
      </c>
      <c r="K507" s="109" t="s">
        <v>238</v>
      </c>
      <c r="L507" s="58">
        <f t="shared" si="48"/>
        <v>760000</v>
      </c>
      <c r="M507" s="202"/>
    </row>
    <row r="508" ht="15.75" customHeight="1">
      <c r="A508" s="118">
        <v>6.0</v>
      </c>
      <c r="B508" s="142">
        <v>45813.0</v>
      </c>
      <c r="C508" s="143" t="s">
        <v>777</v>
      </c>
      <c r="D508" s="143" t="s">
        <v>588</v>
      </c>
      <c r="E508" s="204" t="s">
        <v>242</v>
      </c>
      <c r="F508" s="144" t="s">
        <v>324</v>
      </c>
      <c r="G508" s="110">
        <v>10000.0</v>
      </c>
      <c r="H508" s="107">
        <v>750000.0</v>
      </c>
      <c r="I508" s="304" t="s">
        <v>238</v>
      </c>
      <c r="J508" s="134">
        <v>375000.0</v>
      </c>
      <c r="K508" s="109" t="s">
        <v>212</v>
      </c>
      <c r="L508" s="58">
        <f t="shared" si="48"/>
        <v>375000</v>
      </c>
      <c r="M508" s="202"/>
    </row>
    <row r="509" ht="15.75" customHeight="1">
      <c r="A509" s="118">
        <v>7.0</v>
      </c>
      <c r="B509" s="142">
        <v>45815.0</v>
      </c>
      <c r="C509" s="143" t="s">
        <v>777</v>
      </c>
      <c r="D509" s="143" t="s">
        <v>588</v>
      </c>
      <c r="E509" s="204" t="s">
        <v>242</v>
      </c>
      <c r="F509" s="144" t="s">
        <v>591</v>
      </c>
      <c r="G509" s="151">
        <v>9000.0</v>
      </c>
      <c r="H509" s="135">
        <v>1350000.0</v>
      </c>
      <c r="I509" s="304" t="s">
        <v>238</v>
      </c>
      <c r="J509" s="207">
        <v>800000.0</v>
      </c>
      <c r="K509" s="109" t="s">
        <v>212</v>
      </c>
      <c r="L509" s="58">
        <f t="shared" si="48"/>
        <v>550000</v>
      </c>
      <c r="M509" s="202"/>
    </row>
    <row r="510" ht="15.75" customHeight="1">
      <c r="A510" s="118">
        <v>8.0</v>
      </c>
      <c r="B510" s="142">
        <v>45817.0</v>
      </c>
      <c r="C510" s="143" t="s">
        <v>777</v>
      </c>
      <c r="D510" s="143" t="s">
        <v>588</v>
      </c>
      <c r="E510" s="204" t="s">
        <v>243</v>
      </c>
      <c r="F510" s="144" t="s">
        <v>295</v>
      </c>
      <c r="G510" s="110">
        <v>9000.0</v>
      </c>
      <c r="H510" s="107">
        <v>1125000.0</v>
      </c>
      <c r="I510" s="122" t="s">
        <v>212</v>
      </c>
      <c r="J510" s="121">
        <v>640000.0</v>
      </c>
      <c r="K510" s="109" t="s">
        <v>212</v>
      </c>
      <c r="L510" s="58">
        <f t="shared" si="48"/>
        <v>485000</v>
      </c>
      <c r="M510" s="135">
        <v>50000.0</v>
      </c>
    </row>
    <row r="511" ht="15.75" customHeight="1">
      <c r="A511" s="118">
        <v>9.0</v>
      </c>
      <c r="B511" s="142">
        <v>45818.0</v>
      </c>
      <c r="C511" s="143" t="s">
        <v>777</v>
      </c>
      <c r="D511" s="143" t="s">
        <v>588</v>
      </c>
      <c r="E511" s="204" t="s">
        <v>322</v>
      </c>
      <c r="F511" s="144" t="s">
        <v>214</v>
      </c>
      <c r="G511" s="151">
        <v>9000.0</v>
      </c>
      <c r="H511" s="135">
        <v>1350000.0</v>
      </c>
      <c r="I511" s="206" t="s">
        <v>238</v>
      </c>
      <c r="J511" s="207">
        <v>925000.0</v>
      </c>
      <c r="K511" s="109" t="s">
        <v>212</v>
      </c>
      <c r="L511" s="58">
        <f t="shared" si="48"/>
        <v>425000</v>
      </c>
      <c r="M511" s="202"/>
    </row>
    <row r="512" ht="15.75" customHeight="1">
      <c r="A512" s="118">
        <v>10.0</v>
      </c>
      <c r="B512" s="142">
        <v>45819.0</v>
      </c>
      <c r="C512" s="143" t="s">
        <v>777</v>
      </c>
      <c r="D512" s="143" t="s">
        <v>588</v>
      </c>
      <c r="E512" s="204" t="s">
        <v>320</v>
      </c>
      <c r="F512" s="144" t="s">
        <v>302</v>
      </c>
      <c r="G512" s="151">
        <v>10000.0</v>
      </c>
      <c r="H512" s="135">
        <v>800000.0</v>
      </c>
      <c r="I512" s="206" t="s">
        <v>238</v>
      </c>
      <c r="J512" s="207">
        <v>375000.0</v>
      </c>
      <c r="K512" s="109" t="s">
        <v>212</v>
      </c>
      <c r="L512" s="58">
        <f t="shared" si="48"/>
        <v>425000</v>
      </c>
      <c r="M512" s="202"/>
    </row>
    <row r="513" ht="15.75" customHeight="1">
      <c r="A513" s="118">
        <v>11.0</v>
      </c>
      <c r="B513" s="142">
        <v>45820.0</v>
      </c>
      <c r="C513" s="143" t="s">
        <v>777</v>
      </c>
      <c r="D513" s="143" t="s">
        <v>588</v>
      </c>
      <c r="E513" s="204" t="s">
        <v>242</v>
      </c>
      <c r="F513" s="144" t="s">
        <v>326</v>
      </c>
      <c r="G513" s="151">
        <v>10000.0</v>
      </c>
      <c r="H513" s="121">
        <v>1350000.0</v>
      </c>
      <c r="I513" s="108" t="s">
        <v>238</v>
      </c>
      <c r="J513" s="121">
        <v>950000.0</v>
      </c>
      <c r="K513" s="109" t="s">
        <v>212</v>
      </c>
      <c r="L513" s="58">
        <f t="shared" si="48"/>
        <v>400000</v>
      </c>
      <c r="M513" s="202"/>
    </row>
    <row r="514" ht="15.75" customHeight="1">
      <c r="A514" s="118">
        <v>12.0</v>
      </c>
      <c r="B514" s="142">
        <v>45821.0</v>
      </c>
      <c r="C514" s="143" t="s">
        <v>777</v>
      </c>
      <c r="D514" s="143" t="s">
        <v>588</v>
      </c>
      <c r="E514" s="204" t="s">
        <v>320</v>
      </c>
      <c r="F514" s="144" t="s">
        <v>324</v>
      </c>
      <c r="G514" s="151">
        <v>10000.0</v>
      </c>
      <c r="H514" s="135">
        <v>750000.0</v>
      </c>
      <c r="I514" s="122" t="s">
        <v>212</v>
      </c>
      <c r="J514" s="207">
        <v>425000.0</v>
      </c>
      <c r="K514" s="109" t="s">
        <v>212</v>
      </c>
      <c r="L514" s="58">
        <f t="shared" si="48"/>
        <v>325000</v>
      </c>
      <c r="M514" s="202"/>
    </row>
    <row r="515" ht="15.75" customHeight="1">
      <c r="A515" s="118">
        <v>13.0</v>
      </c>
      <c r="B515" s="142">
        <v>45822.0</v>
      </c>
      <c r="C515" s="143" t="s">
        <v>777</v>
      </c>
      <c r="D515" s="143" t="s">
        <v>588</v>
      </c>
      <c r="E515" s="204" t="s">
        <v>322</v>
      </c>
      <c r="F515" s="144" t="s">
        <v>333</v>
      </c>
      <c r="G515" s="110">
        <v>9000.0</v>
      </c>
      <c r="H515" s="107">
        <v>1350000.0</v>
      </c>
      <c r="I515" s="108" t="s">
        <v>238</v>
      </c>
      <c r="J515" s="109">
        <v>875000.0</v>
      </c>
      <c r="K515" s="109" t="s">
        <v>212</v>
      </c>
      <c r="L515" s="58">
        <f t="shared" si="48"/>
        <v>475000</v>
      </c>
      <c r="M515" s="202"/>
    </row>
    <row r="516" ht="15.75" customHeight="1">
      <c r="A516" s="118">
        <v>14.0</v>
      </c>
      <c r="B516" s="142">
        <v>45825.0</v>
      </c>
      <c r="C516" s="143" t="s">
        <v>777</v>
      </c>
      <c r="D516" s="143" t="s">
        <v>588</v>
      </c>
      <c r="E516" s="204" t="s">
        <v>243</v>
      </c>
      <c r="F516" s="144" t="s">
        <v>329</v>
      </c>
      <c r="G516" s="151">
        <v>10000.0</v>
      </c>
      <c r="H516" s="135">
        <v>1100000.0</v>
      </c>
      <c r="I516" s="206" t="s">
        <v>238</v>
      </c>
      <c r="J516" s="207">
        <v>600000.0</v>
      </c>
      <c r="K516" s="109" t="s">
        <v>238</v>
      </c>
      <c r="L516" s="58">
        <f t="shared" si="48"/>
        <v>500000</v>
      </c>
      <c r="M516" s="202"/>
    </row>
    <row r="517" ht="15.75" customHeight="1">
      <c r="A517" s="118">
        <v>15.0</v>
      </c>
      <c r="B517" s="142">
        <v>45826.0</v>
      </c>
      <c r="C517" s="143" t="s">
        <v>777</v>
      </c>
      <c r="D517" s="143" t="s">
        <v>588</v>
      </c>
      <c r="E517" s="204" t="s">
        <v>243</v>
      </c>
      <c r="F517" s="144" t="s">
        <v>264</v>
      </c>
      <c r="G517" s="151">
        <v>10000.0</v>
      </c>
      <c r="H517" s="135">
        <v>1500000.0</v>
      </c>
      <c r="I517" s="206" t="s">
        <v>238</v>
      </c>
      <c r="J517" s="207">
        <v>950000.0</v>
      </c>
      <c r="K517" s="109" t="s">
        <v>212</v>
      </c>
      <c r="L517" s="58">
        <f t="shared" si="48"/>
        <v>550000</v>
      </c>
      <c r="M517" s="202"/>
    </row>
    <row r="518" ht="15.75" customHeight="1">
      <c r="A518" s="118">
        <v>16.0</v>
      </c>
      <c r="B518" s="142">
        <v>45831.0</v>
      </c>
      <c r="C518" s="143" t="s">
        <v>777</v>
      </c>
      <c r="D518" s="143" t="s">
        <v>588</v>
      </c>
      <c r="E518" s="204" t="s">
        <v>279</v>
      </c>
      <c r="F518" s="144" t="s">
        <v>324</v>
      </c>
      <c r="G518" s="151">
        <v>9000.0</v>
      </c>
      <c r="H518" s="135">
        <v>675000.0</v>
      </c>
      <c r="I518" s="108" t="s">
        <v>212</v>
      </c>
      <c r="J518" s="207">
        <v>350000.0</v>
      </c>
      <c r="K518" s="109" t="s">
        <v>212</v>
      </c>
      <c r="L518" s="58">
        <f t="shared" si="48"/>
        <v>325000</v>
      </c>
      <c r="M518" s="135">
        <v>292000.0</v>
      </c>
    </row>
    <row r="519" ht="15.75" customHeight="1">
      <c r="A519" s="118">
        <v>17.0</v>
      </c>
      <c r="B519" s="142">
        <v>45831.0</v>
      </c>
      <c r="C519" s="143" t="s">
        <v>777</v>
      </c>
      <c r="D519" s="143" t="s">
        <v>588</v>
      </c>
      <c r="E519" s="204" t="s">
        <v>327</v>
      </c>
      <c r="F519" s="144" t="s">
        <v>259</v>
      </c>
      <c r="G519" s="151">
        <v>10000.0</v>
      </c>
      <c r="H519" s="135">
        <v>1500000.0</v>
      </c>
      <c r="I519" s="122" t="s">
        <v>238</v>
      </c>
      <c r="J519" s="207">
        <v>850000.0</v>
      </c>
      <c r="K519" s="109" t="s">
        <v>212</v>
      </c>
      <c r="L519" s="58">
        <f t="shared" si="48"/>
        <v>650000</v>
      </c>
      <c r="M519" s="135"/>
    </row>
    <row r="520" ht="15.75" customHeight="1">
      <c r="A520" s="204">
        <v>18.0</v>
      </c>
      <c r="B520" s="142">
        <v>45832.0</v>
      </c>
      <c r="C520" s="143" t="s">
        <v>777</v>
      </c>
      <c r="D520" s="143" t="s">
        <v>588</v>
      </c>
      <c r="E520" s="204" t="s">
        <v>327</v>
      </c>
      <c r="F520" s="204" t="s">
        <v>332</v>
      </c>
      <c r="G520" s="151">
        <v>9000.0</v>
      </c>
      <c r="H520" s="135">
        <v>765000.0</v>
      </c>
      <c r="I520" s="206" t="s">
        <v>238</v>
      </c>
      <c r="J520" s="207">
        <v>450000.0</v>
      </c>
      <c r="K520" s="109" t="s">
        <v>212</v>
      </c>
      <c r="L520" s="58">
        <f t="shared" si="48"/>
        <v>315000</v>
      </c>
      <c r="M520" s="202"/>
    </row>
    <row r="521" ht="15.75" customHeight="1">
      <c r="A521" s="204">
        <v>19.0</v>
      </c>
      <c r="B521" s="142">
        <v>45833.0</v>
      </c>
      <c r="C521" s="143" t="s">
        <v>777</v>
      </c>
      <c r="D521" s="143" t="s">
        <v>588</v>
      </c>
      <c r="E521" s="204" t="s">
        <v>327</v>
      </c>
      <c r="F521" s="204" t="s">
        <v>329</v>
      </c>
      <c r="G521" s="151">
        <v>10000.0</v>
      </c>
      <c r="H521" s="135">
        <v>1100000.0</v>
      </c>
      <c r="I521" s="206" t="s">
        <v>238</v>
      </c>
      <c r="J521" s="207">
        <v>600000.0</v>
      </c>
      <c r="K521" s="109" t="s">
        <v>212</v>
      </c>
      <c r="L521" s="58">
        <f t="shared" si="48"/>
        <v>500000</v>
      </c>
      <c r="M521" s="202"/>
    </row>
    <row r="522" ht="15.75" customHeight="1">
      <c r="A522" s="204">
        <v>20.0</v>
      </c>
      <c r="B522" s="142">
        <v>45834.0</v>
      </c>
      <c r="C522" s="143" t="s">
        <v>777</v>
      </c>
      <c r="D522" s="143" t="s">
        <v>588</v>
      </c>
      <c r="E522" s="204" t="s">
        <v>279</v>
      </c>
      <c r="F522" s="144" t="s">
        <v>324</v>
      </c>
      <c r="G522" s="151">
        <v>9000.0</v>
      </c>
      <c r="H522" s="135">
        <v>675000.0</v>
      </c>
      <c r="I522" s="206" t="s">
        <v>238</v>
      </c>
      <c r="J522" s="207">
        <v>350000.0</v>
      </c>
      <c r="K522" s="109" t="s">
        <v>212</v>
      </c>
      <c r="L522" s="58">
        <f t="shared" si="48"/>
        <v>325000</v>
      </c>
      <c r="M522" s="202"/>
    </row>
    <row r="523" ht="15.75" customHeight="1">
      <c r="A523" s="204">
        <v>21.0</v>
      </c>
      <c r="B523" s="142">
        <v>45834.0</v>
      </c>
      <c r="C523" s="143" t="s">
        <v>777</v>
      </c>
      <c r="D523" s="143" t="s">
        <v>588</v>
      </c>
      <c r="E523" s="204" t="s">
        <v>242</v>
      </c>
      <c r="F523" s="204" t="s">
        <v>259</v>
      </c>
      <c r="G523" s="151">
        <v>10000.0</v>
      </c>
      <c r="H523" s="135">
        <v>1500000.0</v>
      </c>
      <c r="I523" s="206" t="s">
        <v>238</v>
      </c>
      <c r="J523" s="207">
        <v>850000.0</v>
      </c>
      <c r="K523" s="109" t="s">
        <v>212</v>
      </c>
      <c r="L523" s="58">
        <f t="shared" si="48"/>
        <v>650000</v>
      </c>
      <c r="M523" s="202"/>
    </row>
    <row r="524" ht="15.75" customHeight="1">
      <c r="A524" s="204">
        <v>22.0</v>
      </c>
      <c r="B524" s="142">
        <v>45836.0</v>
      </c>
      <c r="C524" s="143" t="s">
        <v>777</v>
      </c>
      <c r="D524" s="143" t="s">
        <v>588</v>
      </c>
      <c r="E524" s="204" t="s">
        <v>242</v>
      </c>
      <c r="F524" s="204" t="s">
        <v>259</v>
      </c>
      <c r="G524" s="151">
        <v>10000.0</v>
      </c>
      <c r="H524" s="135">
        <v>1500000.0</v>
      </c>
      <c r="I524" s="206" t="s">
        <v>238</v>
      </c>
      <c r="J524" s="207">
        <v>850000.0</v>
      </c>
      <c r="K524" s="109" t="s">
        <v>238</v>
      </c>
      <c r="L524" s="58">
        <f t="shared" si="48"/>
        <v>650000</v>
      </c>
      <c r="M524" s="135">
        <v>600000.0</v>
      </c>
    </row>
    <row r="525" ht="15.75" customHeight="1">
      <c r="A525" s="204">
        <v>23.0</v>
      </c>
      <c r="B525" s="142">
        <v>45838.0</v>
      </c>
      <c r="C525" s="143" t="s">
        <v>777</v>
      </c>
      <c r="D525" s="143" t="s">
        <v>588</v>
      </c>
      <c r="E525" s="204" t="s">
        <v>242</v>
      </c>
      <c r="F525" s="204" t="s">
        <v>324</v>
      </c>
      <c r="G525" s="151">
        <v>11000.0</v>
      </c>
      <c r="H525" s="135">
        <v>825000.0</v>
      </c>
      <c r="I525" s="115" t="s">
        <v>212</v>
      </c>
      <c r="J525" s="207">
        <v>400000.0</v>
      </c>
      <c r="K525" s="109" t="s">
        <v>238</v>
      </c>
      <c r="L525" s="58">
        <f t="shared" si="48"/>
        <v>425000</v>
      </c>
      <c r="M525" s="202"/>
    </row>
    <row r="526" ht="15.75" customHeight="1">
      <c r="A526" s="204">
        <v>24.0</v>
      </c>
      <c r="B526" s="142">
        <v>45838.0</v>
      </c>
      <c r="C526" s="143" t="s">
        <v>777</v>
      </c>
      <c r="D526" s="143" t="s">
        <v>588</v>
      </c>
      <c r="E526" s="204" t="s">
        <v>327</v>
      </c>
      <c r="F526" s="204" t="s">
        <v>303</v>
      </c>
      <c r="G526" s="151">
        <v>9000.0</v>
      </c>
      <c r="H526" s="135">
        <v>1215000.0</v>
      </c>
      <c r="I526" s="206" t="s">
        <v>238</v>
      </c>
      <c r="J526" s="207">
        <v>700000.0</v>
      </c>
      <c r="K526" s="109" t="s">
        <v>238</v>
      </c>
      <c r="L526" s="58">
        <f t="shared" si="48"/>
        <v>515000</v>
      </c>
      <c r="M526" s="202"/>
    </row>
    <row r="527" ht="15.75" customHeight="1">
      <c r="A527" s="169"/>
      <c r="B527" s="169"/>
      <c r="C527" s="169"/>
      <c r="D527" s="169"/>
      <c r="E527" s="169"/>
      <c r="F527" s="169"/>
      <c r="G527" s="170"/>
      <c r="H527" s="202"/>
      <c r="I527" s="241"/>
      <c r="J527" s="172"/>
      <c r="K527" s="203"/>
      <c r="L527" s="52">
        <f>SUM(L503:L526)</f>
        <v>11075000</v>
      </c>
      <c r="M527" s="30">
        <f>SUM(M503:M524)</f>
        <v>1707000</v>
      </c>
    </row>
    <row r="528" ht="15.75" customHeight="1">
      <c r="A528" s="169"/>
      <c r="B528" s="169"/>
      <c r="C528" s="169"/>
      <c r="D528" s="169"/>
      <c r="E528" s="169"/>
      <c r="F528" s="169"/>
      <c r="G528" s="170"/>
      <c r="H528" s="202"/>
      <c r="I528" s="241"/>
      <c r="J528" s="172"/>
      <c r="K528" s="203"/>
      <c r="L528" s="33">
        <f>L527-M527</f>
        <v>9368000</v>
      </c>
      <c r="M528" s="26"/>
    </row>
    <row r="529" ht="15.75" customHeight="1">
      <c r="A529" s="184"/>
      <c r="B529" s="169"/>
      <c r="C529" s="169"/>
      <c r="D529" s="169"/>
      <c r="E529" s="169"/>
      <c r="F529" s="169"/>
      <c r="G529" s="170"/>
      <c r="H529" s="202"/>
      <c r="I529" s="241"/>
      <c r="J529" s="172"/>
      <c r="K529" s="203"/>
      <c r="M529" s="202"/>
    </row>
    <row r="530" ht="15.75" customHeight="1">
      <c r="A530" s="136" t="s">
        <v>209</v>
      </c>
      <c r="B530" s="136" t="s">
        <v>0</v>
      </c>
      <c r="C530" s="136" t="s">
        <v>1</v>
      </c>
      <c r="D530" s="136" t="s">
        <v>2</v>
      </c>
      <c r="E530" s="137" t="s">
        <v>3</v>
      </c>
      <c r="F530" s="136" t="s">
        <v>4</v>
      </c>
      <c r="G530" s="138" t="s">
        <v>5</v>
      </c>
      <c r="H530" s="139" t="s">
        <v>6</v>
      </c>
      <c r="I530" s="140" t="s">
        <v>39</v>
      </c>
      <c r="J530" s="139" t="s">
        <v>7</v>
      </c>
      <c r="K530" s="138" t="s">
        <v>39</v>
      </c>
      <c r="L530" s="140" t="s">
        <v>8</v>
      </c>
      <c r="M530" s="141" t="s">
        <v>9</v>
      </c>
    </row>
    <row r="531" ht="15.75" customHeight="1">
      <c r="A531" s="17">
        <v>1.0</v>
      </c>
      <c r="B531" s="142">
        <v>45839.0</v>
      </c>
      <c r="C531" s="143" t="s">
        <v>777</v>
      </c>
      <c r="D531" s="143" t="s">
        <v>588</v>
      </c>
      <c r="E531" s="144" t="s">
        <v>243</v>
      </c>
      <c r="F531" s="144" t="s">
        <v>259</v>
      </c>
      <c r="G531" s="148">
        <v>10000.0</v>
      </c>
      <c r="H531" s="134">
        <v>1500000.0</v>
      </c>
      <c r="I531" s="145" t="s">
        <v>238</v>
      </c>
      <c r="J531" s="134">
        <v>850000.0</v>
      </c>
      <c r="K531" s="109" t="s">
        <v>238</v>
      </c>
      <c r="L531" s="58">
        <f t="shared" ref="L531:L537" si="49">H531-J531</f>
        <v>650000</v>
      </c>
      <c r="M531" s="147"/>
    </row>
    <row r="532" ht="15.75" customHeight="1">
      <c r="A532" s="118">
        <v>2.0</v>
      </c>
      <c r="B532" s="142">
        <v>45840.0</v>
      </c>
      <c r="C532" s="143" t="s">
        <v>777</v>
      </c>
      <c r="D532" s="143" t="s">
        <v>588</v>
      </c>
      <c r="E532" s="98" t="s">
        <v>243</v>
      </c>
      <c r="F532" s="144" t="s">
        <v>333</v>
      </c>
      <c r="G532" s="110">
        <v>9000.0</v>
      </c>
      <c r="H532" s="107">
        <v>1350000.0</v>
      </c>
      <c r="I532" s="108" t="s">
        <v>238</v>
      </c>
      <c r="J532" s="109">
        <v>850000.0</v>
      </c>
      <c r="K532" s="109" t="s">
        <v>806</v>
      </c>
      <c r="L532" s="58">
        <f t="shared" si="49"/>
        <v>500000</v>
      </c>
      <c r="M532" s="106">
        <v>310000.0</v>
      </c>
    </row>
    <row r="533" ht="15.75" customHeight="1">
      <c r="A533" s="118">
        <v>3.0</v>
      </c>
      <c r="B533" s="142">
        <v>45841.0</v>
      </c>
      <c r="C533" s="143" t="s">
        <v>777</v>
      </c>
      <c r="D533" s="143" t="s">
        <v>588</v>
      </c>
      <c r="E533" s="98" t="s">
        <v>243</v>
      </c>
      <c r="F533" s="144" t="s">
        <v>328</v>
      </c>
      <c r="G533" s="110">
        <v>10000.0</v>
      </c>
      <c r="H533" s="107">
        <v>1600000.0</v>
      </c>
      <c r="I533" s="108" t="s">
        <v>238</v>
      </c>
      <c r="J533" s="109">
        <v>950000.0</v>
      </c>
      <c r="K533" s="109" t="s">
        <v>238</v>
      </c>
      <c r="L533" s="58">
        <f t="shared" si="49"/>
        <v>650000</v>
      </c>
      <c r="M533" s="61"/>
    </row>
    <row r="534" ht="15.75" customHeight="1">
      <c r="A534" s="118">
        <v>4.0</v>
      </c>
      <c r="B534" s="142">
        <v>45843.0</v>
      </c>
      <c r="C534" s="143" t="s">
        <v>777</v>
      </c>
      <c r="D534" s="143" t="s">
        <v>588</v>
      </c>
      <c r="E534" s="98" t="s">
        <v>242</v>
      </c>
      <c r="F534" s="144" t="s">
        <v>259</v>
      </c>
      <c r="G534" s="110">
        <v>10000.0</v>
      </c>
      <c r="H534" s="135">
        <v>1500000.0</v>
      </c>
      <c r="I534" s="115" t="s">
        <v>238</v>
      </c>
      <c r="J534" s="121">
        <v>850000.0</v>
      </c>
      <c r="K534" s="109" t="s">
        <v>806</v>
      </c>
      <c r="L534" s="58">
        <f t="shared" si="49"/>
        <v>650000</v>
      </c>
      <c r="M534" s="106">
        <v>420000.0</v>
      </c>
    </row>
    <row r="535" ht="15.75" customHeight="1">
      <c r="A535" s="118">
        <v>5.0</v>
      </c>
      <c r="B535" s="142">
        <v>45845.0</v>
      </c>
      <c r="C535" s="143" t="s">
        <v>777</v>
      </c>
      <c r="D535" s="143" t="s">
        <v>588</v>
      </c>
      <c r="E535" s="98" t="s">
        <v>243</v>
      </c>
      <c r="F535" s="144" t="s">
        <v>259</v>
      </c>
      <c r="G535" s="110">
        <v>10000.0</v>
      </c>
      <c r="H535" s="107">
        <v>1500000.0</v>
      </c>
      <c r="I535" s="115" t="s">
        <v>238</v>
      </c>
      <c r="J535" s="109">
        <v>850000.0</v>
      </c>
      <c r="K535" s="109" t="s">
        <v>806</v>
      </c>
      <c r="L535" s="58">
        <f t="shared" si="49"/>
        <v>650000</v>
      </c>
      <c r="M535" s="61"/>
    </row>
    <row r="536" ht="15.75" customHeight="1">
      <c r="A536" s="118">
        <v>6.0</v>
      </c>
      <c r="B536" s="142">
        <v>45846.0</v>
      </c>
      <c r="C536" s="143" t="s">
        <v>777</v>
      </c>
      <c r="D536" s="143" t="s">
        <v>588</v>
      </c>
      <c r="E536" s="98" t="s">
        <v>242</v>
      </c>
      <c r="F536" s="144" t="s">
        <v>259</v>
      </c>
      <c r="G536" s="110">
        <v>10000.0</v>
      </c>
      <c r="H536" s="107">
        <v>1500000.0</v>
      </c>
      <c r="I536" s="115" t="s">
        <v>238</v>
      </c>
      <c r="J536" s="109">
        <v>850000.0</v>
      </c>
      <c r="K536" s="109" t="s">
        <v>238</v>
      </c>
      <c r="L536" s="58">
        <f t="shared" si="49"/>
        <v>650000</v>
      </c>
      <c r="M536" s="106">
        <v>950000.0</v>
      </c>
    </row>
    <row r="537" ht="15.75" customHeight="1">
      <c r="A537" s="118">
        <v>7.0</v>
      </c>
      <c r="B537" s="142">
        <v>45847.0</v>
      </c>
      <c r="C537" s="143" t="s">
        <v>777</v>
      </c>
      <c r="D537" s="143" t="s">
        <v>588</v>
      </c>
      <c r="E537" s="98" t="s">
        <v>243</v>
      </c>
      <c r="F537" s="144" t="s">
        <v>274</v>
      </c>
      <c r="G537" s="110">
        <v>9000.0</v>
      </c>
      <c r="H537" s="107">
        <v>900000.0</v>
      </c>
      <c r="I537" s="108" t="s">
        <v>238</v>
      </c>
      <c r="J537" s="109">
        <v>425000.0</v>
      </c>
      <c r="K537" s="109" t="s">
        <v>806</v>
      </c>
      <c r="L537" s="58">
        <f t="shared" si="49"/>
        <v>475000</v>
      </c>
      <c r="M537" s="106"/>
    </row>
    <row r="538" ht="15.75" customHeight="1">
      <c r="A538" s="118">
        <v>8.0</v>
      </c>
      <c r="B538" s="142">
        <v>45849.0</v>
      </c>
      <c r="C538" s="143" t="s">
        <v>777</v>
      </c>
      <c r="D538" s="143" t="s">
        <v>588</v>
      </c>
      <c r="E538" s="98" t="s">
        <v>322</v>
      </c>
      <c r="F538" s="144" t="s">
        <v>214</v>
      </c>
      <c r="G538" s="110">
        <v>9000.0</v>
      </c>
      <c r="H538" s="107">
        <v>1350000.0</v>
      </c>
      <c r="I538" s="108" t="s">
        <v>238</v>
      </c>
      <c r="J538" s="121">
        <v>925000.0</v>
      </c>
      <c r="K538" s="109" t="s">
        <v>806</v>
      </c>
      <c r="L538" s="58">
        <f>H537-J537</f>
        <v>475000</v>
      </c>
      <c r="M538" s="106"/>
    </row>
    <row r="539" ht="15.75" customHeight="1">
      <c r="A539" s="118">
        <v>9.0</v>
      </c>
      <c r="B539" s="142">
        <v>45850.0</v>
      </c>
      <c r="C539" s="143" t="s">
        <v>777</v>
      </c>
      <c r="D539" s="143" t="s">
        <v>588</v>
      </c>
      <c r="E539" s="98" t="s">
        <v>242</v>
      </c>
      <c r="F539" s="144" t="s">
        <v>348</v>
      </c>
      <c r="G539" s="110">
        <v>10000.0</v>
      </c>
      <c r="H539" s="107">
        <v>1000000.0</v>
      </c>
      <c r="I539" s="108" t="s">
        <v>238</v>
      </c>
      <c r="J539" s="121">
        <v>475000.0</v>
      </c>
      <c r="K539" s="109" t="s">
        <v>238</v>
      </c>
      <c r="L539" s="58">
        <f t="shared" ref="L539:L555" si="50">H539-J539</f>
        <v>525000</v>
      </c>
      <c r="M539" s="106"/>
    </row>
    <row r="540" ht="15.75" customHeight="1">
      <c r="A540" s="118">
        <v>10.0</v>
      </c>
      <c r="B540" s="142">
        <v>45850.0</v>
      </c>
      <c r="C540" s="143" t="s">
        <v>777</v>
      </c>
      <c r="D540" s="143" t="s">
        <v>588</v>
      </c>
      <c r="E540" s="98" t="s">
        <v>243</v>
      </c>
      <c r="F540" s="144" t="s">
        <v>323</v>
      </c>
      <c r="G540" s="110">
        <v>9000.0</v>
      </c>
      <c r="H540" s="107">
        <v>1300000.0</v>
      </c>
      <c r="I540" s="108" t="s">
        <v>212</v>
      </c>
      <c r="J540" s="109">
        <v>780000.0</v>
      </c>
      <c r="K540" s="109" t="s">
        <v>238</v>
      </c>
      <c r="L540" s="58">
        <f t="shared" si="50"/>
        <v>520000</v>
      </c>
      <c r="M540" s="61"/>
    </row>
    <row r="541" ht="15.75" customHeight="1">
      <c r="A541" s="118">
        <v>11.0</v>
      </c>
      <c r="B541" s="142">
        <v>45852.0</v>
      </c>
      <c r="C541" s="143" t="s">
        <v>777</v>
      </c>
      <c r="D541" s="143" t="s">
        <v>588</v>
      </c>
      <c r="E541" s="98" t="s">
        <v>279</v>
      </c>
      <c r="F541" s="144" t="s">
        <v>324</v>
      </c>
      <c r="G541" s="110">
        <v>9000.0</v>
      </c>
      <c r="H541" s="107">
        <v>675000.0</v>
      </c>
      <c r="I541" s="108" t="s">
        <v>212</v>
      </c>
      <c r="J541" s="109">
        <v>350000.0</v>
      </c>
      <c r="K541" s="109" t="s">
        <v>238</v>
      </c>
      <c r="L541" s="58">
        <f t="shared" si="50"/>
        <v>325000</v>
      </c>
      <c r="M541" s="106">
        <v>1325000.0</v>
      </c>
    </row>
    <row r="542" ht="15.75" customHeight="1">
      <c r="A542" s="118">
        <v>12.0</v>
      </c>
      <c r="B542" s="142">
        <v>45852.0</v>
      </c>
      <c r="C542" s="143" t="s">
        <v>777</v>
      </c>
      <c r="D542" s="143" t="s">
        <v>588</v>
      </c>
      <c r="E542" s="98" t="s">
        <v>243</v>
      </c>
      <c r="F542" s="144" t="s">
        <v>331</v>
      </c>
      <c r="G542" s="110">
        <v>9000.0</v>
      </c>
      <c r="H542" s="107">
        <v>1305000.0</v>
      </c>
      <c r="I542" s="108" t="s">
        <v>238</v>
      </c>
      <c r="J542" s="109">
        <v>725000.0</v>
      </c>
      <c r="K542" s="109" t="s">
        <v>238</v>
      </c>
      <c r="L542" s="58">
        <f t="shared" si="50"/>
        <v>580000</v>
      </c>
      <c r="M542" s="61"/>
    </row>
    <row r="543" ht="15.75" customHeight="1">
      <c r="A543" s="118">
        <v>13.0</v>
      </c>
      <c r="B543" s="142">
        <v>45853.0</v>
      </c>
      <c r="C543" s="143" t="s">
        <v>777</v>
      </c>
      <c r="D543" s="143" t="s">
        <v>588</v>
      </c>
      <c r="E543" s="98" t="s">
        <v>242</v>
      </c>
      <c r="F543" s="98" t="s">
        <v>807</v>
      </c>
      <c r="G543" s="110">
        <v>9000.0</v>
      </c>
      <c r="H543" s="107">
        <v>1350000.0</v>
      </c>
      <c r="I543" s="108" t="s">
        <v>238</v>
      </c>
      <c r="J543" s="109">
        <v>900000.0</v>
      </c>
      <c r="K543" s="109" t="s">
        <v>238</v>
      </c>
      <c r="L543" s="58">
        <f t="shared" si="50"/>
        <v>450000</v>
      </c>
      <c r="M543" s="61"/>
    </row>
    <row r="544" ht="15.75" customHeight="1">
      <c r="A544" s="118">
        <v>14.0</v>
      </c>
      <c r="B544" s="142">
        <v>45854.0</v>
      </c>
      <c r="C544" s="143" t="s">
        <v>777</v>
      </c>
      <c r="D544" s="143" t="s">
        <v>588</v>
      </c>
      <c r="E544" s="98" t="s">
        <v>243</v>
      </c>
      <c r="F544" s="144" t="s">
        <v>329</v>
      </c>
      <c r="G544" s="110">
        <v>10000.0</v>
      </c>
      <c r="H544" s="107">
        <v>1100000.0</v>
      </c>
      <c r="I544" s="108" t="s">
        <v>238</v>
      </c>
      <c r="J544" s="109">
        <v>600000.0</v>
      </c>
      <c r="K544" s="109" t="s">
        <v>806</v>
      </c>
      <c r="L544" s="58">
        <f t="shared" si="50"/>
        <v>500000</v>
      </c>
      <c r="M544" s="106">
        <v>35000.0</v>
      </c>
    </row>
    <row r="545" ht="15.75" customHeight="1">
      <c r="A545" s="118">
        <v>15.0</v>
      </c>
      <c r="B545" s="142">
        <v>45855.0</v>
      </c>
      <c r="C545" s="143" t="s">
        <v>777</v>
      </c>
      <c r="D545" s="143" t="s">
        <v>588</v>
      </c>
      <c r="E545" s="98" t="s">
        <v>242</v>
      </c>
      <c r="F545" s="144" t="s">
        <v>332</v>
      </c>
      <c r="G545" s="110">
        <v>9000.0</v>
      </c>
      <c r="H545" s="107">
        <v>765000.0</v>
      </c>
      <c r="I545" s="108" t="s">
        <v>238</v>
      </c>
      <c r="J545" s="121">
        <v>450000.0</v>
      </c>
      <c r="K545" s="109" t="s">
        <v>806</v>
      </c>
      <c r="L545" s="58">
        <f t="shared" si="50"/>
        <v>315000</v>
      </c>
      <c r="M545" s="106"/>
    </row>
    <row r="546" ht="15.75" customHeight="1">
      <c r="A546" s="118">
        <v>16.0</v>
      </c>
      <c r="B546" s="142">
        <v>45856.0</v>
      </c>
      <c r="C546" s="143" t="s">
        <v>777</v>
      </c>
      <c r="D546" s="143" t="s">
        <v>588</v>
      </c>
      <c r="E546" s="98" t="s">
        <v>322</v>
      </c>
      <c r="F546" s="98" t="s">
        <v>333</v>
      </c>
      <c r="G546" s="110">
        <v>9000.0</v>
      </c>
      <c r="H546" s="107">
        <v>1350000.0</v>
      </c>
      <c r="I546" s="115" t="s">
        <v>238</v>
      </c>
      <c r="J546" s="109">
        <v>875000.0</v>
      </c>
      <c r="K546" s="109" t="s">
        <v>806</v>
      </c>
      <c r="L546" s="58">
        <f t="shared" si="50"/>
        <v>475000</v>
      </c>
      <c r="M546" s="61"/>
    </row>
    <row r="547" ht="15.75" customHeight="1">
      <c r="A547" s="118">
        <v>17.0</v>
      </c>
      <c r="B547" s="142">
        <v>45859.0</v>
      </c>
      <c r="C547" s="143" t="s">
        <v>777</v>
      </c>
      <c r="D547" s="143" t="s">
        <v>588</v>
      </c>
      <c r="E547" s="98" t="s">
        <v>532</v>
      </c>
      <c r="F547" s="98" t="s">
        <v>348</v>
      </c>
      <c r="G547" s="110">
        <v>9000.0</v>
      </c>
      <c r="H547" s="107">
        <v>900000.0</v>
      </c>
      <c r="I547" s="108" t="s">
        <v>238</v>
      </c>
      <c r="J547" s="109">
        <v>450000.0</v>
      </c>
      <c r="K547" s="109" t="s">
        <v>806</v>
      </c>
      <c r="L547" s="58">
        <f t="shared" si="50"/>
        <v>450000</v>
      </c>
      <c r="M547" s="106">
        <v>900000.0</v>
      </c>
    </row>
    <row r="548" ht="15.75" customHeight="1">
      <c r="A548" s="118">
        <v>18.0</v>
      </c>
      <c r="B548" s="142">
        <v>45860.0</v>
      </c>
      <c r="C548" s="143" t="s">
        <v>777</v>
      </c>
      <c r="D548" s="143" t="s">
        <v>588</v>
      </c>
      <c r="E548" s="98" t="s">
        <v>322</v>
      </c>
      <c r="F548" s="98" t="s">
        <v>214</v>
      </c>
      <c r="G548" s="110">
        <v>9000.0</v>
      </c>
      <c r="H548" s="107">
        <v>1350000.0</v>
      </c>
      <c r="I548" s="108" t="s">
        <v>238</v>
      </c>
      <c r="J548" s="109">
        <v>925000.0</v>
      </c>
      <c r="K548" s="109" t="s">
        <v>806</v>
      </c>
      <c r="L548" s="58">
        <f t="shared" si="50"/>
        <v>425000</v>
      </c>
      <c r="M548" s="106">
        <v>600000.0</v>
      </c>
    </row>
    <row r="549" ht="15.75" customHeight="1">
      <c r="A549" s="118">
        <v>19.0</v>
      </c>
      <c r="B549" s="142">
        <v>45861.0</v>
      </c>
      <c r="C549" s="143" t="s">
        <v>777</v>
      </c>
      <c r="D549" s="143" t="s">
        <v>588</v>
      </c>
      <c r="E549" s="98" t="s">
        <v>242</v>
      </c>
      <c r="F549" s="98" t="s">
        <v>264</v>
      </c>
      <c r="G549" s="110">
        <v>10000.0</v>
      </c>
      <c r="H549" s="107">
        <v>1500000.0</v>
      </c>
      <c r="I549" s="108" t="s">
        <v>238</v>
      </c>
      <c r="J549" s="109">
        <v>950000.0</v>
      </c>
      <c r="K549" s="109" t="s">
        <v>238</v>
      </c>
      <c r="L549" s="58">
        <f t="shared" si="50"/>
        <v>550000</v>
      </c>
      <c r="M549" s="61"/>
    </row>
    <row r="550" ht="15.75" customHeight="1">
      <c r="A550" s="118">
        <v>20.0</v>
      </c>
      <c r="B550" s="142">
        <v>45862.0</v>
      </c>
      <c r="C550" s="143" t="s">
        <v>777</v>
      </c>
      <c r="D550" s="143" t="s">
        <v>588</v>
      </c>
      <c r="E550" s="98" t="s">
        <v>320</v>
      </c>
      <c r="F550" s="144" t="s">
        <v>324</v>
      </c>
      <c r="G550" s="110">
        <v>9000.0</v>
      </c>
      <c r="H550" s="107">
        <v>675000.0</v>
      </c>
      <c r="I550" s="108" t="s">
        <v>212</v>
      </c>
      <c r="J550" s="109">
        <v>350000.0</v>
      </c>
      <c r="K550" s="109" t="s">
        <v>806</v>
      </c>
      <c r="L550" s="58">
        <f t="shared" si="50"/>
        <v>325000</v>
      </c>
    </row>
    <row r="551" ht="15.75" customHeight="1">
      <c r="A551" s="118">
        <v>21.0</v>
      </c>
      <c r="B551" s="142">
        <v>45863.0</v>
      </c>
      <c r="C551" s="143" t="s">
        <v>777</v>
      </c>
      <c r="D551" s="143" t="s">
        <v>588</v>
      </c>
      <c r="E551" s="98" t="s">
        <v>242</v>
      </c>
      <c r="F551" s="98" t="s">
        <v>259</v>
      </c>
      <c r="G551" s="110">
        <v>10000.0</v>
      </c>
      <c r="H551" s="107">
        <v>1500000.0</v>
      </c>
      <c r="I551" s="108" t="s">
        <v>238</v>
      </c>
      <c r="J551" s="109">
        <v>850000.0</v>
      </c>
      <c r="K551" s="109" t="s">
        <v>806</v>
      </c>
      <c r="L551" s="58">
        <f t="shared" si="50"/>
        <v>650000</v>
      </c>
    </row>
    <row r="552" ht="15.75" customHeight="1">
      <c r="A552" s="204">
        <v>22.0</v>
      </c>
      <c r="B552" s="142">
        <v>45866.0</v>
      </c>
      <c r="C552" s="143" t="s">
        <v>777</v>
      </c>
      <c r="D552" s="143" t="s">
        <v>588</v>
      </c>
      <c r="E552" s="204" t="s">
        <v>322</v>
      </c>
      <c r="F552" s="204" t="s">
        <v>214</v>
      </c>
      <c r="G552" s="151">
        <v>9000.0</v>
      </c>
      <c r="H552" s="135">
        <v>1350000.0</v>
      </c>
      <c r="I552" s="206" t="s">
        <v>238</v>
      </c>
      <c r="J552" s="207">
        <v>925000.0</v>
      </c>
      <c r="K552" s="109" t="s">
        <v>806</v>
      </c>
      <c r="L552" s="58">
        <f t="shared" si="50"/>
        <v>425000</v>
      </c>
      <c r="M552" s="135">
        <v>75000.0</v>
      </c>
    </row>
    <row r="553" ht="15.75" customHeight="1">
      <c r="A553" s="204">
        <v>23.0</v>
      </c>
      <c r="B553" s="142">
        <v>45867.0</v>
      </c>
      <c r="C553" s="143" t="s">
        <v>777</v>
      </c>
      <c r="D553" s="143" t="s">
        <v>588</v>
      </c>
      <c r="E553" s="204" t="s">
        <v>327</v>
      </c>
      <c r="F553" s="204" t="s">
        <v>331</v>
      </c>
      <c r="G553" s="151">
        <v>9000.0</v>
      </c>
      <c r="H553" s="135">
        <v>1305000.0</v>
      </c>
      <c r="I553" s="115" t="s">
        <v>238</v>
      </c>
      <c r="J553" s="207">
        <v>725000.0</v>
      </c>
      <c r="K553" s="109" t="s">
        <v>806</v>
      </c>
      <c r="L553" s="58">
        <f t="shared" si="50"/>
        <v>580000</v>
      </c>
      <c r="M553" s="202"/>
    </row>
    <row r="554" ht="15.75" customHeight="1">
      <c r="A554" s="204">
        <v>24.0</v>
      </c>
      <c r="B554" s="142">
        <v>45868.0</v>
      </c>
      <c r="C554" s="143" t="s">
        <v>777</v>
      </c>
      <c r="D554" s="143" t="s">
        <v>588</v>
      </c>
      <c r="E554" s="204" t="s">
        <v>327</v>
      </c>
      <c r="F554" s="204" t="s">
        <v>249</v>
      </c>
      <c r="G554" s="151">
        <v>9000.0</v>
      </c>
      <c r="H554" s="135">
        <v>1450000.0</v>
      </c>
      <c r="I554" s="108" t="s">
        <v>212</v>
      </c>
      <c r="J554" s="207">
        <v>900000.0</v>
      </c>
      <c r="K554" s="109" t="s">
        <v>806</v>
      </c>
      <c r="L554" s="58">
        <f t="shared" si="50"/>
        <v>550000</v>
      </c>
    </row>
    <row r="555" ht="15.75" customHeight="1">
      <c r="A555" s="204">
        <v>25.0</v>
      </c>
      <c r="B555" s="142">
        <v>45869.0</v>
      </c>
      <c r="C555" s="143" t="s">
        <v>777</v>
      </c>
      <c r="D555" s="143" t="s">
        <v>588</v>
      </c>
      <c r="E555" s="204" t="s">
        <v>243</v>
      </c>
      <c r="F555" s="204" t="s">
        <v>324</v>
      </c>
      <c r="G555" s="151">
        <v>11000.0</v>
      </c>
      <c r="H555" s="135">
        <v>825000.0</v>
      </c>
      <c r="I555" s="108" t="s">
        <v>212</v>
      </c>
      <c r="J555" s="207">
        <v>400000.0</v>
      </c>
      <c r="K555" s="109" t="s">
        <v>806</v>
      </c>
      <c r="L555" s="58">
        <f t="shared" si="50"/>
        <v>425000</v>
      </c>
    </row>
    <row r="556" ht="15.75" customHeight="1">
      <c r="A556" s="169"/>
      <c r="B556" s="169"/>
      <c r="C556" s="169"/>
      <c r="D556" s="169"/>
      <c r="E556" s="169"/>
      <c r="F556" s="169"/>
      <c r="G556" s="170"/>
      <c r="H556" s="202"/>
      <c r="I556" s="241"/>
      <c r="J556" s="172"/>
      <c r="K556" s="203"/>
      <c r="L556" s="52">
        <f>SUM(L531:L549)</f>
        <v>9815000</v>
      </c>
      <c r="M556" s="30">
        <f>SUM(M531:M553)</f>
        <v>4615000</v>
      </c>
    </row>
    <row r="557" ht="15.75" customHeight="1">
      <c r="A557" s="169"/>
      <c r="B557" s="169"/>
      <c r="C557" s="169"/>
      <c r="D557" s="169"/>
      <c r="E557" s="169"/>
      <c r="F557" s="169"/>
      <c r="G557" s="170"/>
      <c r="H557" s="202"/>
      <c r="I557" s="241"/>
      <c r="J557" s="172"/>
      <c r="K557" s="203"/>
      <c r="L557" s="33">
        <f>L556-M556</f>
        <v>5200000</v>
      </c>
      <c r="M557" s="26"/>
    </row>
    <row r="558" ht="15.75" customHeight="1">
      <c r="A558" s="169"/>
      <c r="B558" s="169"/>
      <c r="C558" s="169"/>
      <c r="D558" s="169"/>
      <c r="E558" s="169"/>
      <c r="F558" s="169"/>
      <c r="G558" s="170"/>
      <c r="H558" s="202"/>
      <c r="I558" s="241"/>
      <c r="J558" s="172"/>
      <c r="K558" s="203"/>
      <c r="M558" s="202"/>
    </row>
    <row r="559" ht="15.75" customHeight="1">
      <c r="A559" s="136" t="s">
        <v>209</v>
      </c>
      <c r="B559" s="136" t="s">
        <v>0</v>
      </c>
      <c r="C559" s="136" t="s">
        <v>1</v>
      </c>
      <c r="D559" s="136" t="s">
        <v>2</v>
      </c>
      <c r="E559" s="137" t="s">
        <v>3</v>
      </c>
      <c r="F559" s="136" t="s">
        <v>4</v>
      </c>
      <c r="G559" s="138" t="s">
        <v>5</v>
      </c>
      <c r="H559" s="139" t="s">
        <v>6</v>
      </c>
      <c r="I559" s="140" t="s">
        <v>39</v>
      </c>
      <c r="J559" s="139" t="s">
        <v>7</v>
      </c>
      <c r="K559" s="138" t="s">
        <v>39</v>
      </c>
      <c r="L559" s="140" t="s">
        <v>8</v>
      </c>
      <c r="M559" s="141" t="s">
        <v>9</v>
      </c>
    </row>
    <row r="560" ht="15.75" customHeight="1">
      <c r="A560" s="17">
        <v>1.0</v>
      </c>
      <c r="B560" s="142">
        <v>45871.0</v>
      </c>
      <c r="C560" s="143" t="s">
        <v>777</v>
      </c>
      <c r="D560" s="143" t="s">
        <v>588</v>
      </c>
      <c r="E560" s="98" t="s">
        <v>242</v>
      </c>
      <c r="F560" s="98" t="s">
        <v>259</v>
      </c>
      <c r="G560" s="110">
        <v>10000.0</v>
      </c>
      <c r="H560" s="107">
        <v>1500000.0</v>
      </c>
      <c r="I560" s="206" t="s">
        <v>238</v>
      </c>
      <c r="J560" s="109">
        <v>850000.0</v>
      </c>
      <c r="K560" s="98" t="s">
        <v>212</v>
      </c>
      <c r="L560" s="58">
        <f t="shared" ref="L560:L578" si="51">H560-J560</f>
        <v>650000</v>
      </c>
      <c r="M560" s="147"/>
    </row>
    <row r="561" ht="15.75" customHeight="1">
      <c r="A561" s="118">
        <v>2.0</v>
      </c>
      <c r="B561" s="142">
        <v>45873.0</v>
      </c>
      <c r="C561" s="143" t="s">
        <v>777</v>
      </c>
      <c r="D561" s="143" t="s">
        <v>588</v>
      </c>
      <c r="E561" s="98" t="s">
        <v>322</v>
      </c>
      <c r="F561" s="144" t="s">
        <v>214</v>
      </c>
      <c r="G561" s="110">
        <v>9000.0</v>
      </c>
      <c r="H561" s="134">
        <v>1350000.0</v>
      </c>
      <c r="I561" s="108" t="s">
        <v>238</v>
      </c>
      <c r="J561" s="134">
        <v>925000.0</v>
      </c>
      <c r="K561" s="98" t="s">
        <v>238</v>
      </c>
      <c r="L561" s="58">
        <f t="shared" si="51"/>
        <v>425000</v>
      </c>
      <c r="M561" s="149"/>
    </row>
    <row r="562" ht="15.75" customHeight="1">
      <c r="A562" s="118">
        <v>3.0</v>
      </c>
      <c r="B562" s="142">
        <v>45875.0</v>
      </c>
      <c r="C562" s="143" t="s">
        <v>777</v>
      </c>
      <c r="D562" s="143" t="s">
        <v>588</v>
      </c>
      <c r="E562" s="98" t="s">
        <v>327</v>
      </c>
      <c r="F562" s="144" t="s">
        <v>333</v>
      </c>
      <c r="G562" s="110">
        <v>9000.0</v>
      </c>
      <c r="H562" s="134">
        <v>1350000.0</v>
      </c>
      <c r="I562" s="206" t="s">
        <v>238</v>
      </c>
      <c r="J562" s="134">
        <v>850000.0</v>
      </c>
      <c r="K562" s="98" t="s">
        <v>212</v>
      </c>
      <c r="L562" s="58">
        <f t="shared" si="51"/>
        <v>500000</v>
      </c>
      <c r="M562" s="149"/>
    </row>
    <row r="563" ht="15.75" customHeight="1">
      <c r="A563" s="118">
        <v>4.0</v>
      </c>
      <c r="B563" s="142">
        <v>45876.0</v>
      </c>
      <c r="C563" s="143" t="s">
        <v>777</v>
      </c>
      <c r="D563" s="143" t="s">
        <v>588</v>
      </c>
      <c r="E563" s="98" t="s">
        <v>327</v>
      </c>
      <c r="F563" s="144" t="s">
        <v>329</v>
      </c>
      <c r="G563" s="151">
        <v>10000.0</v>
      </c>
      <c r="H563" s="134">
        <v>1100000.0</v>
      </c>
      <c r="I563" s="115" t="s">
        <v>238</v>
      </c>
      <c r="J563" s="134">
        <v>600000.0</v>
      </c>
      <c r="K563" s="98" t="s">
        <v>238</v>
      </c>
      <c r="L563" s="58">
        <f t="shared" si="51"/>
        <v>500000</v>
      </c>
      <c r="M563" s="149"/>
    </row>
    <row r="564" ht="15.75" customHeight="1">
      <c r="A564" s="118">
        <v>5.0</v>
      </c>
      <c r="B564" s="142">
        <v>45877.0</v>
      </c>
      <c r="C564" s="143" t="s">
        <v>777</v>
      </c>
      <c r="D564" s="143" t="s">
        <v>588</v>
      </c>
      <c r="E564" s="98" t="s">
        <v>322</v>
      </c>
      <c r="F564" s="144" t="s">
        <v>303</v>
      </c>
      <c r="G564" s="151">
        <v>9000.0</v>
      </c>
      <c r="H564" s="134">
        <v>1215000.0</v>
      </c>
      <c r="I564" s="115" t="s">
        <v>238</v>
      </c>
      <c r="J564" s="134">
        <v>725000.0</v>
      </c>
      <c r="K564" s="98" t="s">
        <v>238</v>
      </c>
      <c r="L564" s="58">
        <f t="shared" si="51"/>
        <v>490000</v>
      </c>
      <c r="M564" s="149"/>
    </row>
    <row r="565" ht="15.75" customHeight="1">
      <c r="A565" s="118">
        <v>6.0</v>
      </c>
      <c r="B565" s="142">
        <v>45878.0</v>
      </c>
      <c r="C565" s="143" t="s">
        <v>777</v>
      </c>
      <c r="D565" s="143" t="s">
        <v>588</v>
      </c>
      <c r="E565" s="98" t="s">
        <v>242</v>
      </c>
      <c r="F565" s="98" t="s">
        <v>332</v>
      </c>
      <c r="G565" s="151">
        <v>10000.0</v>
      </c>
      <c r="H565" s="134">
        <v>850000.0</v>
      </c>
      <c r="I565" s="115" t="s">
        <v>238</v>
      </c>
      <c r="J565" s="134">
        <v>425000.0</v>
      </c>
      <c r="K565" s="98" t="s">
        <v>212</v>
      </c>
      <c r="L565" s="58">
        <f t="shared" si="51"/>
        <v>425000</v>
      </c>
      <c r="M565" s="149"/>
    </row>
    <row r="566" ht="15.75" customHeight="1">
      <c r="A566" s="118">
        <v>7.0</v>
      </c>
      <c r="B566" s="142">
        <v>45880.0</v>
      </c>
      <c r="C566" s="143" t="s">
        <v>777</v>
      </c>
      <c r="D566" s="143" t="s">
        <v>588</v>
      </c>
      <c r="E566" s="98" t="s">
        <v>322</v>
      </c>
      <c r="F566" s="98" t="s">
        <v>249</v>
      </c>
      <c r="G566" s="151">
        <v>9000.0</v>
      </c>
      <c r="H566" s="134">
        <v>1450000.0</v>
      </c>
      <c r="I566" s="108" t="s">
        <v>212</v>
      </c>
      <c r="J566" s="134">
        <v>925000.0</v>
      </c>
      <c r="K566" s="109" t="s">
        <v>212</v>
      </c>
      <c r="L566" s="58">
        <f t="shared" si="51"/>
        <v>525000</v>
      </c>
      <c r="M566" s="149"/>
    </row>
    <row r="567" ht="15.75" customHeight="1">
      <c r="A567" s="118">
        <v>8.0</v>
      </c>
      <c r="B567" s="142">
        <v>45882.0</v>
      </c>
      <c r="C567" s="143" t="s">
        <v>777</v>
      </c>
      <c r="D567" s="143" t="s">
        <v>588</v>
      </c>
      <c r="E567" s="98" t="s">
        <v>327</v>
      </c>
      <c r="F567" s="98" t="s">
        <v>329</v>
      </c>
      <c r="G567" s="151">
        <v>10000.0</v>
      </c>
      <c r="H567" s="134">
        <v>1100000.0</v>
      </c>
      <c r="I567" s="152" t="s">
        <v>238</v>
      </c>
      <c r="J567" s="134">
        <v>600000.0</v>
      </c>
      <c r="K567" s="109" t="s">
        <v>212</v>
      </c>
      <c r="L567" s="58">
        <f t="shared" si="51"/>
        <v>500000</v>
      </c>
      <c r="M567" s="150">
        <v>1817000.0</v>
      </c>
    </row>
    <row r="568" ht="15.75" customHeight="1">
      <c r="A568" s="118">
        <v>9.0</v>
      </c>
      <c r="B568" s="142">
        <v>45883.0</v>
      </c>
      <c r="C568" s="143" t="s">
        <v>777</v>
      </c>
      <c r="D568" s="143" t="s">
        <v>588</v>
      </c>
      <c r="E568" s="98" t="s">
        <v>123</v>
      </c>
      <c r="F568" s="98" t="s">
        <v>316</v>
      </c>
      <c r="G568" s="151">
        <v>9000.0</v>
      </c>
      <c r="H568" s="134">
        <v>720000.0</v>
      </c>
      <c r="I568" s="108" t="s">
        <v>212</v>
      </c>
      <c r="J568" s="134">
        <v>350000.0</v>
      </c>
      <c r="K568" s="109" t="s">
        <v>212</v>
      </c>
      <c r="L568" s="58">
        <f t="shared" si="51"/>
        <v>370000</v>
      </c>
      <c r="M568" s="149"/>
    </row>
    <row r="569" ht="15.75" customHeight="1">
      <c r="A569" s="118">
        <v>10.0</v>
      </c>
      <c r="B569" s="142">
        <v>45884.0</v>
      </c>
      <c r="C569" s="143" t="s">
        <v>777</v>
      </c>
      <c r="D569" s="143" t="s">
        <v>588</v>
      </c>
      <c r="E569" s="98" t="s">
        <v>322</v>
      </c>
      <c r="F569" s="98" t="s">
        <v>339</v>
      </c>
      <c r="G569" s="110">
        <v>9000.0</v>
      </c>
      <c r="H569" s="134">
        <v>975000.0</v>
      </c>
      <c r="I569" s="108" t="s">
        <v>212</v>
      </c>
      <c r="J569" s="109">
        <v>525000.0</v>
      </c>
      <c r="K569" s="98" t="s">
        <v>238</v>
      </c>
      <c r="L569" s="58">
        <f t="shared" si="51"/>
        <v>450000</v>
      </c>
      <c r="M569" s="150">
        <v>50000.0</v>
      </c>
    </row>
    <row r="570" ht="15.75" customHeight="1">
      <c r="A570" s="118">
        <v>11.0</v>
      </c>
      <c r="B570" s="142">
        <v>45885.0</v>
      </c>
      <c r="C570" s="143" t="s">
        <v>777</v>
      </c>
      <c r="D570" s="143" t="s">
        <v>588</v>
      </c>
      <c r="E570" s="98" t="s">
        <v>320</v>
      </c>
      <c r="F570" s="98" t="s">
        <v>302</v>
      </c>
      <c r="G570" s="151">
        <v>10000.0</v>
      </c>
      <c r="H570" s="150">
        <v>900000.0</v>
      </c>
      <c r="I570" s="152" t="s">
        <v>238</v>
      </c>
      <c r="J570" s="121">
        <v>375000.0</v>
      </c>
      <c r="K570" s="98" t="s">
        <v>238</v>
      </c>
      <c r="L570" s="58">
        <f t="shared" si="51"/>
        <v>525000</v>
      </c>
      <c r="M570" s="149"/>
    </row>
    <row r="571" ht="15.75" customHeight="1">
      <c r="A571" s="118">
        <v>12.0</v>
      </c>
      <c r="B571" s="142">
        <v>45887.0</v>
      </c>
      <c r="C571" s="143" t="s">
        <v>777</v>
      </c>
      <c r="D571" s="143" t="s">
        <v>588</v>
      </c>
      <c r="E571" s="98" t="s">
        <v>320</v>
      </c>
      <c r="F571" s="98" t="s">
        <v>249</v>
      </c>
      <c r="G571" s="151">
        <v>10000.0</v>
      </c>
      <c r="H571" s="150">
        <v>1550000.0</v>
      </c>
      <c r="I571" s="108" t="s">
        <v>212</v>
      </c>
      <c r="J571" s="121">
        <v>950000.0</v>
      </c>
      <c r="K571" s="98" t="s">
        <v>238</v>
      </c>
      <c r="L571" s="58">
        <f t="shared" si="51"/>
        <v>600000</v>
      </c>
      <c r="M571" s="150">
        <v>100000.0</v>
      </c>
    </row>
    <row r="572" ht="15.75" customHeight="1">
      <c r="A572" s="118">
        <v>13.0</v>
      </c>
      <c r="B572" s="142">
        <v>45889.0</v>
      </c>
      <c r="C572" s="143" t="s">
        <v>777</v>
      </c>
      <c r="D572" s="143" t="s">
        <v>588</v>
      </c>
      <c r="E572" s="98" t="s">
        <v>350</v>
      </c>
      <c r="F572" s="98" t="s">
        <v>295</v>
      </c>
      <c r="G572" s="151" t="s">
        <v>351</v>
      </c>
      <c r="H572" s="150">
        <v>1300000.0</v>
      </c>
      <c r="I572" s="108" t="s">
        <v>212</v>
      </c>
      <c r="J572" s="121">
        <v>665000.0</v>
      </c>
      <c r="K572" s="109" t="s">
        <v>212</v>
      </c>
      <c r="L572" s="58">
        <f t="shared" si="51"/>
        <v>635000</v>
      </c>
      <c r="M572" s="150">
        <v>32000.0</v>
      </c>
    </row>
    <row r="573" ht="15.75" customHeight="1">
      <c r="A573" s="118">
        <v>14.0</v>
      </c>
      <c r="B573" s="142">
        <v>45890.0</v>
      </c>
      <c r="C573" s="143" t="s">
        <v>777</v>
      </c>
      <c r="D573" s="143" t="s">
        <v>588</v>
      </c>
      <c r="E573" s="98" t="s">
        <v>322</v>
      </c>
      <c r="F573" s="98" t="s">
        <v>295</v>
      </c>
      <c r="G573" s="151">
        <v>9000.0</v>
      </c>
      <c r="H573" s="150">
        <v>1125000.0</v>
      </c>
      <c r="I573" s="108" t="s">
        <v>212</v>
      </c>
      <c r="J573" s="121">
        <v>665000.0</v>
      </c>
      <c r="K573" s="109" t="s">
        <v>212</v>
      </c>
      <c r="L573" s="58">
        <f t="shared" si="51"/>
        <v>460000</v>
      </c>
      <c r="M573" s="149"/>
    </row>
    <row r="574" ht="15.75" customHeight="1">
      <c r="A574" s="118">
        <v>15.0</v>
      </c>
      <c r="B574" s="142">
        <v>45891.0</v>
      </c>
      <c r="C574" s="143" t="s">
        <v>777</v>
      </c>
      <c r="D574" s="143" t="s">
        <v>588</v>
      </c>
      <c r="E574" s="98" t="s">
        <v>322</v>
      </c>
      <c r="F574" s="98" t="s">
        <v>808</v>
      </c>
      <c r="G574" s="151">
        <v>9000.0</v>
      </c>
      <c r="H574" s="150">
        <v>1350000.0</v>
      </c>
      <c r="I574" s="152" t="s">
        <v>809</v>
      </c>
      <c r="J574" s="121">
        <v>850000.0</v>
      </c>
      <c r="K574" s="109" t="s">
        <v>212</v>
      </c>
      <c r="L574" s="58">
        <f t="shared" si="51"/>
        <v>500000</v>
      </c>
      <c r="M574" s="149"/>
    </row>
    <row r="575" ht="15.75" customHeight="1">
      <c r="A575" s="118">
        <v>16.0</v>
      </c>
      <c r="B575" s="142">
        <v>45894.0</v>
      </c>
      <c r="C575" s="143" t="s">
        <v>777</v>
      </c>
      <c r="D575" s="143" t="s">
        <v>588</v>
      </c>
      <c r="E575" s="98" t="s">
        <v>322</v>
      </c>
      <c r="F575" s="98" t="s">
        <v>249</v>
      </c>
      <c r="G575" s="151">
        <v>9000.0</v>
      </c>
      <c r="H575" s="150">
        <v>1450000.0</v>
      </c>
      <c r="I575" s="108" t="s">
        <v>212</v>
      </c>
      <c r="J575" s="121">
        <v>925000.0</v>
      </c>
      <c r="K575" s="109" t="s">
        <v>212</v>
      </c>
      <c r="L575" s="58">
        <f t="shared" si="51"/>
        <v>525000</v>
      </c>
      <c r="M575" s="150"/>
    </row>
    <row r="576" ht="15.75" customHeight="1">
      <c r="A576" s="118">
        <v>17.0</v>
      </c>
      <c r="B576" s="142">
        <v>45896.0</v>
      </c>
      <c r="C576" s="143" t="s">
        <v>777</v>
      </c>
      <c r="D576" s="143" t="s">
        <v>588</v>
      </c>
      <c r="E576" s="98" t="s">
        <v>350</v>
      </c>
      <c r="F576" s="98" t="s">
        <v>295</v>
      </c>
      <c r="G576" s="151" t="s">
        <v>351</v>
      </c>
      <c r="H576" s="150">
        <v>1300000.0</v>
      </c>
      <c r="I576" s="108" t="s">
        <v>212</v>
      </c>
      <c r="J576" s="121">
        <v>715000.0</v>
      </c>
      <c r="K576" s="109" t="s">
        <v>212</v>
      </c>
      <c r="L576" s="58">
        <f t="shared" si="51"/>
        <v>585000</v>
      </c>
      <c r="M576" s="149"/>
    </row>
    <row r="577" ht="15.75" customHeight="1">
      <c r="A577" s="118">
        <v>18.0</v>
      </c>
      <c r="B577" s="142">
        <v>45898.0</v>
      </c>
      <c r="C577" s="143" t="s">
        <v>777</v>
      </c>
      <c r="D577" s="143" t="s">
        <v>588</v>
      </c>
      <c r="E577" s="98" t="s">
        <v>322</v>
      </c>
      <c r="F577" s="98" t="s">
        <v>306</v>
      </c>
      <c r="G577" s="151">
        <v>9000.0</v>
      </c>
      <c r="H577" s="150">
        <v>1035000.0</v>
      </c>
      <c r="I577" s="153"/>
      <c r="J577" s="121">
        <v>665000.0</v>
      </c>
      <c r="K577" s="109" t="s">
        <v>212</v>
      </c>
      <c r="L577" s="58">
        <f t="shared" si="51"/>
        <v>370000</v>
      </c>
      <c r="M577" s="150"/>
    </row>
    <row r="578" ht="15.75" customHeight="1">
      <c r="A578" s="118">
        <v>19.0</v>
      </c>
      <c r="B578" s="142">
        <v>45899.0</v>
      </c>
      <c r="C578" s="143" t="s">
        <v>777</v>
      </c>
      <c r="D578" s="143" t="s">
        <v>588</v>
      </c>
      <c r="E578" s="98" t="s">
        <v>243</v>
      </c>
      <c r="F578" s="98" t="s">
        <v>249</v>
      </c>
      <c r="G578" s="151">
        <v>9000.0</v>
      </c>
      <c r="H578" s="150">
        <v>1450000.0</v>
      </c>
      <c r="I578" s="305"/>
      <c r="J578" s="121">
        <v>900000.0</v>
      </c>
      <c r="K578" s="306"/>
      <c r="L578" s="58">
        <f t="shared" si="51"/>
        <v>550000</v>
      </c>
      <c r="M578" s="150"/>
    </row>
    <row r="579" ht="15.75" customHeight="1">
      <c r="A579" s="118"/>
      <c r="B579" s="7"/>
      <c r="C579" s="7"/>
      <c r="D579" s="7"/>
      <c r="E579" s="17"/>
      <c r="F579" s="17"/>
      <c r="G579" s="170"/>
      <c r="H579" s="149"/>
      <c r="I579" s="184"/>
      <c r="J579" s="121"/>
      <c r="K579" s="17"/>
      <c r="L579" s="52">
        <f t="shared" ref="L579:M579" si="52">SUM(L560:L578)</f>
        <v>9585000</v>
      </c>
      <c r="M579" s="30">
        <f t="shared" si="52"/>
        <v>1999000</v>
      </c>
    </row>
    <row r="580" ht="15.75" customHeight="1">
      <c r="A580" s="21"/>
      <c r="B580" s="7"/>
      <c r="C580" s="7"/>
      <c r="D580" s="7"/>
      <c r="E580" s="17"/>
      <c r="F580" s="17"/>
      <c r="G580" s="170"/>
      <c r="H580" s="149"/>
      <c r="I580" s="184"/>
      <c r="J580" s="121"/>
      <c r="K580" s="17"/>
      <c r="L580" s="33">
        <f>L579-M579</f>
        <v>7586000</v>
      </c>
      <c r="M580" s="26"/>
    </row>
    <row r="581" ht="15.75" customHeight="1"/>
    <row r="582" ht="15.75" customHeight="1">
      <c r="A582" s="136" t="s">
        <v>209</v>
      </c>
      <c r="B582" s="136" t="s">
        <v>0</v>
      </c>
      <c r="C582" s="136" t="s">
        <v>1</v>
      </c>
      <c r="D582" s="136" t="s">
        <v>2</v>
      </c>
      <c r="E582" s="137" t="s">
        <v>3</v>
      </c>
      <c r="F582" s="136" t="s">
        <v>4</v>
      </c>
      <c r="G582" s="138" t="s">
        <v>5</v>
      </c>
      <c r="H582" s="139" t="s">
        <v>6</v>
      </c>
      <c r="I582" s="140" t="s">
        <v>39</v>
      </c>
      <c r="J582" s="139" t="s">
        <v>7</v>
      </c>
      <c r="K582" s="138" t="s">
        <v>39</v>
      </c>
      <c r="L582" s="140" t="s">
        <v>8</v>
      </c>
      <c r="M582" s="141" t="s">
        <v>9</v>
      </c>
    </row>
    <row r="583" ht="15.75" customHeight="1">
      <c r="A583" s="17">
        <v>1.0</v>
      </c>
      <c r="B583" s="142">
        <v>45901.0</v>
      </c>
      <c r="C583" s="143" t="s">
        <v>777</v>
      </c>
      <c r="D583" s="143" t="s">
        <v>588</v>
      </c>
      <c r="E583" s="144"/>
      <c r="F583" s="144"/>
      <c r="G583" s="148"/>
      <c r="H583" s="107"/>
      <c r="I583" s="108"/>
      <c r="J583" s="109"/>
      <c r="K583" s="109"/>
      <c r="L583" s="58"/>
      <c r="M583" s="147"/>
    </row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>
      <c r="K997" s="212"/>
    </row>
  </sheetData>
  <mergeCells count="1">
    <mergeCell ref="I312:K31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16.29"/>
    <col customWidth="1" min="4" max="4" width="12.43"/>
    <col customWidth="1" min="5" max="5" width="24.71"/>
    <col customWidth="1" min="6" max="6" width="28.71"/>
    <col customWidth="1" min="7" max="7" width="15.43"/>
    <col customWidth="1" min="8" max="8" width="17.29"/>
    <col customWidth="1" min="9" max="9" width="8.71"/>
    <col customWidth="1" min="10" max="10" width="17.29"/>
    <col customWidth="1" min="11" max="11" width="8.71"/>
    <col customWidth="1" min="12" max="12" width="16.71"/>
    <col customWidth="1" min="13" max="13" width="15.43"/>
    <col customWidth="1" min="14" max="14" width="28.86"/>
  </cols>
  <sheetData>
    <row r="1" ht="23.25" customHeight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1" t="s">
        <v>39</v>
      </c>
      <c r="J1" s="120" t="s">
        <v>7</v>
      </c>
      <c r="K1" s="91" t="s">
        <v>39</v>
      </c>
      <c r="L1" s="92" t="s">
        <v>8</v>
      </c>
      <c r="M1" s="120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/>
      <c r="B2" s="17"/>
      <c r="C2" s="21"/>
      <c r="D2" s="17"/>
      <c r="E2" s="17"/>
      <c r="F2" s="17"/>
      <c r="G2" s="87"/>
      <c r="H2" s="104"/>
      <c r="I2" s="59"/>
      <c r="J2" s="104"/>
      <c r="K2" s="199"/>
      <c r="L2" s="100"/>
      <c r="M2" s="104">
        <v>900000.0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7"/>
      <c r="B3" s="17" t="s">
        <v>810</v>
      </c>
      <c r="C3" s="17" t="s">
        <v>811</v>
      </c>
      <c r="D3" s="17" t="s">
        <v>314</v>
      </c>
      <c r="E3" s="17" t="s">
        <v>45</v>
      </c>
      <c r="F3" s="17" t="s">
        <v>34</v>
      </c>
      <c r="G3" s="87">
        <v>9000.0</v>
      </c>
      <c r="H3" s="104">
        <v>1215000.0</v>
      </c>
      <c r="I3" s="97" t="s">
        <v>44</v>
      </c>
      <c r="J3" s="104">
        <v>700000.0</v>
      </c>
      <c r="K3" s="58" t="s">
        <v>42</v>
      </c>
      <c r="L3" s="100">
        <f t="shared" ref="L3:L5" si="1">H3-J3</f>
        <v>515000</v>
      </c>
      <c r="M3" s="10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7"/>
      <c r="B4" s="17" t="s">
        <v>812</v>
      </c>
      <c r="C4" s="17" t="s">
        <v>811</v>
      </c>
      <c r="D4" s="17" t="s">
        <v>314</v>
      </c>
      <c r="E4" s="17" t="s">
        <v>40</v>
      </c>
      <c r="F4" s="17" t="s">
        <v>396</v>
      </c>
      <c r="G4" s="87">
        <v>9000.0</v>
      </c>
      <c r="H4" s="104">
        <v>1035000.0</v>
      </c>
      <c r="I4" s="59" t="s">
        <v>42</v>
      </c>
      <c r="J4" s="104">
        <v>600000.0</v>
      </c>
      <c r="K4" s="58" t="s">
        <v>42</v>
      </c>
      <c r="L4" s="100">
        <f t="shared" si="1"/>
        <v>435000</v>
      </c>
      <c r="M4" s="10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/>
      <c r="B5" s="17" t="s">
        <v>813</v>
      </c>
      <c r="C5" s="17" t="s">
        <v>811</v>
      </c>
      <c r="D5" s="17" t="s">
        <v>314</v>
      </c>
      <c r="E5" s="17" t="s">
        <v>40</v>
      </c>
      <c r="F5" s="17" t="s">
        <v>43</v>
      </c>
      <c r="G5" s="87">
        <v>9000.0</v>
      </c>
      <c r="H5" s="104">
        <v>1350000.0</v>
      </c>
      <c r="I5" s="97" t="s">
        <v>44</v>
      </c>
      <c r="J5" s="104">
        <v>800000.0</v>
      </c>
      <c r="K5" s="58" t="s">
        <v>42</v>
      </c>
      <c r="L5" s="100">
        <f t="shared" si="1"/>
        <v>550000</v>
      </c>
      <c r="M5" s="104">
        <v>9660000.0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7"/>
      <c r="B6" s="7"/>
      <c r="C6" s="7"/>
      <c r="D6" s="7"/>
      <c r="E6" s="17"/>
      <c r="F6" s="17"/>
      <c r="G6" s="57"/>
      <c r="H6" s="104"/>
      <c r="I6" s="97"/>
      <c r="J6" s="104"/>
      <c r="K6" s="17"/>
      <c r="L6" s="307">
        <f t="shared" ref="L6:M6" si="2">SUM(L2:L5)</f>
        <v>1500000</v>
      </c>
      <c r="M6" s="308">
        <f t="shared" si="2"/>
        <v>10560000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/>
      <c r="B7" s="7"/>
      <c r="C7" s="7"/>
      <c r="D7" s="7"/>
      <c r="E7" s="17"/>
      <c r="F7" s="17"/>
      <c r="G7" s="57"/>
      <c r="H7" s="104"/>
      <c r="I7" s="97"/>
      <c r="J7" s="104"/>
      <c r="K7" s="17"/>
      <c r="L7" s="309">
        <f>L6-M6</f>
        <v>-9060000</v>
      </c>
      <c r="M7" s="10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7"/>
      <c r="B8" s="7"/>
      <c r="C8" s="7"/>
      <c r="D8" s="7"/>
      <c r="E8" s="17"/>
      <c r="F8" s="17"/>
      <c r="G8" s="57"/>
      <c r="H8" s="104"/>
      <c r="I8" s="97"/>
      <c r="J8" s="104"/>
      <c r="K8" s="17"/>
      <c r="L8" s="7"/>
      <c r="M8" s="10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75" customHeight="1">
      <c r="A9" s="89"/>
      <c r="B9" s="89" t="s">
        <v>0</v>
      </c>
      <c r="C9" s="89" t="s">
        <v>1</v>
      </c>
      <c r="D9" s="89" t="s">
        <v>2</v>
      </c>
      <c r="E9" s="90" t="s">
        <v>3</v>
      </c>
      <c r="F9" s="89" t="s">
        <v>4</v>
      </c>
      <c r="G9" s="91" t="s">
        <v>5</v>
      </c>
      <c r="H9" s="120" t="s">
        <v>6</v>
      </c>
      <c r="I9" s="91" t="s">
        <v>39</v>
      </c>
      <c r="J9" s="120" t="s">
        <v>7</v>
      </c>
      <c r="K9" s="91" t="s">
        <v>39</v>
      </c>
      <c r="L9" s="92" t="s">
        <v>8</v>
      </c>
      <c r="M9" s="120" t="s">
        <v>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/>
      <c r="B10" s="17" t="s">
        <v>139</v>
      </c>
      <c r="C10" s="17" t="s">
        <v>811</v>
      </c>
      <c r="D10" s="17" t="s">
        <v>314</v>
      </c>
      <c r="E10" s="17" t="s">
        <v>383</v>
      </c>
      <c r="F10" s="17" t="s">
        <v>405</v>
      </c>
      <c r="G10" s="87">
        <v>9000.0</v>
      </c>
      <c r="H10" s="104">
        <v>1125000.0</v>
      </c>
      <c r="I10" s="59" t="s">
        <v>42</v>
      </c>
      <c r="J10" s="104">
        <v>640000.0</v>
      </c>
      <c r="K10" s="58" t="s">
        <v>42</v>
      </c>
      <c r="L10" s="100">
        <f t="shared" ref="L10:L36" si="3">H10-J10</f>
        <v>485000</v>
      </c>
      <c r="M10" s="104">
        <v>5472000.0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/>
      <c r="B11" s="17" t="s">
        <v>140</v>
      </c>
      <c r="C11" s="17" t="s">
        <v>811</v>
      </c>
      <c r="D11" s="17" t="s">
        <v>314</v>
      </c>
      <c r="E11" s="17" t="s">
        <v>383</v>
      </c>
      <c r="F11" s="17" t="s">
        <v>814</v>
      </c>
      <c r="G11" s="87">
        <v>9000.0</v>
      </c>
      <c r="H11" s="104">
        <v>1215000.0</v>
      </c>
      <c r="I11" s="97" t="s">
        <v>44</v>
      </c>
      <c r="J11" s="104">
        <v>775000.0</v>
      </c>
      <c r="K11" s="58" t="s">
        <v>42</v>
      </c>
      <c r="L11" s="100">
        <f t="shared" si="3"/>
        <v>440000</v>
      </c>
      <c r="M11" s="10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/>
      <c r="B12" s="17" t="s">
        <v>815</v>
      </c>
      <c r="C12" s="17" t="s">
        <v>811</v>
      </c>
      <c r="D12" s="17" t="s">
        <v>314</v>
      </c>
      <c r="E12" s="17" t="s">
        <v>383</v>
      </c>
      <c r="F12" s="17" t="s">
        <v>405</v>
      </c>
      <c r="G12" s="87">
        <v>9000.0</v>
      </c>
      <c r="H12" s="104">
        <v>1125000.0</v>
      </c>
      <c r="I12" s="59" t="s">
        <v>42</v>
      </c>
      <c r="J12" s="104">
        <v>640000.0</v>
      </c>
      <c r="K12" s="58" t="s">
        <v>42</v>
      </c>
      <c r="L12" s="100">
        <f t="shared" si="3"/>
        <v>485000</v>
      </c>
      <c r="M12" s="104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/>
      <c r="B13" s="17" t="s">
        <v>144</v>
      </c>
      <c r="C13" s="17" t="s">
        <v>811</v>
      </c>
      <c r="D13" s="17" t="s">
        <v>314</v>
      </c>
      <c r="E13" s="17" t="s">
        <v>96</v>
      </c>
      <c r="F13" s="17" t="s">
        <v>405</v>
      </c>
      <c r="G13" s="87">
        <v>9000.0</v>
      </c>
      <c r="H13" s="104">
        <v>1125000.0</v>
      </c>
      <c r="I13" s="59" t="s">
        <v>42</v>
      </c>
      <c r="J13" s="104">
        <v>640000.0</v>
      </c>
      <c r="K13" s="58" t="s">
        <v>42</v>
      </c>
      <c r="L13" s="100">
        <f t="shared" si="3"/>
        <v>485000</v>
      </c>
      <c r="M13" s="104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7"/>
      <c r="B14" s="17" t="s">
        <v>146</v>
      </c>
      <c r="C14" s="17" t="s">
        <v>811</v>
      </c>
      <c r="D14" s="17" t="s">
        <v>314</v>
      </c>
      <c r="E14" s="17" t="s">
        <v>383</v>
      </c>
      <c r="F14" s="17" t="s">
        <v>405</v>
      </c>
      <c r="G14" s="87">
        <v>9000.0</v>
      </c>
      <c r="H14" s="104">
        <v>1125000.0</v>
      </c>
      <c r="I14" s="59" t="s">
        <v>42</v>
      </c>
      <c r="J14" s="104">
        <v>640000.0</v>
      </c>
      <c r="K14" s="58" t="s">
        <v>42</v>
      </c>
      <c r="L14" s="100">
        <f t="shared" si="3"/>
        <v>485000</v>
      </c>
      <c r="M14" s="104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/>
      <c r="B15" s="17" t="s">
        <v>147</v>
      </c>
      <c r="C15" s="17" t="s">
        <v>811</v>
      </c>
      <c r="D15" s="17" t="s">
        <v>314</v>
      </c>
      <c r="E15" s="17" t="s">
        <v>383</v>
      </c>
      <c r="F15" s="17" t="s">
        <v>405</v>
      </c>
      <c r="G15" s="87">
        <v>9000.0</v>
      </c>
      <c r="H15" s="104">
        <v>1125000.0</v>
      </c>
      <c r="I15" s="59" t="s">
        <v>42</v>
      </c>
      <c r="J15" s="104">
        <v>640000.0</v>
      </c>
      <c r="K15" s="58" t="s">
        <v>42</v>
      </c>
      <c r="L15" s="100">
        <f t="shared" si="3"/>
        <v>485000</v>
      </c>
      <c r="M15" s="10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/>
      <c r="B16" s="17" t="s">
        <v>149</v>
      </c>
      <c r="C16" s="17" t="s">
        <v>811</v>
      </c>
      <c r="D16" s="17" t="s">
        <v>314</v>
      </c>
      <c r="E16" s="17" t="s">
        <v>92</v>
      </c>
      <c r="F16" s="17" t="s">
        <v>43</v>
      </c>
      <c r="G16" s="87">
        <v>10000.0</v>
      </c>
      <c r="H16" s="104">
        <v>1500000.0</v>
      </c>
      <c r="I16" s="97" t="s">
        <v>44</v>
      </c>
      <c r="J16" s="104">
        <v>850000.0</v>
      </c>
      <c r="K16" s="58" t="s">
        <v>42</v>
      </c>
      <c r="L16" s="100">
        <f t="shared" si="3"/>
        <v>650000</v>
      </c>
      <c r="M16" s="10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/>
      <c r="B17" s="17" t="s">
        <v>150</v>
      </c>
      <c r="C17" s="17" t="s">
        <v>811</v>
      </c>
      <c r="D17" s="17" t="s">
        <v>314</v>
      </c>
      <c r="E17" s="17" t="s">
        <v>383</v>
      </c>
      <c r="F17" s="17" t="s">
        <v>87</v>
      </c>
      <c r="G17" s="87">
        <v>9000.0</v>
      </c>
      <c r="H17" s="104">
        <v>1400000.0</v>
      </c>
      <c r="I17" s="59" t="s">
        <v>42</v>
      </c>
      <c r="J17" s="104">
        <v>900000.0</v>
      </c>
      <c r="K17" s="58" t="s">
        <v>42</v>
      </c>
      <c r="L17" s="100">
        <f t="shared" si="3"/>
        <v>500000</v>
      </c>
      <c r="M17" s="10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/>
      <c r="B18" s="17" t="s">
        <v>151</v>
      </c>
      <c r="C18" s="17" t="s">
        <v>811</v>
      </c>
      <c r="D18" s="17" t="s">
        <v>314</v>
      </c>
      <c r="E18" s="17" t="s">
        <v>383</v>
      </c>
      <c r="F18" s="17" t="s">
        <v>405</v>
      </c>
      <c r="G18" s="87">
        <v>9000.0</v>
      </c>
      <c r="H18" s="104">
        <v>1125000.0</v>
      </c>
      <c r="I18" s="59" t="s">
        <v>42</v>
      </c>
      <c r="J18" s="104">
        <v>640000.0</v>
      </c>
      <c r="K18" s="58" t="s">
        <v>42</v>
      </c>
      <c r="L18" s="100">
        <f t="shared" si="3"/>
        <v>485000</v>
      </c>
      <c r="M18" s="10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"/>
      <c r="B19" s="17" t="s">
        <v>816</v>
      </c>
      <c r="C19" s="17" t="s">
        <v>811</v>
      </c>
      <c r="D19" s="17" t="s">
        <v>314</v>
      </c>
      <c r="E19" s="17" t="s">
        <v>96</v>
      </c>
      <c r="F19" s="17" t="s">
        <v>196</v>
      </c>
      <c r="G19" s="87">
        <v>9000.0</v>
      </c>
      <c r="H19" s="104">
        <v>1450000.0</v>
      </c>
      <c r="I19" s="97" t="s">
        <v>44</v>
      </c>
      <c r="J19" s="104">
        <v>900000.0</v>
      </c>
      <c r="K19" s="58" t="s">
        <v>42</v>
      </c>
      <c r="L19" s="100">
        <f t="shared" si="3"/>
        <v>550000</v>
      </c>
      <c r="M19" s="104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7"/>
      <c r="B20" s="17" t="s">
        <v>153</v>
      </c>
      <c r="C20" s="17" t="s">
        <v>811</v>
      </c>
      <c r="D20" s="17" t="s">
        <v>314</v>
      </c>
      <c r="E20" s="17" t="s">
        <v>383</v>
      </c>
      <c r="F20" s="17" t="s">
        <v>817</v>
      </c>
      <c r="G20" s="87">
        <v>9000.0</v>
      </c>
      <c r="H20" s="104">
        <v>990000.0</v>
      </c>
      <c r="I20" s="59" t="s">
        <v>42</v>
      </c>
      <c r="J20" s="104">
        <v>550000.0</v>
      </c>
      <c r="K20" s="17" t="s">
        <v>44</v>
      </c>
      <c r="L20" s="100">
        <f t="shared" si="3"/>
        <v>440000</v>
      </c>
      <c r="M20" s="104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7"/>
      <c r="B21" s="17" t="s">
        <v>458</v>
      </c>
      <c r="C21" s="17" t="s">
        <v>811</v>
      </c>
      <c r="D21" s="17" t="s">
        <v>314</v>
      </c>
      <c r="E21" s="17" t="s">
        <v>383</v>
      </c>
      <c r="F21" s="17" t="s">
        <v>818</v>
      </c>
      <c r="G21" s="87">
        <v>4500.0</v>
      </c>
      <c r="H21" s="104">
        <v>338000.0</v>
      </c>
      <c r="I21" s="59" t="s">
        <v>42</v>
      </c>
      <c r="J21" s="104">
        <v>171000.0</v>
      </c>
      <c r="K21" s="58" t="s">
        <v>42</v>
      </c>
      <c r="L21" s="100">
        <f t="shared" si="3"/>
        <v>167000</v>
      </c>
      <c r="M21" s="104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7"/>
      <c r="B22" s="17" t="s">
        <v>458</v>
      </c>
      <c r="C22" s="17" t="s">
        <v>811</v>
      </c>
      <c r="D22" s="17" t="s">
        <v>314</v>
      </c>
      <c r="E22" s="17" t="s">
        <v>383</v>
      </c>
      <c r="F22" s="17" t="s">
        <v>819</v>
      </c>
      <c r="G22" s="87">
        <v>4500.0</v>
      </c>
      <c r="H22" s="104">
        <v>400000.0</v>
      </c>
      <c r="I22" s="59" t="s">
        <v>42</v>
      </c>
      <c r="J22" s="104">
        <v>254000.0</v>
      </c>
      <c r="K22" s="58" t="s">
        <v>42</v>
      </c>
      <c r="L22" s="100">
        <f t="shared" si="3"/>
        <v>146000</v>
      </c>
      <c r="M22" s="104">
        <v>440000.0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7"/>
      <c r="B23" s="17" t="s">
        <v>459</v>
      </c>
      <c r="C23" s="17" t="s">
        <v>811</v>
      </c>
      <c r="D23" s="17" t="s">
        <v>314</v>
      </c>
      <c r="E23" s="17" t="s">
        <v>96</v>
      </c>
      <c r="F23" s="17" t="s">
        <v>196</v>
      </c>
      <c r="G23" s="87">
        <v>9000.0</v>
      </c>
      <c r="H23" s="104">
        <v>1440000.0</v>
      </c>
      <c r="I23" s="97" t="s">
        <v>44</v>
      </c>
      <c r="J23" s="104">
        <v>900000.0</v>
      </c>
      <c r="K23" s="58" t="s">
        <v>42</v>
      </c>
      <c r="L23" s="100">
        <f t="shared" si="3"/>
        <v>540000</v>
      </c>
      <c r="M23" s="104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7"/>
      <c r="B24" s="17" t="s">
        <v>460</v>
      </c>
      <c r="C24" s="17" t="s">
        <v>811</v>
      </c>
      <c r="D24" s="17" t="s">
        <v>314</v>
      </c>
      <c r="E24" s="17" t="s">
        <v>383</v>
      </c>
      <c r="F24" s="17" t="s">
        <v>814</v>
      </c>
      <c r="G24" s="87">
        <v>9000.0</v>
      </c>
      <c r="H24" s="104">
        <v>1215000.0</v>
      </c>
      <c r="I24" s="97" t="s">
        <v>44</v>
      </c>
      <c r="J24" s="104">
        <v>775000.0</v>
      </c>
      <c r="K24" s="17" t="s">
        <v>44</v>
      </c>
      <c r="L24" s="100">
        <f t="shared" si="3"/>
        <v>440000</v>
      </c>
      <c r="M24" s="104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7"/>
      <c r="B25" s="17" t="s">
        <v>155</v>
      </c>
      <c r="C25" s="17" t="s">
        <v>811</v>
      </c>
      <c r="D25" s="17" t="s">
        <v>314</v>
      </c>
      <c r="E25" s="17" t="s">
        <v>92</v>
      </c>
      <c r="F25" s="17" t="s">
        <v>175</v>
      </c>
      <c r="G25" s="87">
        <v>9000.0</v>
      </c>
      <c r="H25" s="104">
        <v>1100000.0</v>
      </c>
      <c r="I25" s="97" t="s">
        <v>44</v>
      </c>
      <c r="J25" s="104">
        <v>650000.0</v>
      </c>
      <c r="K25" s="17" t="s">
        <v>44</v>
      </c>
      <c r="L25" s="100">
        <f t="shared" si="3"/>
        <v>450000</v>
      </c>
      <c r="M25" s="10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7"/>
      <c r="B26" s="17" t="s">
        <v>156</v>
      </c>
      <c r="C26" s="17" t="s">
        <v>811</v>
      </c>
      <c r="D26" s="17" t="s">
        <v>314</v>
      </c>
      <c r="E26" s="17" t="s">
        <v>383</v>
      </c>
      <c r="F26" s="17" t="s">
        <v>627</v>
      </c>
      <c r="G26" s="87">
        <v>9000.0</v>
      </c>
      <c r="H26" s="104">
        <v>800000.0</v>
      </c>
      <c r="I26" s="97" t="s">
        <v>44</v>
      </c>
      <c r="J26" s="104">
        <v>450000.0</v>
      </c>
      <c r="K26" s="17" t="s">
        <v>44</v>
      </c>
      <c r="L26" s="100">
        <f t="shared" si="3"/>
        <v>350000</v>
      </c>
      <c r="M26" s="104">
        <v>315000.0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7"/>
      <c r="B27" s="17" t="s">
        <v>158</v>
      </c>
      <c r="C27" s="17" t="s">
        <v>811</v>
      </c>
      <c r="D27" s="17" t="s">
        <v>314</v>
      </c>
      <c r="E27" s="17" t="s">
        <v>71</v>
      </c>
      <c r="F27" s="17" t="s">
        <v>818</v>
      </c>
      <c r="G27" s="87">
        <v>10000.0</v>
      </c>
      <c r="H27" s="104">
        <v>800000.0</v>
      </c>
      <c r="I27" s="59" t="s">
        <v>42</v>
      </c>
      <c r="J27" s="104">
        <v>375000.0</v>
      </c>
      <c r="K27" s="17" t="s">
        <v>44</v>
      </c>
      <c r="L27" s="100">
        <f t="shared" si="3"/>
        <v>425000</v>
      </c>
      <c r="M27" s="10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7"/>
      <c r="B28" s="17" t="s">
        <v>158</v>
      </c>
      <c r="C28" s="17" t="s">
        <v>811</v>
      </c>
      <c r="D28" s="17" t="s">
        <v>314</v>
      </c>
      <c r="E28" s="17" t="s">
        <v>96</v>
      </c>
      <c r="F28" s="17" t="s">
        <v>434</v>
      </c>
      <c r="G28" s="87">
        <v>9000.0</v>
      </c>
      <c r="H28" s="104">
        <v>1035000.0</v>
      </c>
      <c r="I28" s="59" t="s">
        <v>42</v>
      </c>
      <c r="J28" s="104">
        <v>600000.0</v>
      </c>
      <c r="K28" s="199" t="s">
        <v>42</v>
      </c>
      <c r="L28" s="100">
        <f t="shared" si="3"/>
        <v>435000</v>
      </c>
      <c r="M28" s="104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7"/>
      <c r="B29" s="17" t="s">
        <v>159</v>
      </c>
      <c r="C29" s="17" t="s">
        <v>811</v>
      </c>
      <c r="D29" s="17" t="s">
        <v>314</v>
      </c>
      <c r="E29" s="17" t="s">
        <v>85</v>
      </c>
      <c r="F29" s="17" t="s">
        <v>463</v>
      </c>
      <c r="G29" s="87">
        <v>9000.0</v>
      </c>
      <c r="H29" s="104">
        <v>1170000.0</v>
      </c>
      <c r="I29" s="59" t="s">
        <v>42</v>
      </c>
      <c r="J29" s="104">
        <v>640000.0</v>
      </c>
      <c r="K29" s="58" t="s">
        <v>42</v>
      </c>
      <c r="L29" s="100">
        <f t="shared" si="3"/>
        <v>530000</v>
      </c>
      <c r="M29" s="104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7"/>
      <c r="B30" s="17" t="s">
        <v>160</v>
      </c>
      <c r="C30" s="17" t="s">
        <v>811</v>
      </c>
      <c r="D30" s="17" t="s">
        <v>314</v>
      </c>
      <c r="E30" s="17" t="s">
        <v>404</v>
      </c>
      <c r="F30" s="17" t="s">
        <v>109</v>
      </c>
      <c r="G30" s="87">
        <v>9000.0</v>
      </c>
      <c r="H30" s="104">
        <v>720000.0</v>
      </c>
      <c r="I30" s="59" t="s">
        <v>42</v>
      </c>
      <c r="J30" s="104">
        <v>350000.0</v>
      </c>
      <c r="K30" s="58" t="s">
        <v>42</v>
      </c>
      <c r="L30" s="100">
        <f t="shared" si="3"/>
        <v>370000</v>
      </c>
      <c r="M30" s="104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7"/>
      <c r="B31" s="17" t="s">
        <v>160</v>
      </c>
      <c r="C31" s="17" t="s">
        <v>811</v>
      </c>
      <c r="D31" s="17" t="s">
        <v>314</v>
      </c>
      <c r="E31" s="17" t="s">
        <v>96</v>
      </c>
      <c r="F31" s="17" t="s">
        <v>76</v>
      </c>
      <c r="G31" s="87">
        <v>9000.0</v>
      </c>
      <c r="H31" s="104">
        <v>1350000.0</v>
      </c>
      <c r="I31" s="59" t="s">
        <v>42</v>
      </c>
      <c r="J31" s="104">
        <v>875000.0</v>
      </c>
      <c r="K31" s="58" t="s">
        <v>42</v>
      </c>
      <c r="L31" s="100">
        <f t="shared" si="3"/>
        <v>475000</v>
      </c>
      <c r="M31" s="104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7"/>
      <c r="B32" s="17" t="s">
        <v>163</v>
      </c>
      <c r="C32" s="17" t="s">
        <v>811</v>
      </c>
      <c r="D32" s="17" t="s">
        <v>314</v>
      </c>
      <c r="E32" s="17" t="s">
        <v>85</v>
      </c>
      <c r="F32" s="17" t="s">
        <v>76</v>
      </c>
      <c r="G32" s="87">
        <v>9000.0</v>
      </c>
      <c r="H32" s="104">
        <v>1350000.0</v>
      </c>
      <c r="I32" s="59" t="s">
        <v>42</v>
      </c>
      <c r="J32" s="104">
        <v>875000.0</v>
      </c>
      <c r="K32" s="58" t="s">
        <v>42</v>
      </c>
      <c r="L32" s="100">
        <f t="shared" si="3"/>
        <v>475000</v>
      </c>
      <c r="M32" s="104">
        <v>2080000.0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7"/>
      <c r="B33" s="17" t="s">
        <v>164</v>
      </c>
      <c r="C33" s="17" t="s">
        <v>811</v>
      </c>
      <c r="D33" s="17" t="s">
        <v>314</v>
      </c>
      <c r="E33" s="17" t="s">
        <v>383</v>
      </c>
      <c r="F33" s="17" t="s">
        <v>818</v>
      </c>
      <c r="G33" s="87">
        <v>9000.0</v>
      </c>
      <c r="H33" s="104">
        <v>675000.0</v>
      </c>
      <c r="I33" s="59" t="s">
        <v>42</v>
      </c>
      <c r="J33" s="104">
        <v>425000.0</v>
      </c>
      <c r="K33" s="58" t="s">
        <v>42</v>
      </c>
      <c r="L33" s="100">
        <f t="shared" si="3"/>
        <v>250000</v>
      </c>
      <c r="M33" s="104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7"/>
      <c r="B34" s="17" t="s">
        <v>164</v>
      </c>
      <c r="C34" s="17" t="s">
        <v>811</v>
      </c>
      <c r="D34" s="17" t="s">
        <v>314</v>
      </c>
      <c r="E34" s="17" t="s">
        <v>96</v>
      </c>
      <c r="F34" s="17" t="s">
        <v>434</v>
      </c>
      <c r="G34" s="87">
        <v>9000.0</v>
      </c>
      <c r="H34" s="104">
        <v>1035000.0</v>
      </c>
      <c r="I34" s="97" t="s">
        <v>44</v>
      </c>
      <c r="J34" s="104">
        <v>600000.0</v>
      </c>
      <c r="K34" s="58" t="s">
        <v>42</v>
      </c>
      <c r="L34" s="100">
        <f t="shared" si="3"/>
        <v>435000</v>
      </c>
      <c r="M34" s="10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7"/>
      <c r="B35" s="17" t="s">
        <v>166</v>
      </c>
      <c r="C35" s="17" t="s">
        <v>811</v>
      </c>
      <c r="D35" s="17" t="s">
        <v>314</v>
      </c>
      <c r="E35" s="17" t="s">
        <v>85</v>
      </c>
      <c r="F35" s="17" t="s">
        <v>820</v>
      </c>
      <c r="G35" s="87">
        <v>9000.0</v>
      </c>
      <c r="H35" s="104">
        <v>990000.0</v>
      </c>
      <c r="I35" s="97" t="s">
        <v>44</v>
      </c>
      <c r="J35" s="104">
        <v>550000.0</v>
      </c>
      <c r="K35" s="17" t="s">
        <v>44</v>
      </c>
      <c r="L35" s="100">
        <f t="shared" si="3"/>
        <v>440000</v>
      </c>
      <c r="M35" s="104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7"/>
      <c r="B36" s="17" t="s">
        <v>464</v>
      </c>
      <c r="C36" s="17" t="s">
        <v>811</v>
      </c>
      <c r="D36" s="17" t="s">
        <v>314</v>
      </c>
      <c r="E36" s="17" t="s">
        <v>96</v>
      </c>
      <c r="F36" s="17" t="s">
        <v>107</v>
      </c>
      <c r="G36" s="87">
        <v>9000.0</v>
      </c>
      <c r="H36" s="104">
        <v>1125000.0</v>
      </c>
      <c r="I36" s="97" t="s">
        <v>44</v>
      </c>
      <c r="J36" s="104">
        <v>640000.0</v>
      </c>
      <c r="K36" s="17" t="s">
        <v>44</v>
      </c>
      <c r="L36" s="100">
        <f t="shared" si="3"/>
        <v>485000</v>
      </c>
      <c r="M36" s="10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7"/>
      <c r="B37" s="7"/>
      <c r="C37" s="7"/>
      <c r="D37" s="7"/>
      <c r="E37" s="17"/>
      <c r="F37" s="17"/>
      <c r="G37" s="57"/>
      <c r="H37" s="104"/>
      <c r="I37" s="227"/>
      <c r="J37" s="104"/>
      <c r="K37" s="199"/>
      <c r="L37" s="307">
        <f>SUM(L10:L36)</f>
        <v>11903000</v>
      </c>
      <c r="M37" s="308">
        <f>SUM(M9:M36)</f>
        <v>8307000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7"/>
      <c r="B38" s="7"/>
      <c r="C38" s="7"/>
      <c r="D38" s="7"/>
      <c r="E38" s="17"/>
      <c r="F38" s="17"/>
      <c r="G38" s="57"/>
      <c r="H38" s="104"/>
      <c r="I38" s="227"/>
      <c r="J38" s="104"/>
      <c r="K38" s="199"/>
      <c r="L38" s="309">
        <f>L37-M37</f>
        <v>3596000</v>
      </c>
      <c r="M38" s="104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7"/>
      <c r="B39" s="7"/>
      <c r="C39" s="7"/>
      <c r="D39" s="7"/>
      <c r="E39" s="17"/>
      <c r="F39" s="17"/>
      <c r="G39" s="57"/>
      <c r="H39" s="104"/>
      <c r="I39" s="97"/>
      <c r="J39" s="104"/>
      <c r="K39" s="17"/>
      <c r="L39" s="7"/>
      <c r="M39" s="104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75" customHeight="1">
      <c r="A40" s="89"/>
      <c r="B40" s="89" t="s">
        <v>0</v>
      </c>
      <c r="C40" s="89" t="s">
        <v>1</v>
      </c>
      <c r="D40" s="89" t="s">
        <v>2</v>
      </c>
      <c r="E40" s="90" t="s">
        <v>3</v>
      </c>
      <c r="F40" s="89" t="s">
        <v>4</v>
      </c>
      <c r="G40" s="91" t="s">
        <v>5</v>
      </c>
      <c r="H40" s="120" t="s">
        <v>6</v>
      </c>
      <c r="I40" s="92" t="s">
        <v>39</v>
      </c>
      <c r="J40" s="120" t="s">
        <v>7</v>
      </c>
      <c r="K40" s="91" t="s">
        <v>39</v>
      </c>
      <c r="L40" s="92" t="s">
        <v>8</v>
      </c>
      <c r="M40" s="120" t="s">
        <v>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7"/>
      <c r="B41" s="17" t="s">
        <v>762</v>
      </c>
      <c r="C41" s="17" t="s">
        <v>811</v>
      </c>
      <c r="D41" s="17" t="s">
        <v>314</v>
      </c>
      <c r="E41" s="17" t="s">
        <v>40</v>
      </c>
      <c r="F41" s="17" t="s">
        <v>821</v>
      </c>
      <c r="G41" s="87">
        <v>9000.0</v>
      </c>
      <c r="H41" s="101">
        <v>1400000.0</v>
      </c>
      <c r="I41" s="59" t="s">
        <v>42</v>
      </c>
      <c r="J41" s="101">
        <v>850000.0</v>
      </c>
      <c r="K41" s="17" t="s">
        <v>44</v>
      </c>
      <c r="L41" s="58">
        <f t="shared" ref="L41:L60" si="4">H41-J41</f>
        <v>550000</v>
      </c>
      <c r="M41" s="101">
        <v>0.0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7"/>
      <c r="B42" s="17" t="s">
        <v>168</v>
      </c>
      <c r="C42" s="17" t="s">
        <v>811</v>
      </c>
      <c r="D42" s="17" t="s">
        <v>314</v>
      </c>
      <c r="E42" s="17" t="s">
        <v>40</v>
      </c>
      <c r="F42" s="17" t="s">
        <v>54</v>
      </c>
      <c r="G42" s="87">
        <v>9000.0</v>
      </c>
      <c r="H42" s="101">
        <v>1200000.0</v>
      </c>
      <c r="I42" s="97" t="s">
        <v>44</v>
      </c>
      <c r="J42" s="101">
        <v>640000.0</v>
      </c>
      <c r="K42" s="17" t="s">
        <v>44</v>
      </c>
      <c r="L42" s="58">
        <f t="shared" si="4"/>
        <v>560000</v>
      </c>
      <c r="M42" s="101">
        <v>0.0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7"/>
      <c r="B43" s="17" t="s">
        <v>171</v>
      </c>
      <c r="C43" s="17" t="s">
        <v>811</v>
      </c>
      <c r="D43" s="17" t="s">
        <v>314</v>
      </c>
      <c r="E43" s="17" t="s">
        <v>383</v>
      </c>
      <c r="F43" s="17" t="s">
        <v>72</v>
      </c>
      <c r="G43" s="87">
        <v>9000.0</v>
      </c>
      <c r="H43" s="101">
        <v>1215000.0</v>
      </c>
      <c r="I43" s="97" t="s">
        <v>44</v>
      </c>
      <c r="J43" s="101">
        <v>750000.0</v>
      </c>
      <c r="K43" s="17" t="s">
        <v>44</v>
      </c>
      <c r="L43" s="58">
        <f t="shared" si="4"/>
        <v>465000</v>
      </c>
      <c r="M43" s="101">
        <v>0.0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7"/>
      <c r="B44" s="17" t="s">
        <v>173</v>
      </c>
      <c r="C44" s="17" t="s">
        <v>811</v>
      </c>
      <c r="D44" s="17" t="s">
        <v>314</v>
      </c>
      <c r="E44" s="17" t="s">
        <v>40</v>
      </c>
      <c r="F44" s="17" t="s">
        <v>43</v>
      </c>
      <c r="G44" s="87">
        <v>9000.0</v>
      </c>
      <c r="H44" s="101">
        <v>1350000.0</v>
      </c>
      <c r="I44" s="97" t="s">
        <v>44</v>
      </c>
      <c r="J44" s="101">
        <v>800000.0</v>
      </c>
      <c r="K44" s="17" t="s">
        <v>44</v>
      </c>
      <c r="L44" s="58">
        <f t="shared" si="4"/>
        <v>550000</v>
      </c>
      <c r="M44" s="101">
        <v>0.0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7"/>
      <c r="B45" s="17" t="s">
        <v>174</v>
      </c>
      <c r="C45" s="17" t="s">
        <v>811</v>
      </c>
      <c r="D45" s="17" t="s">
        <v>314</v>
      </c>
      <c r="E45" s="17" t="s">
        <v>383</v>
      </c>
      <c r="F45" s="17" t="s">
        <v>102</v>
      </c>
      <c r="G45" s="87">
        <v>9000.0</v>
      </c>
      <c r="H45" s="101">
        <v>1400000.0</v>
      </c>
      <c r="I45" s="59" t="s">
        <v>42</v>
      </c>
      <c r="J45" s="101">
        <v>950000.0</v>
      </c>
      <c r="K45" s="17" t="s">
        <v>44</v>
      </c>
      <c r="L45" s="58">
        <f t="shared" si="4"/>
        <v>450000</v>
      </c>
      <c r="M45" s="101">
        <v>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7"/>
      <c r="B46" s="17" t="s">
        <v>176</v>
      </c>
      <c r="C46" s="17" t="s">
        <v>811</v>
      </c>
      <c r="D46" s="17" t="s">
        <v>314</v>
      </c>
      <c r="E46" s="17" t="s">
        <v>30</v>
      </c>
      <c r="F46" s="17" t="s">
        <v>407</v>
      </c>
      <c r="G46" s="87">
        <v>9000.0</v>
      </c>
      <c r="H46" s="101">
        <v>800000.0</v>
      </c>
      <c r="I46" s="97" t="s">
        <v>44</v>
      </c>
      <c r="J46" s="101">
        <v>350000.0</v>
      </c>
      <c r="K46" s="58" t="s">
        <v>42</v>
      </c>
      <c r="L46" s="58">
        <f t="shared" si="4"/>
        <v>450000</v>
      </c>
      <c r="M46" s="101">
        <v>0.0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7"/>
      <c r="B47" s="17" t="s">
        <v>177</v>
      </c>
      <c r="C47" s="17" t="s">
        <v>811</v>
      </c>
      <c r="D47" s="17" t="s">
        <v>314</v>
      </c>
      <c r="E47" s="17" t="s">
        <v>40</v>
      </c>
      <c r="F47" s="17" t="s">
        <v>54</v>
      </c>
      <c r="G47" s="87">
        <v>9000.0</v>
      </c>
      <c r="H47" s="101">
        <v>1200000.0</v>
      </c>
      <c r="I47" s="59" t="s">
        <v>42</v>
      </c>
      <c r="J47" s="101">
        <v>640000.0</v>
      </c>
      <c r="K47" s="58" t="s">
        <v>42</v>
      </c>
      <c r="L47" s="58">
        <f t="shared" si="4"/>
        <v>560000</v>
      </c>
      <c r="M47" s="101">
        <v>0.0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7"/>
      <c r="B48" s="17" t="s">
        <v>180</v>
      </c>
      <c r="C48" s="17" t="s">
        <v>811</v>
      </c>
      <c r="D48" s="17" t="s">
        <v>314</v>
      </c>
      <c r="E48" s="17" t="s">
        <v>40</v>
      </c>
      <c r="F48" s="17" t="s">
        <v>821</v>
      </c>
      <c r="G48" s="87">
        <v>9000.0</v>
      </c>
      <c r="H48" s="101">
        <v>1400000.0</v>
      </c>
      <c r="I48" s="97" t="s">
        <v>44</v>
      </c>
      <c r="J48" s="101">
        <v>850000.0</v>
      </c>
      <c r="K48" s="58" t="s">
        <v>42</v>
      </c>
      <c r="L48" s="58">
        <f t="shared" si="4"/>
        <v>550000</v>
      </c>
      <c r="M48" s="101">
        <v>0.0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7"/>
      <c r="B49" s="17" t="s">
        <v>181</v>
      </c>
      <c r="C49" s="17" t="s">
        <v>811</v>
      </c>
      <c r="D49" s="17" t="s">
        <v>314</v>
      </c>
      <c r="E49" s="17" t="s">
        <v>123</v>
      </c>
      <c r="F49" s="17" t="s">
        <v>109</v>
      </c>
      <c r="G49" s="87">
        <v>9000.0</v>
      </c>
      <c r="H49" s="101">
        <v>720000.0</v>
      </c>
      <c r="I49" s="59" t="s">
        <v>42</v>
      </c>
      <c r="J49" s="101">
        <v>350000.0</v>
      </c>
      <c r="K49" s="58" t="s">
        <v>42</v>
      </c>
      <c r="L49" s="58">
        <f t="shared" si="4"/>
        <v>370000</v>
      </c>
      <c r="M49" s="101">
        <v>0.0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7"/>
      <c r="B50" s="17" t="s">
        <v>181</v>
      </c>
      <c r="C50" s="17" t="s">
        <v>811</v>
      </c>
      <c r="D50" s="17" t="s">
        <v>314</v>
      </c>
      <c r="E50" s="17" t="s">
        <v>40</v>
      </c>
      <c r="F50" s="17" t="s">
        <v>822</v>
      </c>
      <c r="G50" s="87">
        <v>9000.0</v>
      </c>
      <c r="H50" s="101">
        <v>990000.0</v>
      </c>
      <c r="I50" s="59" t="s">
        <v>42</v>
      </c>
      <c r="J50" s="101">
        <v>500000.0</v>
      </c>
      <c r="K50" s="58" t="s">
        <v>42</v>
      </c>
      <c r="L50" s="58">
        <f t="shared" si="4"/>
        <v>490000</v>
      </c>
      <c r="M50" s="101">
        <v>0.0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7"/>
      <c r="B51" s="17" t="s">
        <v>185</v>
      </c>
      <c r="C51" s="17" t="s">
        <v>811</v>
      </c>
      <c r="D51" s="17" t="s">
        <v>314</v>
      </c>
      <c r="E51" s="17" t="s">
        <v>40</v>
      </c>
      <c r="F51" s="17" t="s">
        <v>84</v>
      </c>
      <c r="G51" s="87">
        <v>9000.0</v>
      </c>
      <c r="H51" s="101">
        <v>1125000.0</v>
      </c>
      <c r="I51" s="59" t="s">
        <v>42</v>
      </c>
      <c r="J51" s="101">
        <v>640000.0</v>
      </c>
      <c r="K51" s="58" t="s">
        <v>42</v>
      </c>
      <c r="L51" s="58">
        <f t="shared" si="4"/>
        <v>485000</v>
      </c>
      <c r="M51" s="101">
        <v>0.0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7"/>
      <c r="B52" s="17" t="s">
        <v>469</v>
      </c>
      <c r="C52" s="17" t="s">
        <v>811</v>
      </c>
      <c r="D52" s="17" t="s">
        <v>314</v>
      </c>
      <c r="E52" s="17" t="s">
        <v>37</v>
      </c>
      <c r="F52" s="17" t="s">
        <v>43</v>
      </c>
      <c r="G52" s="87">
        <v>10000.0</v>
      </c>
      <c r="H52" s="101">
        <v>1500000.0</v>
      </c>
      <c r="I52" s="97" t="s">
        <v>44</v>
      </c>
      <c r="J52" s="101">
        <v>850000.0</v>
      </c>
      <c r="K52" s="58" t="s">
        <v>42</v>
      </c>
      <c r="L52" s="58">
        <f t="shared" si="4"/>
        <v>650000</v>
      </c>
      <c r="M52" s="101">
        <v>705000.0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7"/>
      <c r="B53" s="17" t="s">
        <v>470</v>
      </c>
      <c r="C53" s="17" t="s">
        <v>811</v>
      </c>
      <c r="D53" s="17" t="s">
        <v>314</v>
      </c>
      <c r="E53" s="17" t="s">
        <v>823</v>
      </c>
      <c r="F53" s="17" t="s">
        <v>118</v>
      </c>
      <c r="G53" s="87">
        <v>9000.0</v>
      </c>
      <c r="H53" s="101">
        <v>990000.0</v>
      </c>
      <c r="I53" s="59" t="s">
        <v>44</v>
      </c>
      <c r="J53" s="101">
        <v>550000.0</v>
      </c>
      <c r="K53" s="17" t="s">
        <v>44</v>
      </c>
      <c r="L53" s="58">
        <f t="shared" si="4"/>
        <v>440000</v>
      </c>
      <c r="M53" s="101">
        <v>0.0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7"/>
      <c r="B54" s="17" t="s">
        <v>471</v>
      </c>
      <c r="C54" s="17" t="s">
        <v>811</v>
      </c>
      <c r="D54" s="17" t="s">
        <v>314</v>
      </c>
      <c r="E54" s="17" t="s">
        <v>40</v>
      </c>
      <c r="F54" s="17" t="s">
        <v>822</v>
      </c>
      <c r="G54" s="87">
        <v>10000.0</v>
      </c>
      <c r="H54" s="101">
        <v>1100000.0</v>
      </c>
      <c r="I54" s="97" t="s">
        <v>44</v>
      </c>
      <c r="J54" s="101">
        <v>600000.0</v>
      </c>
      <c r="K54" s="58" t="s">
        <v>42</v>
      </c>
      <c r="L54" s="58">
        <f t="shared" si="4"/>
        <v>500000</v>
      </c>
      <c r="M54" s="101">
        <v>0.0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7"/>
      <c r="B55" s="17" t="s">
        <v>186</v>
      </c>
      <c r="C55" s="17" t="s">
        <v>811</v>
      </c>
      <c r="D55" s="17" t="s">
        <v>314</v>
      </c>
      <c r="E55" s="17" t="s">
        <v>40</v>
      </c>
      <c r="F55" s="17" t="s">
        <v>821</v>
      </c>
      <c r="G55" s="87">
        <v>9000.0</v>
      </c>
      <c r="H55" s="101">
        <v>1400000.0</v>
      </c>
      <c r="I55" s="97" t="s">
        <v>44</v>
      </c>
      <c r="J55" s="101">
        <v>850000.0</v>
      </c>
      <c r="K55" s="58" t="s">
        <v>42</v>
      </c>
      <c r="L55" s="58">
        <f t="shared" si="4"/>
        <v>550000</v>
      </c>
      <c r="M55" s="101">
        <v>0.0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7"/>
      <c r="B56" s="17" t="s">
        <v>188</v>
      </c>
      <c r="C56" s="17" t="s">
        <v>811</v>
      </c>
      <c r="D56" s="17" t="s">
        <v>314</v>
      </c>
      <c r="E56" s="17" t="s">
        <v>40</v>
      </c>
      <c r="F56" s="17" t="s">
        <v>822</v>
      </c>
      <c r="G56" s="87">
        <v>10000.0</v>
      </c>
      <c r="H56" s="101">
        <v>1100000.0</v>
      </c>
      <c r="I56" s="97" t="s">
        <v>44</v>
      </c>
      <c r="J56" s="101">
        <v>600000.0</v>
      </c>
      <c r="K56" s="17" t="s">
        <v>44</v>
      </c>
      <c r="L56" s="58">
        <f t="shared" si="4"/>
        <v>500000</v>
      </c>
      <c r="M56" s="101">
        <v>0.0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7"/>
      <c r="B57" s="17" t="s">
        <v>189</v>
      </c>
      <c r="C57" s="17" t="s">
        <v>811</v>
      </c>
      <c r="D57" s="17" t="s">
        <v>314</v>
      </c>
      <c r="E57" s="17" t="s">
        <v>30</v>
      </c>
      <c r="F57" s="17" t="s">
        <v>54</v>
      </c>
      <c r="G57" s="87">
        <v>9000.0</v>
      </c>
      <c r="H57" s="101">
        <v>1215000.0</v>
      </c>
      <c r="I57" s="97" t="s">
        <v>44</v>
      </c>
      <c r="J57" s="101">
        <v>640000.0</v>
      </c>
      <c r="K57" s="58" t="s">
        <v>42</v>
      </c>
      <c r="L57" s="58">
        <f t="shared" si="4"/>
        <v>575000</v>
      </c>
      <c r="M57" s="101">
        <v>0.0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7"/>
      <c r="B58" s="17" t="s">
        <v>824</v>
      </c>
      <c r="C58" s="17" t="s">
        <v>811</v>
      </c>
      <c r="D58" s="17" t="s">
        <v>314</v>
      </c>
      <c r="E58" s="17" t="s">
        <v>40</v>
      </c>
      <c r="F58" s="17" t="s">
        <v>76</v>
      </c>
      <c r="G58" s="87">
        <v>9000.0</v>
      </c>
      <c r="H58" s="101">
        <v>1350000.0</v>
      </c>
      <c r="I58" s="97" t="s">
        <v>44</v>
      </c>
      <c r="J58" s="101">
        <v>875000.0</v>
      </c>
      <c r="K58" s="58" t="s">
        <v>42</v>
      </c>
      <c r="L58" s="58">
        <f t="shared" si="4"/>
        <v>475000</v>
      </c>
      <c r="M58" s="101">
        <v>0.0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7"/>
      <c r="B59" s="17" t="s">
        <v>192</v>
      </c>
      <c r="C59" s="17" t="s">
        <v>811</v>
      </c>
      <c r="D59" s="17" t="s">
        <v>314</v>
      </c>
      <c r="E59" s="17" t="s">
        <v>40</v>
      </c>
      <c r="F59" s="17" t="s">
        <v>84</v>
      </c>
      <c r="G59" s="87">
        <v>9000.0</v>
      </c>
      <c r="H59" s="101">
        <v>1125000.0</v>
      </c>
      <c r="I59" s="97" t="s">
        <v>44</v>
      </c>
      <c r="J59" s="101">
        <v>640000.0</v>
      </c>
      <c r="K59" s="17" t="s">
        <v>44</v>
      </c>
      <c r="L59" s="58">
        <f t="shared" si="4"/>
        <v>485000</v>
      </c>
      <c r="M59" s="101">
        <v>0.0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7"/>
      <c r="B60" s="17" t="s">
        <v>193</v>
      </c>
      <c r="C60" s="17" t="s">
        <v>811</v>
      </c>
      <c r="D60" s="17" t="s">
        <v>314</v>
      </c>
      <c r="E60" s="17" t="s">
        <v>538</v>
      </c>
      <c r="F60" s="17" t="s">
        <v>825</v>
      </c>
      <c r="G60" s="87">
        <v>10000.0</v>
      </c>
      <c r="H60" s="101">
        <v>1400000.0</v>
      </c>
      <c r="I60" s="97" t="s">
        <v>44</v>
      </c>
      <c r="J60" s="101">
        <v>900000.0</v>
      </c>
      <c r="K60" s="17" t="s">
        <v>44</v>
      </c>
      <c r="L60" s="58">
        <f t="shared" si="4"/>
        <v>500000</v>
      </c>
      <c r="M60" s="101">
        <v>0.0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7"/>
      <c r="B61" s="7"/>
      <c r="C61" s="7"/>
      <c r="D61" s="7"/>
      <c r="E61" s="17"/>
      <c r="F61" s="17"/>
      <c r="G61" s="57"/>
      <c r="H61" s="104"/>
      <c r="I61" s="97"/>
      <c r="J61" s="104"/>
      <c r="K61" s="17"/>
      <c r="L61" s="52">
        <f t="shared" ref="L61:M61" si="5">SUM(L41:L60)</f>
        <v>10155000</v>
      </c>
      <c r="M61" s="194">
        <f t="shared" si="5"/>
        <v>705000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7"/>
      <c r="B62" s="7"/>
      <c r="C62" s="7"/>
      <c r="D62" s="7"/>
      <c r="E62" s="17"/>
      <c r="F62" s="17"/>
      <c r="G62" s="57"/>
      <c r="H62" s="104"/>
      <c r="I62" s="97"/>
      <c r="J62" s="104"/>
      <c r="K62" s="17"/>
      <c r="L62" s="33">
        <f>L61-M61</f>
        <v>9450000</v>
      </c>
      <c r="M62" s="10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7"/>
      <c r="B63" s="7"/>
      <c r="C63" s="7"/>
      <c r="D63" s="7"/>
      <c r="E63" s="17"/>
      <c r="F63" s="17"/>
      <c r="G63" s="57"/>
      <c r="H63" s="104"/>
      <c r="I63" s="97"/>
      <c r="J63" s="104"/>
      <c r="K63" s="17"/>
      <c r="L63" s="7"/>
      <c r="M63" s="10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7.0" customHeight="1">
      <c r="A64" s="89"/>
      <c r="B64" s="89" t="s">
        <v>0</v>
      </c>
      <c r="C64" s="89" t="s">
        <v>1</v>
      </c>
      <c r="D64" s="89" t="s">
        <v>2</v>
      </c>
      <c r="E64" s="90" t="s">
        <v>3</v>
      </c>
      <c r="F64" s="89" t="s">
        <v>4</v>
      </c>
      <c r="G64" s="91" t="s">
        <v>5</v>
      </c>
      <c r="H64" s="120" t="s">
        <v>6</v>
      </c>
      <c r="I64" s="92" t="s">
        <v>39</v>
      </c>
      <c r="J64" s="120" t="s">
        <v>7</v>
      </c>
      <c r="K64" s="91" t="s">
        <v>39</v>
      </c>
      <c r="L64" s="92" t="s">
        <v>8</v>
      </c>
      <c r="M64" s="120" t="s">
        <v>9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6"/>
      <c r="B65" s="86">
        <v>45537.0</v>
      </c>
      <c r="C65" s="17" t="s">
        <v>811</v>
      </c>
      <c r="D65" s="17" t="s">
        <v>314</v>
      </c>
      <c r="E65" s="17" t="s">
        <v>538</v>
      </c>
      <c r="F65" s="17" t="s">
        <v>768</v>
      </c>
      <c r="G65" s="87">
        <v>9060.0</v>
      </c>
      <c r="H65" s="101">
        <v>1268400.0</v>
      </c>
      <c r="I65" s="97" t="s">
        <v>44</v>
      </c>
      <c r="J65" s="104">
        <v>900000.0</v>
      </c>
      <c r="K65" s="17" t="s">
        <v>44</v>
      </c>
      <c r="L65" s="61">
        <f t="shared" ref="L65:L81" si="6">H65-J65</f>
        <v>368400</v>
      </c>
      <c r="M65" s="10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6"/>
      <c r="B66" s="86">
        <v>45539.0</v>
      </c>
      <c r="C66" s="17" t="s">
        <v>811</v>
      </c>
      <c r="D66" s="17" t="s">
        <v>314</v>
      </c>
      <c r="E66" s="17" t="s">
        <v>40</v>
      </c>
      <c r="F66" s="17" t="s">
        <v>133</v>
      </c>
      <c r="G66" s="87">
        <v>10000.0</v>
      </c>
      <c r="H66" s="104">
        <v>1100000.0</v>
      </c>
      <c r="I66" s="97" t="s">
        <v>44</v>
      </c>
      <c r="J66" s="104">
        <v>600000.0</v>
      </c>
      <c r="K66" s="17" t="s">
        <v>44</v>
      </c>
      <c r="L66" s="61">
        <f t="shared" si="6"/>
        <v>500000</v>
      </c>
      <c r="M66" s="10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6"/>
      <c r="B67" s="86">
        <v>45540.0</v>
      </c>
      <c r="C67" s="17" t="s">
        <v>826</v>
      </c>
      <c r="D67" s="17" t="s">
        <v>314</v>
      </c>
      <c r="E67" s="17" t="s">
        <v>827</v>
      </c>
      <c r="F67" s="17" t="s">
        <v>828</v>
      </c>
      <c r="G67" s="87">
        <v>9000.0</v>
      </c>
      <c r="H67" s="104">
        <v>1100000.0</v>
      </c>
      <c r="I67" s="97" t="s">
        <v>44</v>
      </c>
      <c r="J67" s="104">
        <v>650000.0</v>
      </c>
      <c r="K67" s="17" t="s">
        <v>44</v>
      </c>
      <c r="L67" s="61">
        <f t="shared" si="6"/>
        <v>450000</v>
      </c>
      <c r="M67" s="104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6"/>
      <c r="B68" s="86">
        <v>45542.0</v>
      </c>
      <c r="C68" s="17" t="s">
        <v>826</v>
      </c>
      <c r="D68" s="17" t="s">
        <v>314</v>
      </c>
      <c r="E68" s="17" t="s">
        <v>40</v>
      </c>
      <c r="F68" s="17" t="s">
        <v>54</v>
      </c>
      <c r="G68" s="87">
        <v>9000.0</v>
      </c>
      <c r="H68" s="104">
        <v>1215000.0</v>
      </c>
      <c r="I68" s="97" t="s">
        <v>44</v>
      </c>
      <c r="J68" s="104">
        <v>640000.0</v>
      </c>
      <c r="K68" s="17" t="s">
        <v>44</v>
      </c>
      <c r="L68" s="61">
        <f t="shared" si="6"/>
        <v>575000</v>
      </c>
      <c r="M68" s="104">
        <v>625000.0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6"/>
      <c r="B69" s="86">
        <v>45544.0</v>
      </c>
      <c r="C69" s="17" t="s">
        <v>826</v>
      </c>
      <c r="D69" s="17" t="s">
        <v>314</v>
      </c>
      <c r="E69" s="17" t="s">
        <v>538</v>
      </c>
      <c r="F69" s="17" t="s">
        <v>768</v>
      </c>
      <c r="G69" s="87">
        <v>9640.0</v>
      </c>
      <c r="H69" s="104">
        <v>1349600.0</v>
      </c>
      <c r="I69" s="97" t="s">
        <v>44</v>
      </c>
      <c r="J69" s="104">
        <v>900000.0</v>
      </c>
      <c r="K69" s="17" t="s">
        <v>44</v>
      </c>
      <c r="L69" s="61">
        <f t="shared" si="6"/>
        <v>449600</v>
      </c>
      <c r="M69" s="10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6"/>
      <c r="B70" s="86">
        <v>45546.0</v>
      </c>
      <c r="C70" s="17" t="s">
        <v>826</v>
      </c>
      <c r="D70" s="17" t="s">
        <v>314</v>
      </c>
      <c r="E70" s="17" t="s">
        <v>829</v>
      </c>
      <c r="F70" s="17" t="s">
        <v>825</v>
      </c>
      <c r="G70" s="87">
        <v>9700.0</v>
      </c>
      <c r="H70" s="104">
        <v>1358000.0</v>
      </c>
      <c r="I70" s="97" t="s">
        <v>44</v>
      </c>
      <c r="J70" s="104">
        <v>900000.0</v>
      </c>
      <c r="K70" s="17" t="s">
        <v>44</v>
      </c>
      <c r="L70" s="61">
        <f t="shared" si="6"/>
        <v>458000</v>
      </c>
      <c r="M70" s="10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6"/>
      <c r="B71" s="86">
        <v>45548.0</v>
      </c>
      <c r="C71" s="17" t="s">
        <v>826</v>
      </c>
      <c r="D71" s="17" t="s">
        <v>314</v>
      </c>
      <c r="E71" s="17" t="s">
        <v>830</v>
      </c>
      <c r="F71" s="17" t="s">
        <v>43</v>
      </c>
      <c r="G71" s="87">
        <v>10000.0</v>
      </c>
      <c r="H71" s="104">
        <v>1500000.0</v>
      </c>
      <c r="I71" s="97" t="s">
        <v>44</v>
      </c>
      <c r="J71" s="104">
        <v>850000.0</v>
      </c>
      <c r="K71" s="17" t="s">
        <v>44</v>
      </c>
      <c r="L71" s="61">
        <f t="shared" si="6"/>
        <v>650000</v>
      </c>
      <c r="M71" s="104">
        <v>260000.0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6"/>
      <c r="B72" s="86">
        <v>45551.0</v>
      </c>
      <c r="C72" s="17" t="s">
        <v>826</v>
      </c>
      <c r="D72" s="17" t="s">
        <v>314</v>
      </c>
      <c r="E72" s="17" t="s">
        <v>538</v>
      </c>
      <c r="F72" s="17" t="s">
        <v>768</v>
      </c>
      <c r="G72" s="87">
        <v>10000.0</v>
      </c>
      <c r="H72" s="104">
        <v>1400000.0</v>
      </c>
      <c r="I72" s="97" t="s">
        <v>44</v>
      </c>
      <c r="J72" s="104">
        <v>900000.0</v>
      </c>
      <c r="K72" s="17" t="s">
        <v>42</v>
      </c>
      <c r="L72" s="61">
        <f t="shared" si="6"/>
        <v>500000</v>
      </c>
      <c r="M72" s="10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6"/>
      <c r="B73" s="86">
        <v>45553.0</v>
      </c>
      <c r="C73" s="17" t="s">
        <v>826</v>
      </c>
      <c r="D73" s="17" t="s">
        <v>314</v>
      </c>
      <c r="E73" s="17" t="s">
        <v>30</v>
      </c>
      <c r="F73" s="17" t="s">
        <v>831</v>
      </c>
      <c r="G73" s="87">
        <v>9000.0</v>
      </c>
      <c r="H73" s="104">
        <v>900000.0</v>
      </c>
      <c r="I73" s="97" t="s">
        <v>42</v>
      </c>
      <c r="J73" s="104">
        <v>500000.0</v>
      </c>
      <c r="K73" s="17" t="s">
        <v>42</v>
      </c>
      <c r="L73" s="61">
        <f t="shared" si="6"/>
        <v>400000</v>
      </c>
      <c r="M73" s="104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6"/>
      <c r="B74" s="86">
        <v>45554.0</v>
      </c>
      <c r="C74" s="17" t="s">
        <v>826</v>
      </c>
      <c r="D74" s="17" t="s">
        <v>314</v>
      </c>
      <c r="E74" s="17" t="s">
        <v>832</v>
      </c>
      <c r="F74" s="17" t="s">
        <v>833</v>
      </c>
      <c r="G74" s="87">
        <v>8180.0</v>
      </c>
      <c r="H74" s="104">
        <v>1200000.0</v>
      </c>
      <c r="I74" s="97" t="s">
        <v>44</v>
      </c>
      <c r="J74" s="104">
        <v>800000.0</v>
      </c>
      <c r="K74" s="17" t="s">
        <v>44</v>
      </c>
      <c r="L74" s="61">
        <f t="shared" si="6"/>
        <v>400000</v>
      </c>
      <c r="M74" s="104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6"/>
      <c r="B75" s="86">
        <v>45555.0</v>
      </c>
      <c r="C75" s="17" t="s">
        <v>826</v>
      </c>
      <c r="D75" s="17" t="s">
        <v>314</v>
      </c>
      <c r="E75" s="17" t="s">
        <v>834</v>
      </c>
      <c r="F75" s="17" t="s">
        <v>828</v>
      </c>
      <c r="G75" s="87">
        <v>9000.0</v>
      </c>
      <c r="H75" s="104">
        <v>1100000.0</v>
      </c>
      <c r="I75" s="97" t="s">
        <v>44</v>
      </c>
      <c r="J75" s="104">
        <v>650000.0</v>
      </c>
      <c r="K75" s="17" t="s">
        <v>44</v>
      </c>
      <c r="L75" s="61">
        <f t="shared" si="6"/>
        <v>450000</v>
      </c>
      <c r="M75" s="104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6"/>
      <c r="B76" s="86">
        <v>45556.0</v>
      </c>
      <c r="C76" s="17" t="s">
        <v>826</v>
      </c>
      <c r="D76" s="17" t="s">
        <v>314</v>
      </c>
      <c r="E76" s="17" t="s">
        <v>538</v>
      </c>
      <c r="F76" s="17" t="s">
        <v>768</v>
      </c>
      <c r="G76" s="87">
        <v>9600.0</v>
      </c>
      <c r="H76" s="104">
        <v>1344000.0</v>
      </c>
      <c r="I76" s="97" t="s">
        <v>44</v>
      </c>
      <c r="J76" s="104">
        <v>900000.0</v>
      </c>
      <c r="K76" s="17" t="s">
        <v>44</v>
      </c>
      <c r="L76" s="61">
        <f t="shared" si="6"/>
        <v>444000</v>
      </c>
      <c r="M76" s="10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6"/>
      <c r="B77" s="86">
        <v>45558.0</v>
      </c>
      <c r="C77" s="17" t="s">
        <v>826</v>
      </c>
      <c r="D77" s="17" t="s">
        <v>314</v>
      </c>
      <c r="E77" s="17" t="s">
        <v>832</v>
      </c>
      <c r="F77" s="17" t="s">
        <v>768</v>
      </c>
      <c r="G77" s="87">
        <v>9340.0</v>
      </c>
      <c r="H77" s="104">
        <v>1307600.0</v>
      </c>
      <c r="I77" s="97" t="s">
        <v>44</v>
      </c>
      <c r="J77" s="104">
        <v>900000.0</v>
      </c>
      <c r="K77" s="17" t="s">
        <v>44</v>
      </c>
      <c r="L77" s="61">
        <f t="shared" si="6"/>
        <v>407600</v>
      </c>
      <c r="M77" s="104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6"/>
      <c r="B78" s="86">
        <v>45561.0</v>
      </c>
      <c r="C78" s="17" t="s">
        <v>826</v>
      </c>
      <c r="D78" s="17" t="s">
        <v>314</v>
      </c>
      <c r="E78" s="17" t="s">
        <v>832</v>
      </c>
      <c r="F78" s="17" t="s">
        <v>833</v>
      </c>
      <c r="G78" s="87">
        <v>8000.0</v>
      </c>
      <c r="H78" s="104">
        <v>1500000.0</v>
      </c>
      <c r="I78" s="97" t="s">
        <v>44</v>
      </c>
      <c r="J78" s="104">
        <v>1000000.0</v>
      </c>
      <c r="K78" s="17" t="s">
        <v>44</v>
      </c>
      <c r="L78" s="61">
        <f t="shared" si="6"/>
        <v>500000</v>
      </c>
      <c r="M78" s="10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6"/>
      <c r="B79" s="86">
        <v>45562.0</v>
      </c>
      <c r="C79" s="17" t="s">
        <v>826</v>
      </c>
      <c r="D79" s="17" t="s">
        <v>314</v>
      </c>
      <c r="E79" s="17" t="s">
        <v>40</v>
      </c>
      <c r="F79" s="17" t="s">
        <v>835</v>
      </c>
      <c r="G79" s="87">
        <v>9000.0</v>
      </c>
      <c r="H79" s="104">
        <v>1350000.0</v>
      </c>
      <c r="I79" s="97" t="s">
        <v>42</v>
      </c>
      <c r="J79" s="104">
        <v>850000.0</v>
      </c>
      <c r="K79" s="17" t="s">
        <v>44</v>
      </c>
      <c r="L79" s="61">
        <f t="shared" si="6"/>
        <v>500000</v>
      </c>
      <c r="M79" s="10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6"/>
      <c r="B80" s="86">
        <v>45563.0</v>
      </c>
      <c r="C80" s="17" t="s">
        <v>826</v>
      </c>
      <c r="D80" s="17" t="s">
        <v>314</v>
      </c>
      <c r="E80" s="17" t="s">
        <v>832</v>
      </c>
      <c r="F80" s="17" t="s">
        <v>825</v>
      </c>
      <c r="G80" s="87">
        <v>9380.0</v>
      </c>
      <c r="H80" s="242">
        <v>1313200.0</v>
      </c>
      <c r="I80" s="97" t="s">
        <v>44</v>
      </c>
      <c r="J80" s="104">
        <v>900000.0</v>
      </c>
      <c r="K80" s="17" t="s">
        <v>42</v>
      </c>
      <c r="L80" s="61">
        <f t="shared" si="6"/>
        <v>413200</v>
      </c>
      <c r="M80" s="10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6"/>
      <c r="B81" s="86">
        <v>45565.0</v>
      </c>
      <c r="C81" s="17" t="s">
        <v>826</v>
      </c>
      <c r="D81" s="17" t="s">
        <v>314</v>
      </c>
      <c r="E81" s="17" t="s">
        <v>832</v>
      </c>
      <c r="F81" s="17" t="s">
        <v>825</v>
      </c>
      <c r="G81" s="87">
        <v>9380.0</v>
      </c>
      <c r="H81" s="242">
        <v>1313200.0</v>
      </c>
      <c r="I81" s="97" t="s">
        <v>44</v>
      </c>
      <c r="J81" s="104">
        <v>900000.0</v>
      </c>
      <c r="K81" s="17" t="s">
        <v>44</v>
      </c>
      <c r="L81" s="61">
        <f t="shared" si="6"/>
        <v>413200</v>
      </c>
      <c r="M81" s="10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6"/>
      <c r="B82" s="86"/>
      <c r="C82" s="17"/>
      <c r="D82" s="17"/>
      <c r="E82" s="17"/>
      <c r="F82" s="17"/>
      <c r="G82" s="87"/>
      <c r="H82" s="104"/>
      <c r="I82" s="97"/>
      <c r="J82" s="104"/>
      <c r="K82" s="17"/>
      <c r="L82" s="52">
        <f t="shared" ref="L82:M82" si="7">SUM(L65:L81)</f>
        <v>7879000</v>
      </c>
      <c r="M82" s="194">
        <f t="shared" si="7"/>
        <v>885000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6"/>
      <c r="B83" s="86"/>
      <c r="C83" s="17"/>
      <c r="D83" s="17"/>
      <c r="E83" s="17"/>
      <c r="F83" s="17"/>
      <c r="G83" s="87"/>
      <c r="H83" s="104"/>
      <c r="I83" s="97"/>
      <c r="J83" s="104"/>
      <c r="K83" s="17"/>
      <c r="L83" s="33">
        <f>L82-M82</f>
        <v>6994000</v>
      </c>
      <c r="M83" s="10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6"/>
      <c r="B84" s="86"/>
      <c r="C84" s="17"/>
      <c r="D84" s="17"/>
      <c r="E84" s="17"/>
      <c r="F84" s="17"/>
      <c r="G84" s="87"/>
      <c r="H84" s="104"/>
      <c r="I84" s="97"/>
      <c r="J84" s="104"/>
      <c r="K84" s="17"/>
      <c r="L84" s="61"/>
      <c r="M84" s="10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9"/>
      <c r="B85" s="89" t="s">
        <v>0</v>
      </c>
      <c r="C85" s="89" t="s">
        <v>1</v>
      </c>
      <c r="D85" s="89" t="s">
        <v>2</v>
      </c>
      <c r="E85" s="90" t="s">
        <v>3</v>
      </c>
      <c r="F85" s="89" t="s">
        <v>4</v>
      </c>
      <c r="G85" s="91" t="s">
        <v>5</v>
      </c>
      <c r="H85" s="120" t="s">
        <v>6</v>
      </c>
      <c r="I85" s="92" t="s">
        <v>39</v>
      </c>
      <c r="J85" s="120" t="s">
        <v>7</v>
      </c>
      <c r="K85" s="91" t="s">
        <v>39</v>
      </c>
      <c r="L85" s="92" t="s">
        <v>8</v>
      </c>
      <c r="M85" s="120" t="s">
        <v>9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6"/>
      <c r="B86" s="86">
        <v>45567.0</v>
      </c>
      <c r="C86" s="17" t="s">
        <v>826</v>
      </c>
      <c r="D86" s="17" t="s">
        <v>314</v>
      </c>
      <c r="E86" s="17" t="s">
        <v>832</v>
      </c>
      <c r="F86" s="17" t="s">
        <v>825</v>
      </c>
      <c r="G86" s="87">
        <v>9280.0</v>
      </c>
      <c r="H86" s="104">
        <v>1299200.0</v>
      </c>
      <c r="I86" s="97" t="s">
        <v>44</v>
      </c>
      <c r="J86" s="104">
        <v>900000.0</v>
      </c>
      <c r="K86" s="17" t="s">
        <v>44</v>
      </c>
      <c r="L86" s="61">
        <f t="shared" ref="L86:L102" si="8">H86-J86</f>
        <v>399200</v>
      </c>
      <c r="M86" s="10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6"/>
      <c r="B87" s="86">
        <v>45568.0</v>
      </c>
      <c r="C87" s="17" t="s">
        <v>826</v>
      </c>
      <c r="D87" s="17" t="s">
        <v>314</v>
      </c>
      <c r="E87" s="17" t="s">
        <v>832</v>
      </c>
      <c r="F87" s="17" t="s">
        <v>142</v>
      </c>
      <c r="G87" s="87">
        <v>9200.0</v>
      </c>
      <c r="H87" s="104">
        <v>1500000.0</v>
      </c>
      <c r="I87" s="97" t="s">
        <v>44</v>
      </c>
      <c r="J87" s="104">
        <v>900000.0</v>
      </c>
      <c r="K87" s="17" t="s">
        <v>44</v>
      </c>
      <c r="L87" s="61">
        <f t="shared" si="8"/>
        <v>600000</v>
      </c>
      <c r="M87" s="10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6"/>
      <c r="B88" s="86">
        <v>45569.0</v>
      </c>
      <c r="C88" s="17" t="s">
        <v>826</v>
      </c>
      <c r="D88" s="17" t="s">
        <v>314</v>
      </c>
      <c r="E88" s="17" t="s">
        <v>832</v>
      </c>
      <c r="F88" s="17" t="s">
        <v>825</v>
      </c>
      <c r="G88" s="87">
        <v>10420.0</v>
      </c>
      <c r="H88" s="104">
        <v>1458800.0</v>
      </c>
      <c r="I88" s="97" t="s">
        <v>44</v>
      </c>
      <c r="J88" s="104">
        <v>900000.0</v>
      </c>
      <c r="K88" s="17" t="s">
        <v>44</v>
      </c>
      <c r="L88" s="61">
        <f t="shared" si="8"/>
        <v>558800</v>
      </c>
      <c r="M88" s="104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6"/>
      <c r="B89" s="86">
        <v>45572.0</v>
      </c>
      <c r="C89" s="17" t="s">
        <v>826</v>
      </c>
      <c r="D89" s="17" t="s">
        <v>314</v>
      </c>
      <c r="E89" s="17" t="s">
        <v>832</v>
      </c>
      <c r="F89" s="17" t="s">
        <v>768</v>
      </c>
      <c r="G89" s="57">
        <v>8940.0</v>
      </c>
      <c r="H89" s="104">
        <v>1251600.0</v>
      </c>
      <c r="I89" s="97" t="s">
        <v>44</v>
      </c>
      <c r="J89" s="104">
        <v>900000.0</v>
      </c>
      <c r="K89" s="17" t="s">
        <v>44</v>
      </c>
      <c r="L89" s="61">
        <f t="shared" si="8"/>
        <v>351600</v>
      </c>
      <c r="M89" s="10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6"/>
      <c r="B90" s="86">
        <v>45574.0</v>
      </c>
      <c r="C90" s="17" t="s">
        <v>826</v>
      </c>
      <c r="D90" s="17" t="s">
        <v>314</v>
      </c>
      <c r="E90" s="17" t="s">
        <v>40</v>
      </c>
      <c r="F90" s="17" t="s">
        <v>194</v>
      </c>
      <c r="G90" s="57">
        <v>9000.0</v>
      </c>
      <c r="H90" s="58">
        <v>1400000.0</v>
      </c>
      <c r="I90" s="97" t="s">
        <v>44</v>
      </c>
      <c r="J90" s="101">
        <v>850000.0</v>
      </c>
      <c r="K90" s="17" t="s">
        <v>44</v>
      </c>
      <c r="L90" s="58">
        <f t="shared" si="8"/>
        <v>550000</v>
      </c>
      <c r="M90" s="104">
        <v>2870000.0</v>
      </c>
      <c r="N90" s="7" t="s">
        <v>836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6"/>
      <c r="B91" s="86">
        <v>45575.0</v>
      </c>
      <c r="C91" s="17" t="s">
        <v>826</v>
      </c>
      <c r="D91" s="17" t="s">
        <v>314</v>
      </c>
      <c r="E91" s="17" t="s">
        <v>832</v>
      </c>
      <c r="F91" s="17" t="s">
        <v>825</v>
      </c>
      <c r="G91" s="57">
        <v>8980.0</v>
      </c>
      <c r="H91" s="104">
        <v>1257200.0</v>
      </c>
      <c r="I91" s="97" t="s">
        <v>44</v>
      </c>
      <c r="J91" s="104">
        <v>900000.0</v>
      </c>
      <c r="K91" s="17" t="s">
        <v>44</v>
      </c>
      <c r="L91" s="58">
        <f t="shared" si="8"/>
        <v>357200</v>
      </c>
      <c r="M91" s="10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6"/>
      <c r="B92" s="86">
        <v>45576.0</v>
      </c>
      <c r="C92" s="17" t="s">
        <v>826</v>
      </c>
      <c r="D92" s="17" t="s">
        <v>314</v>
      </c>
      <c r="E92" s="17" t="s">
        <v>40</v>
      </c>
      <c r="F92" s="17" t="s">
        <v>501</v>
      </c>
      <c r="G92" s="57">
        <v>9000.0</v>
      </c>
      <c r="H92" s="104">
        <v>1350000.0</v>
      </c>
      <c r="I92" s="97" t="s">
        <v>42</v>
      </c>
      <c r="J92" s="104">
        <v>875000.0</v>
      </c>
      <c r="K92" s="17" t="s">
        <v>44</v>
      </c>
      <c r="L92" s="58">
        <f t="shared" si="8"/>
        <v>475000</v>
      </c>
      <c r="M92" s="104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6"/>
      <c r="B93" s="86">
        <v>45577.0</v>
      </c>
      <c r="C93" s="17" t="s">
        <v>826</v>
      </c>
      <c r="D93" s="17" t="s">
        <v>314</v>
      </c>
      <c r="E93" s="17" t="s">
        <v>832</v>
      </c>
      <c r="F93" s="17" t="s">
        <v>768</v>
      </c>
      <c r="G93" s="57">
        <v>9400.0</v>
      </c>
      <c r="H93" s="104">
        <v>1316000.0</v>
      </c>
      <c r="I93" s="97" t="s">
        <v>44</v>
      </c>
      <c r="J93" s="104">
        <v>900000.0</v>
      </c>
      <c r="K93" s="17" t="s">
        <v>44</v>
      </c>
      <c r="L93" s="58">
        <f t="shared" si="8"/>
        <v>416000</v>
      </c>
      <c r="M93" s="10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6"/>
      <c r="B94" s="86">
        <v>45578.0</v>
      </c>
      <c r="C94" s="17" t="s">
        <v>826</v>
      </c>
      <c r="D94" s="17" t="s">
        <v>314</v>
      </c>
      <c r="E94" s="17" t="s">
        <v>832</v>
      </c>
      <c r="F94" s="17" t="s">
        <v>142</v>
      </c>
      <c r="G94" s="57">
        <v>9000.0</v>
      </c>
      <c r="H94" s="104">
        <v>1500000.0</v>
      </c>
      <c r="I94" s="97" t="s">
        <v>44</v>
      </c>
      <c r="J94" s="104">
        <v>900000.0</v>
      </c>
      <c r="K94" s="17" t="s">
        <v>42</v>
      </c>
      <c r="L94" s="58">
        <f t="shared" si="8"/>
        <v>600000</v>
      </c>
      <c r="M94" s="104">
        <v>150000.0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6"/>
      <c r="B95" s="86">
        <v>45582.0</v>
      </c>
      <c r="C95" s="17" t="s">
        <v>826</v>
      </c>
      <c r="D95" s="17" t="s">
        <v>314</v>
      </c>
      <c r="E95" s="17" t="s">
        <v>832</v>
      </c>
      <c r="F95" s="17" t="s">
        <v>825</v>
      </c>
      <c r="G95" s="57">
        <v>10040.0</v>
      </c>
      <c r="H95" s="104">
        <v>1405600.0</v>
      </c>
      <c r="I95" s="97" t="s">
        <v>44</v>
      </c>
      <c r="J95" s="104">
        <v>900000.0</v>
      </c>
      <c r="K95" s="17" t="s">
        <v>44</v>
      </c>
      <c r="L95" s="58">
        <f t="shared" si="8"/>
        <v>505600</v>
      </c>
      <c r="M95" s="104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6"/>
      <c r="B96" s="86">
        <v>45583.0</v>
      </c>
      <c r="C96" s="17" t="s">
        <v>826</v>
      </c>
      <c r="D96" s="17" t="s">
        <v>314</v>
      </c>
      <c r="E96" s="17" t="s">
        <v>832</v>
      </c>
      <c r="F96" s="17" t="s">
        <v>768</v>
      </c>
      <c r="G96" s="57">
        <v>9180.0</v>
      </c>
      <c r="H96" s="104">
        <v>1285200.0</v>
      </c>
      <c r="I96" s="97" t="s">
        <v>44</v>
      </c>
      <c r="J96" s="104">
        <v>900000.0</v>
      </c>
      <c r="K96" s="17" t="s">
        <v>44</v>
      </c>
      <c r="L96" s="58">
        <f t="shared" si="8"/>
        <v>385200</v>
      </c>
      <c r="M96" s="10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6"/>
      <c r="B97" s="86">
        <v>45587.0</v>
      </c>
      <c r="C97" s="17" t="s">
        <v>826</v>
      </c>
      <c r="D97" s="17" t="s">
        <v>314</v>
      </c>
      <c r="E97" s="17" t="s">
        <v>832</v>
      </c>
      <c r="F97" s="17" t="s">
        <v>837</v>
      </c>
      <c r="G97" s="57">
        <v>9000.0</v>
      </c>
      <c r="H97" s="104">
        <v>1500000.0</v>
      </c>
      <c r="I97" s="97" t="s">
        <v>44</v>
      </c>
      <c r="J97" s="104">
        <v>1050000.0</v>
      </c>
      <c r="K97" s="17" t="s">
        <v>44</v>
      </c>
      <c r="L97" s="58">
        <f t="shared" si="8"/>
        <v>450000</v>
      </c>
      <c r="M97" s="104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6"/>
      <c r="B98" s="86">
        <v>45588.0</v>
      </c>
      <c r="C98" s="17" t="s">
        <v>826</v>
      </c>
      <c r="D98" s="17" t="s">
        <v>314</v>
      </c>
      <c r="E98" s="17" t="s">
        <v>832</v>
      </c>
      <c r="F98" s="17" t="s">
        <v>825</v>
      </c>
      <c r="G98" s="57">
        <v>9260.0</v>
      </c>
      <c r="H98" s="104">
        <v>1296400.0</v>
      </c>
      <c r="I98" s="97" t="s">
        <v>44</v>
      </c>
      <c r="J98" s="104">
        <v>900000.0</v>
      </c>
      <c r="K98" s="17" t="s">
        <v>44</v>
      </c>
      <c r="L98" s="58">
        <f t="shared" si="8"/>
        <v>396400</v>
      </c>
      <c r="M98" s="10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6"/>
      <c r="B99" s="86">
        <v>45590.0</v>
      </c>
      <c r="C99" s="17" t="s">
        <v>826</v>
      </c>
      <c r="D99" s="17" t="s">
        <v>314</v>
      </c>
      <c r="E99" s="17" t="s">
        <v>832</v>
      </c>
      <c r="F99" s="17" t="s">
        <v>768</v>
      </c>
      <c r="G99" s="57">
        <v>9060.0</v>
      </c>
      <c r="H99" s="104">
        <v>1268400.0</v>
      </c>
      <c r="I99" s="97" t="s">
        <v>44</v>
      </c>
      <c r="J99" s="104">
        <v>900000.0</v>
      </c>
      <c r="K99" s="17" t="s">
        <v>44</v>
      </c>
      <c r="L99" s="58">
        <f t="shared" si="8"/>
        <v>368400</v>
      </c>
      <c r="M99" s="10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6"/>
      <c r="B100" s="86">
        <v>45593.0</v>
      </c>
      <c r="C100" s="17" t="s">
        <v>826</v>
      </c>
      <c r="D100" s="17" t="s">
        <v>314</v>
      </c>
      <c r="E100" s="17" t="s">
        <v>37</v>
      </c>
      <c r="F100" s="17" t="s">
        <v>36</v>
      </c>
      <c r="G100" s="57">
        <v>10000.0</v>
      </c>
      <c r="H100" s="104">
        <v>1500000.0</v>
      </c>
      <c r="I100" s="97" t="s">
        <v>44</v>
      </c>
      <c r="J100" s="104">
        <v>850000.0</v>
      </c>
      <c r="K100" s="17" t="s">
        <v>44</v>
      </c>
      <c r="L100" s="58">
        <f t="shared" si="8"/>
        <v>650000</v>
      </c>
      <c r="M100" s="10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6"/>
      <c r="B101" s="86">
        <v>45595.0</v>
      </c>
      <c r="C101" s="17" t="s">
        <v>826</v>
      </c>
      <c r="D101" s="17" t="s">
        <v>314</v>
      </c>
      <c r="E101" s="17" t="s">
        <v>30</v>
      </c>
      <c r="F101" s="17" t="s">
        <v>161</v>
      </c>
      <c r="G101" s="57">
        <v>9000.0</v>
      </c>
      <c r="H101" s="100">
        <v>1215000.0</v>
      </c>
      <c r="I101" s="97" t="s">
        <v>44</v>
      </c>
      <c r="J101" s="104">
        <v>700000.0</v>
      </c>
      <c r="K101" s="17" t="s">
        <v>44</v>
      </c>
      <c r="L101" s="58">
        <f t="shared" si="8"/>
        <v>515000</v>
      </c>
      <c r="M101" s="10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6"/>
      <c r="B102" s="86">
        <v>45596.0</v>
      </c>
      <c r="C102" s="17" t="s">
        <v>826</v>
      </c>
      <c r="D102" s="17" t="s">
        <v>314</v>
      </c>
      <c r="E102" s="17" t="s">
        <v>30</v>
      </c>
      <c r="F102" s="17" t="s">
        <v>382</v>
      </c>
      <c r="G102" s="57">
        <v>10000.0</v>
      </c>
      <c r="H102" s="58">
        <v>1600000.0</v>
      </c>
      <c r="I102" s="97" t="s">
        <v>44</v>
      </c>
      <c r="J102" s="60">
        <v>900000.0</v>
      </c>
      <c r="K102" s="17" t="s">
        <v>44</v>
      </c>
      <c r="L102" s="58">
        <f t="shared" si="8"/>
        <v>700000</v>
      </c>
      <c r="M102" s="10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7"/>
      <c r="B103" s="7"/>
      <c r="C103" s="7"/>
      <c r="D103" s="7"/>
      <c r="E103" s="17"/>
      <c r="F103" s="17"/>
      <c r="G103" s="57"/>
      <c r="H103" s="104"/>
      <c r="I103" s="97"/>
      <c r="J103" s="104"/>
      <c r="K103" s="17"/>
      <c r="L103" s="52">
        <f t="shared" ref="L103:M103" si="9">SUM(L85:L102)</f>
        <v>8278400</v>
      </c>
      <c r="M103" s="194">
        <f t="shared" si="9"/>
        <v>3020000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7"/>
      <c r="B104" s="7"/>
      <c r="C104" s="7"/>
      <c r="D104" s="7"/>
      <c r="E104" s="17"/>
      <c r="F104" s="17"/>
      <c r="G104" s="57"/>
      <c r="H104" s="104"/>
      <c r="I104" s="97"/>
      <c r="J104" s="104"/>
      <c r="K104" s="17"/>
      <c r="L104" s="33">
        <f>L103-M103</f>
        <v>5258400</v>
      </c>
      <c r="M104" s="10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7"/>
      <c r="B105" s="7"/>
      <c r="C105" s="7"/>
      <c r="D105" s="7"/>
      <c r="E105" s="17"/>
      <c r="F105" s="17"/>
      <c r="G105" s="57"/>
      <c r="H105" s="104"/>
      <c r="I105" s="97"/>
      <c r="J105" s="104"/>
      <c r="K105" s="17"/>
      <c r="L105" s="7"/>
      <c r="M105" s="10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9" t="s">
        <v>209</v>
      </c>
      <c r="B106" s="89" t="s">
        <v>0</v>
      </c>
      <c r="C106" s="89" t="s">
        <v>1</v>
      </c>
      <c r="D106" s="89" t="s">
        <v>2</v>
      </c>
      <c r="E106" s="90" t="s">
        <v>3</v>
      </c>
      <c r="F106" s="89" t="s">
        <v>4</v>
      </c>
      <c r="G106" s="91" t="s">
        <v>5</v>
      </c>
      <c r="H106" s="120" t="s">
        <v>6</v>
      </c>
      <c r="I106" s="92" t="s">
        <v>39</v>
      </c>
      <c r="J106" s="120" t="s">
        <v>7</v>
      </c>
      <c r="K106" s="91" t="s">
        <v>39</v>
      </c>
      <c r="L106" s="92" t="s">
        <v>8</v>
      </c>
      <c r="M106" s="120" t="s">
        <v>9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7">
        <v>1.0</v>
      </c>
      <c r="B107" s="86">
        <v>45597.0</v>
      </c>
      <c r="C107" s="17" t="s">
        <v>826</v>
      </c>
      <c r="D107" s="17" t="s">
        <v>314</v>
      </c>
      <c r="E107" s="17" t="s">
        <v>832</v>
      </c>
      <c r="F107" s="17" t="s">
        <v>768</v>
      </c>
      <c r="G107" s="57">
        <v>9340.0</v>
      </c>
      <c r="H107" s="104">
        <v>1307600.0</v>
      </c>
      <c r="I107" s="97" t="s">
        <v>44</v>
      </c>
      <c r="J107" s="104">
        <v>900000.0</v>
      </c>
      <c r="K107" s="17" t="s">
        <v>44</v>
      </c>
      <c r="L107" s="58">
        <f t="shared" ref="L107:L121" si="10">H107-J107</f>
        <v>407600</v>
      </c>
      <c r="M107" s="104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7">
        <v>2.0</v>
      </c>
      <c r="B108" s="86">
        <v>45600.0</v>
      </c>
      <c r="C108" s="17" t="s">
        <v>826</v>
      </c>
      <c r="D108" s="17" t="s">
        <v>314</v>
      </c>
      <c r="E108" s="17" t="s">
        <v>832</v>
      </c>
      <c r="F108" s="17" t="s">
        <v>833</v>
      </c>
      <c r="G108" s="87">
        <v>8000.0</v>
      </c>
      <c r="H108" s="104">
        <v>1500000.0</v>
      </c>
      <c r="I108" s="97" t="s">
        <v>44</v>
      </c>
      <c r="J108" s="104">
        <v>1000000.0</v>
      </c>
      <c r="K108" s="17" t="s">
        <v>44</v>
      </c>
      <c r="L108" s="58">
        <f t="shared" si="10"/>
        <v>500000</v>
      </c>
      <c r="M108" s="104">
        <v>1093000.0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7">
        <v>3.0</v>
      </c>
      <c r="B109" s="86">
        <v>45602.0</v>
      </c>
      <c r="C109" s="17" t="s">
        <v>826</v>
      </c>
      <c r="D109" s="17" t="s">
        <v>314</v>
      </c>
      <c r="E109" s="17" t="s">
        <v>832</v>
      </c>
      <c r="F109" s="17" t="s">
        <v>837</v>
      </c>
      <c r="G109" s="57">
        <v>9000.0</v>
      </c>
      <c r="H109" s="104">
        <v>1500000.0</v>
      </c>
      <c r="I109" s="97" t="s">
        <v>44</v>
      </c>
      <c r="J109" s="104">
        <v>1050000.0</v>
      </c>
      <c r="K109" s="17" t="s">
        <v>44</v>
      </c>
      <c r="L109" s="58">
        <f t="shared" si="10"/>
        <v>450000</v>
      </c>
      <c r="M109" s="10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7">
        <v>4.0</v>
      </c>
      <c r="B110" s="86">
        <v>45603.0</v>
      </c>
      <c r="C110" s="17" t="s">
        <v>826</v>
      </c>
      <c r="D110" s="17" t="s">
        <v>314</v>
      </c>
      <c r="E110" s="17" t="s">
        <v>832</v>
      </c>
      <c r="F110" s="17" t="s">
        <v>768</v>
      </c>
      <c r="G110" s="57">
        <v>9520.0</v>
      </c>
      <c r="H110" s="104">
        <v>1332800.0</v>
      </c>
      <c r="I110" s="97" t="s">
        <v>44</v>
      </c>
      <c r="J110" s="104">
        <v>900000.0</v>
      </c>
      <c r="K110" s="17" t="s">
        <v>44</v>
      </c>
      <c r="L110" s="58">
        <f t="shared" si="10"/>
        <v>432800</v>
      </c>
      <c r="M110" s="10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7">
        <v>5.0</v>
      </c>
      <c r="B111" s="86">
        <v>45605.0</v>
      </c>
      <c r="C111" s="17" t="s">
        <v>826</v>
      </c>
      <c r="D111" s="17" t="s">
        <v>314</v>
      </c>
      <c r="E111" s="17" t="s">
        <v>832</v>
      </c>
      <c r="F111" s="17" t="s">
        <v>825</v>
      </c>
      <c r="G111" s="57">
        <v>8720.0</v>
      </c>
      <c r="H111" s="104">
        <v>1220800.0</v>
      </c>
      <c r="I111" s="97" t="s">
        <v>44</v>
      </c>
      <c r="J111" s="104">
        <v>900000.0</v>
      </c>
      <c r="K111" s="17" t="s">
        <v>44</v>
      </c>
      <c r="L111" s="58">
        <f t="shared" si="10"/>
        <v>320800</v>
      </c>
      <c r="M111" s="104">
        <v>365000.0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7">
        <v>6.0</v>
      </c>
      <c r="B112" s="86">
        <v>45607.0</v>
      </c>
      <c r="C112" s="17" t="s">
        <v>826</v>
      </c>
      <c r="D112" s="17" t="s">
        <v>314</v>
      </c>
      <c r="E112" s="17" t="s">
        <v>832</v>
      </c>
      <c r="F112" s="17" t="s">
        <v>142</v>
      </c>
      <c r="G112" s="57">
        <v>9000.0</v>
      </c>
      <c r="H112" s="104">
        <v>1500000.0</v>
      </c>
      <c r="I112" s="97" t="s">
        <v>44</v>
      </c>
      <c r="J112" s="104">
        <v>900000.0</v>
      </c>
      <c r="K112" s="17" t="s">
        <v>44</v>
      </c>
      <c r="L112" s="58">
        <f t="shared" si="10"/>
        <v>600000</v>
      </c>
      <c r="M112" s="10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7">
        <v>7.0</v>
      </c>
      <c r="B113" s="86">
        <v>45608.0</v>
      </c>
      <c r="C113" s="17" t="s">
        <v>826</v>
      </c>
      <c r="D113" s="17" t="s">
        <v>314</v>
      </c>
      <c r="E113" s="17" t="s">
        <v>832</v>
      </c>
      <c r="F113" s="17" t="s">
        <v>768</v>
      </c>
      <c r="G113" s="57">
        <v>10020.0</v>
      </c>
      <c r="H113" s="104">
        <v>1402800.0</v>
      </c>
      <c r="I113" s="97" t="s">
        <v>44</v>
      </c>
      <c r="J113" s="104">
        <v>900000.0</v>
      </c>
      <c r="K113" s="17" t="s">
        <v>44</v>
      </c>
      <c r="L113" s="58">
        <f t="shared" si="10"/>
        <v>502800</v>
      </c>
      <c r="M113" s="10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7">
        <v>8.0</v>
      </c>
      <c r="B114" s="86">
        <v>45612.0</v>
      </c>
      <c r="C114" s="17" t="s">
        <v>826</v>
      </c>
      <c r="D114" s="17" t="s">
        <v>314</v>
      </c>
      <c r="E114" s="17" t="s">
        <v>832</v>
      </c>
      <c r="F114" s="17" t="s">
        <v>825</v>
      </c>
      <c r="G114" s="57">
        <v>10000.0</v>
      </c>
      <c r="H114" s="104">
        <v>1400000.0</v>
      </c>
      <c r="I114" s="97" t="s">
        <v>44</v>
      </c>
      <c r="J114" s="104">
        <v>900000.0</v>
      </c>
      <c r="K114" s="17" t="s">
        <v>44</v>
      </c>
      <c r="L114" s="58">
        <f t="shared" si="10"/>
        <v>500000</v>
      </c>
      <c r="M114" s="104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7">
        <v>9.0</v>
      </c>
      <c r="B115" s="86">
        <v>45614.0</v>
      </c>
      <c r="C115" s="17" t="s">
        <v>826</v>
      </c>
      <c r="D115" s="17" t="s">
        <v>314</v>
      </c>
      <c r="E115" s="17" t="s">
        <v>40</v>
      </c>
      <c r="F115" s="17" t="s">
        <v>36</v>
      </c>
      <c r="G115" s="57">
        <v>10000.0</v>
      </c>
      <c r="H115" s="104">
        <v>1500000.0</v>
      </c>
      <c r="I115" s="97" t="s">
        <v>44</v>
      </c>
      <c r="J115" s="104">
        <v>850000.0</v>
      </c>
      <c r="K115" s="17" t="s">
        <v>44</v>
      </c>
      <c r="L115" s="58">
        <f t="shared" si="10"/>
        <v>650000</v>
      </c>
      <c r="M115" s="10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7">
        <v>10.0</v>
      </c>
      <c r="B116" s="86">
        <v>45615.0</v>
      </c>
      <c r="C116" s="17" t="s">
        <v>826</v>
      </c>
      <c r="D116" s="17" t="s">
        <v>314</v>
      </c>
      <c r="E116" s="17" t="s">
        <v>37</v>
      </c>
      <c r="F116" s="17" t="s">
        <v>234</v>
      </c>
      <c r="G116" s="57">
        <v>10000.0</v>
      </c>
      <c r="H116" s="61">
        <v>1700000.0</v>
      </c>
      <c r="I116" s="93" t="s">
        <v>44</v>
      </c>
      <c r="J116" s="101">
        <v>975000.0</v>
      </c>
      <c r="K116" s="17" t="s">
        <v>44</v>
      </c>
      <c r="L116" s="58">
        <f t="shared" si="10"/>
        <v>725000</v>
      </c>
      <c r="M116" s="104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7">
        <v>11.0</v>
      </c>
      <c r="B117" s="86">
        <v>45617.0</v>
      </c>
      <c r="C117" s="17" t="s">
        <v>826</v>
      </c>
      <c r="D117" s="17" t="s">
        <v>314</v>
      </c>
      <c r="E117" s="17" t="s">
        <v>832</v>
      </c>
      <c r="F117" s="17" t="s">
        <v>768</v>
      </c>
      <c r="G117" s="57">
        <v>10020.0</v>
      </c>
      <c r="H117" s="104">
        <v>1402800.0</v>
      </c>
      <c r="I117" s="97" t="s">
        <v>44</v>
      </c>
      <c r="J117" s="104">
        <v>900000.0</v>
      </c>
      <c r="K117" s="17" t="s">
        <v>44</v>
      </c>
      <c r="L117" s="58">
        <f t="shared" si="10"/>
        <v>502800</v>
      </c>
      <c r="M117" s="104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7">
        <v>12.0</v>
      </c>
      <c r="B118" s="86">
        <v>45618.0</v>
      </c>
      <c r="C118" s="17" t="s">
        <v>826</v>
      </c>
      <c r="D118" s="17" t="s">
        <v>314</v>
      </c>
      <c r="E118" s="17" t="s">
        <v>832</v>
      </c>
      <c r="F118" s="17" t="s">
        <v>825</v>
      </c>
      <c r="G118" s="57">
        <v>10400.0</v>
      </c>
      <c r="H118" s="104">
        <v>1456000.0</v>
      </c>
      <c r="I118" s="97" t="s">
        <v>44</v>
      </c>
      <c r="J118" s="104">
        <v>900000.0</v>
      </c>
      <c r="K118" s="17" t="s">
        <v>44</v>
      </c>
      <c r="L118" s="58">
        <f t="shared" si="10"/>
        <v>556000</v>
      </c>
      <c r="M118" s="104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7">
        <v>13.0</v>
      </c>
      <c r="B119" s="86">
        <v>45622.0</v>
      </c>
      <c r="C119" s="17" t="s">
        <v>826</v>
      </c>
      <c r="D119" s="17" t="s">
        <v>314</v>
      </c>
      <c r="E119" s="17" t="s">
        <v>30</v>
      </c>
      <c r="F119" s="17" t="s">
        <v>490</v>
      </c>
      <c r="G119" s="57">
        <v>9000.0</v>
      </c>
      <c r="H119" s="104">
        <v>1125000.0</v>
      </c>
      <c r="I119" s="97" t="s">
        <v>42</v>
      </c>
      <c r="J119" s="104">
        <v>640000.0</v>
      </c>
      <c r="K119" s="17" t="s">
        <v>212</v>
      </c>
      <c r="L119" s="58">
        <f t="shared" si="10"/>
        <v>485000</v>
      </c>
      <c r="M119" s="10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7">
        <v>14.0</v>
      </c>
      <c r="B120" s="86">
        <v>45623.0</v>
      </c>
      <c r="C120" s="17" t="s">
        <v>826</v>
      </c>
      <c r="D120" s="17" t="s">
        <v>314</v>
      </c>
      <c r="E120" s="17" t="s">
        <v>832</v>
      </c>
      <c r="F120" s="17" t="s">
        <v>768</v>
      </c>
      <c r="G120" s="57">
        <v>10860.0</v>
      </c>
      <c r="H120" s="104">
        <v>1520400.0</v>
      </c>
      <c r="I120" s="97" t="s">
        <v>44</v>
      </c>
      <c r="J120" s="104">
        <v>900000.0</v>
      </c>
      <c r="K120" s="17" t="s">
        <v>212</v>
      </c>
      <c r="L120" s="58">
        <f t="shared" si="10"/>
        <v>620400</v>
      </c>
      <c r="M120" s="10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7">
        <v>15.0</v>
      </c>
      <c r="B121" s="86">
        <v>45625.0</v>
      </c>
      <c r="C121" s="17" t="s">
        <v>826</v>
      </c>
      <c r="D121" s="17" t="s">
        <v>314</v>
      </c>
      <c r="E121" s="17" t="s">
        <v>832</v>
      </c>
      <c r="F121" s="17" t="s">
        <v>825</v>
      </c>
      <c r="G121" s="57">
        <v>10000.0</v>
      </c>
      <c r="H121" s="104">
        <v>1400000.0</v>
      </c>
      <c r="I121" s="97" t="s">
        <v>44</v>
      </c>
      <c r="J121" s="104">
        <v>900000.0</v>
      </c>
      <c r="K121" s="17" t="s">
        <v>645</v>
      </c>
      <c r="L121" s="58">
        <f t="shared" si="10"/>
        <v>500000</v>
      </c>
      <c r="M121" s="104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/>
      <c r="B122" s="7"/>
      <c r="C122" s="7"/>
      <c r="D122" s="7"/>
      <c r="E122" s="17"/>
      <c r="F122" s="17"/>
      <c r="G122" s="57"/>
      <c r="H122" s="104"/>
      <c r="I122" s="97"/>
      <c r="J122" s="104"/>
      <c r="K122" s="17"/>
      <c r="L122" s="52">
        <f t="shared" ref="L122:M122" si="11">SUM(L106:L121)</f>
        <v>7753200</v>
      </c>
      <c r="M122" s="194">
        <f t="shared" si="11"/>
        <v>1458000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/>
      <c r="B123" s="7"/>
      <c r="C123" s="7"/>
      <c r="D123" s="7"/>
      <c r="E123" s="17"/>
      <c r="F123" s="17"/>
      <c r="G123" s="57"/>
      <c r="H123" s="104"/>
      <c r="I123" s="97"/>
      <c r="J123" s="104"/>
      <c r="K123" s="17"/>
      <c r="L123" s="33">
        <f>L122-M122</f>
        <v>6295200</v>
      </c>
      <c r="M123" s="10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7"/>
      <c r="B124" s="7"/>
      <c r="C124" s="7"/>
      <c r="D124" s="7"/>
      <c r="E124" s="17"/>
      <c r="F124" s="17"/>
      <c r="G124" s="57"/>
      <c r="H124" s="104"/>
      <c r="I124" s="97"/>
      <c r="J124" s="104"/>
      <c r="K124" s="17"/>
      <c r="L124" s="7"/>
      <c r="M124" s="104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7"/>
      <c r="B125" s="7"/>
      <c r="C125" s="7"/>
      <c r="D125" s="7"/>
      <c r="E125" s="17"/>
      <c r="F125" s="17"/>
      <c r="G125" s="57"/>
      <c r="H125" s="104"/>
      <c r="I125" s="97"/>
      <c r="J125" s="104"/>
      <c r="K125" s="17"/>
      <c r="L125" s="7"/>
      <c r="M125" s="104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9" t="s">
        <v>209</v>
      </c>
      <c r="B126" s="89" t="s">
        <v>0</v>
      </c>
      <c r="C126" s="89" t="s">
        <v>1</v>
      </c>
      <c r="D126" s="89" t="s">
        <v>2</v>
      </c>
      <c r="E126" s="90" t="s">
        <v>3</v>
      </c>
      <c r="F126" s="89" t="s">
        <v>4</v>
      </c>
      <c r="G126" s="91" t="s">
        <v>5</v>
      </c>
      <c r="H126" s="120" t="s">
        <v>6</v>
      </c>
      <c r="I126" s="92" t="s">
        <v>39</v>
      </c>
      <c r="J126" s="120" t="s">
        <v>7</v>
      </c>
      <c r="K126" s="91" t="s">
        <v>39</v>
      </c>
      <c r="L126" s="92" t="s">
        <v>8</v>
      </c>
      <c r="M126" s="120" t="s">
        <v>9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7">
        <v>1.0</v>
      </c>
      <c r="B127" s="86">
        <v>45628.0</v>
      </c>
      <c r="C127" s="17" t="s">
        <v>826</v>
      </c>
      <c r="D127" s="17" t="s">
        <v>314</v>
      </c>
      <c r="E127" s="17" t="s">
        <v>832</v>
      </c>
      <c r="F127" s="17" t="s">
        <v>142</v>
      </c>
      <c r="G127" s="57">
        <v>9000.0</v>
      </c>
      <c r="H127" s="104">
        <v>1500000.0</v>
      </c>
      <c r="I127" s="97" t="s">
        <v>44</v>
      </c>
      <c r="J127" s="104">
        <v>900000.0</v>
      </c>
      <c r="K127" s="17" t="s">
        <v>44</v>
      </c>
      <c r="L127" s="58">
        <f t="shared" ref="L127:L142" si="12">H127-J127</f>
        <v>600000</v>
      </c>
      <c r="M127" s="121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7">
        <v>2.0</v>
      </c>
      <c r="B128" s="86">
        <v>45630.0</v>
      </c>
      <c r="C128" s="17" t="s">
        <v>826</v>
      </c>
      <c r="D128" s="17" t="s">
        <v>314</v>
      </c>
      <c r="E128" s="17" t="s">
        <v>242</v>
      </c>
      <c r="F128" s="17" t="s">
        <v>542</v>
      </c>
      <c r="G128" s="57">
        <v>10000.0</v>
      </c>
      <c r="H128" s="104">
        <v>1000000.0</v>
      </c>
      <c r="I128" s="97" t="s">
        <v>44</v>
      </c>
      <c r="J128" s="104">
        <v>500000.0</v>
      </c>
      <c r="K128" s="17" t="s">
        <v>44</v>
      </c>
      <c r="L128" s="58">
        <f t="shared" si="12"/>
        <v>500000</v>
      </c>
      <c r="M128" s="121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7">
        <v>3.0</v>
      </c>
      <c r="B129" s="86">
        <v>45630.0</v>
      </c>
      <c r="C129" s="17" t="s">
        <v>826</v>
      </c>
      <c r="D129" s="17" t="s">
        <v>314</v>
      </c>
      <c r="E129" s="17" t="s">
        <v>832</v>
      </c>
      <c r="F129" s="17" t="s">
        <v>825</v>
      </c>
      <c r="G129" s="57">
        <v>10500.0</v>
      </c>
      <c r="H129" s="104">
        <v>1470000.0</v>
      </c>
      <c r="I129" s="97" t="s">
        <v>44</v>
      </c>
      <c r="J129" s="104">
        <v>900000.0</v>
      </c>
      <c r="K129" s="17" t="s">
        <v>44</v>
      </c>
      <c r="L129" s="58">
        <f t="shared" si="12"/>
        <v>570000</v>
      </c>
      <c r="M129" s="104"/>
      <c r="N129" s="7" t="s">
        <v>838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7">
        <v>4.0</v>
      </c>
      <c r="B130" s="86">
        <v>45632.0</v>
      </c>
      <c r="C130" s="17" t="s">
        <v>826</v>
      </c>
      <c r="D130" s="17" t="s">
        <v>314</v>
      </c>
      <c r="E130" s="17" t="s">
        <v>30</v>
      </c>
      <c r="F130" s="17" t="s">
        <v>839</v>
      </c>
      <c r="G130" s="57">
        <v>9000.0</v>
      </c>
      <c r="H130" s="104">
        <v>820000.0</v>
      </c>
      <c r="I130" s="97" t="s">
        <v>44</v>
      </c>
      <c r="J130" s="104">
        <v>350000.0</v>
      </c>
      <c r="K130" s="17" t="s">
        <v>44</v>
      </c>
      <c r="L130" s="58">
        <f t="shared" si="12"/>
        <v>470000</v>
      </c>
      <c r="M130" s="10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7">
        <v>5.0</v>
      </c>
      <c r="B131" s="86">
        <v>45632.0</v>
      </c>
      <c r="C131" s="17" t="s">
        <v>826</v>
      </c>
      <c r="D131" s="17" t="s">
        <v>314</v>
      </c>
      <c r="E131" s="17" t="s">
        <v>30</v>
      </c>
      <c r="F131" s="17" t="s">
        <v>234</v>
      </c>
      <c r="G131" s="57">
        <v>10000.0</v>
      </c>
      <c r="H131" s="106">
        <v>1500000.0</v>
      </c>
      <c r="I131" s="115" t="s">
        <v>44</v>
      </c>
      <c r="J131" s="101">
        <v>950000.0</v>
      </c>
      <c r="K131" s="17" t="s">
        <v>44</v>
      </c>
      <c r="L131" s="58">
        <f t="shared" si="12"/>
        <v>550000</v>
      </c>
      <c r="M131" s="10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7">
        <v>6.0</v>
      </c>
      <c r="B132" s="86">
        <v>45633.0</v>
      </c>
      <c r="C132" s="17" t="s">
        <v>826</v>
      </c>
      <c r="D132" s="17" t="s">
        <v>314</v>
      </c>
      <c r="E132" s="17" t="s">
        <v>832</v>
      </c>
      <c r="F132" s="17" t="s">
        <v>768</v>
      </c>
      <c r="G132" s="57">
        <v>9500.0</v>
      </c>
      <c r="H132" s="104">
        <v>1400000.0</v>
      </c>
      <c r="I132" s="115" t="s">
        <v>44</v>
      </c>
      <c r="J132" s="104">
        <v>900000.0</v>
      </c>
      <c r="K132" s="17" t="s">
        <v>44</v>
      </c>
      <c r="L132" s="58">
        <f t="shared" si="12"/>
        <v>500000</v>
      </c>
      <c r="M132" s="104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7">
        <v>7.0</v>
      </c>
      <c r="B133" s="86">
        <v>45635.0</v>
      </c>
      <c r="C133" s="17" t="s">
        <v>826</v>
      </c>
      <c r="D133" s="17" t="s">
        <v>314</v>
      </c>
      <c r="E133" s="17" t="s">
        <v>45</v>
      </c>
      <c r="F133" s="17" t="s">
        <v>840</v>
      </c>
      <c r="G133" s="57">
        <v>9000.0</v>
      </c>
      <c r="H133" s="104">
        <v>720000.0</v>
      </c>
      <c r="I133" s="97" t="s">
        <v>44</v>
      </c>
      <c r="J133" s="104">
        <v>375000.0</v>
      </c>
      <c r="K133" s="17" t="s">
        <v>44</v>
      </c>
      <c r="L133" s="58">
        <f t="shared" si="12"/>
        <v>345000</v>
      </c>
      <c r="M133" s="10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7">
        <v>8.0</v>
      </c>
      <c r="B134" s="86">
        <v>45635.0</v>
      </c>
      <c r="C134" s="17" t="s">
        <v>826</v>
      </c>
      <c r="D134" s="17" t="s">
        <v>314</v>
      </c>
      <c r="E134" s="17" t="s">
        <v>832</v>
      </c>
      <c r="F134" s="17" t="s">
        <v>841</v>
      </c>
      <c r="G134" s="57">
        <v>8220.0</v>
      </c>
      <c r="H134" s="121">
        <v>1100000.0</v>
      </c>
      <c r="I134" s="97" t="s">
        <v>44</v>
      </c>
      <c r="J134" s="104">
        <v>640000.0</v>
      </c>
      <c r="K134" s="17" t="s">
        <v>44</v>
      </c>
      <c r="L134" s="58">
        <f t="shared" si="12"/>
        <v>460000</v>
      </c>
      <c r="M134" s="10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7">
        <v>9.0</v>
      </c>
      <c r="B135" s="112">
        <v>45637.0</v>
      </c>
      <c r="C135" s="17" t="s">
        <v>826</v>
      </c>
      <c r="D135" s="17" t="s">
        <v>314</v>
      </c>
      <c r="E135" s="17" t="s">
        <v>45</v>
      </c>
      <c r="F135" s="17" t="s">
        <v>796</v>
      </c>
      <c r="G135" s="57">
        <v>9000.0</v>
      </c>
      <c r="H135" s="121">
        <v>975000.0</v>
      </c>
      <c r="I135" s="310"/>
      <c r="J135" s="104">
        <v>500000.0</v>
      </c>
      <c r="K135" s="17" t="s">
        <v>44</v>
      </c>
      <c r="L135" s="58">
        <f t="shared" si="12"/>
        <v>475000</v>
      </c>
      <c r="M135" s="10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7">
        <v>10.0</v>
      </c>
      <c r="B136" s="112">
        <v>45638.0</v>
      </c>
      <c r="C136" s="17" t="s">
        <v>826</v>
      </c>
      <c r="D136" s="17" t="s">
        <v>314</v>
      </c>
      <c r="E136" s="17" t="s">
        <v>37</v>
      </c>
      <c r="F136" s="17" t="s">
        <v>542</v>
      </c>
      <c r="G136" s="57">
        <v>9000.0</v>
      </c>
      <c r="H136" s="106">
        <v>1000000.0</v>
      </c>
      <c r="I136" s="115" t="s">
        <v>44</v>
      </c>
      <c r="J136" s="61">
        <v>450000.0</v>
      </c>
      <c r="K136" s="311"/>
      <c r="L136" s="58">
        <f t="shared" si="12"/>
        <v>550000</v>
      </c>
      <c r="M136" s="10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7">
        <v>11.0</v>
      </c>
      <c r="B137" s="112">
        <v>45639.0</v>
      </c>
      <c r="C137" s="17" t="s">
        <v>826</v>
      </c>
      <c r="D137" s="17" t="s">
        <v>314</v>
      </c>
      <c r="E137" s="98" t="s">
        <v>30</v>
      </c>
      <c r="F137" s="98" t="s">
        <v>842</v>
      </c>
      <c r="G137" s="110">
        <v>9000.0</v>
      </c>
      <c r="H137" s="121">
        <v>820000.0</v>
      </c>
      <c r="I137" s="115" t="s">
        <v>44</v>
      </c>
      <c r="J137" s="121">
        <v>350000.0</v>
      </c>
      <c r="K137" s="312"/>
      <c r="L137" s="58">
        <f t="shared" si="12"/>
        <v>470000</v>
      </c>
      <c r="M137" s="104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7">
        <v>12.0</v>
      </c>
      <c r="B138" s="112">
        <v>45649.0</v>
      </c>
      <c r="C138" s="17" t="s">
        <v>826</v>
      </c>
      <c r="D138" s="98" t="s">
        <v>843</v>
      </c>
      <c r="E138" s="98" t="s">
        <v>273</v>
      </c>
      <c r="F138" s="98" t="s">
        <v>511</v>
      </c>
      <c r="G138" s="110">
        <v>10000.0</v>
      </c>
      <c r="H138" s="121">
        <v>1500000.0</v>
      </c>
      <c r="I138" s="115" t="s">
        <v>238</v>
      </c>
      <c r="J138" s="121">
        <v>300000.0</v>
      </c>
      <c r="K138" s="98" t="s">
        <v>212</v>
      </c>
      <c r="L138" s="58">
        <f t="shared" si="12"/>
        <v>1200000</v>
      </c>
      <c r="M138" s="10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7">
        <v>13.0</v>
      </c>
      <c r="B139" s="112">
        <v>45650.0</v>
      </c>
      <c r="C139" s="17" t="s">
        <v>826</v>
      </c>
      <c r="D139" s="98" t="s">
        <v>843</v>
      </c>
      <c r="E139" s="98" t="s">
        <v>273</v>
      </c>
      <c r="F139" s="98" t="s">
        <v>512</v>
      </c>
      <c r="G139" s="110">
        <v>9000.0</v>
      </c>
      <c r="H139" s="101">
        <v>900000.0</v>
      </c>
      <c r="I139" s="103" t="s">
        <v>44</v>
      </c>
      <c r="J139" s="128">
        <v>450000.0</v>
      </c>
      <c r="K139" s="98" t="s">
        <v>212</v>
      </c>
      <c r="L139" s="58">
        <f t="shared" si="12"/>
        <v>450000</v>
      </c>
      <c r="M139" s="10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7">
        <v>14.0</v>
      </c>
      <c r="B140" s="112">
        <v>45652.0</v>
      </c>
      <c r="C140" s="17" t="s">
        <v>826</v>
      </c>
      <c r="D140" s="98" t="s">
        <v>843</v>
      </c>
      <c r="E140" s="98" t="s">
        <v>243</v>
      </c>
      <c r="F140" s="98" t="s">
        <v>572</v>
      </c>
      <c r="G140" s="110">
        <v>9000.0</v>
      </c>
      <c r="H140" s="121">
        <v>1000000.0</v>
      </c>
      <c r="I140" s="115" t="s">
        <v>212</v>
      </c>
      <c r="J140" s="121">
        <v>600000.0</v>
      </c>
      <c r="K140" s="98" t="s">
        <v>212</v>
      </c>
      <c r="L140" s="58">
        <f t="shared" si="12"/>
        <v>400000</v>
      </c>
      <c r="M140" s="104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98">
        <v>15.0</v>
      </c>
      <c r="B141" s="112">
        <v>45653.0</v>
      </c>
      <c r="C141" s="17" t="s">
        <v>844</v>
      </c>
      <c r="D141" s="98" t="s">
        <v>843</v>
      </c>
      <c r="E141" s="98" t="s">
        <v>243</v>
      </c>
      <c r="F141" s="213" t="s">
        <v>845</v>
      </c>
      <c r="G141" s="151">
        <v>1000.0</v>
      </c>
      <c r="H141" s="104">
        <v>75000.0</v>
      </c>
      <c r="I141" s="211" t="s">
        <v>212</v>
      </c>
      <c r="J141" s="104">
        <v>38000.0</v>
      </c>
      <c r="K141" s="212" t="s">
        <v>212</v>
      </c>
      <c r="L141" s="61">
        <f t="shared" si="12"/>
        <v>37000</v>
      </c>
      <c r="M141" s="121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98">
        <v>16.0</v>
      </c>
      <c r="B142" s="112">
        <v>45654.0</v>
      </c>
      <c r="C142" s="17" t="s">
        <v>826</v>
      </c>
      <c r="D142" s="98" t="s">
        <v>843</v>
      </c>
      <c r="E142" s="98" t="s">
        <v>273</v>
      </c>
      <c r="F142" s="98" t="s">
        <v>511</v>
      </c>
      <c r="G142" s="110">
        <v>10000.0</v>
      </c>
      <c r="H142" s="121">
        <v>1500000.0</v>
      </c>
      <c r="I142" s="103" t="s">
        <v>44</v>
      </c>
      <c r="J142" s="121">
        <v>300000.0</v>
      </c>
      <c r="K142" s="98" t="s">
        <v>212</v>
      </c>
      <c r="L142" s="58">
        <f t="shared" si="12"/>
        <v>1200000</v>
      </c>
      <c r="M142" s="121">
        <v>50000.0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98">
        <v>17.0</v>
      </c>
      <c r="B143" s="112">
        <v>45656.0</v>
      </c>
      <c r="C143" s="17" t="s">
        <v>826</v>
      </c>
      <c r="D143" s="98" t="s">
        <v>843</v>
      </c>
      <c r="E143" s="98" t="s">
        <v>273</v>
      </c>
      <c r="F143" s="98" t="s">
        <v>585</v>
      </c>
      <c r="G143" s="110">
        <v>9000.0</v>
      </c>
      <c r="H143" s="121">
        <v>1350000.0</v>
      </c>
      <c r="I143" s="122" t="s">
        <v>212</v>
      </c>
      <c r="J143" s="104">
        <f>850000</f>
        <v>850000</v>
      </c>
      <c r="K143" s="98" t="s">
        <v>212</v>
      </c>
      <c r="L143" s="58">
        <f>'P AJI (N8517EW)'!H383-'P AJI (N8517EW)'!J383</f>
        <v>500000</v>
      </c>
      <c r="M143" s="104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7"/>
      <c r="B144" s="7"/>
      <c r="C144" s="7"/>
      <c r="D144" s="7"/>
      <c r="E144" s="17"/>
      <c r="F144" s="17"/>
      <c r="G144" s="57"/>
      <c r="H144" s="104"/>
      <c r="I144" s="97"/>
      <c r="J144" s="104"/>
      <c r="K144" s="1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7"/>
      <c r="B145" s="7"/>
      <c r="C145" s="7"/>
      <c r="D145" s="7"/>
      <c r="E145" s="17"/>
      <c r="F145" s="17"/>
      <c r="G145" s="57"/>
      <c r="H145" s="104"/>
      <c r="I145" s="97"/>
      <c r="J145" s="104"/>
      <c r="K145" s="1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/>
      <c r="B146" s="7"/>
      <c r="C146" s="7"/>
      <c r="D146" s="7"/>
      <c r="E146" s="17"/>
      <c r="F146" s="17"/>
      <c r="G146" s="57"/>
      <c r="H146" s="104"/>
      <c r="I146" s="97"/>
      <c r="J146" s="104"/>
      <c r="K146" s="17"/>
      <c r="L146" s="52">
        <f t="shared" ref="L146:M146" si="13">SUM(L127:L143)</f>
        <v>9277000</v>
      </c>
      <c r="M146" s="194">
        <f t="shared" si="13"/>
        <v>50000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7"/>
      <c r="B147" s="7"/>
      <c r="C147" s="7"/>
      <c r="D147" s="7"/>
      <c r="E147" s="17"/>
      <c r="F147" s="17"/>
      <c r="G147" s="57"/>
      <c r="H147" s="104"/>
      <c r="I147" s="97"/>
      <c r="J147" s="104"/>
      <c r="K147" s="17"/>
      <c r="L147" s="33">
        <f>L146-M146</f>
        <v>9227000</v>
      </c>
      <c r="M147" s="10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7"/>
      <c r="B148" s="7"/>
      <c r="C148" s="7"/>
      <c r="D148" s="7"/>
      <c r="E148" s="17"/>
      <c r="F148" s="17"/>
      <c r="G148" s="57"/>
      <c r="H148" s="104"/>
      <c r="I148" s="97"/>
      <c r="J148" s="104"/>
      <c r="K148" s="17"/>
      <c r="L148" s="7"/>
      <c r="M148" s="104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9" t="s">
        <v>209</v>
      </c>
      <c r="B149" s="89" t="s">
        <v>0</v>
      </c>
      <c r="C149" s="89" t="s">
        <v>1</v>
      </c>
      <c r="D149" s="89" t="s">
        <v>2</v>
      </c>
      <c r="E149" s="90" t="s">
        <v>3</v>
      </c>
      <c r="F149" s="89" t="s">
        <v>4</v>
      </c>
      <c r="G149" s="91" t="s">
        <v>5</v>
      </c>
      <c r="H149" s="119" t="s">
        <v>6</v>
      </c>
      <c r="I149" s="92" t="s">
        <v>39</v>
      </c>
      <c r="J149" s="119" t="s">
        <v>7</v>
      </c>
      <c r="K149" s="91" t="s">
        <v>39</v>
      </c>
      <c r="L149" s="92" t="s">
        <v>8</v>
      </c>
      <c r="M149" s="120" t="s">
        <v>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3">
        <v>1.0</v>
      </c>
      <c r="B150" s="112">
        <v>45659.0</v>
      </c>
      <c r="C150" s="17" t="s">
        <v>826</v>
      </c>
      <c r="D150" s="98" t="s">
        <v>843</v>
      </c>
      <c r="E150" s="204" t="s">
        <v>279</v>
      </c>
      <c r="F150" s="204" t="s">
        <v>331</v>
      </c>
      <c r="G150" s="170">
        <v>9000.0</v>
      </c>
      <c r="H150" s="128">
        <v>1305000.0</v>
      </c>
      <c r="I150" s="122" t="s">
        <v>238</v>
      </c>
      <c r="J150" s="126">
        <v>725000.0</v>
      </c>
      <c r="K150" s="212" t="s">
        <v>212</v>
      </c>
      <c r="L150" s="58">
        <f t="shared" ref="L150:L170" si="14">H150-J150</f>
        <v>580000</v>
      </c>
      <c r="M150" s="14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98">
        <v>2.0</v>
      </c>
      <c r="B151" s="112">
        <v>45660.0</v>
      </c>
      <c r="C151" s="17" t="s">
        <v>826</v>
      </c>
      <c r="D151" s="98" t="s">
        <v>843</v>
      </c>
      <c r="E151" s="98" t="s">
        <v>280</v>
      </c>
      <c r="F151" s="98" t="s">
        <v>846</v>
      </c>
      <c r="G151" s="170">
        <v>9000.0</v>
      </c>
      <c r="H151" s="313">
        <v>1125000.0</v>
      </c>
      <c r="I151" s="115" t="s">
        <v>212</v>
      </c>
      <c r="J151" s="149">
        <v>640000.0</v>
      </c>
      <c r="K151" s="212" t="s">
        <v>212</v>
      </c>
      <c r="L151" s="58">
        <f t="shared" si="14"/>
        <v>485000</v>
      </c>
      <c r="M151" s="10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98">
        <v>3.0</v>
      </c>
      <c r="B152" s="112">
        <v>45661.0</v>
      </c>
      <c r="C152" s="17" t="s">
        <v>826</v>
      </c>
      <c r="D152" s="98" t="s">
        <v>843</v>
      </c>
      <c r="E152" s="98" t="s">
        <v>254</v>
      </c>
      <c r="F152" s="98" t="s">
        <v>286</v>
      </c>
      <c r="G152" s="110">
        <v>9000.0</v>
      </c>
      <c r="H152" s="128">
        <v>1000000.0</v>
      </c>
      <c r="I152" s="122" t="s">
        <v>238</v>
      </c>
      <c r="J152" s="128">
        <v>450000.0</v>
      </c>
      <c r="K152" s="212" t="s">
        <v>212</v>
      </c>
      <c r="L152" s="58">
        <f t="shared" si="14"/>
        <v>550000</v>
      </c>
      <c r="M152" s="104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98">
        <v>4.0</v>
      </c>
      <c r="B153" s="112">
        <v>45663.0</v>
      </c>
      <c r="C153" s="17" t="s">
        <v>826</v>
      </c>
      <c r="D153" s="98" t="s">
        <v>843</v>
      </c>
      <c r="E153" s="98" t="s">
        <v>847</v>
      </c>
      <c r="F153" s="98" t="s">
        <v>259</v>
      </c>
      <c r="G153" s="110">
        <v>10000.0</v>
      </c>
      <c r="H153" s="104">
        <v>1500000.0</v>
      </c>
      <c r="I153" s="115" t="s">
        <v>238</v>
      </c>
      <c r="J153" s="121">
        <v>875000.0</v>
      </c>
      <c r="K153" s="212" t="s">
        <v>212</v>
      </c>
      <c r="L153" s="58">
        <f t="shared" si="14"/>
        <v>625000</v>
      </c>
      <c r="M153" s="121">
        <v>640000.0</v>
      </c>
      <c r="N153" s="11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98">
        <v>5.0</v>
      </c>
      <c r="B154" s="112">
        <v>45664.0</v>
      </c>
      <c r="C154" s="17" t="s">
        <v>826</v>
      </c>
      <c r="D154" s="98" t="s">
        <v>843</v>
      </c>
      <c r="E154" s="98" t="s">
        <v>242</v>
      </c>
      <c r="F154" s="98" t="s">
        <v>324</v>
      </c>
      <c r="G154" s="110">
        <v>10000.0</v>
      </c>
      <c r="H154" s="173">
        <v>750000.0</v>
      </c>
      <c r="I154" s="211" t="s">
        <v>212</v>
      </c>
      <c r="J154" s="193">
        <v>375000.0</v>
      </c>
      <c r="K154" s="212" t="s">
        <v>212</v>
      </c>
      <c r="L154" s="58">
        <f t="shared" si="14"/>
        <v>375000</v>
      </c>
      <c r="M154" s="121">
        <v>257500.0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98">
        <v>6.0</v>
      </c>
      <c r="B155" s="112">
        <v>45665.0</v>
      </c>
      <c r="C155" s="17" t="s">
        <v>826</v>
      </c>
      <c r="D155" s="98" t="s">
        <v>843</v>
      </c>
      <c r="E155" s="98" t="s">
        <v>273</v>
      </c>
      <c r="F155" s="98" t="s">
        <v>303</v>
      </c>
      <c r="G155" s="110">
        <v>9000.0</v>
      </c>
      <c r="H155" s="208">
        <v>1215000.0</v>
      </c>
      <c r="I155" s="115" t="s">
        <v>238</v>
      </c>
      <c r="J155" s="121">
        <v>725000.0</v>
      </c>
      <c r="K155" s="98" t="s">
        <v>848</v>
      </c>
      <c r="L155" s="58">
        <f t="shared" si="14"/>
        <v>490000</v>
      </c>
      <c r="M155" s="104"/>
      <c r="N155" s="11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98">
        <v>7.0</v>
      </c>
      <c r="B156" s="112">
        <v>45666.0</v>
      </c>
      <c r="C156" s="17" t="s">
        <v>826</v>
      </c>
      <c r="D156" s="98" t="s">
        <v>843</v>
      </c>
      <c r="E156" s="98" t="s">
        <v>273</v>
      </c>
      <c r="F156" s="98" t="s">
        <v>287</v>
      </c>
      <c r="G156" s="110">
        <v>9000.0</v>
      </c>
      <c r="H156" s="149">
        <v>1200000.0</v>
      </c>
      <c r="I156" s="115" t="s">
        <v>238</v>
      </c>
      <c r="J156" s="150">
        <v>715000.0</v>
      </c>
      <c r="K156" s="98" t="s">
        <v>212</v>
      </c>
      <c r="L156" s="58">
        <f t="shared" si="14"/>
        <v>485000</v>
      </c>
      <c r="M156" s="104"/>
      <c r="N156" s="11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98">
        <v>8.0</v>
      </c>
      <c r="B157" s="112">
        <v>45668.0</v>
      </c>
      <c r="C157" s="17" t="s">
        <v>826</v>
      </c>
      <c r="D157" s="98" t="s">
        <v>843</v>
      </c>
      <c r="E157" s="98" t="s">
        <v>242</v>
      </c>
      <c r="F157" s="98" t="s">
        <v>271</v>
      </c>
      <c r="G157" s="110">
        <v>9000.0</v>
      </c>
      <c r="H157" s="58">
        <v>675000.0</v>
      </c>
      <c r="I157" s="108" t="s">
        <v>238</v>
      </c>
      <c r="J157" s="60">
        <v>375000.0</v>
      </c>
      <c r="K157" s="98" t="s">
        <v>238</v>
      </c>
      <c r="L157" s="58">
        <f t="shared" si="14"/>
        <v>300000</v>
      </c>
      <c r="M157" s="104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98">
        <v>9.0</v>
      </c>
      <c r="B158" s="112">
        <v>45670.0</v>
      </c>
      <c r="C158" s="17" t="s">
        <v>826</v>
      </c>
      <c r="D158" s="98" t="s">
        <v>843</v>
      </c>
      <c r="E158" s="98" t="s">
        <v>273</v>
      </c>
      <c r="F158" s="98" t="s">
        <v>511</v>
      </c>
      <c r="G158" s="110">
        <v>10000.0</v>
      </c>
      <c r="H158" s="121">
        <v>1500000.0</v>
      </c>
      <c r="I158" s="103" t="s">
        <v>44</v>
      </c>
      <c r="J158" s="121">
        <v>325000.0</v>
      </c>
      <c r="K158" s="98" t="s">
        <v>238</v>
      </c>
      <c r="L158" s="58">
        <f t="shared" si="14"/>
        <v>1175000</v>
      </c>
      <c r="M158" s="104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98">
        <v>10.0</v>
      </c>
      <c r="B159" s="112">
        <v>45671.0</v>
      </c>
      <c r="C159" s="17" t="s">
        <v>826</v>
      </c>
      <c r="D159" s="98" t="s">
        <v>843</v>
      </c>
      <c r="E159" s="204" t="s">
        <v>273</v>
      </c>
      <c r="F159" s="204" t="s">
        <v>511</v>
      </c>
      <c r="G159" s="151">
        <v>10000.0</v>
      </c>
      <c r="H159" s="104">
        <v>1500000.0</v>
      </c>
      <c r="I159" s="103" t="s">
        <v>44</v>
      </c>
      <c r="J159" s="121">
        <v>325000.0</v>
      </c>
      <c r="K159" s="98" t="s">
        <v>238</v>
      </c>
      <c r="L159" s="58">
        <f t="shared" si="14"/>
        <v>1175000</v>
      </c>
      <c r="M159" s="10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98">
        <v>11.0</v>
      </c>
      <c r="B160" s="112">
        <v>45671.0</v>
      </c>
      <c r="C160" s="17" t="s">
        <v>826</v>
      </c>
      <c r="D160" s="98" t="s">
        <v>843</v>
      </c>
      <c r="E160" s="213" t="s">
        <v>243</v>
      </c>
      <c r="F160" s="98" t="s">
        <v>849</v>
      </c>
      <c r="G160" s="110">
        <v>9000.0</v>
      </c>
      <c r="H160" s="173">
        <v>1400000.0</v>
      </c>
      <c r="I160" s="211" t="s">
        <v>238</v>
      </c>
      <c r="J160" s="193">
        <v>850000.0</v>
      </c>
      <c r="K160" s="98" t="s">
        <v>238</v>
      </c>
      <c r="L160" s="58">
        <f t="shared" si="14"/>
        <v>550000</v>
      </c>
      <c r="M160" s="104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98">
        <v>12.0</v>
      </c>
      <c r="B161" s="112">
        <v>45672.0</v>
      </c>
      <c r="C161" s="17" t="s">
        <v>826</v>
      </c>
      <c r="D161" s="98" t="s">
        <v>843</v>
      </c>
      <c r="E161" s="98" t="s">
        <v>273</v>
      </c>
      <c r="F161" s="98" t="s">
        <v>511</v>
      </c>
      <c r="G161" s="110">
        <v>10000.0</v>
      </c>
      <c r="H161" s="121">
        <v>1500000.0</v>
      </c>
      <c r="I161" s="115" t="s">
        <v>238</v>
      </c>
      <c r="J161" s="121">
        <v>325000.0</v>
      </c>
      <c r="K161" s="98" t="s">
        <v>238</v>
      </c>
      <c r="L161" s="58">
        <f t="shared" si="14"/>
        <v>1175000</v>
      </c>
      <c r="M161" s="10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98">
        <v>13.0</v>
      </c>
      <c r="B162" s="112">
        <v>45672.0</v>
      </c>
      <c r="C162" s="17" t="s">
        <v>826</v>
      </c>
      <c r="D162" s="98" t="s">
        <v>843</v>
      </c>
      <c r="E162" s="98" t="s">
        <v>256</v>
      </c>
      <c r="F162" s="98" t="s">
        <v>303</v>
      </c>
      <c r="G162" s="110">
        <v>9000.0</v>
      </c>
      <c r="H162" s="208">
        <v>1215000.0</v>
      </c>
      <c r="I162" s="115" t="s">
        <v>238</v>
      </c>
      <c r="J162" s="121">
        <v>725000.0</v>
      </c>
      <c r="K162" s="314"/>
      <c r="L162" s="58">
        <f t="shared" si="14"/>
        <v>490000</v>
      </c>
      <c r="M162" s="104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98">
        <v>14.0</v>
      </c>
      <c r="B163" s="112">
        <v>45673.0</v>
      </c>
      <c r="C163" s="17" t="s">
        <v>826</v>
      </c>
      <c r="D163" s="98" t="s">
        <v>843</v>
      </c>
      <c r="E163" s="98" t="s">
        <v>273</v>
      </c>
      <c r="F163" s="98" t="s">
        <v>287</v>
      </c>
      <c r="G163" s="110">
        <v>9000.0</v>
      </c>
      <c r="H163" s="149">
        <v>1200000.0</v>
      </c>
      <c r="I163" s="315"/>
      <c r="J163" s="150">
        <v>715000.0</v>
      </c>
      <c r="K163" s="306"/>
      <c r="L163" s="58">
        <f t="shared" si="14"/>
        <v>485000</v>
      </c>
      <c r="M163" s="104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98">
        <v>15.0</v>
      </c>
      <c r="B164" s="112">
        <v>45675.0</v>
      </c>
      <c r="C164" s="17" t="s">
        <v>826</v>
      </c>
      <c r="D164" s="98" t="s">
        <v>843</v>
      </c>
      <c r="E164" s="98" t="s">
        <v>123</v>
      </c>
      <c r="F164" s="98" t="s">
        <v>316</v>
      </c>
      <c r="G164" s="110">
        <v>9000.0</v>
      </c>
      <c r="H164" s="150">
        <v>720000.0</v>
      </c>
      <c r="I164" s="153"/>
      <c r="J164" s="150">
        <v>350000.0</v>
      </c>
      <c r="K164" s="314"/>
      <c r="L164" s="58">
        <f t="shared" si="14"/>
        <v>370000</v>
      </c>
      <c r="M164" s="10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98">
        <v>16.0</v>
      </c>
      <c r="B165" s="112">
        <v>45677.0</v>
      </c>
      <c r="C165" s="17" t="s">
        <v>826</v>
      </c>
      <c r="D165" s="98" t="s">
        <v>843</v>
      </c>
      <c r="E165" s="98" t="s">
        <v>279</v>
      </c>
      <c r="F165" s="98" t="s">
        <v>301</v>
      </c>
      <c r="G165" s="151">
        <v>9000.0</v>
      </c>
      <c r="H165" s="104">
        <v>900000.0</v>
      </c>
      <c r="I165" s="316"/>
      <c r="J165" s="104">
        <v>500000.0</v>
      </c>
      <c r="K165" s="314"/>
      <c r="L165" s="58">
        <f t="shared" si="14"/>
        <v>400000</v>
      </c>
      <c r="M165" s="10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98">
        <v>17.0</v>
      </c>
      <c r="B166" s="112">
        <v>45678.0</v>
      </c>
      <c r="C166" s="17" t="s">
        <v>826</v>
      </c>
      <c r="D166" s="98" t="s">
        <v>843</v>
      </c>
      <c r="E166" s="98" t="s">
        <v>123</v>
      </c>
      <c r="F166" s="98" t="s">
        <v>316</v>
      </c>
      <c r="G166" s="110">
        <v>9000.0</v>
      </c>
      <c r="H166" s="150">
        <v>720000.0</v>
      </c>
      <c r="I166" s="153"/>
      <c r="J166" s="150">
        <v>350000.0</v>
      </c>
      <c r="K166" s="314"/>
      <c r="L166" s="58">
        <f t="shared" si="14"/>
        <v>370000</v>
      </c>
      <c r="M166" s="10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98">
        <v>18.0</v>
      </c>
      <c r="B167" s="112">
        <v>45679.0</v>
      </c>
      <c r="C167" s="17" t="s">
        <v>826</v>
      </c>
      <c r="D167" s="98" t="s">
        <v>843</v>
      </c>
      <c r="E167" s="98" t="s">
        <v>273</v>
      </c>
      <c r="F167" s="98" t="s">
        <v>287</v>
      </c>
      <c r="G167" s="110">
        <v>9000.0</v>
      </c>
      <c r="H167" s="149">
        <v>1200000.0</v>
      </c>
      <c r="I167" s="315"/>
      <c r="J167" s="150">
        <v>715000.0</v>
      </c>
      <c r="K167" s="314"/>
      <c r="L167" s="58">
        <f t="shared" si="14"/>
        <v>485000</v>
      </c>
      <c r="M167" s="104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98">
        <v>19.0</v>
      </c>
      <c r="B168" s="112">
        <v>45681.0</v>
      </c>
      <c r="C168" s="17" t="s">
        <v>826</v>
      </c>
      <c r="D168" s="98" t="s">
        <v>843</v>
      </c>
      <c r="E168" s="98" t="s">
        <v>273</v>
      </c>
      <c r="F168" s="98" t="s">
        <v>287</v>
      </c>
      <c r="G168" s="110">
        <v>9000.0</v>
      </c>
      <c r="H168" s="149">
        <v>1200000.0</v>
      </c>
      <c r="I168" s="315"/>
      <c r="J168" s="150">
        <v>715000.0</v>
      </c>
      <c r="K168" s="314"/>
      <c r="L168" s="58">
        <f t="shared" si="14"/>
        <v>485000</v>
      </c>
      <c r="M168" s="121"/>
      <c r="N168" s="11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98">
        <v>20.0</v>
      </c>
      <c r="B169" s="112">
        <v>45685.0</v>
      </c>
      <c r="C169" s="17" t="s">
        <v>826</v>
      </c>
      <c r="D169" s="98" t="s">
        <v>850</v>
      </c>
      <c r="E169" s="98" t="s">
        <v>242</v>
      </c>
      <c r="F169" s="98" t="s">
        <v>43</v>
      </c>
      <c r="G169" s="110">
        <v>10000.0</v>
      </c>
      <c r="H169" s="121">
        <v>1500000.0</v>
      </c>
      <c r="I169" s="115" t="s">
        <v>238</v>
      </c>
      <c r="J169" s="121">
        <v>850000.0</v>
      </c>
      <c r="K169" s="98" t="s">
        <v>212</v>
      </c>
      <c r="L169" s="58">
        <f t="shared" si="14"/>
        <v>650000</v>
      </c>
      <c r="M169" s="10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98">
        <v>21.0</v>
      </c>
      <c r="B170" s="112">
        <v>45687.0</v>
      </c>
      <c r="C170" s="17" t="s">
        <v>826</v>
      </c>
      <c r="D170" s="98" t="s">
        <v>850</v>
      </c>
      <c r="E170" s="98" t="s">
        <v>273</v>
      </c>
      <c r="F170" s="98" t="s">
        <v>323</v>
      </c>
      <c r="G170" s="110">
        <v>9000.0</v>
      </c>
      <c r="H170" s="107">
        <v>1350000.0</v>
      </c>
      <c r="I170" s="115" t="s">
        <v>238</v>
      </c>
      <c r="J170" s="109">
        <v>805000.0</v>
      </c>
      <c r="K170" s="98" t="s">
        <v>238</v>
      </c>
      <c r="L170" s="58">
        <f t="shared" si="14"/>
        <v>545000</v>
      </c>
      <c r="M170" s="104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98"/>
      <c r="B171" s="112"/>
      <c r="C171" s="17"/>
      <c r="D171" s="98"/>
      <c r="E171" s="98"/>
      <c r="F171" s="98"/>
      <c r="G171" s="110"/>
      <c r="H171" s="104"/>
      <c r="I171" s="103"/>
      <c r="J171" s="121"/>
      <c r="K171" s="98"/>
      <c r="L171" s="58"/>
      <c r="M171" s="10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7"/>
      <c r="B172" s="7"/>
      <c r="C172" s="7"/>
      <c r="D172" s="7"/>
      <c r="E172" s="17"/>
      <c r="F172" s="17"/>
      <c r="G172" s="57"/>
      <c r="H172" s="104"/>
      <c r="I172" s="97"/>
      <c r="J172" s="104"/>
      <c r="K172" s="17"/>
      <c r="L172" s="52">
        <f t="shared" ref="L172:M172" si="15">SUM(L149:L171)</f>
        <v>12245000</v>
      </c>
      <c r="M172" s="30">
        <f t="shared" si="15"/>
        <v>897500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7"/>
      <c r="B173" s="7"/>
      <c r="C173" s="7"/>
      <c r="D173" s="7"/>
      <c r="E173" s="17"/>
      <c r="F173" s="17"/>
      <c r="G173" s="57"/>
      <c r="H173" s="104"/>
      <c r="I173" s="97"/>
      <c r="J173" s="104"/>
      <c r="K173" s="17"/>
      <c r="L173" s="33">
        <f>L172-M172</f>
        <v>11347500</v>
      </c>
      <c r="M173" s="2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7"/>
      <c r="B174" s="7"/>
      <c r="C174" s="7"/>
      <c r="D174" s="7"/>
      <c r="E174" s="17"/>
      <c r="F174" s="17"/>
      <c r="G174" s="57"/>
      <c r="H174" s="104"/>
      <c r="I174" s="97"/>
      <c r="J174" s="104"/>
      <c r="K174" s="17"/>
      <c r="L174" s="7"/>
      <c r="M174" s="10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36" t="s">
        <v>209</v>
      </c>
      <c r="B175" s="136" t="s">
        <v>0</v>
      </c>
      <c r="C175" s="136" t="s">
        <v>1</v>
      </c>
      <c r="D175" s="136" t="s">
        <v>2</v>
      </c>
      <c r="E175" s="137" t="s">
        <v>3</v>
      </c>
      <c r="F175" s="136" t="s">
        <v>4</v>
      </c>
      <c r="G175" s="138" t="s">
        <v>5</v>
      </c>
      <c r="H175" s="139" t="s">
        <v>6</v>
      </c>
      <c r="I175" s="140" t="s">
        <v>39</v>
      </c>
      <c r="J175" s="139" t="s">
        <v>7</v>
      </c>
      <c r="K175" s="138" t="s">
        <v>39</v>
      </c>
      <c r="L175" s="140" t="s">
        <v>8</v>
      </c>
      <c r="M175" s="141" t="s">
        <v>9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69">
        <v>1.0</v>
      </c>
      <c r="B176" s="112">
        <v>45692.0</v>
      </c>
      <c r="C176" s="17" t="s">
        <v>826</v>
      </c>
      <c r="D176" s="98" t="s">
        <v>851</v>
      </c>
      <c r="E176" s="98" t="s">
        <v>273</v>
      </c>
      <c r="F176" s="98" t="s">
        <v>346</v>
      </c>
      <c r="G176" s="110">
        <v>9000.0</v>
      </c>
      <c r="H176" s="208">
        <v>1000000.0</v>
      </c>
      <c r="I176" s="211" t="s">
        <v>212</v>
      </c>
      <c r="J176" s="121">
        <v>575000.0</v>
      </c>
      <c r="K176" s="98" t="s">
        <v>212</v>
      </c>
      <c r="L176" s="58">
        <f t="shared" ref="L176:L192" si="16">H176-J176</f>
        <v>425000</v>
      </c>
      <c r="M176" s="147">
        <v>1429000.0</v>
      </c>
      <c r="N176" s="117" t="s">
        <v>508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98">
        <v>2.0</v>
      </c>
      <c r="B177" s="112">
        <v>45693.0</v>
      </c>
      <c r="C177" s="17" t="s">
        <v>826</v>
      </c>
      <c r="D177" s="98" t="s">
        <v>851</v>
      </c>
      <c r="E177" s="98" t="s">
        <v>273</v>
      </c>
      <c r="F177" s="98" t="s">
        <v>511</v>
      </c>
      <c r="G177" s="110">
        <v>10000.0</v>
      </c>
      <c r="H177" s="104">
        <v>1500000.0</v>
      </c>
      <c r="I177" s="115" t="s">
        <v>238</v>
      </c>
      <c r="J177" s="121">
        <v>325000.0</v>
      </c>
      <c r="K177" s="98" t="s">
        <v>212</v>
      </c>
      <c r="L177" s="58">
        <f t="shared" si="16"/>
        <v>1175000</v>
      </c>
      <c r="M177" s="121">
        <v>2729000.0</v>
      </c>
      <c r="N177" s="117" t="s">
        <v>508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98">
        <v>3.0</v>
      </c>
      <c r="B178" s="112">
        <v>45694.0</v>
      </c>
      <c r="C178" s="17" t="s">
        <v>826</v>
      </c>
      <c r="D178" s="98" t="s">
        <v>851</v>
      </c>
      <c r="E178" s="98" t="s">
        <v>273</v>
      </c>
      <c r="F178" s="98" t="s">
        <v>511</v>
      </c>
      <c r="G178" s="110">
        <v>10000.0</v>
      </c>
      <c r="H178" s="104">
        <v>1500000.0</v>
      </c>
      <c r="I178" s="115" t="s">
        <v>238</v>
      </c>
      <c r="J178" s="121">
        <v>325000.0</v>
      </c>
      <c r="K178" s="98" t="s">
        <v>212</v>
      </c>
      <c r="L178" s="58">
        <f t="shared" si="16"/>
        <v>1175000</v>
      </c>
      <c r="M178" s="104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98">
        <v>4.0</v>
      </c>
      <c r="B179" s="112">
        <v>45695.0</v>
      </c>
      <c r="C179" s="17" t="s">
        <v>826</v>
      </c>
      <c r="D179" s="98" t="s">
        <v>851</v>
      </c>
      <c r="E179" s="98" t="s">
        <v>273</v>
      </c>
      <c r="F179" s="98" t="s">
        <v>303</v>
      </c>
      <c r="G179" s="110">
        <v>9000.0</v>
      </c>
      <c r="H179" s="208">
        <v>1215000.0</v>
      </c>
      <c r="I179" s="115" t="s">
        <v>238</v>
      </c>
      <c r="J179" s="121">
        <v>725000.0</v>
      </c>
      <c r="K179" s="98" t="s">
        <v>212</v>
      </c>
      <c r="L179" s="58">
        <f t="shared" si="16"/>
        <v>490000</v>
      </c>
      <c r="M179" s="121">
        <v>130000.0</v>
      </c>
      <c r="N179" s="11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98">
        <v>5.0</v>
      </c>
      <c r="B180" s="112">
        <v>45696.0</v>
      </c>
      <c r="C180" s="17" t="s">
        <v>826</v>
      </c>
      <c r="D180" s="98" t="s">
        <v>851</v>
      </c>
      <c r="E180" s="98" t="s">
        <v>279</v>
      </c>
      <c r="F180" s="98" t="s">
        <v>324</v>
      </c>
      <c r="G180" s="110">
        <v>9000.0</v>
      </c>
      <c r="H180" s="121">
        <v>675000.0</v>
      </c>
      <c r="I180" s="115" t="s">
        <v>212</v>
      </c>
      <c r="J180" s="121">
        <v>350000.0</v>
      </c>
      <c r="K180" s="212" t="s">
        <v>212</v>
      </c>
      <c r="L180" s="58">
        <f t="shared" si="16"/>
        <v>325000</v>
      </c>
      <c r="M180" s="104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98">
        <v>6.0</v>
      </c>
      <c r="B181" s="112">
        <v>45698.0</v>
      </c>
      <c r="C181" s="17" t="s">
        <v>826</v>
      </c>
      <c r="D181" s="98" t="s">
        <v>851</v>
      </c>
      <c r="E181" s="98" t="s">
        <v>852</v>
      </c>
      <c r="F181" s="98" t="s">
        <v>302</v>
      </c>
      <c r="G181" s="110">
        <v>9000.0</v>
      </c>
      <c r="H181" s="121">
        <v>900000.0</v>
      </c>
      <c r="I181" s="115" t="s">
        <v>238</v>
      </c>
      <c r="J181" s="121">
        <v>350000.0</v>
      </c>
      <c r="K181" s="98" t="s">
        <v>212</v>
      </c>
      <c r="L181" s="58">
        <f t="shared" si="16"/>
        <v>550000</v>
      </c>
      <c r="M181" s="10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98">
        <v>7.0</v>
      </c>
      <c r="B182" s="112">
        <v>45699.0</v>
      </c>
      <c r="C182" s="17" t="s">
        <v>826</v>
      </c>
      <c r="D182" s="98" t="s">
        <v>851</v>
      </c>
      <c r="E182" s="98" t="s">
        <v>243</v>
      </c>
      <c r="F182" s="98" t="s">
        <v>572</v>
      </c>
      <c r="G182" s="110">
        <v>9000.0</v>
      </c>
      <c r="H182" s="149">
        <v>1035000.0</v>
      </c>
      <c r="I182" s="115" t="s">
        <v>212</v>
      </c>
      <c r="J182" s="149">
        <v>600000.0</v>
      </c>
      <c r="K182" s="98" t="s">
        <v>212</v>
      </c>
      <c r="L182" s="58">
        <f t="shared" si="16"/>
        <v>435000</v>
      </c>
      <c r="M182" s="104"/>
      <c r="N182" s="129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98">
        <v>8.0</v>
      </c>
      <c r="B183" s="112">
        <v>45701.0</v>
      </c>
      <c r="C183" s="17" t="s">
        <v>826</v>
      </c>
      <c r="D183" s="98" t="s">
        <v>851</v>
      </c>
      <c r="E183" s="98" t="s">
        <v>243</v>
      </c>
      <c r="F183" s="98" t="s">
        <v>255</v>
      </c>
      <c r="G183" s="110">
        <v>10000.0</v>
      </c>
      <c r="H183" s="121">
        <v>1500000.0</v>
      </c>
      <c r="I183" s="115" t="s">
        <v>238</v>
      </c>
      <c r="J183" s="121">
        <v>975000.0</v>
      </c>
      <c r="K183" s="98" t="s">
        <v>212</v>
      </c>
      <c r="L183" s="58">
        <f t="shared" si="16"/>
        <v>525000</v>
      </c>
      <c r="M183" s="104"/>
      <c r="N183" s="129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98">
        <v>9.0</v>
      </c>
      <c r="B184" s="112">
        <v>45703.0</v>
      </c>
      <c r="C184" s="17" t="s">
        <v>826</v>
      </c>
      <c r="D184" s="98" t="s">
        <v>851</v>
      </c>
      <c r="E184" s="98" t="s">
        <v>279</v>
      </c>
      <c r="F184" s="98" t="s">
        <v>303</v>
      </c>
      <c r="G184" s="110">
        <v>9000.0</v>
      </c>
      <c r="H184" s="208">
        <v>1215000.0</v>
      </c>
      <c r="I184" s="115" t="s">
        <v>238</v>
      </c>
      <c r="J184" s="121">
        <v>725000.0</v>
      </c>
      <c r="K184" s="98" t="s">
        <v>212</v>
      </c>
      <c r="L184" s="58">
        <f t="shared" si="16"/>
        <v>490000</v>
      </c>
      <c r="M184" s="104"/>
      <c r="N184" s="11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98">
        <v>10.0</v>
      </c>
      <c r="B185" s="112">
        <v>45705.0</v>
      </c>
      <c r="C185" s="17" t="s">
        <v>826</v>
      </c>
      <c r="D185" s="98" t="s">
        <v>851</v>
      </c>
      <c r="E185" s="98" t="s">
        <v>853</v>
      </c>
      <c r="F185" s="98" t="s">
        <v>510</v>
      </c>
      <c r="G185" s="151">
        <v>9000.0</v>
      </c>
      <c r="H185" s="208">
        <v>1125000.0</v>
      </c>
      <c r="I185" s="115" t="s">
        <v>212</v>
      </c>
      <c r="J185" s="121">
        <v>640000.0</v>
      </c>
      <c r="K185" s="98" t="s">
        <v>212</v>
      </c>
      <c r="L185" s="58">
        <f t="shared" si="16"/>
        <v>485000</v>
      </c>
      <c r="M185" s="10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98">
        <v>11.0</v>
      </c>
      <c r="B186" s="112">
        <v>45706.0</v>
      </c>
      <c r="C186" s="17" t="s">
        <v>826</v>
      </c>
      <c r="D186" s="98" t="s">
        <v>851</v>
      </c>
      <c r="E186" s="98" t="s">
        <v>123</v>
      </c>
      <c r="F186" s="98" t="s">
        <v>316</v>
      </c>
      <c r="G186" s="110">
        <v>9000.0</v>
      </c>
      <c r="H186" s="150">
        <v>720000.0</v>
      </c>
      <c r="I186" s="115" t="s">
        <v>212</v>
      </c>
      <c r="J186" s="150">
        <v>350000.0</v>
      </c>
      <c r="K186" s="98" t="s">
        <v>212</v>
      </c>
      <c r="L186" s="58">
        <f t="shared" si="16"/>
        <v>370000</v>
      </c>
      <c r="M186" s="10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98">
        <v>12.0</v>
      </c>
      <c r="B187" s="112">
        <v>45707.0</v>
      </c>
      <c r="C187" s="17" t="s">
        <v>826</v>
      </c>
      <c r="D187" s="98" t="s">
        <v>851</v>
      </c>
      <c r="E187" s="98" t="s">
        <v>243</v>
      </c>
      <c r="F187" s="98" t="s">
        <v>510</v>
      </c>
      <c r="G187" s="151">
        <v>9000.0</v>
      </c>
      <c r="H187" s="208">
        <v>1125000.0</v>
      </c>
      <c r="I187" s="115" t="s">
        <v>212</v>
      </c>
      <c r="J187" s="121">
        <v>640000.0</v>
      </c>
      <c r="K187" s="98" t="s">
        <v>212</v>
      </c>
      <c r="L187" s="58">
        <f t="shared" si="16"/>
        <v>485000</v>
      </c>
      <c r="M187" s="121">
        <v>112000.0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98">
        <v>13.0</v>
      </c>
      <c r="B188" s="112">
        <v>45709.0</v>
      </c>
      <c r="C188" s="17" t="s">
        <v>826</v>
      </c>
      <c r="D188" s="98" t="s">
        <v>851</v>
      </c>
      <c r="E188" s="98" t="s">
        <v>854</v>
      </c>
      <c r="F188" s="98" t="s">
        <v>285</v>
      </c>
      <c r="G188" s="110">
        <v>9000.0</v>
      </c>
      <c r="H188" s="121">
        <v>1350000.0</v>
      </c>
      <c r="I188" s="115" t="s">
        <v>238</v>
      </c>
      <c r="J188" s="121">
        <v>780000.0</v>
      </c>
      <c r="K188" s="98" t="s">
        <v>212</v>
      </c>
      <c r="L188" s="58">
        <f t="shared" si="16"/>
        <v>570000</v>
      </c>
      <c r="M188" s="121">
        <v>200000.0</v>
      </c>
      <c r="N188" s="117" t="s">
        <v>508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98">
        <v>14.0</v>
      </c>
      <c r="B189" s="112">
        <v>45713.0</v>
      </c>
      <c r="C189" s="17" t="s">
        <v>826</v>
      </c>
      <c r="D189" s="98" t="s">
        <v>851</v>
      </c>
      <c r="E189" s="98" t="s">
        <v>273</v>
      </c>
      <c r="F189" s="98" t="s">
        <v>285</v>
      </c>
      <c r="G189" s="110">
        <v>9000.0</v>
      </c>
      <c r="H189" s="121">
        <v>1350000.0</v>
      </c>
      <c r="I189" s="115" t="s">
        <v>238</v>
      </c>
      <c r="J189" s="121">
        <v>805000.0</v>
      </c>
      <c r="K189" s="98" t="s">
        <v>212</v>
      </c>
      <c r="L189" s="58">
        <f t="shared" si="16"/>
        <v>545000</v>
      </c>
      <c r="M189" s="10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98">
        <v>15.0</v>
      </c>
      <c r="B190" s="112">
        <v>45714.0</v>
      </c>
      <c r="C190" s="17" t="s">
        <v>826</v>
      </c>
      <c r="D190" s="98" t="s">
        <v>851</v>
      </c>
      <c r="E190" s="98" t="s">
        <v>273</v>
      </c>
      <c r="F190" s="98" t="s">
        <v>259</v>
      </c>
      <c r="G190" s="110">
        <v>10000.0</v>
      </c>
      <c r="H190" s="121">
        <v>1500000.0</v>
      </c>
      <c r="I190" s="115" t="s">
        <v>238</v>
      </c>
      <c r="J190" s="121">
        <v>875000.0</v>
      </c>
      <c r="K190" s="98" t="s">
        <v>212</v>
      </c>
      <c r="L190" s="58">
        <f t="shared" si="16"/>
        <v>625000</v>
      </c>
      <c r="M190" s="104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98">
        <v>16.0</v>
      </c>
      <c r="B191" s="112">
        <v>45715.0</v>
      </c>
      <c r="C191" s="17" t="s">
        <v>826</v>
      </c>
      <c r="D191" s="98" t="s">
        <v>851</v>
      </c>
      <c r="E191" s="98" t="s">
        <v>279</v>
      </c>
      <c r="F191" s="98" t="s">
        <v>324</v>
      </c>
      <c r="G191" s="110">
        <v>9000.0</v>
      </c>
      <c r="H191" s="121">
        <v>675000.0</v>
      </c>
      <c r="I191" s="115" t="s">
        <v>212</v>
      </c>
      <c r="J191" s="121">
        <v>350000.0</v>
      </c>
      <c r="K191" s="98" t="s">
        <v>212</v>
      </c>
      <c r="L191" s="58">
        <f t="shared" si="16"/>
        <v>325000</v>
      </c>
      <c r="M191" s="10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98">
        <v>17.0</v>
      </c>
      <c r="B192" s="112">
        <v>45716.0</v>
      </c>
      <c r="C192" s="17" t="s">
        <v>826</v>
      </c>
      <c r="D192" s="98" t="s">
        <v>851</v>
      </c>
      <c r="E192" s="98" t="s">
        <v>855</v>
      </c>
      <c r="F192" s="98" t="s">
        <v>311</v>
      </c>
      <c r="G192" s="110">
        <v>9000.0</v>
      </c>
      <c r="H192" s="121">
        <v>720000.0</v>
      </c>
      <c r="I192" s="115" t="s">
        <v>212</v>
      </c>
      <c r="J192" s="121">
        <v>350000.0</v>
      </c>
      <c r="K192" s="98" t="s">
        <v>212</v>
      </c>
      <c r="L192" s="58">
        <f t="shared" si="16"/>
        <v>370000</v>
      </c>
      <c r="M192" s="104"/>
      <c r="N192" s="11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7"/>
      <c r="B193" s="7"/>
      <c r="C193" s="7"/>
      <c r="D193" s="7"/>
      <c r="E193" s="17"/>
      <c r="F193" s="17"/>
      <c r="G193" s="57"/>
      <c r="H193" s="104"/>
      <c r="I193" s="97"/>
      <c r="J193" s="104"/>
      <c r="K193" s="17"/>
      <c r="L193" s="216">
        <f t="shared" ref="L193:M193" si="17">SUM(L176:L192)</f>
        <v>9365000</v>
      </c>
      <c r="M193" s="217">
        <f t="shared" si="17"/>
        <v>4600000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7"/>
      <c r="B194" s="7"/>
      <c r="C194" s="7"/>
      <c r="D194" s="7"/>
      <c r="E194" s="17"/>
      <c r="F194" s="17"/>
      <c r="G194" s="57"/>
      <c r="H194" s="104"/>
      <c r="I194" s="97"/>
      <c r="J194" s="104"/>
      <c r="K194" s="17"/>
      <c r="L194" s="218">
        <f>L193-M193</f>
        <v>4765000</v>
      </c>
      <c r="M194" s="21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7"/>
      <c r="B195" s="7"/>
      <c r="C195" s="7"/>
      <c r="D195" s="7"/>
      <c r="E195" s="17"/>
      <c r="F195" s="17"/>
      <c r="H195" s="104"/>
      <c r="I195" s="97"/>
      <c r="J195" s="104"/>
      <c r="K195" s="17"/>
      <c r="L195" s="7"/>
      <c r="M195" s="10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36" t="s">
        <v>209</v>
      </c>
      <c r="B196" s="136" t="s">
        <v>0</v>
      </c>
      <c r="C196" s="136" t="s">
        <v>1</v>
      </c>
      <c r="D196" s="136" t="s">
        <v>2</v>
      </c>
      <c r="E196" s="137" t="s">
        <v>3</v>
      </c>
      <c r="F196" s="136" t="s">
        <v>4</v>
      </c>
      <c r="G196" s="138" t="s">
        <v>5</v>
      </c>
      <c r="H196" s="139" t="s">
        <v>6</v>
      </c>
      <c r="I196" s="140" t="s">
        <v>39</v>
      </c>
      <c r="J196" s="139" t="s">
        <v>7</v>
      </c>
      <c r="K196" s="138" t="s">
        <v>39</v>
      </c>
      <c r="L196" s="140" t="s">
        <v>8</v>
      </c>
      <c r="M196" s="141" t="s">
        <v>9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69">
        <v>1.0</v>
      </c>
      <c r="B197" s="112">
        <v>45717.0</v>
      </c>
      <c r="C197" s="17" t="s">
        <v>826</v>
      </c>
      <c r="D197" s="98" t="s">
        <v>851</v>
      </c>
      <c r="E197" s="98" t="s">
        <v>242</v>
      </c>
      <c r="F197" s="98" t="s">
        <v>259</v>
      </c>
      <c r="G197" s="110">
        <v>10000.0</v>
      </c>
      <c r="H197" s="208">
        <v>1500000.0</v>
      </c>
      <c r="I197" s="211" t="s">
        <v>238</v>
      </c>
      <c r="J197" s="121">
        <v>850000.0</v>
      </c>
      <c r="K197" s="98" t="s">
        <v>212</v>
      </c>
      <c r="L197" s="58">
        <f t="shared" ref="L197:L212" si="18">H197-J197</f>
        <v>650000</v>
      </c>
      <c r="M197" s="14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98">
        <v>2.0</v>
      </c>
      <c r="B198" s="112">
        <v>45719.0</v>
      </c>
      <c r="C198" s="17" t="s">
        <v>826</v>
      </c>
      <c r="D198" s="98" t="s">
        <v>851</v>
      </c>
      <c r="E198" s="98" t="s">
        <v>273</v>
      </c>
      <c r="F198" s="98" t="s">
        <v>585</v>
      </c>
      <c r="G198" s="110">
        <v>9000.0</v>
      </c>
      <c r="H198" s="121">
        <v>1350000.0</v>
      </c>
      <c r="I198" s="115" t="s">
        <v>212</v>
      </c>
      <c r="J198" s="121">
        <v>875000.0</v>
      </c>
      <c r="K198" s="98" t="s">
        <v>856</v>
      </c>
      <c r="L198" s="58">
        <f t="shared" si="18"/>
        <v>475000</v>
      </c>
      <c r="M198" s="104"/>
      <c r="N198" s="11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98">
        <v>3.0</v>
      </c>
      <c r="B199" s="112">
        <v>45721.0</v>
      </c>
      <c r="C199" s="17" t="s">
        <v>826</v>
      </c>
      <c r="D199" s="98" t="s">
        <v>851</v>
      </c>
      <c r="E199" s="98" t="s">
        <v>243</v>
      </c>
      <c r="F199" s="98" t="s">
        <v>285</v>
      </c>
      <c r="G199" s="110">
        <v>9000.0</v>
      </c>
      <c r="H199" s="121">
        <v>1350000.0</v>
      </c>
      <c r="I199" s="115" t="s">
        <v>238</v>
      </c>
      <c r="J199" s="121">
        <v>780000.0</v>
      </c>
      <c r="K199" s="98" t="s">
        <v>856</v>
      </c>
      <c r="L199" s="58">
        <f t="shared" si="18"/>
        <v>570000</v>
      </c>
      <c r="M199" s="121">
        <v>520000.0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98">
        <v>4.0</v>
      </c>
      <c r="B200" s="112">
        <v>45723.0</v>
      </c>
      <c r="C200" s="17" t="s">
        <v>826</v>
      </c>
      <c r="D200" s="98" t="s">
        <v>851</v>
      </c>
      <c r="E200" s="98" t="s">
        <v>243</v>
      </c>
      <c r="F200" s="98" t="s">
        <v>321</v>
      </c>
      <c r="G200" s="110">
        <v>9000.0</v>
      </c>
      <c r="H200" s="121">
        <v>800000.0</v>
      </c>
      <c r="I200" s="115" t="s">
        <v>212</v>
      </c>
      <c r="J200" s="121">
        <v>400000.0</v>
      </c>
      <c r="K200" s="98" t="s">
        <v>856</v>
      </c>
      <c r="L200" s="58">
        <f t="shared" si="18"/>
        <v>400000</v>
      </c>
      <c r="M200" s="104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98">
        <v>5.0</v>
      </c>
      <c r="B201" s="112">
        <v>45724.0</v>
      </c>
      <c r="C201" s="17" t="s">
        <v>826</v>
      </c>
      <c r="D201" s="98" t="s">
        <v>851</v>
      </c>
      <c r="E201" s="98" t="s">
        <v>254</v>
      </c>
      <c r="F201" s="98" t="s">
        <v>278</v>
      </c>
      <c r="G201" s="110">
        <v>10000.0</v>
      </c>
      <c r="H201" s="121">
        <v>750000.0</v>
      </c>
      <c r="I201" s="115" t="s">
        <v>238</v>
      </c>
      <c r="J201" s="121">
        <v>425000.0</v>
      </c>
      <c r="K201" s="98" t="s">
        <v>856</v>
      </c>
      <c r="L201" s="58">
        <f t="shared" si="18"/>
        <v>325000</v>
      </c>
      <c r="M201" s="104"/>
      <c r="N201" s="129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98">
        <v>6.0</v>
      </c>
      <c r="B202" s="112">
        <v>45726.0</v>
      </c>
      <c r="C202" s="17" t="s">
        <v>826</v>
      </c>
      <c r="D202" s="98" t="s">
        <v>851</v>
      </c>
      <c r="E202" s="98" t="s">
        <v>273</v>
      </c>
      <c r="F202" s="98" t="s">
        <v>285</v>
      </c>
      <c r="G202" s="110">
        <v>9000.0</v>
      </c>
      <c r="H202" s="121">
        <v>1350000.0</v>
      </c>
      <c r="I202" s="115" t="s">
        <v>238</v>
      </c>
      <c r="J202" s="121">
        <v>805000.0</v>
      </c>
      <c r="K202" s="98" t="s">
        <v>856</v>
      </c>
      <c r="L202" s="58">
        <f t="shared" si="18"/>
        <v>545000</v>
      </c>
      <c r="M202" s="104"/>
      <c r="N202" s="11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98">
        <v>7.0</v>
      </c>
      <c r="B203" s="112">
        <v>45728.0</v>
      </c>
      <c r="C203" s="17" t="s">
        <v>826</v>
      </c>
      <c r="D203" s="98" t="s">
        <v>851</v>
      </c>
      <c r="E203" s="98" t="s">
        <v>273</v>
      </c>
      <c r="F203" s="98" t="s">
        <v>214</v>
      </c>
      <c r="G203" s="110">
        <v>9000.0</v>
      </c>
      <c r="H203" s="121">
        <v>1350000.0</v>
      </c>
      <c r="I203" s="115" t="s">
        <v>238</v>
      </c>
      <c r="J203" s="121">
        <v>925000.0</v>
      </c>
      <c r="K203" s="98" t="s">
        <v>856</v>
      </c>
      <c r="L203" s="58">
        <f t="shared" si="18"/>
        <v>425000</v>
      </c>
      <c r="M203" s="121">
        <v>560000.0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98">
        <v>8.0</v>
      </c>
      <c r="B204" s="112">
        <v>45730.0</v>
      </c>
      <c r="C204" s="17" t="s">
        <v>826</v>
      </c>
      <c r="D204" s="98" t="s">
        <v>851</v>
      </c>
      <c r="E204" s="98" t="s">
        <v>279</v>
      </c>
      <c r="F204" s="98" t="s">
        <v>325</v>
      </c>
      <c r="G204" s="110">
        <v>9000.0</v>
      </c>
      <c r="H204" s="121">
        <v>1200000.0</v>
      </c>
      <c r="I204" s="115" t="s">
        <v>212</v>
      </c>
      <c r="J204" s="121">
        <v>640000.0</v>
      </c>
      <c r="K204" s="98" t="s">
        <v>856</v>
      </c>
      <c r="L204" s="58">
        <f t="shared" si="18"/>
        <v>560000</v>
      </c>
      <c r="M204" s="104"/>
      <c r="N204" s="11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98">
        <v>9.0</v>
      </c>
      <c r="B205" s="112">
        <v>45731.0</v>
      </c>
      <c r="C205" s="17" t="s">
        <v>826</v>
      </c>
      <c r="D205" s="98" t="s">
        <v>851</v>
      </c>
      <c r="E205" s="98" t="s">
        <v>273</v>
      </c>
      <c r="F205" s="98" t="s">
        <v>323</v>
      </c>
      <c r="G205" s="110">
        <v>9000.0</v>
      </c>
      <c r="H205" s="121">
        <v>1350000.0</v>
      </c>
      <c r="I205" s="115" t="s">
        <v>238</v>
      </c>
      <c r="J205" s="121">
        <v>805000.0</v>
      </c>
      <c r="K205" s="98" t="s">
        <v>212</v>
      </c>
      <c r="L205" s="58">
        <f t="shared" si="18"/>
        <v>545000</v>
      </c>
      <c r="M205" s="104"/>
      <c r="N205" s="11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98">
        <v>10.0</v>
      </c>
      <c r="B206" s="112">
        <v>45733.0</v>
      </c>
      <c r="C206" s="17" t="s">
        <v>826</v>
      </c>
      <c r="D206" s="98" t="s">
        <v>851</v>
      </c>
      <c r="E206" s="98" t="s">
        <v>857</v>
      </c>
      <c r="F206" s="98" t="s">
        <v>519</v>
      </c>
      <c r="G206" s="110">
        <v>10000.0</v>
      </c>
      <c r="H206" s="121">
        <v>750000.0</v>
      </c>
      <c r="I206" s="115" t="s">
        <v>238</v>
      </c>
      <c r="J206" s="121">
        <v>400000.0</v>
      </c>
      <c r="K206" s="98" t="s">
        <v>212</v>
      </c>
      <c r="L206" s="58">
        <f t="shared" si="18"/>
        <v>350000</v>
      </c>
      <c r="M206" s="121">
        <v>230000.0</v>
      </c>
      <c r="N206" s="11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98">
        <v>11.0</v>
      </c>
      <c r="B207" s="112">
        <v>45734.0</v>
      </c>
      <c r="C207" s="17" t="s">
        <v>826</v>
      </c>
      <c r="D207" s="98" t="s">
        <v>851</v>
      </c>
      <c r="E207" s="98" t="s">
        <v>273</v>
      </c>
      <c r="F207" s="98" t="s">
        <v>214</v>
      </c>
      <c r="G207" s="110">
        <v>9000.0</v>
      </c>
      <c r="H207" s="121">
        <v>1350000.0</v>
      </c>
      <c r="I207" s="115" t="s">
        <v>238</v>
      </c>
      <c r="J207" s="121">
        <v>925000.0</v>
      </c>
      <c r="K207" s="98" t="s">
        <v>212</v>
      </c>
      <c r="L207" s="58">
        <f t="shared" si="18"/>
        <v>425000</v>
      </c>
      <c r="M207" s="121">
        <v>550000.0</v>
      </c>
      <c r="N207" s="117" t="s">
        <v>798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98">
        <v>12.0</v>
      </c>
      <c r="B208" s="112">
        <v>45738.0</v>
      </c>
      <c r="C208" s="17" t="s">
        <v>826</v>
      </c>
      <c r="D208" s="98" t="s">
        <v>851</v>
      </c>
      <c r="E208" s="98" t="s">
        <v>243</v>
      </c>
      <c r="F208" s="98" t="s">
        <v>277</v>
      </c>
      <c r="G208" s="110">
        <v>10000.0</v>
      </c>
      <c r="H208" s="121">
        <v>750000.0</v>
      </c>
      <c r="I208" s="115" t="s">
        <v>212</v>
      </c>
      <c r="J208" s="121">
        <v>400000.0</v>
      </c>
      <c r="K208" s="98" t="s">
        <v>212</v>
      </c>
      <c r="L208" s="58">
        <f t="shared" si="18"/>
        <v>350000</v>
      </c>
      <c r="M208" s="104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98">
        <v>13.0</v>
      </c>
      <c r="B209" s="112">
        <v>45741.0</v>
      </c>
      <c r="C209" s="17" t="s">
        <v>826</v>
      </c>
      <c r="D209" s="98" t="s">
        <v>858</v>
      </c>
      <c r="E209" s="98" t="s">
        <v>242</v>
      </c>
      <c r="F209" s="98" t="s">
        <v>283</v>
      </c>
      <c r="G209" s="110">
        <v>9000.0</v>
      </c>
      <c r="H209" s="121">
        <v>1200000.0</v>
      </c>
      <c r="I209" s="115" t="s">
        <v>238</v>
      </c>
      <c r="J209" s="121">
        <v>640000.0</v>
      </c>
      <c r="K209" s="98" t="s">
        <v>856</v>
      </c>
      <c r="L209" s="58">
        <f t="shared" si="18"/>
        <v>560000</v>
      </c>
      <c r="M209" s="10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98">
        <v>14.0</v>
      </c>
      <c r="B210" s="112">
        <v>45742.0</v>
      </c>
      <c r="C210" s="17" t="s">
        <v>826</v>
      </c>
      <c r="D210" s="98" t="s">
        <v>858</v>
      </c>
      <c r="E210" s="98" t="s">
        <v>243</v>
      </c>
      <c r="F210" s="98" t="s">
        <v>295</v>
      </c>
      <c r="G210" s="110">
        <v>8500.0</v>
      </c>
      <c r="H210" s="121">
        <v>1065000.0</v>
      </c>
      <c r="I210" s="115" t="s">
        <v>212</v>
      </c>
      <c r="J210" s="121">
        <v>615000.0</v>
      </c>
      <c r="K210" s="98" t="s">
        <v>856</v>
      </c>
      <c r="L210" s="58">
        <f t="shared" si="18"/>
        <v>450000</v>
      </c>
      <c r="M210" s="121">
        <v>30000.0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98">
        <v>15.0</v>
      </c>
      <c r="B211" s="112">
        <v>45743.0</v>
      </c>
      <c r="C211" s="17" t="s">
        <v>826</v>
      </c>
      <c r="D211" s="98" t="s">
        <v>858</v>
      </c>
      <c r="E211" s="98" t="s">
        <v>514</v>
      </c>
      <c r="F211" s="98" t="s">
        <v>311</v>
      </c>
      <c r="G211" s="110">
        <v>9000.0</v>
      </c>
      <c r="H211" s="121">
        <v>720000.0</v>
      </c>
      <c r="I211" s="115" t="s">
        <v>212</v>
      </c>
      <c r="J211" s="121">
        <v>350000.0</v>
      </c>
      <c r="K211" s="98" t="s">
        <v>856</v>
      </c>
      <c r="L211" s="58">
        <f t="shared" si="18"/>
        <v>370000</v>
      </c>
      <c r="M211" s="121">
        <v>25000.0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98">
        <v>16.0</v>
      </c>
      <c r="B212" s="112">
        <v>45744.0</v>
      </c>
      <c r="C212" s="17" t="s">
        <v>826</v>
      </c>
      <c r="D212" s="98" t="s">
        <v>858</v>
      </c>
      <c r="E212" s="98" t="s">
        <v>243</v>
      </c>
      <c r="F212" s="98" t="s">
        <v>306</v>
      </c>
      <c r="G212" s="110">
        <v>9000.0</v>
      </c>
      <c r="H212" s="121">
        <v>1035000.0</v>
      </c>
      <c r="I212" s="115" t="s">
        <v>212</v>
      </c>
      <c r="J212" s="121">
        <v>600000.0</v>
      </c>
      <c r="K212" s="98" t="s">
        <v>856</v>
      </c>
      <c r="L212" s="58">
        <f t="shared" si="18"/>
        <v>435000</v>
      </c>
      <c r="M212" s="104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7"/>
      <c r="B213" s="7"/>
      <c r="C213" s="7"/>
      <c r="D213" s="7"/>
      <c r="E213" s="17"/>
      <c r="F213" s="17"/>
      <c r="G213" s="57"/>
      <c r="H213" s="104"/>
      <c r="I213" s="97"/>
      <c r="K213" s="17"/>
      <c r="L213" s="216">
        <f t="shared" ref="L213:M213" si="19">SUM(L197:L212)</f>
        <v>7435000</v>
      </c>
      <c r="M213" s="217">
        <f t="shared" si="19"/>
        <v>1915000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7"/>
      <c r="B214" s="7"/>
      <c r="C214" s="7"/>
      <c r="D214" s="7"/>
      <c r="E214" s="17"/>
      <c r="F214" s="17"/>
      <c r="G214" s="57"/>
      <c r="H214" s="104"/>
      <c r="I214" s="97"/>
      <c r="J214" s="104"/>
      <c r="K214" s="17"/>
      <c r="L214" s="218">
        <f>L213-M213</f>
        <v>5520000</v>
      </c>
      <c r="M214" s="21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7"/>
      <c r="B215" s="7"/>
      <c r="C215" s="7"/>
      <c r="D215" s="7"/>
      <c r="E215" s="17"/>
      <c r="F215" s="17"/>
      <c r="G215" s="57"/>
      <c r="H215" s="104"/>
      <c r="I215" s="97"/>
      <c r="J215" s="104"/>
      <c r="K215" s="17"/>
      <c r="L215" s="7"/>
      <c r="M215" s="104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9" t="s">
        <v>209</v>
      </c>
      <c r="B216" s="89" t="s">
        <v>0</v>
      </c>
      <c r="C216" s="89" t="s">
        <v>1</v>
      </c>
      <c r="D216" s="89" t="s">
        <v>2</v>
      </c>
      <c r="E216" s="90" t="s">
        <v>3</v>
      </c>
      <c r="F216" s="89" t="s">
        <v>4</v>
      </c>
      <c r="G216" s="91" t="s">
        <v>5</v>
      </c>
      <c r="H216" s="119" t="s">
        <v>6</v>
      </c>
      <c r="I216" s="92" t="s">
        <v>39</v>
      </c>
      <c r="J216" s="119" t="s">
        <v>7</v>
      </c>
      <c r="K216" s="91" t="s">
        <v>39</v>
      </c>
      <c r="L216" s="92" t="s">
        <v>8</v>
      </c>
      <c r="M216" s="120" t="s">
        <v>9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1">
        <v>1.0</v>
      </c>
      <c r="B217" s="112">
        <v>45751.0</v>
      </c>
      <c r="C217" s="17" t="s">
        <v>826</v>
      </c>
      <c r="D217" s="98" t="s">
        <v>858</v>
      </c>
      <c r="E217" s="98" t="s">
        <v>243</v>
      </c>
      <c r="F217" s="98" t="s">
        <v>285</v>
      </c>
      <c r="G217" s="110">
        <v>8500.0</v>
      </c>
      <c r="H217" s="121">
        <v>1275000.0</v>
      </c>
      <c r="I217" s="108" t="s">
        <v>238</v>
      </c>
      <c r="J217" s="121">
        <v>780000.0</v>
      </c>
      <c r="K217" s="109" t="s">
        <v>238</v>
      </c>
      <c r="L217" s="58">
        <f t="shared" ref="L217:L223" si="20">H217-J217</f>
        <v>495000</v>
      </c>
      <c r="M217" s="121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18">
        <v>2.0</v>
      </c>
      <c r="B218" s="112">
        <v>45754.0</v>
      </c>
      <c r="C218" s="17" t="s">
        <v>826</v>
      </c>
      <c r="D218" s="98" t="s">
        <v>858</v>
      </c>
      <c r="E218" s="98" t="s">
        <v>280</v>
      </c>
      <c r="F218" s="98" t="s">
        <v>346</v>
      </c>
      <c r="G218" s="110">
        <v>9000.0</v>
      </c>
      <c r="H218" s="121">
        <v>1000000.0</v>
      </c>
      <c r="I218" s="115" t="s">
        <v>212</v>
      </c>
      <c r="J218" s="109">
        <v>550000.0</v>
      </c>
      <c r="K218" s="98" t="s">
        <v>856</v>
      </c>
      <c r="L218" s="58">
        <f t="shared" si="20"/>
        <v>450000</v>
      </c>
      <c r="M218" s="10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18">
        <v>3.0</v>
      </c>
      <c r="B219" s="112">
        <v>45755.0</v>
      </c>
      <c r="C219" s="17" t="s">
        <v>826</v>
      </c>
      <c r="D219" s="98" t="s">
        <v>858</v>
      </c>
      <c r="E219" s="98" t="s">
        <v>256</v>
      </c>
      <c r="F219" s="98" t="s">
        <v>301</v>
      </c>
      <c r="G219" s="110">
        <v>9000.0</v>
      </c>
      <c r="H219" s="121">
        <v>900000.0</v>
      </c>
      <c r="I219" s="115" t="s">
        <v>212</v>
      </c>
      <c r="J219" s="121">
        <v>500000.0</v>
      </c>
      <c r="K219" s="98" t="s">
        <v>856</v>
      </c>
      <c r="L219" s="58">
        <f t="shared" si="20"/>
        <v>400000</v>
      </c>
      <c r="M219" s="106">
        <v>35000.0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18">
        <v>4.0</v>
      </c>
      <c r="B220" s="112">
        <v>45756.0</v>
      </c>
      <c r="C220" s="17" t="s">
        <v>826</v>
      </c>
      <c r="D220" s="98" t="s">
        <v>858</v>
      </c>
      <c r="E220" s="98" t="s">
        <v>256</v>
      </c>
      <c r="F220" s="98" t="s">
        <v>328</v>
      </c>
      <c r="G220" s="110">
        <v>9000.0</v>
      </c>
      <c r="H220" s="121">
        <v>1440000.0</v>
      </c>
      <c r="I220" s="108" t="s">
        <v>238</v>
      </c>
      <c r="J220" s="121">
        <v>900000.0</v>
      </c>
      <c r="K220" s="98" t="s">
        <v>856</v>
      </c>
      <c r="L220" s="58">
        <f t="shared" si="20"/>
        <v>540000</v>
      </c>
      <c r="M220" s="61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18">
        <v>5.0</v>
      </c>
      <c r="B221" s="112">
        <v>45757.0</v>
      </c>
      <c r="C221" s="17" t="s">
        <v>826</v>
      </c>
      <c r="D221" s="98" t="s">
        <v>858</v>
      </c>
      <c r="E221" s="98" t="s">
        <v>243</v>
      </c>
      <c r="F221" s="98" t="s">
        <v>321</v>
      </c>
      <c r="G221" s="110">
        <v>9000.0</v>
      </c>
      <c r="H221" s="121">
        <v>800000.0</v>
      </c>
      <c r="I221" s="122" t="s">
        <v>238</v>
      </c>
      <c r="J221" s="121">
        <v>400000.0</v>
      </c>
      <c r="K221" s="109" t="s">
        <v>238</v>
      </c>
      <c r="L221" s="58">
        <f t="shared" si="20"/>
        <v>400000</v>
      </c>
      <c r="M221" s="10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18">
        <v>6.0</v>
      </c>
      <c r="B222" s="112">
        <v>45758.0</v>
      </c>
      <c r="C222" s="17" t="s">
        <v>826</v>
      </c>
      <c r="D222" s="98" t="s">
        <v>858</v>
      </c>
      <c r="E222" s="98" t="s">
        <v>518</v>
      </c>
      <c r="F222" s="98" t="s">
        <v>332</v>
      </c>
      <c r="G222" s="110">
        <v>9000.0</v>
      </c>
      <c r="H222" s="121">
        <v>765000.0</v>
      </c>
      <c r="I222" s="108" t="s">
        <v>238</v>
      </c>
      <c r="J222" s="121">
        <v>450000.0</v>
      </c>
      <c r="K222" s="98" t="s">
        <v>856</v>
      </c>
      <c r="L222" s="58">
        <f t="shared" si="20"/>
        <v>315000</v>
      </c>
      <c r="M222" s="106">
        <v>150000.0</v>
      </c>
      <c r="N222" s="117" t="s">
        <v>859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18">
        <v>7.0</v>
      </c>
      <c r="B223" s="112">
        <v>45761.0</v>
      </c>
      <c r="C223" s="17" t="s">
        <v>826</v>
      </c>
      <c r="D223" s="98" t="s">
        <v>858</v>
      </c>
      <c r="E223" s="98" t="s">
        <v>81</v>
      </c>
      <c r="F223" s="98" t="s">
        <v>306</v>
      </c>
      <c r="G223" s="110">
        <v>9000.0</v>
      </c>
      <c r="H223" s="121">
        <v>1035000.0</v>
      </c>
      <c r="I223" s="115" t="s">
        <v>212</v>
      </c>
      <c r="J223" s="121">
        <v>600000.0</v>
      </c>
      <c r="K223" s="98" t="s">
        <v>856</v>
      </c>
      <c r="L223" s="58">
        <f t="shared" si="20"/>
        <v>435000</v>
      </c>
      <c r="M223" s="106">
        <v>30000.0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18"/>
      <c r="B224" s="112"/>
      <c r="C224" s="17"/>
      <c r="D224" s="98"/>
      <c r="E224" s="98"/>
      <c r="F224" s="98"/>
      <c r="G224" s="110"/>
      <c r="H224" s="121"/>
      <c r="I224" s="108"/>
      <c r="J224" s="121"/>
      <c r="K224" s="109"/>
      <c r="L224" s="52">
        <f t="shared" ref="L224:M224" si="21">SUM(L217:L223)</f>
        <v>3035000</v>
      </c>
      <c r="M224" s="30">
        <f t="shared" si="21"/>
        <v>215000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18"/>
      <c r="B225" s="112"/>
      <c r="C225" s="17"/>
      <c r="D225" s="98"/>
      <c r="E225" s="98"/>
      <c r="F225" s="98"/>
      <c r="G225" s="110"/>
      <c r="H225" s="121"/>
      <c r="I225" s="115"/>
      <c r="J225" s="121"/>
      <c r="K225" s="109"/>
      <c r="L225" s="33">
        <f>L224-M224</f>
        <v>2820000</v>
      </c>
      <c r="M225" s="2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18"/>
      <c r="B226" s="112"/>
      <c r="C226" s="17"/>
      <c r="D226" s="98"/>
      <c r="E226" s="98"/>
      <c r="F226" s="98"/>
      <c r="G226" s="110"/>
      <c r="H226" s="121"/>
      <c r="I226" s="115"/>
      <c r="J226" s="121"/>
      <c r="K226" s="109"/>
      <c r="L226" s="58"/>
      <c r="M226" s="10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9" t="s">
        <v>209</v>
      </c>
      <c r="B227" s="89" t="s">
        <v>0</v>
      </c>
      <c r="C227" s="89" t="s">
        <v>1</v>
      </c>
      <c r="D227" s="89" t="s">
        <v>2</v>
      </c>
      <c r="E227" s="90" t="s">
        <v>3</v>
      </c>
      <c r="F227" s="89" t="s">
        <v>4</v>
      </c>
      <c r="G227" s="91" t="s">
        <v>5</v>
      </c>
      <c r="H227" s="119" t="s">
        <v>6</v>
      </c>
      <c r="I227" s="92" t="s">
        <v>39</v>
      </c>
      <c r="J227" s="119" t="s">
        <v>7</v>
      </c>
      <c r="K227" s="91" t="s">
        <v>39</v>
      </c>
      <c r="L227" s="92" t="s">
        <v>8</v>
      </c>
      <c r="M227" s="120" t="s">
        <v>9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1">
        <v>1.0</v>
      </c>
      <c r="B228" s="112"/>
      <c r="C228" s="17"/>
      <c r="D228" s="98"/>
      <c r="E228" s="98"/>
      <c r="F228" s="98"/>
      <c r="G228" s="110"/>
      <c r="H228" s="121"/>
      <c r="I228" s="108"/>
      <c r="J228" s="121"/>
      <c r="K228" s="109"/>
      <c r="L228" s="58">
        <f t="shared" ref="L228:L229" si="22">H228-J228</f>
        <v>0</v>
      </c>
      <c r="M228" s="121">
        <v>8000000.0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18">
        <v>2.0</v>
      </c>
      <c r="B229" s="112"/>
      <c r="C229" s="17"/>
      <c r="D229" s="98"/>
      <c r="E229" s="98"/>
      <c r="F229" s="98"/>
      <c r="G229" s="110"/>
      <c r="H229" s="121"/>
      <c r="I229" s="115"/>
      <c r="J229" s="109"/>
      <c r="K229" s="109"/>
      <c r="L229" s="58">
        <f t="shared" si="22"/>
        <v>0</v>
      </c>
      <c r="M229" s="106">
        <v>4920000.0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1"/>
      <c r="B230" s="7"/>
      <c r="C230" s="17"/>
      <c r="D230" s="17"/>
      <c r="E230" s="98"/>
      <c r="F230" s="17"/>
      <c r="G230" s="110" t="s">
        <v>24</v>
      </c>
      <c r="H230" s="58"/>
      <c r="I230" s="59"/>
      <c r="J230" s="121"/>
      <c r="K230" s="60"/>
      <c r="L230" s="52">
        <f t="shared" ref="L230:M230" si="23">SUM(L228:L229)</f>
        <v>0</v>
      </c>
      <c r="M230" s="30">
        <f t="shared" si="23"/>
        <v>12920000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1"/>
      <c r="B231" s="7"/>
      <c r="C231" s="17"/>
      <c r="D231" s="17"/>
      <c r="E231" s="17"/>
      <c r="F231" s="17"/>
      <c r="G231" s="57"/>
      <c r="H231" s="58"/>
      <c r="I231" s="59"/>
      <c r="K231" s="60"/>
      <c r="L231" s="33">
        <f>L230-M230</f>
        <v>-12920000</v>
      </c>
      <c r="M231" s="2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7"/>
      <c r="B232" s="7"/>
      <c r="C232" s="7"/>
      <c r="D232" s="7"/>
      <c r="E232" s="17"/>
      <c r="F232" s="17"/>
      <c r="G232" s="57"/>
      <c r="H232" s="104"/>
      <c r="I232" s="97"/>
      <c r="J232" s="104"/>
      <c r="K232" s="17"/>
      <c r="L232" s="7"/>
      <c r="M232" s="104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36" t="s">
        <v>209</v>
      </c>
      <c r="B233" s="136" t="s">
        <v>0</v>
      </c>
      <c r="C233" s="136" t="s">
        <v>1</v>
      </c>
      <c r="D233" s="136" t="s">
        <v>2</v>
      </c>
      <c r="E233" s="137" t="s">
        <v>3</v>
      </c>
      <c r="F233" s="136" t="s">
        <v>4</v>
      </c>
      <c r="G233" s="138" t="s">
        <v>5</v>
      </c>
      <c r="H233" s="139" t="s">
        <v>6</v>
      </c>
      <c r="I233" s="140" t="s">
        <v>39</v>
      </c>
      <c r="J233" s="139" t="s">
        <v>7</v>
      </c>
      <c r="K233" s="138" t="s">
        <v>39</v>
      </c>
      <c r="L233" s="140" t="s">
        <v>8</v>
      </c>
      <c r="M233" s="141" t="s">
        <v>9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7">
        <v>1.0</v>
      </c>
      <c r="B234" s="142">
        <v>45843.0</v>
      </c>
      <c r="C234" s="144" t="s">
        <v>826</v>
      </c>
      <c r="D234" s="144" t="s">
        <v>860</v>
      </c>
      <c r="E234" s="144" t="s">
        <v>322</v>
      </c>
      <c r="F234" s="144" t="s">
        <v>333</v>
      </c>
      <c r="G234" s="148">
        <v>9000.0</v>
      </c>
      <c r="H234" s="107">
        <v>1350000.0</v>
      </c>
      <c r="I234" s="108" t="s">
        <v>238</v>
      </c>
      <c r="J234" s="121">
        <v>875000.0</v>
      </c>
      <c r="K234" s="107" t="s">
        <v>238</v>
      </c>
      <c r="L234" s="58">
        <f t="shared" ref="L234:L251" si="24">H234-J234</f>
        <v>475000</v>
      </c>
      <c r="M234" s="147">
        <v>320000.0</v>
      </c>
      <c r="N234" s="11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98">
        <v>2.0</v>
      </c>
      <c r="B235" s="142">
        <v>45845.0</v>
      </c>
      <c r="C235" s="144" t="s">
        <v>826</v>
      </c>
      <c r="D235" s="144" t="s">
        <v>860</v>
      </c>
      <c r="E235" s="144" t="s">
        <v>322</v>
      </c>
      <c r="F235" s="98" t="s">
        <v>295</v>
      </c>
      <c r="G235" s="110">
        <v>9000.0</v>
      </c>
      <c r="H235" s="121">
        <v>1125000.0</v>
      </c>
      <c r="I235" s="115" t="s">
        <v>212</v>
      </c>
      <c r="J235" s="121">
        <v>665000.0</v>
      </c>
      <c r="K235" s="98" t="s">
        <v>212</v>
      </c>
      <c r="L235" s="58">
        <f t="shared" si="24"/>
        <v>460000</v>
      </c>
      <c r="M235" s="121">
        <v>1269000.0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98">
        <v>3.0</v>
      </c>
      <c r="B236" s="142">
        <v>45846.0</v>
      </c>
      <c r="C236" s="144" t="s">
        <v>826</v>
      </c>
      <c r="D236" s="144" t="s">
        <v>860</v>
      </c>
      <c r="E236" s="98" t="s">
        <v>322</v>
      </c>
      <c r="F236" s="98" t="s">
        <v>303</v>
      </c>
      <c r="G236" s="110">
        <v>9000.0</v>
      </c>
      <c r="H236" s="121">
        <v>1215000.0</v>
      </c>
      <c r="I236" s="115" t="s">
        <v>238</v>
      </c>
      <c r="J236" s="121">
        <v>725000.0</v>
      </c>
      <c r="K236" s="107" t="s">
        <v>238</v>
      </c>
      <c r="L236" s="58">
        <f t="shared" si="24"/>
        <v>490000</v>
      </c>
      <c r="M236" s="104"/>
      <c r="N236" s="11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98">
        <v>4.0</v>
      </c>
      <c r="B237" s="142">
        <v>45847.0</v>
      </c>
      <c r="C237" s="144" t="s">
        <v>826</v>
      </c>
      <c r="D237" s="144" t="s">
        <v>860</v>
      </c>
      <c r="E237" s="98" t="s">
        <v>322</v>
      </c>
      <c r="F237" s="98" t="s">
        <v>295</v>
      </c>
      <c r="G237" s="110">
        <v>9000.0</v>
      </c>
      <c r="H237" s="121">
        <v>1125000.0</v>
      </c>
      <c r="I237" s="115" t="s">
        <v>212</v>
      </c>
      <c r="J237" s="121">
        <v>665000.0</v>
      </c>
      <c r="K237" s="107" t="s">
        <v>238</v>
      </c>
      <c r="L237" s="58">
        <f t="shared" si="24"/>
        <v>460000</v>
      </c>
      <c r="M237" s="104"/>
      <c r="N237" s="11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98">
        <v>5.0</v>
      </c>
      <c r="B238" s="142">
        <v>45848.0</v>
      </c>
      <c r="C238" s="144" t="s">
        <v>826</v>
      </c>
      <c r="D238" s="144" t="s">
        <v>860</v>
      </c>
      <c r="E238" s="98" t="s">
        <v>318</v>
      </c>
      <c r="F238" s="98" t="s">
        <v>319</v>
      </c>
      <c r="G238" s="110">
        <v>5000.0</v>
      </c>
      <c r="H238" s="135">
        <v>2281800.0</v>
      </c>
      <c r="I238" s="115" t="s">
        <v>238</v>
      </c>
      <c r="J238" s="121">
        <v>900000.0</v>
      </c>
      <c r="K238" s="98" t="s">
        <v>212</v>
      </c>
      <c r="L238" s="58">
        <f t="shared" si="24"/>
        <v>1381800</v>
      </c>
      <c r="M238" s="121">
        <v>25000.0</v>
      </c>
      <c r="N238" s="11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98">
        <v>6.0</v>
      </c>
      <c r="B239" s="142">
        <v>45849.0</v>
      </c>
      <c r="C239" s="144" t="s">
        <v>826</v>
      </c>
      <c r="D239" s="144" t="s">
        <v>860</v>
      </c>
      <c r="E239" s="98" t="s">
        <v>335</v>
      </c>
      <c r="F239" s="98" t="s">
        <v>336</v>
      </c>
      <c r="G239" s="110">
        <v>6250.0</v>
      </c>
      <c r="H239" s="150">
        <v>1550003.0</v>
      </c>
      <c r="I239" s="115" t="s">
        <v>238</v>
      </c>
      <c r="J239" s="121">
        <v>750000.0</v>
      </c>
      <c r="K239" s="107" t="s">
        <v>238</v>
      </c>
      <c r="L239" s="58">
        <f t="shared" si="24"/>
        <v>800003</v>
      </c>
      <c r="M239" s="104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98">
        <v>7.0</v>
      </c>
      <c r="B240" s="142">
        <v>45850.0</v>
      </c>
      <c r="C240" s="144" t="s">
        <v>826</v>
      </c>
      <c r="D240" s="144" t="s">
        <v>860</v>
      </c>
      <c r="E240" s="98" t="s">
        <v>243</v>
      </c>
      <c r="F240" s="98" t="s">
        <v>333</v>
      </c>
      <c r="G240" s="110">
        <v>9000.0</v>
      </c>
      <c r="H240" s="121">
        <v>1350000.0</v>
      </c>
      <c r="I240" s="115" t="s">
        <v>238</v>
      </c>
      <c r="J240" s="121">
        <v>850000.0</v>
      </c>
      <c r="K240" s="107" t="s">
        <v>238</v>
      </c>
      <c r="L240" s="58">
        <f t="shared" si="24"/>
        <v>500000</v>
      </c>
      <c r="M240" s="104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98">
        <v>8.0</v>
      </c>
      <c r="B241" s="142">
        <v>45852.0</v>
      </c>
      <c r="C241" s="144" t="s">
        <v>826</v>
      </c>
      <c r="D241" s="144" t="s">
        <v>860</v>
      </c>
      <c r="E241" s="98" t="s">
        <v>335</v>
      </c>
      <c r="F241" s="98" t="s">
        <v>336</v>
      </c>
      <c r="G241" s="110">
        <v>6600.0</v>
      </c>
      <c r="H241" s="150">
        <v>1550003.0</v>
      </c>
      <c r="I241" s="108" t="s">
        <v>238</v>
      </c>
      <c r="J241" s="121">
        <v>750000.0</v>
      </c>
      <c r="K241" s="107" t="s">
        <v>238</v>
      </c>
      <c r="L241" s="58">
        <f t="shared" si="24"/>
        <v>800003</v>
      </c>
      <c r="M241" s="104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98">
        <v>9.0</v>
      </c>
      <c r="B242" s="142">
        <v>45854.0</v>
      </c>
      <c r="C242" s="144" t="s">
        <v>826</v>
      </c>
      <c r="D242" s="144" t="s">
        <v>860</v>
      </c>
      <c r="E242" s="98" t="s">
        <v>322</v>
      </c>
      <c r="F242" s="98" t="s">
        <v>287</v>
      </c>
      <c r="G242" s="110">
        <v>9000.0</v>
      </c>
      <c r="H242" s="121">
        <v>1200000.0</v>
      </c>
      <c r="I242" s="115" t="s">
        <v>212</v>
      </c>
      <c r="J242" s="121">
        <v>690000.0</v>
      </c>
      <c r="K242" s="109" t="s">
        <v>238</v>
      </c>
      <c r="L242" s="58">
        <f t="shared" si="24"/>
        <v>510000</v>
      </c>
      <c r="M242" s="104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98">
        <v>10.0</v>
      </c>
      <c r="B243" s="142">
        <v>45855.0</v>
      </c>
      <c r="C243" s="144" t="s">
        <v>826</v>
      </c>
      <c r="D243" s="144" t="s">
        <v>860</v>
      </c>
      <c r="E243" s="98" t="s">
        <v>123</v>
      </c>
      <c r="F243" s="144" t="s">
        <v>316</v>
      </c>
      <c r="G243" s="110">
        <v>9000.0</v>
      </c>
      <c r="H243" s="107">
        <v>720000.0</v>
      </c>
      <c r="I243" s="115" t="s">
        <v>212</v>
      </c>
      <c r="J243" s="109">
        <v>350000.0</v>
      </c>
      <c r="K243" s="107" t="s">
        <v>238</v>
      </c>
      <c r="L243" s="58">
        <f t="shared" si="24"/>
        <v>370000</v>
      </c>
      <c r="M243" s="104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98">
        <v>11.0</v>
      </c>
      <c r="B244" s="142">
        <v>45855.0</v>
      </c>
      <c r="C244" s="144" t="s">
        <v>826</v>
      </c>
      <c r="D244" s="144" t="s">
        <v>860</v>
      </c>
      <c r="E244" s="98" t="s">
        <v>279</v>
      </c>
      <c r="F244" s="144" t="s">
        <v>325</v>
      </c>
      <c r="G244" s="110">
        <v>9000.0</v>
      </c>
      <c r="H244" s="107">
        <v>1200000.0</v>
      </c>
      <c r="I244" s="115" t="s">
        <v>212</v>
      </c>
      <c r="J244" s="109">
        <v>640000.0</v>
      </c>
      <c r="K244" s="107" t="s">
        <v>238</v>
      </c>
      <c r="L244" s="58">
        <f t="shared" si="24"/>
        <v>560000</v>
      </c>
      <c r="M244" s="121">
        <v>4121000.0</v>
      </c>
      <c r="N244" s="11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98">
        <v>12.0</v>
      </c>
      <c r="B245" s="142">
        <v>45859.0</v>
      </c>
      <c r="C245" s="144" t="s">
        <v>826</v>
      </c>
      <c r="D245" s="144" t="s">
        <v>860</v>
      </c>
      <c r="E245" s="98" t="s">
        <v>80</v>
      </c>
      <c r="F245" s="98" t="s">
        <v>861</v>
      </c>
      <c r="G245" s="110">
        <v>3000.0</v>
      </c>
      <c r="H245" s="121">
        <v>1120000.0</v>
      </c>
      <c r="I245" s="115" t="s">
        <v>238</v>
      </c>
      <c r="J245" s="121">
        <v>700000.0</v>
      </c>
      <c r="K245" s="107" t="s">
        <v>238</v>
      </c>
      <c r="L245" s="58">
        <f t="shared" si="24"/>
        <v>420000</v>
      </c>
      <c r="M245" s="104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98">
        <v>13.0</v>
      </c>
      <c r="B246" s="142">
        <v>45860.0</v>
      </c>
      <c r="C246" s="144" t="s">
        <v>826</v>
      </c>
      <c r="D246" s="144" t="s">
        <v>860</v>
      </c>
      <c r="E246" s="98" t="s">
        <v>243</v>
      </c>
      <c r="F246" s="98" t="s">
        <v>323</v>
      </c>
      <c r="G246" s="110">
        <v>9000.0</v>
      </c>
      <c r="H246" s="121">
        <v>1300000.0</v>
      </c>
      <c r="I246" s="115" t="s">
        <v>212</v>
      </c>
      <c r="J246" s="121">
        <v>780000.0</v>
      </c>
      <c r="K246" s="107" t="s">
        <v>238</v>
      </c>
      <c r="L246" s="58">
        <f t="shared" si="24"/>
        <v>520000</v>
      </c>
      <c r="M246" s="121"/>
      <c r="N246" s="11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98">
        <v>14.0</v>
      </c>
      <c r="B247" s="142">
        <v>45861.0</v>
      </c>
      <c r="C247" s="144" t="s">
        <v>826</v>
      </c>
      <c r="D247" s="144" t="s">
        <v>860</v>
      </c>
      <c r="E247" s="98" t="s">
        <v>242</v>
      </c>
      <c r="F247" s="98" t="s">
        <v>348</v>
      </c>
      <c r="G247" s="110">
        <v>10000.0</v>
      </c>
      <c r="H247" s="121">
        <v>1000000.0</v>
      </c>
      <c r="I247" s="115" t="s">
        <v>238</v>
      </c>
      <c r="J247" s="121">
        <v>475000.0</v>
      </c>
      <c r="K247" s="109" t="s">
        <v>238</v>
      </c>
      <c r="L247" s="58">
        <f t="shared" si="24"/>
        <v>525000</v>
      </c>
      <c r="M247" s="121">
        <v>5585000.0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98">
        <v>15.0</v>
      </c>
      <c r="B248" s="142">
        <v>45866.0</v>
      </c>
      <c r="C248" s="144" t="s">
        <v>826</v>
      </c>
      <c r="D248" s="144" t="s">
        <v>520</v>
      </c>
      <c r="E248" s="98" t="s">
        <v>242</v>
      </c>
      <c r="F248" s="98" t="s">
        <v>259</v>
      </c>
      <c r="G248" s="110">
        <v>10000.0</v>
      </c>
      <c r="H248" s="107">
        <v>1500000.0</v>
      </c>
      <c r="I248" s="108" t="s">
        <v>238</v>
      </c>
      <c r="J248" s="109">
        <v>850000.0</v>
      </c>
      <c r="K248" s="109" t="s">
        <v>238</v>
      </c>
      <c r="L248" s="58">
        <f t="shared" si="24"/>
        <v>650000</v>
      </c>
      <c r="M248" s="121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98">
        <v>16.0</v>
      </c>
      <c r="B249" s="142">
        <v>45867.0</v>
      </c>
      <c r="C249" s="144" t="s">
        <v>826</v>
      </c>
      <c r="D249" s="144" t="s">
        <v>520</v>
      </c>
      <c r="E249" s="98" t="s">
        <v>327</v>
      </c>
      <c r="F249" s="98" t="s">
        <v>329</v>
      </c>
      <c r="G249" s="110">
        <v>10000.0</v>
      </c>
      <c r="H249" s="121">
        <v>1100000.0</v>
      </c>
      <c r="I249" s="115" t="s">
        <v>238</v>
      </c>
      <c r="J249" s="121">
        <v>600000.0</v>
      </c>
      <c r="K249" s="109" t="s">
        <v>238</v>
      </c>
      <c r="L249" s="58">
        <f t="shared" si="24"/>
        <v>500000</v>
      </c>
      <c r="M249" s="104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98">
        <v>17.0</v>
      </c>
      <c r="B250" s="142">
        <v>45868.0</v>
      </c>
      <c r="C250" s="144" t="s">
        <v>826</v>
      </c>
      <c r="D250" s="144" t="s">
        <v>520</v>
      </c>
      <c r="E250" s="98" t="s">
        <v>322</v>
      </c>
      <c r="F250" s="98" t="s">
        <v>303</v>
      </c>
      <c r="G250" s="110">
        <v>9000.0</v>
      </c>
      <c r="H250" s="121">
        <v>1215000.0</v>
      </c>
      <c r="I250" s="115" t="s">
        <v>238</v>
      </c>
      <c r="J250" s="121">
        <v>725000.0</v>
      </c>
      <c r="K250" s="98" t="s">
        <v>212</v>
      </c>
      <c r="L250" s="58">
        <f t="shared" si="24"/>
        <v>490000</v>
      </c>
      <c r="M250" s="104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98">
        <v>18.0</v>
      </c>
      <c r="B251" s="142">
        <v>45869.0</v>
      </c>
      <c r="C251" s="144" t="s">
        <v>826</v>
      </c>
      <c r="D251" s="144" t="s">
        <v>520</v>
      </c>
      <c r="E251" s="98" t="s">
        <v>322</v>
      </c>
      <c r="F251" s="98" t="s">
        <v>295</v>
      </c>
      <c r="G251" s="110">
        <v>9000.0</v>
      </c>
      <c r="H251" s="121">
        <v>1125000.0</v>
      </c>
      <c r="I251" s="115" t="s">
        <v>212</v>
      </c>
      <c r="J251" s="121">
        <v>665000.0</v>
      </c>
      <c r="K251" s="109" t="s">
        <v>238</v>
      </c>
      <c r="L251" s="58">
        <f t="shared" si="24"/>
        <v>460000</v>
      </c>
      <c r="M251" s="104"/>
      <c r="N251" s="117" t="s">
        <v>862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7"/>
      <c r="B252" s="7"/>
      <c r="C252" s="7"/>
      <c r="D252" s="144"/>
      <c r="E252" s="17"/>
      <c r="F252" s="17"/>
      <c r="G252" s="57"/>
      <c r="I252" s="97"/>
      <c r="J252" s="104"/>
      <c r="K252" s="17"/>
      <c r="L252" s="52">
        <f>SUM(L234:L251)</f>
        <v>10371806</v>
      </c>
      <c r="M252" s="30">
        <f>SUM(M234:M249)</f>
        <v>11320000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7"/>
      <c r="B253" s="7"/>
      <c r="C253" s="7"/>
      <c r="D253" s="144"/>
      <c r="E253" s="17"/>
      <c r="F253" s="17"/>
      <c r="G253" s="57"/>
      <c r="H253" s="104"/>
      <c r="I253" s="97"/>
      <c r="J253" s="104"/>
      <c r="K253" s="17"/>
      <c r="L253" s="33">
        <f>L252-M252</f>
        <v>-948194</v>
      </c>
      <c r="M253" s="2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7"/>
      <c r="B254" s="7"/>
      <c r="C254" s="7"/>
      <c r="D254" s="7"/>
      <c r="E254" s="17"/>
      <c r="F254" s="17"/>
      <c r="G254" s="57"/>
      <c r="H254" s="104"/>
      <c r="I254" s="97"/>
      <c r="J254" s="104"/>
      <c r="K254" s="17"/>
      <c r="L254" s="7"/>
      <c r="M254" s="104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36" t="s">
        <v>209</v>
      </c>
      <c r="B255" s="136" t="s">
        <v>0</v>
      </c>
      <c r="C255" s="136" t="s">
        <v>1</v>
      </c>
      <c r="D255" s="136" t="s">
        <v>2</v>
      </c>
      <c r="E255" s="137" t="s">
        <v>3</v>
      </c>
      <c r="F255" s="136" t="s">
        <v>4</v>
      </c>
      <c r="G255" s="138" t="s">
        <v>5</v>
      </c>
      <c r="H255" s="139" t="s">
        <v>6</v>
      </c>
      <c r="I255" s="140" t="s">
        <v>39</v>
      </c>
      <c r="J255" s="139" t="s">
        <v>7</v>
      </c>
      <c r="K255" s="138" t="s">
        <v>39</v>
      </c>
      <c r="L255" s="140" t="s">
        <v>8</v>
      </c>
      <c r="M255" s="141" t="s">
        <v>9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7">
        <v>1.0</v>
      </c>
      <c r="B256" s="142">
        <v>45870.0</v>
      </c>
      <c r="C256" s="144" t="s">
        <v>826</v>
      </c>
      <c r="D256" s="144" t="s">
        <v>520</v>
      </c>
      <c r="E256" s="144" t="s">
        <v>243</v>
      </c>
      <c r="F256" s="144" t="s">
        <v>324</v>
      </c>
      <c r="G256" s="148">
        <v>9000.0</v>
      </c>
      <c r="H256" s="134">
        <v>675000.0</v>
      </c>
      <c r="I256" s="115" t="s">
        <v>212</v>
      </c>
      <c r="J256" s="134">
        <v>350000.0</v>
      </c>
      <c r="K256" s="109" t="s">
        <v>238</v>
      </c>
      <c r="L256" s="58">
        <f t="shared" ref="L256:L275" si="25">H256-J256</f>
        <v>325000</v>
      </c>
      <c r="M256" s="147">
        <v>3700000.0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18">
        <v>2.0</v>
      </c>
      <c r="B257" s="142">
        <v>45873.0</v>
      </c>
      <c r="C257" s="144" t="s">
        <v>826</v>
      </c>
      <c r="D257" s="144" t="s">
        <v>520</v>
      </c>
      <c r="E257" s="98" t="s">
        <v>123</v>
      </c>
      <c r="F257" s="144" t="s">
        <v>316</v>
      </c>
      <c r="G257" s="110">
        <v>9000.0</v>
      </c>
      <c r="H257" s="134">
        <v>720000.0</v>
      </c>
      <c r="I257" s="115" t="s">
        <v>212</v>
      </c>
      <c r="J257" s="134">
        <v>350000.0</v>
      </c>
      <c r="K257" s="109" t="s">
        <v>238</v>
      </c>
      <c r="L257" s="58">
        <f t="shared" si="25"/>
        <v>370000</v>
      </c>
      <c r="M257" s="150">
        <v>4090000.0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18">
        <v>3.0</v>
      </c>
      <c r="B258" s="142">
        <v>45873.0</v>
      </c>
      <c r="C258" s="144" t="s">
        <v>826</v>
      </c>
      <c r="D258" s="144" t="s">
        <v>520</v>
      </c>
      <c r="E258" s="98" t="s">
        <v>243</v>
      </c>
      <c r="F258" s="144" t="s">
        <v>323</v>
      </c>
      <c r="G258" s="110">
        <v>9000.0</v>
      </c>
      <c r="H258" s="134">
        <v>1300000.0</v>
      </c>
      <c r="I258" s="115" t="s">
        <v>212</v>
      </c>
      <c r="J258" s="134">
        <v>780000.0</v>
      </c>
      <c r="K258" s="109" t="s">
        <v>238</v>
      </c>
      <c r="L258" s="58">
        <f t="shared" si="25"/>
        <v>520000</v>
      </c>
      <c r="M258" s="150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18">
        <v>4.0</v>
      </c>
      <c r="B259" s="142">
        <v>45874.0</v>
      </c>
      <c r="C259" s="144" t="s">
        <v>826</v>
      </c>
      <c r="D259" s="144" t="s">
        <v>520</v>
      </c>
      <c r="E259" s="98" t="s">
        <v>322</v>
      </c>
      <c r="F259" s="144" t="s">
        <v>306</v>
      </c>
      <c r="G259" s="151">
        <v>9000.0</v>
      </c>
      <c r="H259" s="134">
        <v>1035000.0</v>
      </c>
      <c r="I259" s="115" t="s">
        <v>212</v>
      </c>
      <c r="J259" s="134">
        <v>625000.0</v>
      </c>
      <c r="K259" s="109" t="s">
        <v>238</v>
      </c>
      <c r="L259" s="58">
        <f t="shared" si="25"/>
        <v>410000</v>
      </c>
      <c r="M259" s="150">
        <v>130000.0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18">
        <v>5.0</v>
      </c>
      <c r="B260" s="142">
        <v>45875.0</v>
      </c>
      <c r="C260" s="144" t="s">
        <v>826</v>
      </c>
      <c r="D260" s="144" t="s">
        <v>520</v>
      </c>
      <c r="E260" s="98" t="s">
        <v>242</v>
      </c>
      <c r="F260" s="98" t="s">
        <v>259</v>
      </c>
      <c r="G260" s="110">
        <v>10000.0</v>
      </c>
      <c r="H260" s="107">
        <v>1500000.0</v>
      </c>
      <c r="I260" s="108" t="s">
        <v>238</v>
      </c>
      <c r="J260" s="109">
        <v>850000.0</v>
      </c>
      <c r="K260" s="109" t="s">
        <v>238</v>
      </c>
      <c r="L260" s="58">
        <f t="shared" si="25"/>
        <v>650000</v>
      </c>
      <c r="M260" s="150">
        <v>290000.0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18">
        <v>6.0</v>
      </c>
      <c r="B261" s="142">
        <v>45876.0</v>
      </c>
      <c r="C261" s="144" t="s">
        <v>826</v>
      </c>
      <c r="D261" s="144" t="s">
        <v>520</v>
      </c>
      <c r="E261" s="98" t="s">
        <v>242</v>
      </c>
      <c r="F261" s="144" t="s">
        <v>259</v>
      </c>
      <c r="G261" s="151">
        <v>10000.0</v>
      </c>
      <c r="H261" s="134">
        <v>1500000.0</v>
      </c>
      <c r="I261" s="115" t="s">
        <v>238</v>
      </c>
      <c r="J261" s="134">
        <v>850000.0</v>
      </c>
      <c r="K261" s="109" t="s">
        <v>238</v>
      </c>
      <c r="L261" s="58">
        <f t="shared" si="25"/>
        <v>650000</v>
      </c>
      <c r="M261" s="150"/>
      <c r="N261" s="11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18">
        <v>7.0</v>
      </c>
      <c r="B262" s="142">
        <v>45878.0</v>
      </c>
      <c r="C262" s="144" t="s">
        <v>826</v>
      </c>
      <c r="D262" s="144" t="s">
        <v>520</v>
      </c>
      <c r="E262" s="98" t="s">
        <v>322</v>
      </c>
      <c r="F262" s="98" t="s">
        <v>302</v>
      </c>
      <c r="G262" s="151">
        <v>9000.0</v>
      </c>
      <c r="H262" s="134">
        <v>720000.0</v>
      </c>
      <c r="I262" s="152" t="s">
        <v>238</v>
      </c>
      <c r="J262" s="134">
        <v>375000.0</v>
      </c>
      <c r="K262" s="109" t="s">
        <v>238</v>
      </c>
      <c r="L262" s="58">
        <f t="shared" si="25"/>
        <v>345000</v>
      </c>
      <c r="M262" s="150">
        <v>248000.0</v>
      </c>
      <c r="N262" s="11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18">
        <v>8.0</v>
      </c>
      <c r="B263" s="142">
        <v>45880.0</v>
      </c>
      <c r="C263" s="144" t="s">
        <v>826</v>
      </c>
      <c r="D263" s="144" t="s">
        <v>520</v>
      </c>
      <c r="E263" s="98" t="s">
        <v>305</v>
      </c>
      <c r="F263" s="98" t="s">
        <v>295</v>
      </c>
      <c r="G263" s="151">
        <v>9000.0</v>
      </c>
      <c r="H263" s="134">
        <v>1125000.0</v>
      </c>
      <c r="I263" s="115" t="s">
        <v>212</v>
      </c>
      <c r="J263" s="134">
        <v>640000.0</v>
      </c>
      <c r="K263" s="109" t="s">
        <v>238</v>
      </c>
      <c r="L263" s="58">
        <f t="shared" si="25"/>
        <v>485000</v>
      </c>
      <c r="M263" s="149"/>
      <c r="N263" s="11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18">
        <v>9.0</v>
      </c>
      <c r="B264" s="142">
        <v>45881.0</v>
      </c>
      <c r="C264" s="144" t="s">
        <v>826</v>
      </c>
      <c r="D264" s="144" t="s">
        <v>520</v>
      </c>
      <c r="E264" s="98" t="s">
        <v>322</v>
      </c>
      <c r="F264" s="98" t="s">
        <v>295</v>
      </c>
      <c r="G264" s="151">
        <v>9000.0</v>
      </c>
      <c r="H264" s="134">
        <v>1125000.0</v>
      </c>
      <c r="I264" s="115" t="s">
        <v>212</v>
      </c>
      <c r="J264" s="134">
        <v>665000.0</v>
      </c>
      <c r="K264" s="98" t="s">
        <v>212</v>
      </c>
      <c r="L264" s="58">
        <f t="shared" si="25"/>
        <v>460000</v>
      </c>
      <c r="M264" s="149"/>
      <c r="N264" s="11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18">
        <v>10.0</v>
      </c>
      <c r="B265" s="142">
        <v>45882.0</v>
      </c>
      <c r="C265" s="144" t="s">
        <v>826</v>
      </c>
      <c r="D265" s="144" t="s">
        <v>520</v>
      </c>
      <c r="E265" s="98" t="s">
        <v>322</v>
      </c>
      <c r="F265" s="98" t="s">
        <v>863</v>
      </c>
      <c r="G265" s="110">
        <v>9000.0</v>
      </c>
      <c r="H265" s="134">
        <v>1350000.0</v>
      </c>
      <c r="I265" s="115" t="s">
        <v>238</v>
      </c>
      <c r="J265" s="109">
        <v>925000.0</v>
      </c>
      <c r="K265" s="98" t="s">
        <v>212</v>
      </c>
      <c r="L265" s="58">
        <f t="shared" si="25"/>
        <v>425000</v>
      </c>
      <c r="M265" s="150"/>
      <c r="N265" s="11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18">
        <v>11.0</v>
      </c>
      <c r="B266" s="142">
        <v>45883.0</v>
      </c>
      <c r="C266" s="144" t="s">
        <v>826</v>
      </c>
      <c r="D266" s="144" t="s">
        <v>520</v>
      </c>
      <c r="E266" s="98" t="s">
        <v>327</v>
      </c>
      <c r="F266" s="98" t="s">
        <v>329</v>
      </c>
      <c r="G266" s="151">
        <v>10000.0</v>
      </c>
      <c r="H266" s="150">
        <v>1100000.0</v>
      </c>
      <c r="I266" s="152" t="s">
        <v>238</v>
      </c>
      <c r="J266" s="121">
        <v>600000.0</v>
      </c>
      <c r="K266" s="109" t="s">
        <v>238</v>
      </c>
      <c r="L266" s="58">
        <f t="shared" si="25"/>
        <v>500000</v>
      </c>
      <c r="M266" s="150">
        <v>235000.0</v>
      </c>
      <c r="N266" s="11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18">
        <v>12.0</v>
      </c>
      <c r="B267" s="142">
        <v>45884.0</v>
      </c>
      <c r="C267" s="144" t="s">
        <v>826</v>
      </c>
      <c r="D267" s="144" t="s">
        <v>520</v>
      </c>
      <c r="E267" s="98" t="s">
        <v>534</v>
      </c>
      <c r="F267" s="98" t="s">
        <v>535</v>
      </c>
      <c r="G267" s="151">
        <v>8500.0</v>
      </c>
      <c r="H267" s="150">
        <v>1882146.0</v>
      </c>
      <c r="I267" s="152"/>
      <c r="J267" s="121">
        <v>900000.0</v>
      </c>
      <c r="K267" s="98" t="s">
        <v>212</v>
      </c>
      <c r="L267" s="58">
        <f t="shared" si="25"/>
        <v>982146</v>
      </c>
      <c r="M267" s="150">
        <v>175000.0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18">
        <v>13.0</v>
      </c>
      <c r="B268" s="142">
        <v>45890.0</v>
      </c>
      <c r="C268" s="144" t="s">
        <v>826</v>
      </c>
      <c r="D268" s="144" t="s">
        <v>520</v>
      </c>
      <c r="E268" s="98" t="s">
        <v>320</v>
      </c>
      <c r="F268" s="98" t="s">
        <v>864</v>
      </c>
      <c r="G268" s="151">
        <v>11000.0</v>
      </c>
      <c r="H268" s="150">
        <v>1500000.0</v>
      </c>
      <c r="I268" s="152"/>
      <c r="J268" s="121">
        <v>900000.0</v>
      </c>
      <c r="K268" s="98" t="s">
        <v>212</v>
      </c>
      <c r="L268" s="58">
        <f t="shared" si="25"/>
        <v>600000</v>
      </c>
      <c r="M268" s="14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18">
        <v>14.0</v>
      </c>
      <c r="B269" s="142">
        <v>45891.0</v>
      </c>
      <c r="C269" s="144" t="s">
        <v>826</v>
      </c>
      <c r="D269" s="144" t="s">
        <v>520</v>
      </c>
      <c r="E269" s="98" t="s">
        <v>243</v>
      </c>
      <c r="F269" s="98" t="s">
        <v>255</v>
      </c>
      <c r="G269" s="151">
        <v>10000.0</v>
      </c>
      <c r="H269" s="150">
        <v>1500000.0</v>
      </c>
      <c r="I269" s="184"/>
      <c r="J269" s="121">
        <v>950000.0</v>
      </c>
      <c r="K269" s="98" t="s">
        <v>212</v>
      </c>
      <c r="L269" s="58">
        <f t="shared" si="25"/>
        <v>550000</v>
      </c>
      <c r="M269" s="14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18">
        <v>15.0</v>
      </c>
      <c r="B270" s="142">
        <v>45892.0</v>
      </c>
      <c r="C270" s="144" t="s">
        <v>826</v>
      </c>
      <c r="D270" s="144" t="s">
        <v>520</v>
      </c>
      <c r="E270" s="98" t="s">
        <v>242</v>
      </c>
      <c r="F270" s="98" t="s">
        <v>264</v>
      </c>
      <c r="G270" s="151">
        <v>10000.0</v>
      </c>
      <c r="H270" s="150">
        <v>1500000.0</v>
      </c>
      <c r="I270" s="152" t="s">
        <v>238</v>
      </c>
      <c r="J270" s="121">
        <v>950000.0</v>
      </c>
      <c r="K270" s="109" t="s">
        <v>238</v>
      </c>
      <c r="L270" s="58">
        <f t="shared" si="25"/>
        <v>550000</v>
      </c>
      <c r="M270" s="150">
        <v>192000.0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18">
        <v>16.0</v>
      </c>
      <c r="B271" s="142">
        <v>45894.0</v>
      </c>
      <c r="C271" s="144" t="s">
        <v>826</v>
      </c>
      <c r="D271" s="144" t="s">
        <v>520</v>
      </c>
      <c r="E271" s="98" t="s">
        <v>322</v>
      </c>
      <c r="F271" s="98" t="s">
        <v>295</v>
      </c>
      <c r="G271" s="151">
        <v>9000.0</v>
      </c>
      <c r="H271" s="150">
        <v>1125000.0</v>
      </c>
      <c r="I271" s="115" t="s">
        <v>212</v>
      </c>
      <c r="J271" s="121">
        <v>665000.0</v>
      </c>
      <c r="K271" s="109" t="s">
        <v>238</v>
      </c>
      <c r="L271" s="58">
        <f t="shared" si="25"/>
        <v>460000</v>
      </c>
      <c r="M271" s="150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18">
        <v>17.0</v>
      </c>
      <c r="B272" s="142">
        <v>45895.0</v>
      </c>
      <c r="C272" s="144" t="s">
        <v>826</v>
      </c>
      <c r="D272" s="144" t="s">
        <v>520</v>
      </c>
      <c r="E272" s="98" t="s">
        <v>322</v>
      </c>
      <c r="F272" s="98" t="s">
        <v>271</v>
      </c>
      <c r="G272" s="151">
        <v>9000.0</v>
      </c>
      <c r="H272" s="150">
        <v>675000.0</v>
      </c>
      <c r="I272" s="152" t="s">
        <v>238</v>
      </c>
      <c r="J272" s="121">
        <v>400000.0</v>
      </c>
      <c r="K272" s="109" t="s">
        <v>238</v>
      </c>
      <c r="L272" s="58">
        <f t="shared" si="25"/>
        <v>275000</v>
      </c>
      <c r="M272" s="150">
        <v>15000.0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18">
        <v>18.0</v>
      </c>
      <c r="B273" s="142">
        <v>45896.0</v>
      </c>
      <c r="C273" s="144" t="s">
        <v>826</v>
      </c>
      <c r="D273" s="144" t="s">
        <v>520</v>
      </c>
      <c r="E273" s="98" t="s">
        <v>322</v>
      </c>
      <c r="F273" s="98" t="s">
        <v>346</v>
      </c>
      <c r="G273" s="151">
        <v>9000.0</v>
      </c>
      <c r="H273" s="150">
        <v>990000.0</v>
      </c>
      <c r="I273" s="115" t="s">
        <v>212</v>
      </c>
      <c r="J273" s="121">
        <v>575000.0</v>
      </c>
      <c r="K273" s="109" t="s">
        <v>238</v>
      </c>
      <c r="L273" s="58">
        <f t="shared" si="25"/>
        <v>415000</v>
      </c>
      <c r="M273" s="150"/>
      <c r="N273" s="11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18">
        <v>19.0</v>
      </c>
      <c r="B274" s="142">
        <v>45897.0</v>
      </c>
      <c r="C274" s="144" t="s">
        <v>826</v>
      </c>
      <c r="D274" s="144" t="s">
        <v>520</v>
      </c>
      <c r="E274" s="98" t="s">
        <v>322</v>
      </c>
      <c r="F274" s="98" t="s">
        <v>865</v>
      </c>
      <c r="G274" s="151">
        <v>9000.0</v>
      </c>
      <c r="H274" s="150">
        <v>750000.0</v>
      </c>
      <c r="I274" s="152" t="s">
        <v>238</v>
      </c>
      <c r="J274" s="121">
        <v>375000.0</v>
      </c>
      <c r="K274" s="109" t="s">
        <v>238</v>
      </c>
      <c r="L274" s="58">
        <f t="shared" si="25"/>
        <v>375000</v>
      </c>
      <c r="M274" s="150">
        <v>12000.0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18">
        <v>20.0</v>
      </c>
      <c r="B275" s="142">
        <v>45898.0</v>
      </c>
      <c r="C275" s="144" t="s">
        <v>826</v>
      </c>
      <c r="D275" s="144" t="s">
        <v>520</v>
      </c>
      <c r="E275" s="98" t="s">
        <v>242</v>
      </c>
      <c r="F275" s="98" t="s">
        <v>259</v>
      </c>
      <c r="G275" s="151">
        <v>10000.0</v>
      </c>
      <c r="H275" s="150">
        <v>1500000.0</v>
      </c>
      <c r="I275" s="152" t="s">
        <v>238</v>
      </c>
      <c r="J275" s="121">
        <v>850000.0</v>
      </c>
      <c r="K275" s="109" t="s">
        <v>238</v>
      </c>
      <c r="L275" s="58">
        <f t="shared" si="25"/>
        <v>650000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18"/>
      <c r="B276" s="7"/>
      <c r="C276" s="7"/>
      <c r="D276" s="7"/>
      <c r="E276" s="17"/>
      <c r="F276" s="17"/>
      <c r="G276" s="170"/>
      <c r="H276" s="149"/>
      <c r="I276" s="184"/>
      <c r="J276" s="121"/>
      <c r="K276" s="17"/>
      <c r="L276" s="52">
        <f t="shared" ref="L276:M276" si="26">SUM(L256:L274)</f>
        <v>9347146</v>
      </c>
      <c r="M276" s="30">
        <f t="shared" si="26"/>
        <v>9087000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1"/>
      <c r="B277" s="7"/>
      <c r="C277" s="7"/>
      <c r="D277" s="7"/>
      <c r="E277" s="17"/>
      <c r="F277" s="17"/>
      <c r="G277" s="170"/>
      <c r="H277" s="149"/>
      <c r="I277" s="184"/>
      <c r="J277" s="121"/>
      <c r="K277" s="17"/>
      <c r="L277" s="33">
        <f>L276-M276</f>
        <v>260146</v>
      </c>
      <c r="M277" s="26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7"/>
      <c r="B278" s="7"/>
      <c r="C278" s="7"/>
      <c r="D278" s="7"/>
      <c r="E278" s="17"/>
      <c r="F278" s="17"/>
      <c r="G278" s="57"/>
      <c r="H278" s="104"/>
      <c r="I278" s="97"/>
      <c r="J278" s="104"/>
      <c r="K278" s="17"/>
      <c r="L278" s="7"/>
      <c r="M278" s="104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36" t="s">
        <v>209</v>
      </c>
      <c r="B279" s="136" t="s">
        <v>0</v>
      </c>
      <c r="C279" s="136" t="s">
        <v>1</v>
      </c>
      <c r="D279" s="136" t="s">
        <v>2</v>
      </c>
      <c r="E279" s="137" t="s">
        <v>3</v>
      </c>
      <c r="F279" s="136" t="s">
        <v>4</v>
      </c>
      <c r="G279" s="138" t="s">
        <v>5</v>
      </c>
      <c r="H279" s="139" t="s">
        <v>6</v>
      </c>
      <c r="I279" s="140" t="s">
        <v>39</v>
      </c>
      <c r="J279" s="139" t="s">
        <v>7</v>
      </c>
      <c r="K279" s="138" t="s">
        <v>39</v>
      </c>
      <c r="L279" s="140" t="s">
        <v>8</v>
      </c>
      <c r="M279" s="141" t="s">
        <v>9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7">
        <v>1.0</v>
      </c>
      <c r="B280" s="142">
        <v>45901.0</v>
      </c>
      <c r="C280" s="144" t="s">
        <v>826</v>
      </c>
      <c r="D280" s="144" t="s">
        <v>520</v>
      </c>
      <c r="E280" s="144" t="s">
        <v>322</v>
      </c>
      <c r="F280" s="144" t="s">
        <v>295</v>
      </c>
      <c r="G280" s="148">
        <v>9000.0</v>
      </c>
      <c r="H280" s="107">
        <v>1125000.0</v>
      </c>
      <c r="I280" s="153"/>
      <c r="J280" s="109">
        <v>665000.0</v>
      </c>
      <c r="K280" s="109" t="s">
        <v>238</v>
      </c>
      <c r="L280" s="58">
        <f>H280-J280</f>
        <v>460000</v>
      </c>
      <c r="M280" s="14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7"/>
      <c r="B281" s="7"/>
      <c r="C281" s="7"/>
      <c r="D281" s="7"/>
      <c r="E281" s="17"/>
      <c r="F281" s="17"/>
      <c r="G281" s="57"/>
      <c r="H281" s="104"/>
      <c r="I281" s="97"/>
      <c r="J281" s="104"/>
      <c r="K281" s="17"/>
      <c r="L281" s="7"/>
      <c r="M281" s="104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7"/>
      <c r="B282" s="7"/>
      <c r="C282" s="7"/>
      <c r="D282" s="7"/>
      <c r="E282" s="17"/>
      <c r="F282" s="17"/>
      <c r="G282" s="57"/>
      <c r="H282" s="104"/>
      <c r="I282" s="97"/>
      <c r="J282" s="104"/>
      <c r="K282" s="17"/>
      <c r="L282" s="7"/>
      <c r="M282" s="104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7"/>
      <c r="B283" s="7"/>
      <c r="C283" s="7"/>
      <c r="D283" s="7"/>
      <c r="E283" s="17"/>
      <c r="F283" s="17"/>
      <c r="G283" s="57"/>
      <c r="H283" s="104"/>
      <c r="I283" s="97"/>
      <c r="J283" s="104"/>
      <c r="K283" s="17"/>
      <c r="L283" s="7"/>
      <c r="M283" s="104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7"/>
      <c r="B284" s="7"/>
      <c r="C284" s="7"/>
      <c r="D284" s="7"/>
      <c r="E284" s="17"/>
      <c r="F284" s="17"/>
      <c r="G284" s="57"/>
      <c r="H284" s="104"/>
      <c r="I284" s="97"/>
      <c r="J284" s="104"/>
      <c r="K284" s="17"/>
      <c r="L284" s="7"/>
      <c r="M284" s="104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7"/>
      <c r="B285" s="7"/>
      <c r="C285" s="7"/>
      <c r="D285" s="7"/>
      <c r="E285" s="17"/>
      <c r="F285" s="17"/>
      <c r="G285" s="57"/>
      <c r="H285" s="104"/>
      <c r="I285" s="97"/>
      <c r="J285" s="104"/>
      <c r="K285" s="17"/>
      <c r="L285" s="7"/>
      <c r="M285" s="10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7"/>
      <c r="B286" s="7"/>
      <c r="C286" s="7"/>
      <c r="D286" s="7"/>
      <c r="E286" s="17"/>
      <c r="F286" s="17"/>
      <c r="G286" s="57"/>
      <c r="H286" s="104"/>
      <c r="I286" s="97"/>
      <c r="J286" s="104"/>
      <c r="K286" s="17"/>
      <c r="L286" s="7"/>
      <c r="M286" s="10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7"/>
      <c r="B287" s="7"/>
      <c r="C287" s="7"/>
      <c r="D287" s="7"/>
      <c r="E287" s="17"/>
      <c r="F287" s="17"/>
      <c r="G287" s="57"/>
      <c r="H287" s="104"/>
      <c r="I287" s="97"/>
      <c r="J287" s="104"/>
      <c r="K287" s="17"/>
      <c r="L287" s="7"/>
      <c r="M287" s="104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7"/>
      <c r="B288" s="7"/>
      <c r="C288" s="7"/>
      <c r="D288" s="7"/>
      <c r="E288" s="17"/>
      <c r="F288" s="17"/>
      <c r="G288" s="57"/>
      <c r="H288" s="104"/>
      <c r="I288" s="97"/>
      <c r="J288" s="104"/>
      <c r="K288" s="17"/>
      <c r="L288" s="7"/>
      <c r="M288" s="104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7"/>
      <c r="B289" s="7"/>
      <c r="C289" s="7"/>
      <c r="D289" s="7"/>
      <c r="E289" s="17"/>
      <c r="F289" s="17"/>
      <c r="G289" s="57"/>
      <c r="H289" s="104"/>
      <c r="I289" s="97"/>
      <c r="J289" s="104"/>
      <c r="K289" s="17"/>
      <c r="L289" s="7"/>
      <c r="M289" s="104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7"/>
      <c r="B290" s="7"/>
      <c r="C290" s="7"/>
      <c r="D290" s="7"/>
      <c r="E290" s="17"/>
      <c r="F290" s="17"/>
      <c r="G290" s="57"/>
      <c r="H290" s="104"/>
      <c r="I290" s="97"/>
      <c r="J290" s="104"/>
      <c r="K290" s="17"/>
      <c r="L290" s="7"/>
      <c r="M290" s="104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7"/>
      <c r="B291" s="7"/>
      <c r="C291" s="7"/>
      <c r="D291" s="7"/>
      <c r="E291" s="17"/>
      <c r="F291" s="17"/>
      <c r="G291" s="57"/>
      <c r="H291" s="104"/>
      <c r="I291" s="97"/>
      <c r="J291" s="104"/>
      <c r="K291" s="17"/>
      <c r="L291" s="7"/>
      <c r="M291" s="104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7"/>
      <c r="B292" s="7"/>
      <c r="C292" s="7"/>
      <c r="D292" s="7"/>
      <c r="E292" s="17"/>
      <c r="F292" s="17"/>
      <c r="G292" s="57"/>
      <c r="H292" s="104"/>
      <c r="I292" s="97"/>
      <c r="J292" s="104"/>
      <c r="K292" s="17"/>
      <c r="L292" s="7"/>
      <c r="M292" s="104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7"/>
      <c r="B293" s="7"/>
      <c r="C293" s="7"/>
      <c r="D293" s="7"/>
      <c r="E293" s="17"/>
      <c r="F293" s="17"/>
      <c r="G293" s="57"/>
      <c r="H293" s="104"/>
      <c r="I293" s="97"/>
      <c r="J293" s="104"/>
      <c r="K293" s="17"/>
      <c r="L293" s="7"/>
      <c r="M293" s="104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7"/>
      <c r="B294" s="7"/>
      <c r="C294" s="7"/>
      <c r="D294" s="7"/>
      <c r="E294" s="17"/>
      <c r="F294" s="17"/>
      <c r="G294" s="57"/>
      <c r="H294" s="104"/>
      <c r="I294" s="97"/>
      <c r="J294" s="104"/>
      <c r="K294" s="17"/>
      <c r="L294" s="7"/>
      <c r="M294" s="104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7"/>
      <c r="B295" s="7"/>
      <c r="C295" s="7"/>
      <c r="D295" s="7"/>
      <c r="E295" s="17"/>
      <c r="F295" s="17"/>
      <c r="G295" s="57"/>
      <c r="H295" s="104"/>
      <c r="I295" s="97"/>
      <c r="J295" s="104"/>
      <c r="K295" s="17"/>
      <c r="L295" s="7"/>
      <c r="M295" s="104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7"/>
      <c r="B296" s="7"/>
      <c r="C296" s="7"/>
      <c r="D296" s="7"/>
      <c r="E296" s="17"/>
      <c r="F296" s="17"/>
      <c r="G296" s="57"/>
      <c r="H296" s="104"/>
      <c r="I296" s="97"/>
      <c r="J296" s="104"/>
      <c r="K296" s="17"/>
      <c r="L296" s="7"/>
      <c r="M296" s="104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7"/>
      <c r="B297" s="7"/>
      <c r="C297" s="7"/>
      <c r="D297" s="7"/>
      <c r="E297" s="17"/>
      <c r="F297" s="17"/>
      <c r="G297" s="57"/>
      <c r="H297" s="104"/>
      <c r="I297" s="97"/>
      <c r="J297" s="104"/>
      <c r="K297" s="17"/>
      <c r="L297" s="7"/>
      <c r="M297" s="104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7"/>
      <c r="B298" s="7"/>
      <c r="C298" s="7"/>
      <c r="D298" s="7"/>
      <c r="E298" s="17"/>
      <c r="F298" s="17"/>
      <c r="G298" s="57"/>
      <c r="H298" s="104"/>
      <c r="I298" s="97"/>
      <c r="J298" s="104"/>
      <c r="K298" s="17"/>
      <c r="L298" s="7"/>
      <c r="M298" s="10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7"/>
      <c r="B299" s="7"/>
      <c r="C299" s="7"/>
      <c r="D299" s="7"/>
      <c r="E299" s="17"/>
      <c r="F299" s="17"/>
      <c r="G299" s="57"/>
      <c r="H299" s="104"/>
      <c r="I299" s="97"/>
      <c r="J299" s="104"/>
      <c r="K299" s="17"/>
      <c r="L299" s="7"/>
      <c r="M299" s="104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7"/>
      <c r="B300" s="7"/>
      <c r="C300" s="7"/>
      <c r="D300" s="7"/>
      <c r="E300" s="17"/>
      <c r="F300" s="17"/>
      <c r="G300" s="57"/>
      <c r="H300" s="104"/>
      <c r="I300" s="97"/>
      <c r="J300" s="104"/>
      <c r="K300" s="17"/>
      <c r="L300" s="7"/>
      <c r="M300" s="104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7"/>
      <c r="B301" s="7"/>
      <c r="C301" s="7"/>
      <c r="D301" s="7"/>
      <c r="E301" s="17"/>
      <c r="F301" s="17"/>
      <c r="G301" s="57"/>
      <c r="H301" s="104"/>
      <c r="I301" s="97"/>
      <c r="J301" s="104"/>
      <c r="K301" s="17"/>
      <c r="L301" s="7"/>
      <c r="M301" s="104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7"/>
      <c r="B302" s="7"/>
      <c r="C302" s="7"/>
      <c r="D302" s="7"/>
      <c r="E302" s="17"/>
      <c r="F302" s="17"/>
      <c r="G302" s="57"/>
      <c r="H302" s="104"/>
      <c r="I302" s="97"/>
      <c r="J302" s="104"/>
      <c r="K302" s="17"/>
      <c r="L302" s="7"/>
      <c r="M302" s="104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7"/>
      <c r="B303" s="7"/>
      <c r="C303" s="7"/>
      <c r="D303" s="7"/>
      <c r="E303" s="17"/>
      <c r="F303" s="17"/>
      <c r="G303" s="57"/>
      <c r="H303" s="104"/>
      <c r="I303" s="97"/>
      <c r="J303" s="104"/>
      <c r="K303" s="17"/>
      <c r="L303" s="7"/>
      <c r="M303" s="104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7"/>
      <c r="B304" s="7"/>
      <c r="C304" s="7"/>
      <c r="D304" s="7"/>
      <c r="E304" s="17"/>
      <c r="F304" s="17"/>
      <c r="G304" s="57"/>
      <c r="H304" s="104"/>
      <c r="I304" s="97"/>
      <c r="J304" s="104"/>
      <c r="K304" s="17"/>
      <c r="L304" s="7"/>
      <c r="M304" s="104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7"/>
      <c r="B305" s="7"/>
      <c r="C305" s="7"/>
      <c r="D305" s="7"/>
      <c r="E305" s="17"/>
      <c r="F305" s="17"/>
      <c r="G305" s="57"/>
      <c r="H305" s="104"/>
      <c r="I305" s="97"/>
      <c r="J305" s="104"/>
      <c r="K305" s="17"/>
      <c r="L305" s="7"/>
      <c r="M305" s="104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7"/>
      <c r="B306" s="7"/>
      <c r="C306" s="7"/>
      <c r="D306" s="7"/>
      <c r="E306" s="17"/>
      <c r="F306" s="17"/>
      <c r="G306" s="57"/>
      <c r="H306" s="104"/>
      <c r="I306" s="97"/>
      <c r="J306" s="104"/>
      <c r="K306" s="17"/>
      <c r="L306" s="7"/>
      <c r="M306" s="104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7"/>
      <c r="B307" s="7"/>
      <c r="C307" s="7"/>
      <c r="D307" s="7"/>
      <c r="E307" s="17"/>
      <c r="F307" s="17"/>
      <c r="G307" s="57"/>
      <c r="H307" s="104"/>
      <c r="I307" s="97"/>
      <c r="J307" s="104"/>
      <c r="K307" s="17"/>
      <c r="L307" s="7"/>
      <c r="M307" s="104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7"/>
      <c r="B308" s="7"/>
      <c r="C308" s="7"/>
      <c r="D308" s="7"/>
      <c r="E308" s="17"/>
      <c r="F308" s="17"/>
      <c r="G308" s="57"/>
      <c r="H308" s="104"/>
      <c r="I308" s="97"/>
      <c r="J308" s="104"/>
      <c r="K308" s="17"/>
      <c r="L308" s="7"/>
      <c r="M308" s="104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7"/>
      <c r="B309" s="7"/>
      <c r="C309" s="7"/>
      <c r="D309" s="7"/>
      <c r="E309" s="17"/>
      <c r="F309" s="17"/>
      <c r="G309" s="57"/>
      <c r="H309" s="104"/>
      <c r="I309" s="97"/>
      <c r="J309" s="104"/>
      <c r="K309" s="17"/>
      <c r="L309" s="7"/>
      <c r="M309" s="104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7"/>
      <c r="B310" s="7"/>
      <c r="C310" s="7"/>
      <c r="D310" s="7"/>
      <c r="E310" s="17"/>
      <c r="F310" s="17"/>
      <c r="G310" s="57"/>
      <c r="H310" s="104"/>
      <c r="I310" s="97"/>
      <c r="J310" s="104"/>
      <c r="K310" s="17"/>
      <c r="L310" s="7"/>
      <c r="M310" s="104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7"/>
      <c r="B311" s="7"/>
      <c r="C311" s="7"/>
      <c r="D311" s="7"/>
      <c r="E311" s="17"/>
      <c r="F311" s="17"/>
      <c r="G311" s="57"/>
      <c r="H311" s="104"/>
      <c r="I311" s="97"/>
      <c r="J311" s="104"/>
      <c r="K311" s="17"/>
      <c r="L311" s="7"/>
      <c r="M311" s="104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7"/>
      <c r="B312" s="7"/>
      <c r="C312" s="7"/>
      <c r="D312" s="7"/>
      <c r="E312" s="17"/>
      <c r="F312" s="17"/>
      <c r="G312" s="57"/>
      <c r="H312" s="104"/>
      <c r="I312" s="97"/>
      <c r="J312" s="104"/>
      <c r="K312" s="17"/>
      <c r="L312" s="7"/>
      <c r="M312" s="104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7"/>
      <c r="B313" s="7"/>
      <c r="C313" s="7"/>
      <c r="D313" s="7"/>
      <c r="E313" s="17"/>
      <c r="F313" s="17"/>
      <c r="G313" s="57"/>
      <c r="H313" s="104"/>
      <c r="I313" s="97"/>
      <c r="J313" s="104"/>
      <c r="K313" s="17"/>
      <c r="L313" s="7"/>
      <c r="M313" s="104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7"/>
      <c r="B314" s="7"/>
      <c r="C314" s="7"/>
      <c r="D314" s="7"/>
      <c r="E314" s="17"/>
      <c r="F314" s="17"/>
      <c r="G314" s="57"/>
      <c r="H314" s="104"/>
      <c r="I314" s="97"/>
      <c r="J314" s="104"/>
      <c r="K314" s="17"/>
      <c r="L314" s="7"/>
      <c r="M314" s="104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7"/>
      <c r="B315" s="7"/>
      <c r="C315" s="7"/>
      <c r="D315" s="7"/>
      <c r="E315" s="17"/>
      <c r="F315" s="17"/>
      <c r="G315" s="57"/>
      <c r="H315" s="104"/>
      <c r="I315" s="97"/>
      <c r="J315" s="104"/>
      <c r="K315" s="17"/>
      <c r="L315" s="7"/>
      <c r="M315" s="104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7"/>
      <c r="B316" s="7"/>
      <c r="C316" s="7"/>
      <c r="D316" s="7"/>
      <c r="E316" s="17"/>
      <c r="F316" s="17"/>
      <c r="G316" s="57"/>
      <c r="H316" s="104"/>
      <c r="I316" s="97"/>
      <c r="J316" s="104"/>
      <c r="K316" s="17"/>
      <c r="L316" s="7"/>
      <c r="M316" s="104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7"/>
      <c r="B317" s="7"/>
      <c r="C317" s="7"/>
      <c r="D317" s="7"/>
      <c r="E317" s="17"/>
      <c r="F317" s="17"/>
      <c r="G317" s="57"/>
      <c r="H317" s="104"/>
      <c r="I317" s="97"/>
      <c r="J317" s="104"/>
      <c r="K317" s="17"/>
      <c r="L317" s="7"/>
      <c r="M317" s="104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7"/>
      <c r="B318" s="7"/>
      <c r="C318" s="7"/>
      <c r="D318" s="7"/>
      <c r="E318" s="17"/>
      <c r="F318" s="17"/>
      <c r="G318" s="57"/>
      <c r="H318" s="104"/>
      <c r="I318" s="97"/>
      <c r="J318" s="104"/>
      <c r="K318" s="17"/>
      <c r="L318" s="7"/>
      <c r="M318" s="104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7"/>
      <c r="B319" s="7"/>
      <c r="C319" s="7"/>
      <c r="D319" s="7"/>
      <c r="E319" s="17"/>
      <c r="F319" s="17"/>
      <c r="G319" s="57"/>
      <c r="H319" s="104"/>
      <c r="I319" s="97"/>
      <c r="J319" s="104"/>
      <c r="K319" s="17"/>
      <c r="L319" s="7"/>
      <c r="M319" s="104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7"/>
      <c r="B320" s="7"/>
      <c r="C320" s="7"/>
      <c r="D320" s="7"/>
      <c r="E320" s="17"/>
      <c r="F320" s="17"/>
      <c r="G320" s="57"/>
      <c r="H320" s="104"/>
      <c r="I320" s="97"/>
      <c r="J320" s="104"/>
      <c r="K320" s="17"/>
      <c r="L320" s="7"/>
      <c r="M320" s="104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7"/>
      <c r="B321" s="7"/>
      <c r="C321" s="7"/>
      <c r="D321" s="7"/>
      <c r="E321" s="17"/>
      <c r="F321" s="17"/>
      <c r="G321" s="57"/>
      <c r="H321" s="104"/>
      <c r="I321" s="97"/>
      <c r="J321" s="104"/>
      <c r="K321" s="17"/>
      <c r="L321" s="7"/>
      <c r="M321" s="104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7"/>
      <c r="B322" s="7"/>
      <c r="C322" s="7"/>
      <c r="D322" s="7"/>
      <c r="E322" s="17"/>
      <c r="F322" s="17"/>
      <c r="G322" s="57"/>
      <c r="H322" s="104"/>
      <c r="I322" s="97"/>
      <c r="J322" s="104"/>
      <c r="K322" s="17"/>
      <c r="L322" s="7"/>
      <c r="M322" s="104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7"/>
      <c r="B323" s="7"/>
      <c r="C323" s="7"/>
      <c r="D323" s="7"/>
      <c r="E323" s="17"/>
      <c r="F323" s="17"/>
      <c r="G323" s="57"/>
      <c r="H323" s="104"/>
      <c r="I323" s="97"/>
      <c r="J323" s="104"/>
      <c r="K323" s="17"/>
      <c r="L323" s="7"/>
      <c r="M323" s="104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7"/>
      <c r="B324" s="7"/>
      <c r="C324" s="7"/>
      <c r="D324" s="7"/>
      <c r="E324" s="17"/>
      <c r="F324" s="17"/>
      <c r="G324" s="57"/>
      <c r="H324" s="104"/>
      <c r="I324" s="97"/>
      <c r="J324" s="104"/>
      <c r="K324" s="17"/>
      <c r="L324" s="7"/>
      <c r="M324" s="104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7"/>
      <c r="B325" s="7"/>
      <c r="C325" s="7"/>
      <c r="D325" s="7"/>
      <c r="E325" s="17"/>
      <c r="F325" s="17"/>
      <c r="G325" s="57"/>
      <c r="H325" s="104"/>
      <c r="I325" s="97"/>
      <c r="J325" s="104"/>
      <c r="K325" s="17"/>
      <c r="L325" s="7"/>
      <c r="M325" s="104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9.14"/>
    <col customWidth="1" min="4" max="4" width="12.0"/>
    <col customWidth="1" min="5" max="5" width="16.57"/>
    <col customWidth="1" min="6" max="6" width="34.0"/>
    <col customWidth="1" min="7" max="7" width="14.57"/>
    <col customWidth="1" min="8" max="8" width="19.86"/>
    <col customWidth="1" min="9" max="9" width="8.71"/>
    <col customWidth="1" min="10" max="10" width="19.29"/>
    <col customWidth="1" min="11" max="11" width="8.71"/>
    <col customWidth="1" min="12" max="12" width="20.0"/>
    <col customWidth="1" min="13" max="13" width="18.86"/>
    <col customWidth="1" min="14" max="23" width="8.71"/>
  </cols>
  <sheetData>
    <row r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120" t="s">
        <v>39</v>
      </c>
      <c r="J1" s="120" t="s">
        <v>7</v>
      </c>
      <c r="K1" s="120" t="s">
        <v>39</v>
      </c>
      <c r="L1" s="120" t="s">
        <v>8</v>
      </c>
      <c r="M1" s="120" t="s">
        <v>9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/>
      <c r="B2" s="17" t="s">
        <v>158</v>
      </c>
      <c r="C2" s="17" t="s">
        <v>747</v>
      </c>
      <c r="D2" s="17" t="s">
        <v>866</v>
      </c>
      <c r="E2" s="17" t="s">
        <v>37</v>
      </c>
      <c r="F2" s="17" t="s">
        <v>43</v>
      </c>
      <c r="G2" s="87">
        <v>10000.0</v>
      </c>
      <c r="H2" s="104">
        <v>1500000.0</v>
      </c>
      <c r="I2" s="103" t="s">
        <v>42</v>
      </c>
      <c r="J2" s="104">
        <v>850000.0</v>
      </c>
      <c r="K2" s="101" t="s">
        <v>42</v>
      </c>
      <c r="L2" s="104">
        <f t="shared" ref="L2:L8" si="1">H2-J2</f>
        <v>650000</v>
      </c>
      <c r="M2" s="10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7"/>
      <c r="B3" s="17" t="s">
        <v>159</v>
      </c>
      <c r="C3" s="17" t="s">
        <v>747</v>
      </c>
      <c r="D3" s="17" t="s">
        <v>866</v>
      </c>
      <c r="E3" s="17" t="s">
        <v>92</v>
      </c>
      <c r="F3" s="17" t="s">
        <v>628</v>
      </c>
      <c r="G3" s="87">
        <v>9000.0</v>
      </c>
      <c r="H3" s="104">
        <v>765000.0</v>
      </c>
      <c r="I3" s="103" t="s">
        <v>44</v>
      </c>
      <c r="J3" s="104">
        <v>450000.0</v>
      </c>
      <c r="K3" s="101" t="s">
        <v>44</v>
      </c>
      <c r="L3" s="104">
        <f t="shared" si="1"/>
        <v>315000</v>
      </c>
      <c r="M3" s="10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7"/>
      <c r="B4" s="17" t="s">
        <v>160</v>
      </c>
      <c r="C4" s="17" t="s">
        <v>747</v>
      </c>
      <c r="D4" s="17" t="s">
        <v>866</v>
      </c>
      <c r="E4" s="17" t="s">
        <v>40</v>
      </c>
      <c r="F4" s="17" t="s">
        <v>108</v>
      </c>
      <c r="G4" s="87">
        <v>10000.0</v>
      </c>
      <c r="H4" s="104">
        <v>900000.0</v>
      </c>
      <c r="I4" s="103" t="s">
        <v>44</v>
      </c>
      <c r="J4" s="104">
        <v>500000.0</v>
      </c>
      <c r="K4" s="101" t="s">
        <v>42</v>
      </c>
      <c r="L4" s="104">
        <f t="shared" si="1"/>
        <v>400000</v>
      </c>
      <c r="M4" s="10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/>
      <c r="B5" s="17" t="s">
        <v>162</v>
      </c>
      <c r="C5" s="17" t="s">
        <v>747</v>
      </c>
      <c r="D5" s="17" t="s">
        <v>866</v>
      </c>
      <c r="E5" s="17" t="s">
        <v>92</v>
      </c>
      <c r="F5" s="17" t="s">
        <v>108</v>
      </c>
      <c r="G5" s="87">
        <v>10000.0</v>
      </c>
      <c r="H5" s="104">
        <v>900000.0</v>
      </c>
      <c r="I5" s="103" t="s">
        <v>44</v>
      </c>
      <c r="J5" s="104">
        <v>500000.0</v>
      </c>
      <c r="K5" s="101" t="s">
        <v>42</v>
      </c>
      <c r="L5" s="104">
        <f t="shared" si="1"/>
        <v>400000</v>
      </c>
      <c r="M5" s="10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7"/>
      <c r="B6" s="17" t="s">
        <v>163</v>
      </c>
      <c r="C6" s="17" t="s">
        <v>747</v>
      </c>
      <c r="D6" s="17" t="s">
        <v>866</v>
      </c>
      <c r="E6" s="17" t="s">
        <v>96</v>
      </c>
      <c r="F6" s="17" t="s">
        <v>107</v>
      </c>
      <c r="G6" s="87">
        <v>9000.0</v>
      </c>
      <c r="H6" s="104">
        <v>1125000.0</v>
      </c>
      <c r="I6" s="103" t="s">
        <v>42</v>
      </c>
      <c r="J6" s="104">
        <v>640000.0</v>
      </c>
      <c r="K6" s="101" t="s">
        <v>42</v>
      </c>
      <c r="L6" s="104">
        <f t="shared" si="1"/>
        <v>485000</v>
      </c>
      <c r="M6" s="10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/>
      <c r="B7" s="17" t="s">
        <v>164</v>
      </c>
      <c r="C7" s="17" t="s">
        <v>747</v>
      </c>
      <c r="D7" s="17" t="s">
        <v>866</v>
      </c>
      <c r="E7" s="17" t="s">
        <v>30</v>
      </c>
      <c r="F7" s="17" t="s">
        <v>87</v>
      </c>
      <c r="G7" s="87">
        <v>9000.0</v>
      </c>
      <c r="H7" s="104">
        <v>1395000.0</v>
      </c>
      <c r="I7" s="103" t="s">
        <v>42</v>
      </c>
      <c r="J7" s="104">
        <v>900000.0</v>
      </c>
      <c r="K7" s="101" t="s">
        <v>42</v>
      </c>
      <c r="L7" s="104">
        <f t="shared" si="1"/>
        <v>495000</v>
      </c>
      <c r="M7" s="10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7"/>
      <c r="B8" s="17" t="s">
        <v>166</v>
      </c>
      <c r="C8" s="17" t="s">
        <v>747</v>
      </c>
      <c r="D8" s="17" t="s">
        <v>866</v>
      </c>
      <c r="E8" s="17" t="s">
        <v>30</v>
      </c>
      <c r="F8" s="17" t="s">
        <v>87</v>
      </c>
      <c r="G8" s="87">
        <v>9000.0</v>
      </c>
      <c r="H8" s="104">
        <v>1395000.0</v>
      </c>
      <c r="I8" s="103" t="s">
        <v>42</v>
      </c>
      <c r="J8" s="104">
        <v>900000.0</v>
      </c>
      <c r="K8" s="101" t="s">
        <v>44</v>
      </c>
      <c r="L8" s="104">
        <f t="shared" si="1"/>
        <v>495000</v>
      </c>
      <c r="M8" s="104">
        <v>81000.0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7"/>
      <c r="B9" s="7"/>
      <c r="C9" s="7"/>
      <c r="D9" s="7"/>
      <c r="E9" s="17"/>
      <c r="F9" s="17"/>
      <c r="G9" s="57"/>
      <c r="H9" s="104"/>
      <c r="I9" s="103"/>
      <c r="J9" s="104"/>
      <c r="K9" s="101"/>
      <c r="L9" s="317">
        <f t="shared" ref="L9:M9" si="2">SUM(L2:L8)</f>
        <v>3240000</v>
      </c>
      <c r="M9" s="308">
        <f t="shared" si="2"/>
        <v>81000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/>
      <c r="B10" s="7"/>
      <c r="C10" s="7"/>
      <c r="D10" s="7"/>
      <c r="E10" s="17"/>
      <c r="F10" s="17"/>
      <c r="G10" s="57"/>
      <c r="H10" s="104"/>
      <c r="I10" s="103"/>
      <c r="J10" s="104"/>
      <c r="K10" s="101"/>
      <c r="L10" s="318">
        <f>L9-M9</f>
        <v>3159000</v>
      </c>
      <c r="M10" s="10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/>
      <c r="B11" s="7"/>
      <c r="C11" s="7"/>
      <c r="D11" s="7"/>
      <c r="E11" s="17"/>
      <c r="F11" s="17"/>
      <c r="G11" s="57"/>
      <c r="H11" s="104"/>
      <c r="I11" s="103"/>
      <c r="J11" s="104"/>
      <c r="K11" s="101"/>
      <c r="L11" s="104"/>
      <c r="M11" s="10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89"/>
      <c r="B12" s="89" t="s">
        <v>0</v>
      </c>
      <c r="C12" s="89" t="s">
        <v>1</v>
      </c>
      <c r="D12" s="89" t="s">
        <v>2</v>
      </c>
      <c r="E12" s="90" t="s">
        <v>3</v>
      </c>
      <c r="F12" s="89" t="s">
        <v>4</v>
      </c>
      <c r="G12" s="91" t="s">
        <v>5</v>
      </c>
      <c r="H12" s="120" t="s">
        <v>6</v>
      </c>
      <c r="I12" s="120" t="s">
        <v>39</v>
      </c>
      <c r="J12" s="120" t="s">
        <v>7</v>
      </c>
      <c r="K12" s="120" t="s">
        <v>39</v>
      </c>
      <c r="L12" s="120" t="s">
        <v>8</v>
      </c>
      <c r="M12" s="120" t="s">
        <v>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/>
      <c r="B13" s="17" t="s">
        <v>762</v>
      </c>
      <c r="C13" s="17" t="s">
        <v>747</v>
      </c>
      <c r="D13" s="17" t="s">
        <v>867</v>
      </c>
      <c r="E13" s="17" t="s">
        <v>30</v>
      </c>
      <c r="F13" s="17" t="s">
        <v>109</v>
      </c>
      <c r="G13" s="87">
        <v>9000.0</v>
      </c>
      <c r="H13" s="101">
        <v>720000.0</v>
      </c>
      <c r="I13" s="103" t="s">
        <v>42</v>
      </c>
      <c r="J13" s="101">
        <v>350000.0</v>
      </c>
      <c r="K13" s="105" t="s">
        <v>42</v>
      </c>
      <c r="L13" s="101">
        <f t="shared" ref="L13:L24" si="3">H13-J13</f>
        <v>370000</v>
      </c>
      <c r="M13" s="101">
        <v>255000.0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7"/>
      <c r="B14" s="17" t="s">
        <v>169</v>
      </c>
      <c r="C14" s="17" t="s">
        <v>747</v>
      </c>
      <c r="D14" s="17" t="s">
        <v>867</v>
      </c>
      <c r="E14" s="17" t="s">
        <v>383</v>
      </c>
      <c r="F14" s="17" t="s">
        <v>627</v>
      </c>
      <c r="G14" s="87">
        <v>8000.0</v>
      </c>
      <c r="H14" s="101">
        <v>800000.0</v>
      </c>
      <c r="I14" s="103" t="s">
        <v>42</v>
      </c>
      <c r="J14" s="101">
        <v>450000.0</v>
      </c>
      <c r="K14" s="105" t="s">
        <v>42</v>
      </c>
      <c r="L14" s="101">
        <f t="shared" si="3"/>
        <v>350000</v>
      </c>
      <c r="M14" s="101">
        <v>0.0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/>
      <c r="B15" s="17" t="s">
        <v>171</v>
      </c>
      <c r="C15" s="17" t="s">
        <v>747</v>
      </c>
      <c r="D15" s="17" t="s">
        <v>867</v>
      </c>
      <c r="E15" s="17" t="s">
        <v>217</v>
      </c>
      <c r="F15" s="17" t="s">
        <v>627</v>
      </c>
      <c r="G15" s="87">
        <v>9000.0</v>
      </c>
      <c r="H15" s="101">
        <v>810000.0</v>
      </c>
      <c r="I15" s="103" t="s">
        <v>44</v>
      </c>
      <c r="J15" s="101">
        <v>400000.0</v>
      </c>
      <c r="K15" s="105" t="s">
        <v>42</v>
      </c>
      <c r="L15" s="101">
        <f t="shared" si="3"/>
        <v>410000</v>
      </c>
      <c r="M15" s="101">
        <v>0.0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/>
      <c r="B16" s="17" t="s">
        <v>173</v>
      </c>
      <c r="C16" s="17" t="s">
        <v>747</v>
      </c>
      <c r="D16" s="17" t="s">
        <v>867</v>
      </c>
      <c r="E16" s="17" t="s">
        <v>30</v>
      </c>
      <c r="F16" s="17" t="s">
        <v>109</v>
      </c>
      <c r="G16" s="87">
        <v>9000.0</v>
      </c>
      <c r="H16" s="101">
        <v>720000.0</v>
      </c>
      <c r="I16" s="103" t="s">
        <v>44</v>
      </c>
      <c r="J16" s="101">
        <v>350000.0</v>
      </c>
      <c r="K16" s="105" t="s">
        <v>42</v>
      </c>
      <c r="L16" s="101">
        <f t="shared" si="3"/>
        <v>370000</v>
      </c>
      <c r="M16" s="101">
        <v>0.0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/>
      <c r="B17" s="17" t="s">
        <v>174</v>
      </c>
      <c r="C17" s="17" t="s">
        <v>747</v>
      </c>
      <c r="D17" s="17" t="s">
        <v>867</v>
      </c>
      <c r="E17" s="17" t="s">
        <v>40</v>
      </c>
      <c r="F17" s="17" t="s">
        <v>108</v>
      </c>
      <c r="G17" s="87">
        <v>10000.0</v>
      </c>
      <c r="H17" s="101">
        <v>900000.0</v>
      </c>
      <c r="I17" s="103" t="s">
        <v>44</v>
      </c>
      <c r="J17" s="101">
        <v>500000.0</v>
      </c>
      <c r="K17" s="105" t="s">
        <v>42</v>
      </c>
      <c r="L17" s="101">
        <f t="shared" si="3"/>
        <v>400000</v>
      </c>
      <c r="M17" s="101">
        <v>0.0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/>
      <c r="B18" s="17" t="s">
        <v>174</v>
      </c>
      <c r="C18" s="17" t="s">
        <v>747</v>
      </c>
      <c r="D18" s="17" t="s">
        <v>867</v>
      </c>
      <c r="E18" s="17" t="s">
        <v>40</v>
      </c>
      <c r="F18" s="17" t="s">
        <v>84</v>
      </c>
      <c r="G18" s="87">
        <v>9000.0</v>
      </c>
      <c r="H18" s="101">
        <v>1125000.0</v>
      </c>
      <c r="I18" s="319" t="s">
        <v>42</v>
      </c>
      <c r="J18" s="101">
        <v>640000.0</v>
      </c>
      <c r="K18" s="105" t="s">
        <v>42</v>
      </c>
      <c r="L18" s="101">
        <f t="shared" si="3"/>
        <v>485000</v>
      </c>
      <c r="M18" s="101">
        <v>0.0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"/>
      <c r="B19" s="17" t="s">
        <v>635</v>
      </c>
      <c r="C19" s="17" t="s">
        <v>747</v>
      </c>
      <c r="D19" s="17" t="s">
        <v>867</v>
      </c>
      <c r="E19" s="17" t="s">
        <v>40</v>
      </c>
      <c r="F19" s="17" t="s">
        <v>463</v>
      </c>
      <c r="G19" s="87">
        <v>9000.0</v>
      </c>
      <c r="H19" s="101">
        <v>1170000.0</v>
      </c>
      <c r="I19" s="103" t="s">
        <v>42</v>
      </c>
      <c r="J19" s="101">
        <v>640000.0</v>
      </c>
      <c r="K19" s="105" t="s">
        <v>42</v>
      </c>
      <c r="L19" s="101">
        <f t="shared" si="3"/>
        <v>530000</v>
      </c>
      <c r="M19" s="101">
        <v>0.0</v>
      </c>
      <c r="N19" s="94"/>
      <c r="O19" s="94"/>
      <c r="P19" s="94"/>
      <c r="Q19" s="94"/>
      <c r="R19" s="94"/>
      <c r="S19" s="94"/>
      <c r="T19" s="7"/>
      <c r="U19" s="7"/>
      <c r="V19" s="7"/>
      <c r="W19" s="7"/>
      <c r="X19" s="7"/>
      <c r="Y19" s="7"/>
      <c r="Z19" s="7"/>
    </row>
    <row r="20">
      <c r="A20" s="17"/>
      <c r="B20" s="17" t="s">
        <v>177</v>
      </c>
      <c r="C20" s="17" t="s">
        <v>747</v>
      </c>
      <c r="D20" s="17" t="s">
        <v>867</v>
      </c>
      <c r="E20" s="17" t="s">
        <v>497</v>
      </c>
      <c r="F20" s="17" t="s">
        <v>868</v>
      </c>
      <c r="G20" s="87">
        <v>10000.0</v>
      </c>
      <c r="H20" s="101">
        <v>1500000.0</v>
      </c>
      <c r="I20" s="103" t="s">
        <v>44</v>
      </c>
      <c r="J20" s="101">
        <v>850000.0</v>
      </c>
      <c r="K20" s="105" t="s">
        <v>42</v>
      </c>
      <c r="L20" s="101">
        <f t="shared" si="3"/>
        <v>650000</v>
      </c>
      <c r="M20" s="101">
        <v>271000.0</v>
      </c>
      <c r="N20" s="94"/>
      <c r="O20" s="94"/>
      <c r="P20" s="94"/>
      <c r="Q20" s="94"/>
      <c r="R20" s="94"/>
      <c r="S20" s="94"/>
      <c r="T20" s="7"/>
      <c r="U20" s="7"/>
      <c r="V20" s="7"/>
      <c r="W20" s="7"/>
      <c r="X20" s="7"/>
      <c r="Y20" s="7"/>
      <c r="Z20" s="7"/>
    </row>
    <row r="21" ht="15.75" customHeight="1">
      <c r="A21" s="17"/>
      <c r="B21" s="17" t="s">
        <v>180</v>
      </c>
      <c r="C21" s="17" t="s">
        <v>747</v>
      </c>
      <c r="D21" s="17" t="s">
        <v>867</v>
      </c>
      <c r="E21" s="17" t="s">
        <v>488</v>
      </c>
      <c r="F21" s="17" t="s">
        <v>497</v>
      </c>
      <c r="G21" s="87">
        <v>6749.5</v>
      </c>
      <c r="H21" s="101">
        <v>2024850.0</v>
      </c>
      <c r="I21" s="103" t="s">
        <v>42</v>
      </c>
      <c r="J21" s="101">
        <v>900000.0</v>
      </c>
      <c r="K21" s="105" t="s">
        <v>42</v>
      </c>
      <c r="L21" s="101">
        <f t="shared" si="3"/>
        <v>1124850</v>
      </c>
      <c r="M21" s="101">
        <v>725000.0</v>
      </c>
      <c r="N21" s="94"/>
      <c r="O21" s="94"/>
      <c r="P21" s="94"/>
      <c r="Q21" s="94"/>
      <c r="R21" s="94"/>
      <c r="S21" s="94"/>
      <c r="T21" s="7"/>
      <c r="U21" s="7"/>
      <c r="V21" s="7"/>
      <c r="W21" s="7"/>
      <c r="X21" s="7"/>
      <c r="Y21" s="7"/>
      <c r="Z21" s="7"/>
    </row>
    <row r="22" ht="15.75" customHeight="1">
      <c r="A22" s="17"/>
      <c r="B22" s="17" t="s">
        <v>181</v>
      </c>
      <c r="C22" s="17" t="s">
        <v>747</v>
      </c>
      <c r="D22" s="17" t="s">
        <v>867</v>
      </c>
      <c r="E22" s="17" t="s">
        <v>488</v>
      </c>
      <c r="F22" s="17" t="s">
        <v>497</v>
      </c>
      <c r="G22" s="87">
        <v>6597.5</v>
      </c>
      <c r="H22" s="101">
        <v>1979250.0</v>
      </c>
      <c r="I22" s="103" t="s">
        <v>42</v>
      </c>
      <c r="J22" s="101">
        <v>900000.0</v>
      </c>
      <c r="K22" s="105" t="s">
        <v>42</v>
      </c>
      <c r="L22" s="101">
        <f t="shared" si="3"/>
        <v>1079250</v>
      </c>
      <c r="M22" s="101">
        <v>0.0</v>
      </c>
      <c r="N22" s="94"/>
      <c r="O22" s="94"/>
      <c r="P22" s="94"/>
      <c r="Q22" s="94"/>
      <c r="R22" s="94"/>
      <c r="S22" s="94"/>
      <c r="T22" s="7"/>
      <c r="U22" s="7"/>
      <c r="V22" s="7"/>
      <c r="W22" s="7"/>
      <c r="X22" s="7"/>
      <c r="Y22" s="7"/>
      <c r="Z22" s="7"/>
    </row>
    <row r="23" ht="15.75" customHeight="1">
      <c r="A23" s="17"/>
      <c r="B23" s="17" t="s">
        <v>183</v>
      </c>
      <c r="C23" s="17" t="s">
        <v>747</v>
      </c>
      <c r="D23" s="17" t="s">
        <v>867</v>
      </c>
      <c r="E23" s="17" t="s">
        <v>40</v>
      </c>
      <c r="F23" s="17" t="s">
        <v>434</v>
      </c>
      <c r="G23" s="87">
        <v>9000.0</v>
      </c>
      <c r="H23" s="101">
        <v>1035000.0</v>
      </c>
      <c r="I23" s="103" t="s">
        <v>42</v>
      </c>
      <c r="J23" s="101">
        <v>600000.0</v>
      </c>
      <c r="K23" s="105" t="s">
        <v>42</v>
      </c>
      <c r="L23" s="101">
        <f t="shared" si="3"/>
        <v>435000</v>
      </c>
      <c r="M23" s="101">
        <v>0.0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7"/>
      <c r="B24" s="17" t="s">
        <v>185</v>
      </c>
      <c r="C24" s="17" t="s">
        <v>747</v>
      </c>
      <c r="D24" s="17" t="s">
        <v>867</v>
      </c>
      <c r="E24" s="17" t="s">
        <v>40</v>
      </c>
      <c r="F24" s="17" t="s">
        <v>627</v>
      </c>
      <c r="G24" s="87">
        <v>9000.0</v>
      </c>
      <c r="H24" s="101">
        <v>900000.0</v>
      </c>
      <c r="I24" s="103" t="s">
        <v>44</v>
      </c>
      <c r="J24" s="101">
        <v>400000.0</v>
      </c>
      <c r="K24" s="105" t="s">
        <v>42</v>
      </c>
      <c r="L24" s="101">
        <f t="shared" si="3"/>
        <v>500000</v>
      </c>
      <c r="M24" s="101">
        <v>0.0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7"/>
      <c r="B25" s="17" t="s">
        <v>869</v>
      </c>
      <c r="C25" s="17" t="s">
        <v>747</v>
      </c>
      <c r="D25" s="17" t="s">
        <v>867</v>
      </c>
      <c r="E25" s="17"/>
      <c r="F25" s="17" t="s">
        <v>463</v>
      </c>
      <c r="G25" s="87"/>
      <c r="H25" s="101"/>
      <c r="I25" s="103"/>
      <c r="J25" s="101"/>
      <c r="K25" s="105"/>
      <c r="L25" s="101">
        <v>200000.0</v>
      </c>
      <c r="M25" s="101">
        <v>0.0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7"/>
      <c r="B26" s="17" t="s">
        <v>470</v>
      </c>
      <c r="C26" s="17" t="s">
        <v>747</v>
      </c>
      <c r="D26" s="17" t="s">
        <v>867</v>
      </c>
      <c r="E26" s="17" t="s">
        <v>30</v>
      </c>
      <c r="G26" s="87">
        <v>9000.0</v>
      </c>
      <c r="H26" s="101">
        <v>1170000.0</v>
      </c>
      <c r="I26" s="103" t="s">
        <v>42</v>
      </c>
      <c r="J26" s="101">
        <v>640000.0</v>
      </c>
      <c r="K26" s="105" t="s">
        <v>42</v>
      </c>
      <c r="L26" s="101">
        <f t="shared" ref="L26:L34" si="4">H26-J26</f>
        <v>530000</v>
      </c>
      <c r="M26" s="101">
        <v>0.0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7"/>
      <c r="B27" s="17" t="s">
        <v>471</v>
      </c>
      <c r="C27" s="17" t="s">
        <v>747</v>
      </c>
      <c r="D27" s="17" t="s">
        <v>867</v>
      </c>
      <c r="E27" s="17" t="s">
        <v>83</v>
      </c>
      <c r="F27" s="17" t="s">
        <v>109</v>
      </c>
      <c r="G27" s="87">
        <v>9000.0</v>
      </c>
      <c r="H27" s="101">
        <v>720000.0</v>
      </c>
      <c r="I27" s="103" t="s">
        <v>42</v>
      </c>
      <c r="J27" s="101">
        <v>350000.0</v>
      </c>
      <c r="K27" s="105" t="s">
        <v>42</v>
      </c>
      <c r="L27" s="101">
        <f t="shared" si="4"/>
        <v>370000</v>
      </c>
      <c r="M27" s="101">
        <v>235000.0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7"/>
      <c r="B28" s="17" t="s">
        <v>186</v>
      </c>
      <c r="C28" s="17" t="s">
        <v>747</v>
      </c>
      <c r="D28" s="17" t="s">
        <v>867</v>
      </c>
      <c r="E28" s="17" t="s">
        <v>40</v>
      </c>
      <c r="F28" s="17" t="s">
        <v>76</v>
      </c>
      <c r="G28" s="87">
        <v>9000.0</v>
      </c>
      <c r="H28" s="101">
        <v>1350000.0</v>
      </c>
      <c r="I28" s="103" t="s">
        <v>42</v>
      </c>
      <c r="J28" s="101">
        <v>875000.0</v>
      </c>
      <c r="K28" s="105" t="s">
        <v>42</v>
      </c>
      <c r="L28" s="101">
        <f t="shared" si="4"/>
        <v>475000</v>
      </c>
      <c r="M28" s="101">
        <v>625000.0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7"/>
      <c r="B29" s="17" t="s">
        <v>188</v>
      </c>
      <c r="C29" s="17" t="s">
        <v>747</v>
      </c>
      <c r="D29" s="17" t="s">
        <v>867</v>
      </c>
      <c r="E29" s="17" t="s">
        <v>37</v>
      </c>
      <c r="F29" s="17" t="s">
        <v>108</v>
      </c>
      <c r="G29" s="87">
        <v>9000.0</v>
      </c>
      <c r="H29" s="101">
        <v>810000.0</v>
      </c>
      <c r="I29" s="319" t="s">
        <v>44</v>
      </c>
      <c r="J29" s="101">
        <v>450000.0</v>
      </c>
      <c r="K29" s="105" t="s">
        <v>42</v>
      </c>
      <c r="L29" s="101">
        <f t="shared" si="4"/>
        <v>360000</v>
      </c>
      <c r="M29" s="101">
        <v>0.0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7"/>
      <c r="B30" s="17" t="s">
        <v>870</v>
      </c>
      <c r="C30" s="17" t="s">
        <v>747</v>
      </c>
      <c r="D30" s="17" t="s">
        <v>867</v>
      </c>
      <c r="E30" s="17" t="s">
        <v>538</v>
      </c>
      <c r="F30" s="17" t="s">
        <v>825</v>
      </c>
      <c r="G30" s="87">
        <v>10420.0</v>
      </c>
      <c r="H30" s="101">
        <v>1458800.0</v>
      </c>
      <c r="I30" s="319" t="s">
        <v>44</v>
      </c>
      <c r="J30" s="101">
        <v>1000000.0</v>
      </c>
      <c r="K30" s="105" t="s">
        <v>44</v>
      </c>
      <c r="L30" s="101">
        <f t="shared" si="4"/>
        <v>458800</v>
      </c>
      <c r="M30" s="101">
        <v>0.0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7"/>
      <c r="B31" s="17" t="s">
        <v>189</v>
      </c>
      <c r="C31" s="17" t="s">
        <v>747</v>
      </c>
      <c r="D31" s="17" t="s">
        <v>867</v>
      </c>
      <c r="E31" s="17" t="s">
        <v>40</v>
      </c>
      <c r="F31" s="17" t="s">
        <v>473</v>
      </c>
      <c r="G31" s="87">
        <v>9000.0</v>
      </c>
      <c r="H31" s="101">
        <v>1035000.0</v>
      </c>
      <c r="I31" s="103" t="s">
        <v>42</v>
      </c>
      <c r="J31" s="101">
        <v>600000.0</v>
      </c>
      <c r="K31" s="105" t="s">
        <v>42</v>
      </c>
      <c r="L31" s="101">
        <f t="shared" si="4"/>
        <v>435000</v>
      </c>
      <c r="M31" s="101">
        <v>2254000.0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7"/>
      <c r="B32" s="17" t="s">
        <v>824</v>
      </c>
      <c r="C32" s="17" t="s">
        <v>747</v>
      </c>
      <c r="D32" s="17" t="s">
        <v>867</v>
      </c>
      <c r="E32" s="17" t="s">
        <v>538</v>
      </c>
      <c r="F32" s="17" t="s">
        <v>871</v>
      </c>
      <c r="G32" s="87">
        <v>9000.0</v>
      </c>
      <c r="H32" s="101">
        <v>1100000.0</v>
      </c>
      <c r="I32" s="319" t="s">
        <v>44</v>
      </c>
      <c r="J32" s="101">
        <v>725000.0</v>
      </c>
      <c r="K32" s="101" t="s">
        <v>42</v>
      </c>
      <c r="L32" s="101">
        <f t="shared" si="4"/>
        <v>375000</v>
      </c>
      <c r="M32" s="101">
        <v>0.0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7"/>
      <c r="B33" s="17" t="s">
        <v>193</v>
      </c>
      <c r="C33" s="17" t="s">
        <v>747</v>
      </c>
      <c r="D33" s="17" t="s">
        <v>867</v>
      </c>
      <c r="E33" s="17" t="s">
        <v>37</v>
      </c>
      <c r="F33" s="17" t="s">
        <v>103</v>
      </c>
      <c r="G33" s="87">
        <v>9000.0</v>
      </c>
      <c r="H33" s="101">
        <v>675000.0</v>
      </c>
      <c r="I33" s="319" t="s">
        <v>44</v>
      </c>
      <c r="J33" s="101">
        <v>375000.0</v>
      </c>
      <c r="K33" s="101" t="s">
        <v>42</v>
      </c>
      <c r="L33" s="101">
        <f t="shared" si="4"/>
        <v>300000</v>
      </c>
      <c r="M33" s="101">
        <v>50000.0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7"/>
      <c r="B34" s="17" t="s">
        <v>195</v>
      </c>
      <c r="C34" s="17" t="s">
        <v>747</v>
      </c>
      <c r="D34" s="17" t="s">
        <v>867</v>
      </c>
      <c r="E34" s="17" t="s">
        <v>40</v>
      </c>
      <c r="F34" s="17" t="s">
        <v>84</v>
      </c>
      <c r="G34" s="87">
        <v>9000.0</v>
      </c>
      <c r="H34" s="101">
        <v>1035000.0</v>
      </c>
      <c r="I34" s="103" t="s">
        <v>42</v>
      </c>
      <c r="J34" s="101">
        <v>600000.0</v>
      </c>
      <c r="K34" s="101" t="s">
        <v>42</v>
      </c>
      <c r="L34" s="101">
        <f t="shared" si="4"/>
        <v>435000</v>
      </c>
      <c r="M34" s="101">
        <v>0.0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7"/>
      <c r="B35" s="7"/>
      <c r="C35" s="7"/>
      <c r="D35" s="7"/>
      <c r="E35" s="17"/>
      <c r="F35" s="17"/>
      <c r="G35" s="57"/>
      <c r="H35" s="104"/>
      <c r="I35" s="103"/>
      <c r="J35" s="104"/>
      <c r="K35" s="101"/>
      <c r="L35" s="320">
        <f>SUM(L13:L34)</f>
        <v>10642900</v>
      </c>
      <c r="M35" s="194">
        <f>SUM(M13:M33)</f>
        <v>4415000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7"/>
      <c r="B36" s="7"/>
      <c r="C36" s="7"/>
      <c r="D36" s="7"/>
      <c r="E36" s="17"/>
      <c r="F36" s="17"/>
      <c r="G36" s="57"/>
      <c r="H36" s="104"/>
      <c r="I36" s="103"/>
      <c r="J36" s="104"/>
      <c r="K36" s="101"/>
      <c r="L36" s="321">
        <f>L35-M35</f>
        <v>6227900</v>
      </c>
      <c r="M36" s="104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7"/>
      <c r="B37" s="7"/>
      <c r="C37" s="7"/>
      <c r="D37" s="7"/>
      <c r="E37" s="17"/>
      <c r="F37" s="17"/>
      <c r="G37" s="57"/>
      <c r="H37" s="104"/>
      <c r="I37" s="103"/>
      <c r="J37" s="104"/>
      <c r="K37" s="101"/>
      <c r="L37" s="104"/>
      <c r="M37" s="104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75" customHeight="1">
      <c r="A38" s="89"/>
      <c r="B38" s="89" t="s">
        <v>0</v>
      </c>
      <c r="C38" s="89" t="s">
        <v>1</v>
      </c>
      <c r="D38" s="89" t="s">
        <v>2</v>
      </c>
      <c r="E38" s="90" t="s">
        <v>3</v>
      </c>
      <c r="F38" s="89" t="s">
        <v>4</v>
      </c>
      <c r="G38" s="91" t="s">
        <v>5</v>
      </c>
      <c r="H38" s="120" t="s">
        <v>6</v>
      </c>
      <c r="I38" s="120" t="s">
        <v>39</v>
      </c>
      <c r="J38" s="120" t="s">
        <v>7</v>
      </c>
      <c r="K38" s="120" t="s">
        <v>39</v>
      </c>
      <c r="L38" s="120" t="s">
        <v>8</v>
      </c>
      <c r="M38" s="120" t="s">
        <v>9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6"/>
      <c r="B39" s="86">
        <v>45537.0</v>
      </c>
      <c r="C39" s="17" t="s">
        <v>747</v>
      </c>
      <c r="D39" s="17" t="s">
        <v>867</v>
      </c>
      <c r="E39" s="17" t="s">
        <v>872</v>
      </c>
      <c r="F39" s="17" t="s">
        <v>627</v>
      </c>
      <c r="G39" s="87">
        <v>8000.0</v>
      </c>
      <c r="H39" s="104">
        <v>800000.0</v>
      </c>
      <c r="I39" s="319" t="s">
        <v>44</v>
      </c>
      <c r="J39" s="104">
        <v>400000.0</v>
      </c>
      <c r="K39" s="101" t="s">
        <v>42</v>
      </c>
      <c r="L39" s="104">
        <f t="shared" ref="L39:L63" si="5">H39-J39</f>
        <v>400000</v>
      </c>
      <c r="M39" s="104">
        <v>1695000.0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6"/>
      <c r="B40" s="86">
        <v>45538.0</v>
      </c>
      <c r="C40" s="17" t="s">
        <v>747</v>
      </c>
      <c r="D40" s="17" t="s">
        <v>867</v>
      </c>
      <c r="E40" s="17" t="s">
        <v>30</v>
      </c>
      <c r="F40" s="17" t="s">
        <v>161</v>
      </c>
      <c r="G40" s="87">
        <v>9000.0</v>
      </c>
      <c r="H40" s="104">
        <v>1215000.0</v>
      </c>
      <c r="I40" s="319" t="s">
        <v>44</v>
      </c>
      <c r="J40" s="104">
        <v>700000.0</v>
      </c>
      <c r="K40" s="101" t="s">
        <v>42</v>
      </c>
      <c r="L40" s="104">
        <f t="shared" si="5"/>
        <v>515000</v>
      </c>
      <c r="M40" s="10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6"/>
      <c r="B41" s="86">
        <v>45539.0</v>
      </c>
      <c r="C41" s="17" t="s">
        <v>747</v>
      </c>
      <c r="D41" s="17" t="s">
        <v>867</v>
      </c>
      <c r="E41" s="17" t="s">
        <v>45</v>
      </c>
      <c r="F41" s="17" t="s">
        <v>161</v>
      </c>
      <c r="G41" s="87">
        <v>9000.0</v>
      </c>
      <c r="H41" s="104">
        <v>1215000.0</v>
      </c>
      <c r="I41" s="319" t="s">
        <v>44</v>
      </c>
      <c r="J41" s="104">
        <v>750000.0</v>
      </c>
      <c r="K41" s="101" t="s">
        <v>42</v>
      </c>
      <c r="L41" s="104">
        <f t="shared" si="5"/>
        <v>465000</v>
      </c>
      <c r="M41" s="104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6"/>
      <c r="B42" s="86">
        <v>45540.0</v>
      </c>
      <c r="C42" s="17" t="s">
        <v>747</v>
      </c>
      <c r="D42" s="17" t="s">
        <v>867</v>
      </c>
      <c r="E42" s="17" t="s">
        <v>37</v>
      </c>
      <c r="F42" s="17" t="s">
        <v>108</v>
      </c>
      <c r="G42" s="87">
        <v>10000.0</v>
      </c>
      <c r="H42" s="104">
        <v>900000.0</v>
      </c>
      <c r="I42" s="319" t="s">
        <v>44</v>
      </c>
      <c r="J42" s="104">
        <v>500000.0</v>
      </c>
      <c r="K42" s="105" t="s">
        <v>44</v>
      </c>
      <c r="L42" s="104">
        <f t="shared" si="5"/>
        <v>400000</v>
      </c>
      <c r="M42" s="10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6"/>
      <c r="B43" s="86">
        <v>45540.0</v>
      </c>
      <c r="C43" s="17" t="s">
        <v>747</v>
      </c>
      <c r="D43" s="17" t="s">
        <v>867</v>
      </c>
      <c r="E43" s="17" t="s">
        <v>37</v>
      </c>
      <c r="F43" s="17" t="s">
        <v>476</v>
      </c>
      <c r="G43" s="87">
        <v>9000.0</v>
      </c>
      <c r="H43" s="104">
        <v>765000.0</v>
      </c>
      <c r="I43" s="319" t="s">
        <v>44</v>
      </c>
      <c r="J43" s="104">
        <v>450000.0</v>
      </c>
      <c r="K43" s="101" t="s">
        <v>42</v>
      </c>
      <c r="L43" s="104">
        <f t="shared" si="5"/>
        <v>315000</v>
      </c>
      <c r="M43" s="104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6"/>
      <c r="B44" s="86">
        <v>45541.0</v>
      </c>
      <c r="C44" s="17" t="s">
        <v>747</v>
      </c>
      <c r="D44" s="17" t="s">
        <v>867</v>
      </c>
      <c r="E44" s="17" t="s">
        <v>37</v>
      </c>
      <c r="F44" s="17" t="s">
        <v>66</v>
      </c>
      <c r="G44" s="87">
        <v>9000.0</v>
      </c>
      <c r="H44" s="104">
        <v>675000.0</v>
      </c>
      <c r="I44" s="103" t="s">
        <v>42</v>
      </c>
      <c r="J44" s="104">
        <v>350000.0</v>
      </c>
      <c r="K44" s="101" t="s">
        <v>42</v>
      </c>
      <c r="L44" s="104">
        <f t="shared" si="5"/>
        <v>325000</v>
      </c>
      <c r="M44" s="104">
        <v>130000.0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6"/>
      <c r="B45" s="86">
        <v>45542.0</v>
      </c>
      <c r="C45" s="17" t="s">
        <v>747</v>
      </c>
      <c r="D45" s="17" t="s">
        <v>867</v>
      </c>
      <c r="E45" s="17" t="s">
        <v>37</v>
      </c>
      <c r="F45" s="17" t="s">
        <v>43</v>
      </c>
      <c r="G45" s="87">
        <v>10000.0</v>
      </c>
      <c r="H45" s="104">
        <v>1500000.0</v>
      </c>
      <c r="I45" s="319" t="s">
        <v>44</v>
      </c>
      <c r="J45" s="104">
        <v>850000.0</v>
      </c>
      <c r="K45" s="101" t="s">
        <v>42</v>
      </c>
      <c r="L45" s="104">
        <f t="shared" si="5"/>
        <v>650000</v>
      </c>
      <c r="M45" s="104">
        <v>80000.0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6"/>
      <c r="B46" s="86">
        <v>45544.0</v>
      </c>
      <c r="C46" s="17" t="s">
        <v>747</v>
      </c>
      <c r="D46" s="17" t="s">
        <v>867</v>
      </c>
      <c r="E46" s="17" t="s">
        <v>30</v>
      </c>
      <c r="F46" s="17" t="s">
        <v>108</v>
      </c>
      <c r="G46" s="87">
        <v>8000.0</v>
      </c>
      <c r="H46" s="104">
        <v>800000.0</v>
      </c>
      <c r="I46" s="319" t="s">
        <v>44</v>
      </c>
      <c r="J46" s="104">
        <v>400000.0</v>
      </c>
      <c r="K46" s="101" t="s">
        <v>42</v>
      </c>
      <c r="L46" s="104">
        <f t="shared" si="5"/>
        <v>400000</v>
      </c>
      <c r="M46" s="104">
        <v>180000.0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6"/>
      <c r="B47" s="86">
        <v>45545.0</v>
      </c>
      <c r="C47" s="17" t="s">
        <v>747</v>
      </c>
      <c r="D47" s="17" t="s">
        <v>867</v>
      </c>
      <c r="E47" s="17" t="s">
        <v>96</v>
      </c>
      <c r="F47" s="17" t="s">
        <v>627</v>
      </c>
      <c r="G47" s="87">
        <v>8000.0</v>
      </c>
      <c r="H47" s="104">
        <v>800000.0</v>
      </c>
      <c r="I47" s="103" t="s">
        <v>42</v>
      </c>
      <c r="J47" s="104">
        <v>400000.0</v>
      </c>
      <c r="K47" s="101" t="s">
        <v>42</v>
      </c>
      <c r="L47" s="104">
        <f t="shared" si="5"/>
        <v>400000</v>
      </c>
      <c r="M47" s="10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6"/>
      <c r="B48" s="86">
        <v>45546.0</v>
      </c>
      <c r="C48" s="17" t="s">
        <v>747</v>
      </c>
      <c r="D48" s="17" t="s">
        <v>867</v>
      </c>
      <c r="E48" s="17" t="s">
        <v>96</v>
      </c>
      <c r="F48" s="17" t="s">
        <v>182</v>
      </c>
      <c r="G48" s="87">
        <v>9000.0</v>
      </c>
      <c r="H48" s="104">
        <v>990000.0</v>
      </c>
      <c r="I48" s="319" t="s">
        <v>44</v>
      </c>
      <c r="J48" s="104">
        <v>600000.0</v>
      </c>
      <c r="K48" s="101" t="s">
        <v>42</v>
      </c>
      <c r="L48" s="104">
        <f t="shared" si="5"/>
        <v>390000</v>
      </c>
      <c r="M48" s="104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6"/>
      <c r="B49" s="86">
        <v>45547.0</v>
      </c>
      <c r="C49" s="17" t="s">
        <v>747</v>
      </c>
      <c r="D49" s="17" t="s">
        <v>867</v>
      </c>
      <c r="E49" s="17" t="s">
        <v>96</v>
      </c>
      <c r="F49" s="17" t="s">
        <v>66</v>
      </c>
      <c r="G49" s="87">
        <v>1000.0</v>
      </c>
      <c r="H49" s="104">
        <v>75000.0</v>
      </c>
      <c r="I49" s="103" t="s">
        <v>42</v>
      </c>
      <c r="J49" s="104">
        <v>38000.0</v>
      </c>
      <c r="K49" s="101" t="s">
        <v>42</v>
      </c>
      <c r="L49" s="104">
        <f t="shared" si="5"/>
        <v>37000</v>
      </c>
      <c r="M49" s="104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6"/>
      <c r="B50" s="86">
        <v>45547.0</v>
      </c>
      <c r="C50" s="17" t="s">
        <v>747</v>
      </c>
      <c r="D50" s="17" t="s">
        <v>867</v>
      </c>
      <c r="E50" s="17" t="s">
        <v>37</v>
      </c>
      <c r="F50" s="17" t="s">
        <v>66</v>
      </c>
      <c r="G50" s="87">
        <v>9000.0</v>
      </c>
      <c r="H50" s="104">
        <v>675000.0</v>
      </c>
      <c r="I50" s="103" t="s">
        <v>42</v>
      </c>
      <c r="J50" s="104">
        <v>350000.0</v>
      </c>
      <c r="K50" s="101" t="s">
        <v>42</v>
      </c>
      <c r="L50" s="104">
        <f t="shared" si="5"/>
        <v>325000</v>
      </c>
      <c r="M50" s="104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6"/>
      <c r="B51" s="86">
        <v>45549.0</v>
      </c>
      <c r="C51" s="17" t="s">
        <v>747</v>
      </c>
      <c r="D51" s="17" t="s">
        <v>867</v>
      </c>
      <c r="E51" s="17" t="s">
        <v>96</v>
      </c>
      <c r="F51" s="17" t="s">
        <v>182</v>
      </c>
      <c r="G51" s="87">
        <v>10000.0</v>
      </c>
      <c r="H51" s="104">
        <v>1100000.0</v>
      </c>
      <c r="I51" s="319" t="s">
        <v>44</v>
      </c>
      <c r="J51" s="104">
        <v>600000.0</v>
      </c>
      <c r="K51" s="101" t="s">
        <v>42</v>
      </c>
      <c r="L51" s="104">
        <f t="shared" si="5"/>
        <v>500000</v>
      </c>
      <c r="M51" s="10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6"/>
      <c r="B52" s="86">
        <v>45552.0</v>
      </c>
      <c r="C52" s="17" t="s">
        <v>747</v>
      </c>
      <c r="D52" s="17" t="s">
        <v>867</v>
      </c>
      <c r="E52" s="17" t="s">
        <v>30</v>
      </c>
      <c r="F52" s="17" t="s">
        <v>476</v>
      </c>
      <c r="G52" s="87">
        <v>9000.0</v>
      </c>
      <c r="H52" s="104">
        <v>765000.0</v>
      </c>
      <c r="I52" s="319" t="s">
        <v>44</v>
      </c>
      <c r="J52" s="104">
        <v>450000.0</v>
      </c>
      <c r="K52" s="105" t="s">
        <v>44</v>
      </c>
      <c r="L52" s="104">
        <f t="shared" si="5"/>
        <v>315000</v>
      </c>
      <c r="M52" s="104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6"/>
      <c r="B53" s="86">
        <v>45552.0</v>
      </c>
      <c r="C53" s="17" t="s">
        <v>747</v>
      </c>
      <c r="D53" s="17" t="s">
        <v>867</v>
      </c>
      <c r="E53" s="17" t="s">
        <v>30</v>
      </c>
      <c r="F53" s="17" t="s">
        <v>55</v>
      </c>
      <c r="G53" s="87">
        <v>9000.0</v>
      </c>
      <c r="H53" s="104">
        <v>1305000.0</v>
      </c>
      <c r="I53" s="319" t="s">
        <v>44</v>
      </c>
      <c r="J53" s="104">
        <v>725000.0</v>
      </c>
      <c r="K53" s="101" t="s">
        <v>42</v>
      </c>
      <c r="L53" s="104">
        <f t="shared" si="5"/>
        <v>580000</v>
      </c>
      <c r="M53" s="104">
        <v>201000.0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6"/>
      <c r="B54" s="86">
        <v>45553.0</v>
      </c>
      <c r="C54" s="17" t="s">
        <v>747</v>
      </c>
      <c r="D54" s="17" t="s">
        <v>867</v>
      </c>
      <c r="E54" s="199" t="s">
        <v>37</v>
      </c>
      <c r="F54" s="17" t="s">
        <v>476</v>
      </c>
      <c r="G54" s="87">
        <v>9000.0</v>
      </c>
      <c r="H54" s="104">
        <v>765000.0</v>
      </c>
      <c r="I54" s="319" t="s">
        <v>44</v>
      </c>
      <c r="J54" s="104">
        <v>450000.0</v>
      </c>
      <c r="K54" s="105" t="s">
        <v>44</v>
      </c>
      <c r="L54" s="104">
        <f t="shared" si="5"/>
        <v>315000</v>
      </c>
      <c r="M54" s="104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6"/>
      <c r="B55" s="86">
        <v>45554.0</v>
      </c>
      <c r="C55" s="17" t="s">
        <v>747</v>
      </c>
      <c r="D55" s="17" t="s">
        <v>867</v>
      </c>
      <c r="E55" s="17" t="s">
        <v>504</v>
      </c>
      <c r="F55" s="17" t="s">
        <v>497</v>
      </c>
      <c r="G55" s="87">
        <v>4974.8</v>
      </c>
      <c r="H55" s="104">
        <v>1492440.0</v>
      </c>
      <c r="I55" s="319" t="s">
        <v>44</v>
      </c>
      <c r="J55" s="104">
        <v>900000.0</v>
      </c>
      <c r="K55" s="105" t="s">
        <v>44</v>
      </c>
      <c r="L55" s="104">
        <f t="shared" si="5"/>
        <v>592440</v>
      </c>
      <c r="M55" s="104">
        <v>150000.0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6"/>
      <c r="B56" s="86">
        <v>45555.0</v>
      </c>
      <c r="C56" s="17" t="s">
        <v>747</v>
      </c>
      <c r="D56" s="17" t="s">
        <v>867</v>
      </c>
      <c r="E56" s="17" t="s">
        <v>96</v>
      </c>
      <c r="F56" s="17" t="s">
        <v>43</v>
      </c>
      <c r="G56" s="87">
        <v>10000.0</v>
      </c>
      <c r="H56" s="104">
        <v>1500000.0</v>
      </c>
      <c r="I56" s="319" t="s">
        <v>44</v>
      </c>
      <c r="J56" s="104">
        <v>850000.0</v>
      </c>
      <c r="K56" s="105" t="s">
        <v>44</v>
      </c>
      <c r="L56" s="104">
        <f t="shared" si="5"/>
        <v>650000</v>
      </c>
      <c r="M56" s="104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6"/>
      <c r="B57" s="86">
        <v>45556.0</v>
      </c>
      <c r="C57" s="17" t="s">
        <v>747</v>
      </c>
      <c r="D57" s="17" t="s">
        <v>867</v>
      </c>
      <c r="E57" s="17" t="s">
        <v>96</v>
      </c>
      <c r="F57" s="17" t="s">
        <v>873</v>
      </c>
      <c r="G57" s="87">
        <v>9000.0</v>
      </c>
      <c r="H57" s="104">
        <v>1035000.0</v>
      </c>
      <c r="I57" s="103" t="s">
        <v>42</v>
      </c>
      <c r="J57" s="104">
        <v>600000.0</v>
      </c>
      <c r="K57" s="105" t="s">
        <v>44</v>
      </c>
      <c r="L57" s="104">
        <f t="shared" si="5"/>
        <v>435000</v>
      </c>
      <c r="M57" s="104">
        <v>351000.0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6"/>
      <c r="B58" s="86">
        <v>45558.0</v>
      </c>
      <c r="C58" s="17" t="s">
        <v>747</v>
      </c>
      <c r="D58" s="17" t="s">
        <v>867</v>
      </c>
      <c r="E58" s="17" t="s">
        <v>874</v>
      </c>
      <c r="F58" s="17" t="s">
        <v>497</v>
      </c>
      <c r="G58" s="87" t="s">
        <v>875</v>
      </c>
      <c r="H58" s="104">
        <v>1839150.0</v>
      </c>
      <c r="I58" s="103" t="s">
        <v>44</v>
      </c>
      <c r="J58" s="104">
        <v>900000.0</v>
      </c>
      <c r="K58" s="105" t="s">
        <v>44</v>
      </c>
      <c r="L58" s="104">
        <f t="shared" si="5"/>
        <v>939150</v>
      </c>
      <c r="M58" s="10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6"/>
      <c r="B59" s="86">
        <v>45561.0</v>
      </c>
      <c r="C59" s="17" t="s">
        <v>747</v>
      </c>
      <c r="D59" s="17" t="s">
        <v>867</v>
      </c>
      <c r="E59" s="17" t="s">
        <v>96</v>
      </c>
      <c r="F59" s="17" t="s">
        <v>876</v>
      </c>
      <c r="G59" s="87">
        <v>8000.0</v>
      </c>
      <c r="H59" s="104">
        <v>800000.0</v>
      </c>
      <c r="I59" s="103" t="s">
        <v>44</v>
      </c>
      <c r="J59" s="104">
        <v>400000.0</v>
      </c>
      <c r="K59" s="105" t="s">
        <v>42</v>
      </c>
      <c r="L59" s="104">
        <f t="shared" si="5"/>
        <v>400000</v>
      </c>
      <c r="M59" s="104">
        <v>196000.0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6"/>
      <c r="B60" s="86">
        <v>45562.0</v>
      </c>
      <c r="C60" s="17" t="s">
        <v>747</v>
      </c>
      <c r="D60" s="17" t="s">
        <v>867</v>
      </c>
      <c r="E60" s="17" t="s">
        <v>96</v>
      </c>
      <c r="F60" s="17" t="s">
        <v>266</v>
      </c>
      <c r="G60" s="87">
        <v>9000.0</v>
      </c>
      <c r="H60" s="101">
        <v>720000.0</v>
      </c>
      <c r="I60" s="103" t="s">
        <v>42</v>
      </c>
      <c r="J60" s="104">
        <v>400000.0</v>
      </c>
      <c r="K60" s="105" t="s">
        <v>42</v>
      </c>
      <c r="L60" s="104">
        <f t="shared" si="5"/>
        <v>320000</v>
      </c>
      <c r="M60" s="104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6"/>
      <c r="B61" s="86">
        <v>45563.0</v>
      </c>
      <c r="C61" s="17" t="s">
        <v>747</v>
      </c>
      <c r="D61" s="17" t="s">
        <v>867</v>
      </c>
      <c r="E61" s="17" t="s">
        <v>45</v>
      </c>
      <c r="F61" s="17" t="s">
        <v>161</v>
      </c>
      <c r="G61" s="87">
        <v>10000.0</v>
      </c>
      <c r="H61" s="104">
        <v>1350000.0</v>
      </c>
      <c r="I61" s="103" t="s">
        <v>44</v>
      </c>
      <c r="J61" s="104">
        <v>800000.0</v>
      </c>
      <c r="K61" s="105" t="s">
        <v>44</v>
      </c>
      <c r="L61" s="104">
        <f t="shared" si="5"/>
        <v>550000</v>
      </c>
      <c r="M61" s="104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6"/>
      <c r="B62" s="86">
        <v>45564.0</v>
      </c>
      <c r="C62" s="17" t="s">
        <v>747</v>
      </c>
      <c r="D62" s="17" t="s">
        <v>867</v>
      </c>
      <c r="E62" s="17" t="s">
        <v>30</v>
      </c>
      <c r="F62" s="17" t="s">
        <v>477</v>
      </c>
      <c r="G62" s="87">
        <v>9000.0</v>
      </c>
      <c r="H62" s="104">
        <v>820000.0</v>
      </c>
      <c r="I62" s="103" t="s">
        <v>44</v>
      </c>
      <c r="J62" s="104">
        <v>350000.0</v>
      </c>
      <c r="K62" s="105" t="s">
        <v>44</v>
      </c>
      <c r="L62" s="104">
        <f t="shared" si="5"/>
        <v>470000</v>
      </c>
      <c r="M62" s="10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6"/>
      <c r="B63" s="86">
        <v>45565.0</v>
      </c>
      <c r="C63" s="17" t="s">
        <v>747</v>
      </c>
      <c r="D63" s="17" t="s">
        <v>867</v>
      </c>
      <c r="E63" s="17" t="s">
        <v>96</v>
      </c>
      <c r="F63" s="17" t="s">
        <v>76</v>
      </c>
      <c r="G63" s="87">
        <v>9000.0</v>
      </c>
      <c r="H63" s="101">
        <v>1350000.0</v>
      </c>
      <c r="I63" s="103" t="s">
        <v>42</v>
      </c>
      <c r="J63" s="104">
        <v>875000.0</v>
      </c>
      <c r="K63" s="105" t="s">
        <v>44</v>
      </c>
      <c r="L63" s="104">
        <f t="shared" si="5"/>
        <v>475000</v>
      </c>
      <c r="M63" s="104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7"/>
      <c r="B64" s="7"/>
      <c r="C64" s="7"/>
      <c r="D64" s="7"/>
      <c r="E64" s="17"/>
      <c r="F64" s="17"/>
      <c r="G64" s="57"/>
      <c r="H64" s="104"/>
      <c r="I64" s="103"/>
      <c r="J64" s="104"/>
      <c r="K64" s="101"/>
      <c r="L64" s="320">
        <f t="shared" ref="L64:M64" si="6">SUM(L39:L63)</f>
        <v>11163590</v>
      </c>
      <c r="M64" s="194">
        <f t="shared" si="6"/>
        <v>2983000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7"/>
      <c r="B65" s="7"/>
      <c r="C65" s="7"/>
      <c r="D65" s="7"/>
      <c r="E65" s="17"/>
      <c r="F65" s="17"/>
      <c r="G65" s="57"/>
      <c r="H65" s="104"/>
      <c r="I65" s="103"/>
      <c r="J65" s="104"/>
      <c r="K65" s="101"/>
      <c r="L65" s="321">
        <f>L64-M64</f>
        <v>8180590</v>
      </c>
      <c r="M65" s="10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7"/>
      <c r="B66" s="7"/>
      <c r="C66" s="7"/>
      <c r="D66" s="7"/>
      <c r="E66" s="17"/>
      <c r="F66" s="17"/>
      <c r="G66" s="57"/>
      <c r="H66" s="104"/>
      <c r="I66" s="103"/>
      <c r="J66" s="104"/>
      <c r="K66" s="101"/>
      <c r="L66" s="104"/>
      <c r="M66" s="104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9"/>
      <c r="B67" s="89" t="s">
        <v>0</v>
      </c>
      <c r="C67" s="89" t="s">
        <v>1</v>
      </c>
      <c r="D67" s="89" t="s">
        <v>2</v>
      </c>
      <c r="E67" s="90" t="s">
        <v>3</v>
      </c>
      <c r="F67" s="89" t="s">
        <v>4</v>
      </c>
      <c r="G67" s="91" t="s">
        <v>5</v>
      </c>
      <c r="H67" s="120" t="s">
        <v>6</v>
      </c>
      <c r="I67" s="120" t="s">
        <v>39</v>
      </c>
      <c r="J67" s="120" t="s">
        <v>7</v>
      </c>
      <c r="K67" s="120" t="s">
        <v>39</v>
      </c>
      <c r="L67" s="120" t="s">
        <v>8</v>
      </c>
      <c r="M67" s="120" t="s">
        <v>9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6"/>
      <c r="B68" s="86">
        <v>45566.0</v>
      </c>
      <c r="C68" s="17" t="s">
        <v>747</v>
      </c>
      <c r="D68" s="17" t="s">
        <v>867</v>
      </c>
      <c r="E68" s="17" t="s">
        <v>37</v>
      </c>
      <c r="F68" s="17" t="s">
        <v>487</v>
      </c>
      <c r="G68" s="87">
        <v>10000.0</v>
      </c>
      <c r="H68" s="101">
        <v>1500000.0</v>
      </c>
      <c r="I68" s="103" t="s">
        <v>44</v>
      </c>
      <c r="J68" s="101">
        <v>850000.0</v>
      </c>
      <c r="K68" s="105" t="s">
        <v>44</v>
      </c>
      <c r="L68" s="101">
        <f t="shared" ref="L68:L91" si="7">H68-J68</f>
        <v>650000</v>
      </c>
      <c r="M68" s="104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6"/>
      <c r="B69" s="86">
        <v>45567.0</v>
      </c>
      <c r="C69" s="17" t="s">
        <v>747</v>
      </c>
      <c r="D69" s="17" t="s">
        <v>867</v>
      </c>
      <c r="E69" s="17" t="s">
        <v>37</v>
      </c>
      <c r="F69" s="17" t="s">
        <v>476</v>
      </c>
      <c r="G69" s="87">
        <v>9000.0</v>
      </c>
      <c r="H69" s="104">
        <v>765000.0</v>
      </c>
      <c r="I69" s="103" t="s">
        <v>44</v>
      </c>
      <c r="J69" s="104">
        <v>450000.0</v>
      </c>
      <c r="K69" s="101" t="s">
        <v>44</v>
      </c>
      <c r="L69" s="104">
        <f t="shared" si="7"/>
        <v>315000</v>
      </c>
      <c r="M69" s="104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6"/>
      <c r="B70" s="86">
        <v>45568.0</v>
      </c>
      <c r="C70" s="17" t="s">
        <v>747</v>
      </c>
      <c r="D70" s="17" t="s">
        <v>867</v>
      </c>
      <c r="E70" s="17" t="s">
        <v>556</v>
      </c>
      <c r="F70" s="17" t="s">
        <v>497</v>
      </c>
      <c r="G70" s="57">
        <v>6613.0</v>
      </c>
      <c r="H70" s="104">
        <v>1983900.0</v>
      </c>
      <c r="I70" s="103" t="s">
        <v>44</v>
      </c>
      <c r="J70" s="104">
        <v>900000.0</v>
      </c>
      <c r="K70" s="101" t="s">
        <v>44</v>
      </c>
      <c r="L70" s="104">
        <f t="shared" si="7"/>
        <v>1083900</v>
      </c>
      <c r="M70" s="104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6"/>
      <c r="B71" s="86">
        <v>45569.0</v>
      </c>
      <c r="C71" s="17" t="s">
        <v>747</v>
      </c>
      <c r="D71" s="17" t="s">
        <v>867</v>
      </c>
      <c r="E71" s="17" t="s">
        <v>265</v>
      </c>
      <c r="F71" s="17" t="s">
        <v>266</v>
      </c>
      <c r="G71" s="57">
        <v>9000.0</v>
      </c>
      <c r="H71" s="104">
        <v>720000.0</v>
      </c>
      <c r="I71" s="103" t="s">
        <v>42</v>
      </c>
      <c r="J71" s="104">
        <v>400000.0</v>
      </c>
      <c r="K71" s="101" t="s">
        <v>44</v>
      </c>
      <c r="L71" s="104">
        <f t="shared" si="7"/>
        <v>320000</v>
      </c>
      <c r="M71" s="10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7"/>
      <c r="Y71" s="7"/>
      <c r="Z71" s="7"/>
    </row>
    <row r="72" ht="15.75" customHeight="1">
      <c r="A72" s="86"/>
      <c r="B72" s="86">
        <v>45573.0</v>
      </c>
      <c r="C72" s="17" t="s">
        <v>747</v>
      </c>
      <c r="D72" s="17" t="s">
        <v>867</v>
      </c>
      <c r="E72" s="17" t="s">
        <v>556</v>
      </c>
      <c r="F72" s="17" t="s">
        <v>497</v>
      </c>
      <c r="G72" s="57">
        <v>6600.0</v>
      </c>
      <c r="H72" s="201">
        <v>1974150.0</v>
      </c>
      <c r="I72" s="103" t="s">
        <v>44</v>
      </c>
      <c r="J72" s="104">
        <v>900000.0</v>
      </c>
      <c r="K72" s="101" t="s">
        <v>42</v>
      </c>
      <c r="L72" s="104">
        <f t="shared" si="7"/>
        <v>1074150</v>
      </c>
      <c r="M72" s="10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7"/>
      <c r="Y72" s="7"/>
      <c r="Z72" s="7"/>
    </row>
    <row r="73" ht="15.75" customHeight="1">
      <c r="A73" s="86"/>
      <c r="B73" s="86">
        <v>45574.0</v>
      </c>
      <c r="C73" s="17" t="s">
        <v>747</v>
      </c>
      <c r="D73" s="17" t="s">
        <v>867</v>
      </c>
      <c r="E73" s="17" t="s">
        <v>45</v>
      </c>
      <c r="F73" s="17" t="s">
        <v>161</v>
      </c>
      <c r="G73" s="87">
        <v>9000.0</v>
      </c>
      <c r="H73" s="104">
        <v>1215000.0</v>
      </c>
      <c r="I73" s="103" t="s">
        <v>44</v>
      </c>
      <c r="J73" s="104">
        <v>750000.0</v>
      </c>
      <c r="K73" s="101" t="s">
        <v>44</v>
      </c>
      <c r="L73" s="104">
        <f t="shared" si="7"/>
        <v>465000</v>
      </c>
      <c r="M73" s="104">
        <v>706000.0</v>
      </c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7"/>
      <c r="Y73" s="7"/>
      <c r="Z73" s="7"/>
    </row>
    <row r="74" ht="15.75" customHeight="1">
      <c r="A74" s="86"/>
      <c r="B74" s="86">
        <v>45575.0</v>
      </c>
      <c r="C74" s="17" t="s">
        <v>747</v>
      </c>
      <c r="D74" s="17" t="s">
        <v>867</v>
      </c>
      <c r="E74" s="17" t="s">
        <v>492</v>
      </c>
      <c r="F74" s="17" t="s">
        <v>497</v>
      </c>
      <c r="G74" s="57">
        <v>5002.5</v>
      </c>
      <c r="H74" s="201">
        <v>1500750.0</v>
      </c>
      <c r="I74" s="103" t="s">
        <v>44</v>
      </c>
      <c r="J74" s="104">
        <v>900000.0</v>
      </c>
      <c r="K74" s="101" t="s">
        <v>44</v>
      </c>
      <c r="L74" s="104">
        <f t="shared" si="7"/>
        <v>600750</v>
      </c>
      <c r="M74" s="10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7"/>
      <c r="Y74" s="7"/>
      <c r="Z74" s="7"/>
    </row>
    <row r="75" ht="15.75" customHeight="1">
      <c r="A75" s="86"/>
      <c r="B75" s="86">
        <v>45576.0</v>
      </c>
      <c r="C75" s="17" t="s">
        <v>747</v>
      </c>
      <c r="D75" s="17" t="s">
        <v>867</v>
      </c>
      <c r="E75" s="17" t="s">
        <v>217</v>
      </c>
      <c r="F75" s="17" t="s">
        <v>544</v>
      </c>
      <c r="G75" s="57">
        <v>6000.0</v>
      </c>
      <c r="H75" s="104">
        <v>550000.0</v>
      </c>
      <c r="I75" s="103" t="s">
        <v>42</v>
      </c>
      <c r="J75" s="104">
        <v>400000.0</v>
      </c>
      <c r="K75" s="101" t="s">
        <v>42</v>
      </c>
      <c r="L75" s="104">
        <f t="shared" si="7"/>
        <v>150000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6"/>
      <c r="B76" s="86">
        <v>45577.0</v>
      </c>
      <c r="C76" s="17" t="s">
        <v>747</v>
      </c>
      <c r="D76" s="17" t="s">
        <v>867</v>
      </c>
      <c r="E76" s="17" t="s">
        <v>123</v>
      </c>
      <c r="F76" s="17" t="s">
        <v>109</v>
      </c>
      <c r="G76" s="87">
        <v>9000.0</v>
      </c>
      <c r="H76" s="101">
        <v>720000.0</v>
      </c>
      <c r="I76" s="103" t="s">
        <v>42</v>
      </c>
      <c r="J76" s="101">
        <v>350000.0</v>
      </c>
      <c r="K76" s="101" t="s">
        <v>42</v>
      </c>
      <c r="L76" s="104">
        <f t="shared" si="7"/>
        <v>370000</v>
      </c>
      <c r="M76" s="10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6"/>
      <c r="B77" s="86">
        <v>45578.0</v>
      </c>
      <c r="C77" s="17" t="s">
        <v>747</v>
      </c>
      <c r="D77" s="17" t="s">
        <v>867</v>
      </c>
      <c r="E77" s="17" t="s">
        <v>37</v>
      </c>
      <c r="F77" s="17" t="s">
        <v>487</v>
      </c>
      <c r="G77" s="87">
        <v>10000.0</v>
      </c>
      <c r="H77" s="101">
        <v>1500000.0</v>
      </c>
      <c r="I77" s="103" t="s">
        <v>44</v>
      </c>
      <c r="J77" s="101">
        <v>850000.0</v>
      </c>
      <c r="K77" s="101" t="s">
        <v>42</v>
      </c>
      <c r="L77" s="104">
        <f t="shared" si="7"/>
        <v>650000</v>
      </c>
      <c r="M77" s="104">
        <v>670000.0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6"/>
      <c r="B78" s="86">
        <v>45581.0</v>
      </c>
      <c r="C78" s="17" t="s">
        <v>747</v>
      </c>
      <c r="D78" s="17" t="s">
        <v>867</v>
      </c>
      <c r="E78" s="17" t="s">
        <v>40</v>
      </c>
      <c r="F78" s="17" t="s">
        <v>474</v>
      </c>
      <c r="G78" s="57">
        <v>9000.0</v>
      </c>
      <c r="H78" s="61">
        <v>675000.0</v>
      </c>
      <c r="I78" s="97" t="s">
        <v>42</v>
      </c>
      <c r="J78" s="104">
        <v>350000.0</v>
      </c>
      <c r="K78" s="101" t="s">
        <v>42</v>
      </c>
      <c r="L78" s="104">
        <f t="shared" si="7"/>
        <v>325000</v>
      </c>
      <c r="M78" s="104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6"/>
      <c r="B79" s="86">
        <v>45582.0</v>
      </c>
      <c r="C79" s="17" t="s">
        <v>747</v>
      </c>
      <c r="D79" s="17" t="s">
        <v>867</v>
      </c>
      <c r="E79" s="17" t="s">
        <v>30</v>
      </c>
      <c r="F79" s="17" t="s">
        <v>493</v>
      </c>
      <c r="G79" s="57">
        <v>10000.0</v>
      </c>
      <c r="H79" s="61">
        <v>750000.0</v>
      </c>
      <c r="I79" s="97" t="s">
        <v>44</v>
      </c>
      <c r="J79" s="101">
        <v>425000.0</v>
      </c>
      <c r="K79" s="101" t="s">
        <v>42</v>
      </c>
      <c r="L79" s="104">
        <f t="shared" si="7"/>
        <v>325000</v>
      </c>
      <c r="M79" s="10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6"/>
      <c r="B80" s="86">
        <v>45583.0</v>
      </c>
      <c r="C80" s="17" t="s">
        <v>747</v>
      </c>
      <c r="D80" s="17" t="s">
        <v>867</v>
      </c>
      <c r="E80" s="17" t="s">
        <v>204</v>
      </c>
      <c r="F80" s="17" t="s">
        <v>877</v>
      </c>
      <c r="G80" s="87">
        <v>9000.0</v>
      </c>
      <c r="H80" s="58">
        <v>1035000.0</v>
      </c>
      <c r="I80" s="59" t="s">
        <v>42</v>
      </c>
      <c r="J80" s="60">
        <v>600000.0</v>
      </c>
      <c r="K80" s="101" t="s">
        <v>42</v>
      </c>
      <c r="L80" s="104">
        <f t="shared" si="7"/>
        <v>435000</v>
      </c>
      <c r="M80" s="104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6"/>
      <c r="B81" s="86">
        <v>45584.0</v>
      </c>
      <c r="C81" s="17" t="s">
        <v>747</v>
      </c>
      <c r="D81" s="17" t="s">
        <v>867</v>
      </c>
      <c r="E81" s="17" t="s">
        <v>878</v>
      </c>
      <c r="F81" s="17" t="s">
        <v>497</v>
      </c>
      <c r="G81" s="57">
        <v>5000.0</v>
      </c>
      <c r="H81" s="104">
        <v>1494000.0</v>
      </c>
      <c r="I81" s="103" t="s">
        <v>44</v>
      </c>
      <c r="J81" s="104">
        <v>900000.0</v>
      </c>
      <c r="K81" s="101" t="s">
        <v>42</v>
      </c>
      <c r="L81" s="104">
        <f t="shared" si="7"/>
        <v>594000</v>
      </c>
      <c r="M81" s="104">
        <v>448000.0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6"/>
      <c r="B82" s="86">
        <v>45586.0</v>
      </c>
      <c r="C82" s="17" t="s">
        <v>747</v>
      </c>
      <c r="D82" s="17" t="s">
        <v>867</v>
      </c>
      <c r="E82" s="17" t="s">
        <v>123</v>
      </c>
      <c r="F82" s="17" t="s">
        <v>109</v>
      </c>
      <c r="G82" s="87">
        <v>9000.0</v>
      </c>
      <c r="H82" s="101">
        <v>720000.0</v>
      </c>
      <c r="I82" s="97" t="s">
        <v>44</v>
      </c>
      <c r="J82" s="101">
        <v>350000.0</v>
      </c>
      <c r="K82" s="101" t="s">
        <v>42</v>
      </c>
      <c r="L82" s="104">
        <f t="shared" si="7"/>
        <v>370000</v>
      </c>
      <c r="M82" s="104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6"/>
      <c r="B83" s="86">
        <v>45587.0</v>
      </c>
      <c r="C83" s="17" t="s">
        <v>747</v>
      </c>
      <c r="D83" s="17" t="s">
        <v>867</v>
      </c>
      <c r="E83" s="17" t="s">
        <v>40</v>
      </c>
      <c r="F83" s="17" t="s">
        <v>110</v>
      </c>
      <c r="G83" s="57">
        <v>9000.0</v>
      </c>
      <c r="H83" s="101">
        <v>1170000.0</v>
      </c>
      <c r="I83" s="59" t="s">
        <v>42</v>
      </c>
      <c r="J83" s="101">
        <v>640000.0</v>
      </c>
      <c r="K83" s="101" t="s">
        <v>42</v>
      </c>
      <c r="L83" s="104">
        <f t="shared" si="7"/>
        <v>530000</v>
      </c>
      <c r="M83" s="10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6"/>
      <c r="B84" s="86">
        <v>45588.0</v>
      </c>
      <c r="C84" s="17" t="s">
        <v>747</v>
      </c>
      <c r="D84" s="17" t="s">
        <v>867</v>
      </c>
      <c r="E84" s="17" t="s">
        <v>30</v>
      </c>
      <c r="F84" s="17" t="s">
        <v>493</v>
      </c>
      <c r="G84" s="57">
        <v>9000.0</v>
      </c>
      <c r="H84" s="61">
        <v>675000.0</v>
      </c>
      <c r="I84" s="97" t="s">
        <v>44</v>
      </c>
      <c r="J84" s="101">
        <v>375000.0</v>
      </c>
      <c r="K84" s="101" t="s">
        <v>42</v>
      </c>
      <c r="L84" s="104">
        <f t="shared" si="7"/>
        <v>300000</v>
      </c>
      <c r="M84" s="104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6"/>
      <c r="B85" s="86">
        <v>45589.0</v>
      </c>
      <c r="C85" s="17" t="s">
        <v>747</v>
      </c>
      <c r="D85" s="17" t="s">
        <v>867</v>
      </c>
      <c r="E85" s="17" t="s">
        <v>30</v>
      </c>
      <c r="F85" s="17" t="s">
        <v>879</v>
      </c>
      <c r="G85" s="57">
        <v>9000.0</v>
      </c>
      <c r="H85" s="104">
        <v>900000.0</v>
      </c>
      <c r="I85" s="103" t="s">
        <v>42</v>
      </c>
      <c r="J85" s="104">
        <v>500000.0</v>
      </c>
      <c r="K85" s="101" t="s">
        <v>42</v>
      </c>
      <c r="L85" s="104">
        <f t="shared" si="7"/>
        <v>400000</v>
      </c>
      <c r="M85" s="10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6"/>
      <c r="B86" s="86">
        <v>45590.0</v>
      </c>
      <c r="C86" s="17" t="s">
        <v>747</v>
      </c>
      <c r="D86" s="17" t="s">
        <v>867</v>
      </c>
      <c r="E86" s="17" t="s">
        <v>30</v>
      </c>
      <c r="F86" s="17" t="s">
        <v>474</v>
      </c>
      <c r="G86" s="57">
        <v>9000.0</v>
      </c>
      <c r="H86" s="104">
        <v>675000.0</v>
      </c>
      <c r="I86" s="59" t="s">
        <v>42</v>
      </c>
      <c r="J86" s="104">
        <v>350000.0</v>
      </c>
      <c r="K86" s="101" t="s">
        <v>42</v>
      </c>
      <c r="L86" s="104">
        <f t="shared" si="7"/>
        <v>325000</v>
      </c>
      <c r="M86" s="104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6"/>
      <c r="B87" s="86">
        <v>45591.0</v>
      </c>
      <c r="C87" s="17" t="s">
        <v>747</v>
      </c>
      <c r="D87" s="17" t="s">
        <v>867</v>
      </c>
      <c r="E87" s="17" t="s">
        <v>37</v>
      </c>
      <c r="F87" s="17" t="s">
        <v>542</v>
      </c>
      <c r="G87" s="57">
        <v>9000.0</v>
      </c>
      <c r="H87" s="61">
        <v>810000.0</v>
      </c>
      <c r="I87" s="97" t="s">
        <v>44</v>
      </c>
      <c r="J87" s="61">
        <v>450000.0</v>
      </c>
      <c r="K87" s="101" t="s">
        <v>42</v>
      </c>
      <c r="L87" s="104">
        <f t="shared" si="7"/>
        <v>360000</v>
      </c>
      <c r="M87" s="10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6"/>
      <c r="B88" s="86">
        <v>45593.0</v>
      </c>
      <c r="C88" s="17" t="s">
        <v>747</v>
      </c>
      <c r="D88" s="17" t="s">
        <v>867</v>
      </c>
      <c r="E88" s="17" t="s">
        <v>40</v>
      </c>
      <c r="F88" s="17" t="s">
        <v>880</v>
      </c>
      <c r="G88" s="57">
        <v>9000.0</v>
      </c>
      <c r="H88" s="61">
        <v>800000.0</v>
      </c>
      <c r="I88" s="96" t="s">
        <v>42</v>
      </c>
      <c r="J88" s="101">
        <v>400000.0</v>
      </c>
      <c r="K88" s="101" t="s">
        <v>42</v>
      </c>
      <c r="L88" s="104">
        <f t="shared" si="7"/>
        <v>400000</v>
      </c>
      <c r="M88" s="104"/>
      <c r="N88" s="7" t="s">
        <v>881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6"/>
      <c r="B89" s="86">
        <v>45594.0</v>
      </c>
      <c r="C89" s="17" t="s">
        <v>747</v>
      </c>
      <c r="D89" s="17" t="s">
        <v>867</v>
      </c>
      <c r="E89" s="17" t="s">
        <v>37</v>
      </c>
      <c r="F89" s="17" t="s">
        <v>474</v>
      </c>
      <c r="G89" s="57">
        <v>10000.0</v>
      </c>
      <c r="H89" s="104">
        <v>750000.0</v>
      </c>
      <c r="I89" s="103" t="s">
        <v>42</v>
      </c>
      <c r="J89" s="104">
        <v>375000.0</v>
      </c>
      <c r="K89" s="101" t="s">
        <v>42</v>
      </c>
      <c r="L89" s="104">
        <f t="shared" si="7"/>
        <v>375000</v>
      </c>
      <c r="M89" s="104"/>
      <c r="N89" s="7" t="s">
        <v>882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6"/>
      <c r="B90" s="86">
        <v>45595.0</v>
      </c>
      <c r="C90" s="17" t="s">
        <v>747</v>
      </c>
      <c r="D90" s="17" t="s">
        <v>867</v>
      </c>
      <c r="E90" s="17" t="s">
        <v>488</v>
      </c>
      <c r="F90" s="17" t="s">
        <v>497</v>
      </c>
      <c r="G90" s="57">
        <v>5000.0</v>
      </c>
      <c r="H90" s="104">
        <v>1605750.0</v>
      </c>
      <c r="I90" s="103" t="s">
        <v>44</v>
      </c>
      <c r="J90" s="104">
        <v>900000.0</v>
      </c>
      <c r="K90" s="101" t="s">
        <v>42</v>
      </c>
      <c r="L90" s="104">
        <f t="shared" si="7"/>
        <v>705750</v>
      </c>
      <c r="M90" s="104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6"/>
      <c r="B91" s="86">
        <v>45596.0</v>
      </c>
      <c r="C91" s="17" t="s">
        <v>747</v>
      </c>
      <c r="D91" s="17" t="s">
        <v>867</v>
      </c>
      <c r="E91" s="17" t="s">
        <v>492</v>
      </c>
      <c r="F91" s="17" t="s">
        <v>497</v>
      </c>
      <c r="G91" s="57">
        <v>5000.0</v>
      </c>
      <c r="H91" s="322">
        <v>1495350.0</v>
      </c>
      <c r="I91" s="103" t="s">
        <v>44</v>
      </c>
      <c r="J91" s="104">
        <v>900000.0</v>
      </c>
      <c r="K91" s="101" t="s">
        <v>44</v>
      </c>
      <c r="L91" s="104">
        <f t="shared" si="7"/>
        <v>595350</v>
      </c>
      <c r="M91" s="104">
        <v>500000.0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7"/>
      <c r="B92" s="7"/>
      <c r="C92" s="7"/>
      <c r="D92" s="7"/>
      <c r="E92" s="17"/>
      <c r="F92" s="17"/>
      <c r="G92" s="57"/>
      <c r="H92" s="104"/>
      <c r="I92" s="103"/>
      <c r="J92" s="104"/>
      <c r="K92" s="101"/>
      <c r="L92" s="320">
        <f t="shared" ref="L92:M92" si="8">SUM(L68:L91)</f>
        <v>11718900</v>
      </c>
      <c r="M92" s="194">
        <f t="shared" si="8"/>
        <v>2324000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7"/>
      <c r="B93" s="7"/>
      <c r="C93" s="7"/>
      <c r="D93" s="7"/>
      <c r="E93" s="17"/>
      <c r="F93" s="17"/>
      <c r="G93" s="57"/>
      <c r="H93" s="104"/>
      <c r="I93" s="103"/>
      <c r="J93" s="104"/>
      <c r="K93" s="101"/>
      <c r="L93" s="321">
        <f>L92-M92</f>
        <v>9394900</v>
      </c>
      <c r="M93" s="10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7"/>
      <c r="B94" s="7"/>
      <c r="C94" s="7"/>
      <c r="D94" s="7"/>
      <c r="E94" s="17"/>
      <c r="F94" s="17"/>
      <c r="G94" s="57"/>
      <c r="H94" s="104"/>
      <c r="I94" s="103"/>
      <c r="J94" s="104"/>
      <c r="K94" s="101"/>
      <c r="L94" s="104"/>
      <c r="M94" s="104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9" t="s">
        <v>209</v>
      </c>
      <c r="B95" s="89" t="s">
        <v>0</v>
      </c>
      <c r="C95" s="89" t="s">
        <v>1</v>
      </c>
      <c r="D95" s="89" t="s">
        <v>2</v>
      </c>
      <c r="E95" s="90" t="s">
        <v>3</v>
      </c>
      <c r="F95" s="89" t="s">
        <v>4</v>
      </c>
      <c r="G95" s="91" t="s">
        <v>5</v>
      </c>
      <c r="H95" s="120" t="s">
        <v>6</v>
      </c>
      <c r="I95" s="120" t="s">
        <v>39</v>
      </c>
      <c r="J95" s="120" t="s">
        <v>7</v>
      </c>
      <c r="K95" s="120" t="s">
        <v>39</v>
      </c>
      <c r="L95" s="120" t="s">
        <v>8</v>
      </c>
      <c r="M95" s="120" t="s">
        <v>9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7">
        <v>1.0</v>
      </c>
      <c r="B96" s="86">
        <v>45597.0</v>
      </c>
      <c r="C96" s="17" t="s">
        <v>747</v>
      </c>
      <c r="D96" s="17" t="s">
        <v>867</v>
      </c>
      <c r="E96" s="17" t="s">
        <v>40</v>
      </c>
      <c r="F96" s="17" t="s">
        <v>76</v>
      </c>
      <c r="G96" s="87">
        <v>9000.0</v>
      </c>
      <c r="H96" s="101">
        <v>1350000.0</v>
      </c>
      <c r="I96" s="103" t="s">
        <v>42</v>
      </c>
      <c r="J96" s="104">
        <v>875000.0</v>
      </c>
      <c r="K96" s="101" t="s">
        <v>42</v>
      </c>
      <c r="L96" s="104">
        <f t="shared" ref="L96:L109" si="9">H96-J96</f>
        <v>475000</v>
      </c>
      <c r="M96" s="104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7">
        <v>2.0</v>
      </c>
      <c r="B97" s="86">
        <v>45600.0</v>
      </c>
      <c r="C97" s="17" t="s">
        <v>747</v>
      </c>
      <c r="D97" s="17" t="s">
        <v>867</v>
      </c>
      <c r="E97" s="17" t="s">
        <v>252</v>
      </c>
      <c r="F97" s="17" t="s">
        <v>883</v>
      </c>
      <c r="G97" s="57">
        <v>9000.0</v>
      </c>
      <c r="H97" s="61">
        <v>2520000.0</v>
      </c>
      <c r="I97" s="103" t="s">
        <v>44</v>
      </c>
      <c r="J97" s="61">
        <v>1500000.0</v>
      </c>
      <c r="K97" s="101" t="s">
        <v>42</v>
      </c>
      <c r="L97" s="104">
        <f t="shared" si="9"/>
        <v>1020000</v>
      </c>
      <c r="M97" s="104">
        <v>201000.0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>
        <v>3.0</v>
      </c>
      <c r="B98" s="86">
        <v>45602.0</v>
      </c>
      <c r="C98" s="17" t="s">
        <v>747</v>
      </c>
      <c r="D98" s="17" t="s">
        <v>867</v>
      </c>
      <c r="E98" s="17" t="s">
        <v>37</v>
      </c>
      <c r="F98" s="17" t="s">
        <v>487</v>
      </c>
      <c r="G98" s="87">
        <v>10000.0</v>
      </c>
      <c r="H98" s="101">
        <v>1500000.0</v>
      </c>
      <c r="I98" s="103" t="s">
        <v>44</v>
      </c>
      <c r="J98" s="104">
        <v>850000.0</v>
      </c>
      <c r="K98" s="101" t="s">
        <v>42</v>
      </c>
      <c r="L98" s="104">
        <f t="shared" si="9"/>
        <v>650000</v>
      </c>
      <c r="M98" s="10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7">
        <v>4.0</v>
      </c>
      <c r="B99" s="86">
        <v>45603.0</v>
      </c>
      <c r="C99" s="17" t="s">
        <v>747</v>
      </c>
      <c r="D99" s="17" t="s">
        <v>867</v>
      </c>
      <c r="E99" s="17" t="s">
        <v>556</v>
      </c>
      <c r="F99" s="17" t="s">
        <v>497</v>
      </c>
      <c r="G99" s="57">
        <v>5000.0</v>
      </c>
      <c r="H99" s="104">
        <v>1761675.0</v>
      </c>
      <c r="I99" s="103" t="s">
        <v>44</v>
      </c>
      <c r="J99" s="104">
        <v>900000.0</v>
      </c>
      <c r="K99" s="101" t="s">
        <v>44</v>
      </c>
      <c r="L99" s="104">
        <f t="shared" si="9"/>
        <v>861675</v>
      </c>
      <c r="M99" s="104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7">
        <v>5.0</v>
      </c>
      <c r="B100" s="86">
        <v>45604.0</v>
      </c>
      <c r="C100" s="17" t="s">
        <v>747</v>
      </c>
      <c r="D100" s="17" t="s">
        <v>867</v>
      </c>
      <c r="E100" s="17" t="s">
        <v>634</v>
      </c>
      <c r="F100" s="17" t="s">
        <v>497</v>
      </c>
      <c r="G100" s="57">
        <v>5000.0</v>
      </c>
      <c r="H100" s="104">
        <v>2391750.0</v>
      </c>
      <c r="I100" s="103" t="s">
        <v>44</v>
      </c>
      <c r="J100" s="104">
        <v>900000.0</v>
      </c>
      <c r="K100" s="101" t="s">
        <v>44</v>
      </c>
      <c r="L100" s="104">
        <f t="shared" si="9"/>
        <v>1491750</v>
      </c>
      <c r="M100" s="104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7">
        <v>6.0</v>
      </c>
      <c r="B101" s="86">
        <v>45607.0</v>
      </c>
      <c r="C101" s="17" t="s">
        <v>747</v>
      </c>
      <c r="D101" s="17" t="s">
        <v>867</v>
      </c>
      <c r="E101" s="17" t="s">
        <v>37</v>
      </c>
      <c r="F101" s="17" t="s">
        <v>194</v>
      </c>
      <c r="G101" s="57">
        <v>9000.0</v>
      </c>
      <c r="H101" s="58">
        <v>1400000.0</v>
      </c>
      <c r="I101" s="103" t="s">
        <v>44</v>
      </c>
      <c r="J101" s="104">
        <v>850000.0</v>
      </c>
      <c r="K101" s="101" t="s">
        <v>42</v>
      </c>
      <c r="L101" s="104">
        <f t="shared" si="9"/>
        <v>550000</v>
      </c>
      <c r="M101" s="10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7">
        <v>7.0</v>
      </c>
      <c r="B102" s="86">
        <v>45608.0</v>
      </c>
      <c r="C102" s="17" t="s">
        <v>747</v>
      </c>
      <c r="D102" s="17" t="s">
        <v>867</v>
      </c>
      <c r="E102" s="17" t="s">
        <v>37</v>
      </c>
      <c r="F102" s="17" t="s">
        <v>239</v>
      </c>
      <c r="G102" s="87">
        <v>9000.0</v>
      </c>
      <c r="H102" s="104">
        <v>1200000.0</v>
      </c>
      <c r="I102" s="59" t="s">
        <v>42</v>
      </c>
      <c r="J102" s="101">
        <v>640000.0</v>
      </c>
      <c r="K102" s="101" t="s">
        <v>44</v>
      </c>
      <c r="L102" s="104">
        <f t="shared" si="9"/>
        <v>560000</v>
      </c>
      <c r="M102" s="104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7">
        <v>8.0</v>
      </c>
      <c r="B103" s="86">
        <v>45611.0</v>
      </c>
      <c r="C103" s="17" t="s">
        <v>747</v>
      </c>
      <c r="D103" s="17" t="s">
        <v>867</v>
      </c>
      <c r="E103" s="17" t="s">
        <v>252</v>
      </c>
      <c r="F103" s="17" t="s">
        <v>227</v>
      </c>
      <c r="G103" s="57">
        <v>9000.0</v>
      </c>
      <c r="H103" s="104">
        <v>2520000.0</v>
      </c>
      <c r="I103" s="103" t="s">
        <v>44</v>
      </c>
      <c r="J103" s="104">
        <v>1500000.0</v>
      </c>
      <c r="K103" s="101" t="s">
        <v>42</v>
      </c>
      <c r="L103" s="104">
        <f t="shared" si="9"/>
        <v>1020000</v>
      </c>
      <c r="M103" s="104">
        <v>131000.0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7">
        <v>9.0</v>
      </c>
      <c r="B104" s="86">
        <v>45614.0</v>
      </c>
      <c r="C104" s="17" t="s">
        <v>747</v>
      </c>
      <c r="D104" s="17" t="s">
        <v>867</v>
      </c>
      <c r="E104" s="17" t="s">
        <v>30</v>
      </c>
      <c r="F104" s="17" t="s">
        <v>884</v>
      </c>
      <c r="G104" s="57">
        <v>11000.0</v>
      </c>
      <c r="H104" s="104">
        <v>825000.0</v>
      </c>
      <c r="I104" s="103" t="s">
        <v>42</v>
      </c>
      <c r="J104" s="104">
        <v>400000.0</v>
      </c>
      <c r="K104" s="101" t="s">
        <v>44</v>
      </c>
      <c r="L104" s="104">
        <f t="shared" si="9"/>
        <v>425000</v>
      </c>
      <c r="M104" s="104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7">
        <v>10.0</v>
      </c>
      <c r="B105" s="86">
        <v>45614.0</v>
      </c>
      <c r="C105" s="17" t="s">
        <v>747</v>
      </c>
      <c r="D105" s="17" t="s">
        <v>867</v>
      </c>
      <c r="E105" s="17" t="s">
        <v>30</v>
      </c>
      <c r="F105" s="17" t="s">
        <v>884</v>
      </c>
      <c r="G105" s="57">
        <v>9000.0</v>
      </c>
      <c r="H105" s="104">
        <v>675000.0</v>
      </c>
      <c r="I105" s="103" t="s">
        <v>42</v>
      </c>
      <c r="J105" s="104">
        <v>350000.0</v>
      </c>
      <c r="K105" s="101" t="s">
        <v>212</v>
      </c>
      <c r="L105" s="104">
        <f t="shared" si="9"/>
        <v>325000</v>
      </c>
      <c r="M105" s="10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7">
        <v>11.0</v>
      </c>
      <c r="B106" s="86">
        <v>45615.0</v>
      </c>
      <c r="C106" s="17" t="s">
        <v>747</v>
      </c>
      <c r="D106" s="17" t="s">
        <v>867</v>
      </c>
      <c r="E106" s="17" t="s">
        <v>45</v>
      </c>
      <c r="F106" s="17" t="s">
        <v>551</v>
      </c>
      <c r="G106" s="57">
        <v>8500.0</v>
      </c>
      <c r="H106" s="104">
        <v>1200000.0</v>
      </c>
      <c r="I106" s="103" t="s">
        <v>42</v>
      </c>
      <c r="J106" s="104">
        <v>690000.0</v>
      </c>
      <c r="K106" s="101" t="s">
        <v>42</v>
      </c>
      <c r="L106" s="104">
        <f t="shared" si="9"/>
        <v>510000</v>
      </c>
      <c r="M106" s="10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7">
        <v>12.0</v>
      </c>
      <c r="B107" s="86">
        <v>45616.0</v>
      </c>
      <c r="C107" s="17" t="s">
        <v>747</v>
      </c>
      <c r="D107" s="17" t="s">
        <v>867</v>
      </c>
      <c r="E107" s="17" t="s">
        <v>885</v>
      </c>
      <c r="F107" s="17" t="s">
        <v>227</v>
      </c>
      <c r="G107" s="57">
        <v>7300.0</v>
      </c>
      <c r="H107" s="104">
        <v>3615000.0</v>
      </c>
      <c r="I107" s="103" t="s">
        <v>44</v>
      </c>
      <c r="J107" s="104">
        <v>2250000.0</v>
      </c>
      <c r="K107" s="101" t="s">
        <v>44</v>
      </c>
      <c r="L107" s="104">
        <f t="shared" si="9"/>
        <v>1365000</v>
      </c>
      <c r="M107" s="104">
        <v>38000.0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7">
        <v>13.0</v>
      </c>
      <c r="B108" s="7"/>
      <c r="C108" s="7"/>
      <c r="D108" s="7"/>
      <c r="E108" s="17"/>
      <c r="F108" s="17"/>
      <c r="G108" s="57"/>
      <c r="H108" s="104"/>
      <c r="I108" s="103"/>
      <c r="J108" s="104"/>
      <c r="K108" s="101"/>
      <c r="L108" s="104">
        <f t="shared" si="9"/>
        <v>0</v>
      </c>
      <c r="M108" s="104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7">
        <v>14.0</v>
      </c>
      <c r="B109" s="7"/>
      <c r="C109" s="7"/>
      <c r="D109" s="7"/>
      <c r="E109" s="17"/>
      <c r="F109" s="17"/>
      <c r="G109" s="57"/>
      <c r="H109" s="104"/>
      <c r="I109" s="103"/>
      <c r="J109" s="104"/>
      <c r="K109" s="101"/>
      <c r="L109" s="104">
        <f t="shared" si="9"/>
        <v>0</v>
      </c>
      <c r="M109" s="10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7">
        <v>15.0</v>
      </c>
      <c r="B110" s="7"/>
      <c r="C110" s="7"/>
      <c r="D110" s="7"/>
      <c r="E110" s="17"/>
      <c r="F110" s="17"/>
      <c r="G110" s="57"/>
      <c r="H110" s="104"/>
      <c r="I110" s="103"/>
      <c r="J110" s="104"/>
      <c r="K110" s="101"/>
      <c r="L110" s="104"/>
      <c r="M110" s="104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7"/>
      <c r="B111" s="7"/>
      <c r="C111" s="7"/>
      <c r="D111" s="7"/>
      <c r="E111" s="17"/>
      <c r="F111" s="17"/>
      <c r="G111" s="57"/>
      <c r="H111" s="104"/>
      <c r="I111" s="103"/>
      <c r="J111" s="104"/>
      <c r="K111" s="101"/>
      <c r="L111" s="320">
        <f t="shared" ref="L111:M111" si="10">SUM(L96:L110)</f>
        <v>9253425</v>
      </c>
      <c r="M111" s="194">
        <f t="shared" si="10"/>
        <v>370000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7"/>
      <c r="B112" s="7"/>
      <c r="C112" s="7"/>
      <c r="D112" s="7"/>
      <c r="E112" s="17"/>
      <c r="F112" s="17"/>
      <c r="G112" s="57"/>
      <c r="H112" s="104"/>
      <c r="I112" s="103"/>
      <c r="J112" s="104"/>
      <c r="K112" s="101"/>
      <c r="L112" s="321">
        <f>L111-M111</f>
        <v>8883425</v>
      </c>
      <c r="M112" s="104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7"/>
      <c r="B113" s="7"/>
      <c r="C113" s="7"/>
      <c r="D113" s="7"/>
      <c r="E113" s="17"/>
      <c r="F113" s="17"/>
      <c r="G113" s="57"/>
      <c r="H113" s="104"/>
      <c r="I113" s="103"/>
      <c r="J113" s="104"/>
      <c r="K113" s="101"/>
      <c r="L113" s="104"/>
      <c r="M113" s="104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9" t="s">
        <v>209</v>
      </c>
      <c r="B114" s="89" t="s">
        <v>0</v>
      </c>
      <c r="C114" s="89" t="s">
        <v>1</v>
      </c>
      <c r="D114" s="89" t="s">
        <v>2</v>
      </c>
      <c r="E114" s="90" t="s">
        <v>3</v>
      </c>
      <c r="F114" s="89" t="s">
        <v>4</v>
      </c>
      <c r="G114" s="91" t="s">
        <v>5</v>
      </c>
      <c r="H114" s="120" t="s">
        <v>6</v>
      </c>
      <c r="I114" s="120" t="s">
        <v>39</v>
      </c>
      <c r="J114" s="120" t="s">
        <v>7</v>
      </c>
      <c r="K114" s="120" t="s">
        <v>39</v>
      </c>
      <c r="L114" s="120" t="s">
        <v>8</v>
      </c>
      <c r="M114" s="120" t="s">
        <v>9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7">
        <v>1.0</v>
      </c>
      <c r="B115" s="86">
        <v>45621.0</v>
      </c>
      <c r="C115" s="17" t="s">
        <v>747</v>
      </c>
      <c r="D115" s="17" t="s">
        <v>588</v>
      </c>
      <c r="E115" s="17" t="s">
        <v>30</v>
      </c>
      <c r="F115" s="17" t="s">
        <v>501</v>
      </c>
      <c r="G115" s="87">
        <v>9000.0</v>
      </c>
      <c r="H115" s="61">
        <v>1350000.0</v>
      </c>
      <c r="I115" s="96" t="s">
        <v>42</v>
      </c>
      <c r="J115" s="101">
        <v>875000.0</v>
      </c>
      <c r="K115" s="21" t="s">
        <v>42</v>
      </c>
      <c r="L115" s="61">
        <f t="shared" ref="L115:L117" si="11">H115-J115</f>
        <v>475000</v>
      </c>
      <c r="M115" s="61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7">
        <v>2.0</v>
      </c>
      <c r="B116" s="86">
        <v>45625.0</v>
      </c>
      <c r="C116" s="17" t="s">
        <v>747</v>
      </c>
      <c r="D116" s="17" t="s">
        <v>588</v>
      </c>
      <c r="E116" s="17" t="s">
        <v>37</v>
      </c>
      <c r="F116" s="17" t="s">
        <v>36</v>
      </c>
      <c r="G116" s="57">
        <v>10000.0</v>
      </c>
      <c r="H116" s="61">
        <v>1500000.0</v>
      </c>
      <c r="I116" s="93" t="s">
        <v>44</v>
      </c>
      <c r="J116" s="101">
        <v>850000.0</v>
      </c>
      <c r="K116" s="21" t="s">
        <v>42</v>
      </c>
      <c r="L116" s="61">
        <f t="shared" si="11"/>
        <v>650000</v>
      </c>
      <c r="M116" s="61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7">
        <v>3.0</v>
      </c>
      <c r="B117" s="86">
        <v>45626.0</v>
      </c>
      <c r="C117" s="17" t="s">
        <v>747</v>
      </c>
      <c r="D117" s="17" t="s">
        <v>588</v>
      </c>
      <c r="E117" s="17" t="s">
        <v>204</v>
      </c>
      <c r="F117" s="17" t="s">
        <v>479</v>
      </c>
      <c r="G117" s="87">
        <v>9000.0</v>
      </c>
      <c r="H117" s="104">
        <v>1125000.0</v>
      </c>
      <c r="I117" s="97" t="s">
        <v>42</v>
      </c>
      <c r="J117" s="104">
        <v>640000.0</v>
      </c>
      <c r="K117" s="21" t="s">
        <v>42</v>
      </c>
      <c r="L117" s="61">
        <f t="shared" si="11"/>
        <v>485000</v>
      </c>
      <c r="M117" s="61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7"/>
      <c r="B118" s="7"/>
      <c r="C118" s="7"/>
      <c r="D118" s="7"/>
      <c r="E118" s="17"/>
      <c r="F118" s="17"/>
      <c r="G118" s="57"/>
      <c r="H118" s="104" t="s">
        <v>24</v>
      </c>
      <c r="I118" s="103"/>
      <c r="J118" s="104"/>
      <c r="K118" s="101"/>
      <c r="L118" s="320">
        <f t="shared" ref="L118:M118" si="12">SUM(L115:L117)</f>
        <v>1610000</v>
      </c>
      <c r="M118" s="194">
        <f t="shared" si="12"/>
        <v>0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7"/>
      <c r="B119" s="7"/>
      <c r="C119" s="7"/>
      <c r="D119" s="7"/>
      <c r="E119" s="17"/>
      <c r="F119" s="17"/>
      <c r="G119" s="57"/>
      <c r="H119" s="104"/>
      <c r="I119" s="103"/>
      <c r="J119" s="104"/>
      <c r="K119" s="101"/>
      <c r="L119" s="321">
        <f>L118-M118</f>
        <v>1610000</v>
      </c>
      <c r="M119" s="104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7"/>
      <c r="B120" s="7"/>
      <c r="C120" s="7"/>
      <c r="D120" s="7"/>
      <c r="E120" s="17"/>
      <c r="F120" s="17"/>
      <c r="G120" s="57"/>
      <c r="H120" s="104"/>
      <c r="I120" s="103"/>
      <c r="J120" s="104"/>
      <c r="K120" s="101"/>
      <c r="L120" s="104"/>
      <c r="M120" s="104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9" t="s">
        <v>209</v>
      </c>
      <c r="B121" s="89" t="s">
        <v>0</v>
      </c>
      <c r="C121" s="89" t="s">
        <v>1</v>
      </c>
      <c r="D121" s="89" t="s">
        <v>2</v>
      </c>
      <c r="E121" s="90" t="s">
        <v>3</v>
      </c>
      <c r="F121" s="89" t="s">
        <v>4</v>
      </c>
      <c r="G121" s="91" t="s">
        <v>5</v>
      </c>
      <c r="H121" s="120" t="s">
        <v>6</v>
      </c>
      <c r="I121" s="120" t="s">
        <v>39</v>
      </c>
      <c r="J121" s="120" t="s">
        <v>7</v>
      </c>
      <c r="K121" s="120" t="s">
        <v>39</v>
      </c>
      <c r="L121" s="120" t="s">
        <v>8</v>
      </c>
      <c r="M121" s="120" t="s">
        <v>9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>
        <v>1.0</v>
      </c>
      <c r="B122" s="86">
        <v>45628.0</v>
      </c>
      <c r="C122" s="17" t="s">
        <v>747</v>
      </c>
      <c r="D122" s="17" t="s">
        <v>588</v>
      </c>
      <c r="E122" s="17" t="s">
        <v>30</v>
      </c>
      <c r="F122" s="17" t="s">
        <v>886</v>
      </c>
      <c r="G122" s="87">
        <v>9000.0</v>
      </c>
      <c r="H122" s="104">
        <v>900000.0</v>
      </c>
      <c r="I122" s="97" t="s">
        <v>42</v>
      </c>
      <c r="J122" s="104">
        <v>500000.0</v>
      </c>
      <c r="K122" s="21" t="s">
        <v>42</v>
      </c>
      <c r="L122" s="61">
        <f t="shared" ref="L122:L125" si="13">H122-J122</f>
        <v>400000</v>
      </c>
      <c r="M122" s="104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>
        <v>2.0</v>
      </c>
      <c r="B123" s="86">
        <v>45629.0</v>
      </c>
      <c r="C123" s="17" t="s">
        <v>747</v>
      </c>
      <c r="D123" s="17" t="s">
        <v>588</v>
      </c>
      <c r="E123" s="17" t="s">
        <v>887</v>
      </c>
      <c r="F123" s="17" t="s">
        <v>495</v>
      </c>
      <c r="G123" s="57"/>
      <c r="H123" s="61">
        <v>1215000.0</v>
      </c>
      <c r="I123" s="93" t="s">
        <v>44</v>
      </c>
      <c r="J123" s="101">
        <v>725000.0</v>
      </c>
      <c r="K123" s="21" t="s">
        <v>42</v>
      </c>
      <c r="L123" s="61">
        <f t="shared" si="13"/>
        <v>490000</v>
      </c>
      <c r="M123" s="104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7">
        <v>3.0</v>
      </c>
      <c r="B124" s="86">
        <v>45630.0</v>
      </c>
      <c r="C124" s="17" t="s">
        <v>747</v>
      </c>
      <c r="D124" s="17" t="s">
        <v>588</v>
      </c>
      <c r="E124" s="17" t="s">
        <v>37</v>
      </c>
      <c r="F124" s="17" t="s">
        <v>491</v>
      </c>
      <c r="G124" s="57">
        <v>9000.0</v>
      </c>
      <c r="H124" s="61">
        <v>765000.0</v>
      </c>
      <c r="I124" s="97" t="s">
        <v>44</v>
      </c>
      <c r="J124" s="61">
        <v>450000.0</v>
      </c>
      <c r="K124" s="21" t="s">
        <v>42</v>
      </c>
      <c r="L124" s="61">
        <f t="shared" si="13"/>
        <v>315000</v>
      </c>
      <c r="M124" s="104">
        <v>140000.0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7">
        <v>4.0</v>
      </c>
      <c r="B125" s="86">
        <v>45631.0</v>
      </c>
      <c r="C125" s="17" t="s">
        <v>747</v>
      </c>
      <c r="D125" s="17" t="s">
        <v>588</v>
      </c>
      <c r="E125" s="17" t="s">
        <v>37</v>
      </c>
      <c r="F125" s="17" t="s">
        <v>474</v>
      </c>
      <c r="G125" s="57">
        <v>10000.0</v>
      </c>
      <c r="H125" s="104">
        <v>750000.0</v>
      </c>
      <c r="I125" s="103" t="s">
        <v>42</v>
      </c>
      <c r="J125" s="104">
        <v>375000.0</v>
      </c>
      <c r="K125" s="101" t="s">
        <v>42</v>
      </c>
      <c r="L125" s="61">
        <f t="shared" si="13"/>
        <v>375000</v>
      </c>
      <c r="M125" s="104">
        <v>80000.0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7"/>
      <c r="B126" s="86"/>
      <c r="C126" s="17"/>
      <c r="D126" s="17"/>
      <c r="E126" s="17"/>
      <c r="F126" s="17"/>
      <c r="G126" s="57"/>
      <c r="H126" s="104"/>
      <c r="I126" s="103"/>
      <c r="J126" s="104"/>
      <c r="K126" s="101"/>
      <c r="L126" s="320">
        <f t="shared" ref="L126:M126" si="14">SUM(L122:L125)</f>
        <v>1580000</v>
      </c>
      <c r="M126" s="194">
        <f t="shared" si="14"/>
        <v>220000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7"/>
      <c r="B127" s="86"/>
      <c r="C127" s="17"/>
      <c r="D127" s="17"/>
      <c r="E127" s="17"/>
      <c r="F127" s="17"/>
      <c r="G127" s="57"/>
      <c r="H127" s="104"/>
      <c r="I127" s="103"/>
      <c r="J127" s="104"/>
      <c r="K127" s="101"/>
      <c r="L127" s="321">
        <f>L126-M126</f>
        <v>1360000</v>
      </c>
      <c r="M127" s="104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7"/>
      <c r="B128" s="86"/>
      <c r="C128" s="17"/>
      <c r="D128" s="17"/>
      <c r="E128" s="17"/>
      <c r="F128" s="17"/>
      <c r="G128" s="57"/>
      <c r="H128" s="104"/>
      <c r="I128" s="103"/>
      <c r="J128" s="104"/>
      <c r="K128" s="101"/>
      <c r="L128" s="61"/>
      <c r="M128" s="104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9" t="s">
        <v>209</v>
      </c>
      <c r="B129" s="89" t="s">
        <v>0</v>
      </c>
      <c r="C129" s="89" t="s">
        <v>1</v>
      </c>
      <c r="D129" s="89" t="s">
        <v>2</v>
      </c>
      <c r="E129" s="90" t="s">
        <v>3</v>
      </c>
      <c r="F129" s="89" t="s">
        <v>4</v>
      </c>
      <c r="G129" s="91" t="s">
        <v>5</v>
      </c>
      <c r="H129" s="120" t="s">
        <v>6</v>
      </c>
      <c r="I129" s="120" t="s">
        <v>39</v>
      </c>
      <c r="J129" s="120" t="s">
        <v>7</v>
      </c>
      <c r="K129" s="120" t="s">
        <v>39</v>
      </c>
      <c r="L129" s="120" t="s">
        <v>8</v>
      </c>
      <c r="M129" s="120" t="s">
        <v>9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7">
        <v>1.0</v>
      </c>
      <c r="B130" s="86">
        <v>45632.0</v>
      </c>
      <c r="C130" s="17" t="s">
        <v>747</v>
      </c>
      <c r="D130" s="17" t="s">
        <v>888</v>
      </c>
      <c r="E130" s="17" t="s">
        <v>887</v>
      </c>
      <c r="F130" s="17" t="s">
        <v>194</v>
      </c>
      <c r="G130" s="57"/>
      <c r="H130" s="104">
        <v>1400000.0</v>
      </c>
      <c r="I130" s="103" t="s">
        <v>44</v>
      </c>
      <c r="J130" s="104">
        <v>850000.0</v>
      </c>
      <c r="K130" s="101" t="s">
        <v>42</v>
      </c>
      <c r="L130" s="61">
        <f t="shared" ref="L130:L150" si="15">H130-J130</f>
        <v>550000</v>
      </c>
      <c r="M130" s="104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7">
        <v>2.0</v>
      </c>
      <c r="B131" s="86">
        <v>45635.0</v>
      </c>
      <c r="C131" s="17" t="s">
        <v>747</v>
      </c>
      <c r="D131" s="17" t="s">
        <v>888</v>
      </c>
      <c r="E131" s="17" t="s">
        <v>45</v>
      </c>
      <c r="F131" s="169" t="s">
        <v>653</v>
      </c>
      <c r="G131" s="170">
        <v>10000.0</v>
      </c>
      <c r="H131" s="202">
        <v>1300000.0</v>
      </c>
      <c r="I131" s="97" t="s">
        <v>44</v>
      </c>
      <c r="J131" s="202">
        <v>690000.0</v>
      </c>
      <c r="K131" s="101" t="s">
        <v>42</v>
      </c>
      <c r="L131" s="61">
        <f t="shared" si="15"/>
        <v>610000</v>
      </c>
      <c r="M131" s="104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7">
        <v>3.0</v>
      </c>
      <c r="B132" s="86">
        <v>45636.0</v>
      </c>
      <c r="C132" s="17" t="s">
        <v>747</v>
      </c>
      <c r="D132" s="17" t="s">
        <v>888</v>
      </c>
      <c r="E132" s="17" t="s">
        <v>889</v>
      </c>
      <c r="F132" s="17" t="s">
        <v>890</v>
      </c>
      <c r="G132" s="57">
        <v>9500.0</v>
      </c>
      <c r="H132" s="121">
        <v>1425000.0</v>
      </c>
      <c r="I132" s="122" t="s">
        <v>238</v>
      </c>
      <c r="J132" s="104">
        <v>665000.0</v>
      </c>
      <c r="K132" s="101" t="s">
        <v>44</v>
      </c>
      <c r="L132" s="61">
        <f t="shared" si="15"/>
        <v>760000</v>
      </c>
      <c r="M132" s="121">
        <v>220000.0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7">
        <v>4.0</v>
      </c>
      <c r="B133" s="86">
        <v>45637.0</v>
      </c>
      <c r="C133" s="17" t="s">
        <v>747</v>
      </c>
      <c r="D133" s="17" t="s">
        <v>888</v>
      </c>
      <c r="E133" s="17" t="s">
        <v>40</v>
      </c>
      <c r="F133" s="17" t="s">
        <v>194</v>
      </c>
      <c r="G133" s="57">
        <v>9000.0</v>
      </c>
      <c r="H133" s="104">
        <v>1400000.0</v>
      </c>
      <c r="I133" s="122" t="s">
        <v>238</v>
      </c>
      <c r="J133" s="104">
        <v>850000.0</v>
      </c>
      <c r="K133" s="101" t="s">
        <v>44</v>
      </c>
      <c r="L133" s="61">
        <f t="shared" si="15"/>
        <v>550000</v>
      </c>
      <c r="M133" s="104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7">
        <v>5.0</v>
      </c>
      <c r="B134" s="86">
        <v>45638.0</v>
      </c>
      <c r="C134" s="17" t="s">
        <v>747</v>
      </c>
      <c r="D134" s="17" t="s">
        <v>888</v>
      </c>
      <c r="E134" s="98" t="s">
        <v>45</v>
      </c>
      <c r="F134" s="98" t="s">
        <v>658</v>
      </c>
      <c r="G134" s="110">
        <v>8500.0</v>
      </c>
      <c r="H134" s="121">
        <v>1200000.0</v>
      </c>
      <c r="I134" s="122" t="s">
        <v>42</v>
      </c>
      <c r="J134" s="104">
        <f>640000+25000</f>
        <v>665000</v>
      </c>
      <c r="K134" s="128" t="s">
        <v>44</v>
      </c>
      <c r="L134" s="61">
        <f t="shared" si="15"/>
        <v>535000</v>
      </c>
      <c r="M134" s="104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7">
        <v>6.0</v>
      </c>
      <c r="B135" s="86">
        <v>45639.0</v>
      </c>
      <c r="C135" s="17" t="s">
        <v>747</v>
      </c>
      <c r="D135" s="17" t="s">
        <v>888</v>
      </c>
      <c r="E135" s="98" t="s">
        <v>30</v>
      </c>
      <c r="F135" s="98" t="s">
        <v>495</v>
      </c>
      <c r="G135" s="110">
        <v>9000.0</v>
      </c>
      <c r="H135" s="121">
        <v>1215000.0</v>
      </c>
      <c r="I135" s="122" t="s">
        <v>44</v>
      </c>
      <c r="J135" s="121">
        <v>700000.0</v>
      </c>
      <c r="K135" s="128" t="s">
        <v>42</v>
      </c>
      <c r="L135" s="61">
        <f t="shared" si="15"/>
        <v>515000</v>
      </c>
      <c r="M135" s="104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7">
        <v>7.0</v>
      </c>
      <c r="B136" s="86">
        <v>45640.0</v>
      </c>
      <c r="C136" s="17" t="s">
        <v>747</v>
      </c>
      <c r="D136" s="17" t="s">
        <v>888</v>
      </c>
      <c r="E136" s="98" t="s">
        <v>891</v>
      </c>
      <c r="F136" s="98" t="s">
        <v>670</v>
      </c>
      <c r="G136" s="57"/>
      <c r="H136" s="121">
        <v>1200000.0</v>
      </c>
      <c r="I136" s="122" t="s">
        <v>238</v>
      </c>
      <c r="J136" s="121">
        <v>640000.0</v>
      </c>
      <c r="K136" s="128" t="s">
        <v>892</v>
      </c>
      <c r="L136" s="61">
        <f t="shared" si="15"/>
        <v>560000</v>
      </c>
      <c r="M136" s="104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7">
        <v>8.0</v>
      </c>
      <c r="B137" s="112">
        <v>45642.0</v>
      </c>
      <c r="C137" s="17" t="s">
        <v>747</v>
      </c>
      <c r="D137" s="17" t="s">
        <v>888</v>
      </c>
      <c r="E137" s="98" t="s">
        <v>279</v>
      </c>
      <c r="F137" s="98" t="s">
        <v>549</v>
      </c>
      <c r="G137" s="110">
        <v>9000.0</v>
      </c>
      <c r="H137" s="121">
        <v>1305000.0</v>
      </c>
      <c r="I137" s="122" t="s">
        <v>44</v>
      </c>
      <c r="J137" s="121">
        <v>725000.0</v>
      </c>
      <c r="K137" s="128" t="s">
        <v>42</v>
      </c>
      <c r="L137" s="61">
        <f t="shared" si="15"/>
        <v>580000</v>
      </c>
      <c r="M137" s="121">
        <f>1425000+55000</f>
        <v>1480000</v>
      </c>
      <c r="N137" s="117" t="s">
        <v>893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7">
        <v>9.0</v>
      </c>
      <c r="B138" s="112">
        <v>45643.0</v>
      </c>
      <c r="C138" s="17" t="s">
        <v>747</v>
      </c>
      <c r="D138" s="17" t="s">
        <v>888</v>
      </c>
      <c r="E138" s="98" t="s">
        <v>273</v>
      </c>
      <c r="F138" s="98" t="s">
        <v>631</v>
      </c>
      <c r="G138" s="110">
        <v>9000.0</v>
      </c>
      <c r="H138" s="61">
        <v>900000.0</v>
      </c>
      <c r="I138" s="108" t="s">
        <v>212</v>
      </c>
      <c r="J138" s="106">
        <v>550000.0</v>
      </c>
      <c r="K138" s="128" t="s">
        <v>44</v>
      </c>
      <c r="L138" s="61">
        <f t="shared" si="15"/>
        <v>350000</v>
      </c>
      <c r="M138" s="10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7">
        <v>10.0</v>
      </c>
      <c r="B139" s="112">
        <v>45644.0</v>
      </c>
      <c r="C139" s="17" t="s">
        <v>747</v>
      </c>
      <c r="D139" s="17" t="s">
        <v>888</v>
      </c>
      <c r="E139" s="98" t="s">
        <v>273</v>
      </c>
      <c r="F139" s="98" t="s">
        <v>495</v>
      </c>
      <c r="G139" s="170">
        <v>9000.0</v>
      </c>
      <c r="H139" s="101">
        <v>1215000.0</v>
      </c>
      <c r="I139" s="115" t="s">
        <v>238</v>
      </c>
      <c r="J139" s="101">
        <v>700000.0</v>
      </c>
      <c r="K139" s="128" t="s">
        <v>212</v>
      </c>
      <c r="L139" s="61">
        <f t="shared" si="15"/>
        <v>515000</v>
      </c>
      <c r="M139" s="104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7">
        <v>11.0</v>
      </c>
      <c r="B140" s="112">
        <v>45645.0</v>
      </c>
      <c r="C140" s="17" t="s">
        <v>747</v>
      </c>
      <c r="D140" s="17" t="s">
        <v>888</v>
      </c>
      <c r="E140" s="98" t="s">
        <v>273</v>
      </c>
      <c r="F140" s="98" t="s">
        <v>894</v>
      </c>
      <c r="G140" s="110">
        <v>10000.0</v>
      </c>
      <c r="H140" s="121">
        <v>1500000.0</v>
      </c>
      <c r="I140" s="122" t="s">
        <v>238</v>
      </c>
      <c r="J140" s="150">
        <v>300000.0</v>
      </c>
      <c r="K140" s="128" t="s">
        <v>686</v>
      </c>
      <c r="L140" s="61">
        <f t="shared" si="15"/>
        <v>1200000</v>
      </c>
      <c r="M140" s="104"/>
      <c r="N140" s="11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7">
        <v>12.0</v>
      </c>
      <c r="B141" s="112">
        <v>45645.0</v>
      </c>
      <c r="C141" s="17" t="s">
        <v>747</v>
      </c>
      <c r="D141" s="17" t="s">
        <v>888</v>
      </c>
      <c r="E141" s="98" t="s">
        <v>243</v>
      </c>
      <c r="F141" s="98" t="s">
        <v>895</v>
      </c>
      <c r="G141" s="110">
        <v>9000.0</v>
      </c>
      <c r="H141" s="135">
        <v>1035000.0</v>
      </c>
      <c r="I141" s="115" t="s">
        <v>212</v>
      </c>
      <c r="J141" s="135">
        <v>600000.0</v>
      </c>
      <c r="K141" s="128" t="s">
        <v>212</v>
      </c>
      <c r="L141" s="61">
        <f t="shared" si="15"/>
        <v>435000</v>
      </c>
      <c r="M141" s="104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7">
        <v>13.0</v>
      </c>
      <c r="B142" s="112">
        <v>45646.0</v>
      </c>
      <c r="C142" s="17" t="s">
        <v>747</v>
      </c>
      <c r="D142" s="17" t="s">
        <v>888</v>
      </c>
      <c r="E142" s="98" t="s">
        <v>887</v>
      </c>
      <c r="F142" s="98" t="s">
        <v>670</v>
      </c>
      <c r="G142" s="57"/>
      <c r="H142" s="121">
        <v>1200000.0</v>
      </c>
      <c r="I142" s="122" t="s">
        <v>238</v>
      </c>
      <c r="J142" s="121">
        <v>640000.0</v>
      </c>
      <c r="K142" s="128" t="s">
        <v>523</v>
      </c>
      <c r="L142" s="61">
        <f t="shared" si="15"/>
        <v>560000</v>
      </c>
      <c r="M142" s="104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7">
        <v>14.0</v>
      </c>
      <c r="B143" s="112">
        <v>45647.0</v>
      </c>
      <c r="C143" s="17" t="s">
        <v>747</v>
      </c>
      <c r="D143" s="17" t="s">
        <v>888</v>
      </c>
      <c r="E143" s="98" t="s">
        <v>254</v>
      </c>
      <c r="F143" s="98" t="s">
        <v>194</v>
      </c>
      <c r="G143" s="110">
        <v>9000.0</v>
      </c>
      <c r="H143" s="104">
        <v>1400000.0</v>
      </c>
      <c r="I143" s="122" t="s">
        <v>238</v>
      </c>
      <c r="J143" s="104">
        <v>850000.0</v>
      </c>
      <c r="K143" s="128" t="s">
        <v>212</v>
      </c>
      <c r="L143" s="61">
        <f t="shared" si="15"/>
        <v>550000</v>
      </c>
      <c r="M143" s="121">
        <v>40000.0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7">
        <v>15.0</v>
      </c>
      <c r="B144" s="112">
        <v>45649.0</v>
      </c>
      <c r="C144" s="17" t="s">
        <v>747</v>
      </c>
      <c r="D144" s="17" t="s">
        <v>888</v>
      </c>
      <c r="E144" s="98" t="s">
        <v>273</v>
      </c>
      <c r="F144" s="98" t="s">
        <v>511</v>
      </c>
      <c r="G144" s="110">
        <v>10000.0</v>
      </c>
      <c r="H144" s="106">
        <v>1500000.0</v>
      </c>
      <c r="I144" s="323" t="s">
        <v>238</v>
      </c>
      <c r="J144" s="128">
        <v>300000.0</v>
      </c>
      <c r="K144" s="128" t="s">
        <v>212</v>
      </c>
      <c r="L144" s="61">
        <f t="shared" si="15"/>
        <v>1200000</v>
      </c>
      <c r="N144" s="11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7">
        <v>16.0</v>
      </c>
      <c r="B145" s="112">
        <v>45650.0</v>
      </c>
      <c r="C145" s="17" t="s">
        <v>747</v>
      </c>
      <c r="D145" s="17" t="s">
        <v>888</v>
      </c>
      <c r="E145" s="98" t="s">
        <v>273</v>
      </c>
      <c r="F145" s="98" t="s">
        <v>511</v>
      </c>
      <c r="G145" s="110">
        <v>10000.0</v>
      </c>
      <c r="H145" s="106">
        <v>1500000.0</v>
      </c>
      <c r="I145" s="323" t="s">
        <v>238</v>
      </c>
      <c r="J145" s="128">
        <v>300000.0</v>
      </c>
      <c r="K145" s="128" t="s">
        <v>212</v>
      </c>
      <c r="L145" s="61">
        <f t="shared" si="15"/>
        <v>1200000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>
        <v>17.0</v>
      </c>
      <c r="B146" s="112">
        <v>45650.0</v>
      </c>
      <c r="C146" s="17" t="s">
        <v>747</v>
      </c>
      <c r="D146" s="17" t="s">
        <v>888</v>
      </c>
      <c r="E146" s="98" t="s">
        <v>243</v>
      </c>
      <c r="F146" s="98" t="s">
        <v>324</v>
      </c>
      <c r="G146" s="110">
        <v>10000.0</v>
      </c>
      <c r="H146" s="107">
        <v>675000.0</v>
      </c>
      <c r="I146" s="211" t="s">
        <v>212</v>
      </c>
      <c r="J146" s="109">
        <v>375000.0</v>
      </c>
      <c r="K146" s="128" t="s">
        <v>212</v>
      </c>
      <c r="L146" s="61">
        <f t="shared" si="15"/>
        <v>300000</v>
      </c>
      <c r="N146" s="11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7">
        <v>18.0</v>
      </c>
      <c r="B147" s="112">
        <v>45652.0</v>
      </c>
      <c r="C147" s="17" t="s">
        <v>747</v>
      </c>
      <c r="D147" s="17" t="s">
        <v>860</v>
      </c>
      <c r="E147" s="17" t="s">
        <v>273</v>
      </c>
      <c r="F147" s="98" t="s">
        <v>511</v>
      </c>
      <c r="G147" s="110">
        <v>10000.0</v>
      </c>
      <c r="H147" s="121">
        <v>1500000.0</v>
      </c>
      <c r="I147" s="122" t="s">
        <v>238</v>
      </c>
      <c r="J147" s="121">
        <v>300000.0</v>
      </c>
      <c r="K147" s="128" t="s">
        <v>212</v>
      </c>
      <c r="L147" s="61">
        <f t="shared" si="15"/>
        <v>1200000</v>
      </c>
      <c r="M147" s="10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7">
        <v>19.0</v>
      </c>
      <c r="B148" s="112">
        <v>45653.0</v>
      </c>
      <c r="C148" s="17" t="s">
        <v>747</v>
      </c>
      <c r="D148" s="17" t="s">
        <v>860</v>
      </c>
      <c r="E148" s="17" t="s">
        <v>273</v>
      </c>
      <c r="F148" s="98" t="s">
        <v>511</v>
      </c>
      <c r="G148" s="110">
        <v>10000.0</v>
      </c>
      <c r="H148" s="121">
        <v>1500000.0</v>
      </c>
      <c r="I148" s="122" t="s">
        <v>238</v>
      </c>
      <c r="J148" s="121">
        <v>300000.0</v>
      </c>
      <c r="K148" s="128" t="s">
        <v>212</v>
      </c>
      <c r="L148" s="61">
        <f t="shared" si="15"/>
        <v>1200000</v>
      </c>
      <c r="M148" s="121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7">
        <v>20.0</v>
      </c>
      <c r="B149" s="112">
        <v>45654.0</v>
      </c>
      <c r="C149" s="17" t="s">
        <v>747</v>
      </c>
      <c r="D149" s="17" t="s">
        <v>860</v>
      </c>
      <c r="E149" s="17" t="s">
        <v>273</v>
      </c>
      <c r="F149" s="98" t="s">
        <v>302</v>
      </c>
      <c r="G149" s="110">
        <v>9000.0</v>
      </c>
      <c r="H149" s="135">
        <v>900000.0</v>
      </c>
      <c r="I149" s="122" t="s">
        <v>238</v>
      </c>
      <c r="J149" s="207">
        <v>350000.0</v>
      </c>
      <c r="K149" s="128" t="s">
        <v>212</v>
      </c>
      <c r="L149" s="61">
        <f t="shared" si="15"/>
        <v>550000</v>
      </c>
      <c r="M149" s="121"/>
      <c r="N149" s="11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7">
        <v>21.0</v>
      </c>
      <c r="B150" s="112">
        <v>45656.0</v>
      </c>
      <c r="C150" s="17" t="s">
        <v>747</v>
      </c>
      <c r="D150" s="17" t="s">
        <v>860</v>
      </c>
      <c r="E150" s="17" t="s">
        <v>318</v>
      </c>
      <c r="F150" s="204" t="s">
        <v>896</v>
      </c>
      <c r="G150" s="151">
        <v>6000.0</v>
      </c>
      <c r="H150" s="135">
        <v>1773150.0</v>
      </c>
      <c r="I150" s="206" t="s">
        <v>238</v>
      </c>
      <c r="J150" s="135">
        <v>900000.0</v>
      </c>
      <c r="K150" s="98" t="s">
        <v>238</v>
      </c>
      <c r="L150" s="61">
        <f t="shared" si="15"/>
        <v>873150</v>
      </c>
      <c r="M150" s="121">
        <v>172000.0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7"/>
      <c r="B151" s="7"/>
      <c r="C151" s="17"/>
      <c r="D151" s="17"/>
      <c r="E151" s="17"/>
      <c r="F151" s="17"/>
      <c r="G151" s="57"/>
      <c r="H151" s="104"/>
      <c r="I151" s="103"/>
      <c r="J151" s="104"/>
      <c r="K151" s="101"/>
      <c r="L151" s="61"/>
      <c r="M151" s="104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7"/>
      <c r="B152" s="7"/>
      <c r="C152" s="7"/>
      <c r="D152" s="7"/>
      <c r="E152" s="17"/>
      <c r="F152" s="17"/>
      <c r="G152" s="57"/>
      <c r="H152" s="104"/>
      <c r="I152" s="103"/>
      <c r="J152" s="104"/>
      <c r="K152" s="101"/>
      <c r="L152" s="320">
        <f t="shared" ref="L152:M152" si="16">SUM(L130:L151)</f>
        <v>14793150</v>
      </c>
      <c r="M152" s="194">
        <f t="shared" si="16"/>
        <v>1912000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7"/>
      <c r="B153" s="7"/>
      <c r="C153" s="7"/>
      <c r="D153" s="7"/>
      <c r="E153" s="17"/>
      <c r="F153" s="17"/>
      <c r="G153" s="57"/>
      <c r="H153" s="104"/>
      <c r="I153" s="103"/>
      <c r="J153" s="104"/>
      <c r="K153" s="101"/>
      <c r="L153" s="321">
        <f>L152-M152</f>
        <v>12881150</v>
      </c>
      <c r="M153" s="104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7"/>
      <c r="B154" s="7"/>
      <c r="C154" s="7"/>
      <c r="D154" s="7"/>
      <c r="E154" s="17"/>
      <c r="F154" s="17"/>
      <c r="G154" s="57"/>
      <c r="H154" s="104"/>
      <c r="I154" s="103"/>
      <c r="J154" s="104"/>
      <c r="K154" s="101"/>
      <c r="L154" s="104"/>
      <c r="M154" s="104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9" t="s">
        <v>209</v>
      </c>
      <c r="B155" s="89" t="s">
        <v>0</v>
      </c>
      <c r="C155" s="89" t="s">
        <v>1</v>
      </c>
      <c r="D155" s="89" t="s">
        <v>2</v>
      </c>
      <c r="E155" s="90" t="s">
        <v>3</v>
      </c>
      <c r="F155" s="89" t="s">
        <v>4</v>
      </c>
      <c r="G155" s="91" t="s">
        <v>5</v>
      </c>
      <c r="H155" s="119" t="s">
        <v>6</v>
      </c>
      <c r="I155" s="92" t="s">
        <v>39</v>
      </c>
      <c r="J155" s="119" t="s">
        <v>7</v>
      </c>
      <c r="K155" s="91" t="s">
        <v>39</v>
      </c>
      <c r="L155" s="92" t="s">
        <v>8</v>
      </c>
      <c r="M155" s="120" t="s">
        <v>9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3">
        <v>1.0</v>
      </c>
      <c r="B156" s="112">
        <v>45659.0</v>
      </c>
      <c r="C156" s="17" t="s">
        <v>747</v>
      </c>
      <c r="D156" s="17" t="s">
        <v>860</v>
      </c>
      <c r="E156" s="204" t="s">
        <v>273</v>
      </c>
      <c r="F156" s="204" t="s">
        <v>303</v>
      </c>
      <c r="G156" s="151">
        <v>9000.0</v>
      </c>
      <c r="H156" s="101">
        <v>1215000.0</v>
      </c>
      <c r="I156" s="115" t="s">
        <v>238</v>
      </c>
      <c r="J156" s="101">
        <v>700000.0</v>
      </c>
      <c r="K156" s="128" t="s">
        <v>212</v>
      </c>
      <c r="L156" s="58">
        <f t="shared" ref="L156:L163" si="17">H156-J156</f>
        <v>515000</v>
      </c>
      <c r="M156" s="149"/>
      <c r="N156" s="11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98">
        <v>2.0</v>
      </c>
      <c r="B157" s="112">
        <v>45660.0</v>
      </c>
      <c r="C157" s="17" t="s">
        <v>747</v>
      </c>
      <c r="D157" s="17" t="s">
        <v>860</v>
      </c>
      <c r="E157" s="98" t="s">
        <v>280</v>
      </c>
      <c r="F157" s="98" t="s">
        <v>897</v>
      </c>
      <c r="G157" s="110">
        <v>9000.0</v>
      </c>
      <c r="H157" s="208">
        <v>1000000.0</v>
      </c>
      <c r="I157" s="324" t="s">
        <v>212</v>
      </c>
      <c r="J157" s="121">
        <v>550000.0</v>
      </c>
      <c r="K157" s="128" t="s">
        <v>212</v>
      </c>
      <c r="L157" s="58">
        <f t="shared" si="17"/>
        <v>450000</v>
      </c>
      <c r="M157" s="121">
        <v>880000.0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98">
        <v>3.0</v>
      </c>
      <c r="B158" s="112">
        <v>45661.0</v>
      </c>
      <c r="C158" s="17" t="s">
        <v>747</v>
      </c>
      <c r="D158" s="17" t="s">
        <v>860</v>
      </c>
      <c r="E158" s="98" t="s">
        <v>280</v>
      </c>
      <c r="F158" s="204" t="s">
        <v>259</v>
      </c>
      <c r="G158" s="110">
        <v>10000.0</v>
      </c>
      <c r="H158" s="61">
        <v>1500000.0</v>
      </c>
      <c r="I158" s="125" t="s">
        <v>238</v>
      </c>
      <c r="J158" s="101">
        <v>850000.0</v>
      </c>
      <c r="K158" s="128" t="s">
        <v>212</v>
      </c>
      <c r="L158" s="58">
        <f t="shared" si="17"/>
        <v>650000</v>
      </c>
      <c r="M158" s="121">
        <v>265000.0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4">
        <v>4.0</v>
      </c>
      <c r="B159" s="112">
        <v>45663.0</v>
      </c>
      <c r="C159" s="17" t="s">
        <v>747</v>
      </c>
      <c r="D159" s="17" t="s">
        <v>860</v>
      </c>
      <c r="E159" s="98" t="s">
        <v>898</v>
      </c>
      <c r="F159" s="98" t="s">
        <v>572</v>
      </c>
      <c r="G159" s="110">
        <v>9000.0</v>
      </c>
      <c r="H159" s="135">
        <v>1035000.0</v>
      </c>
      <c r="I159" s="115" t="s">
        <v>212</v>
      </c>
      <c r="J159" s="135">
        <v>600000.0</v>
      </c>
      <c r="K159" s="128" t="s">
        <v>212</v>
      </c>
      <c r="L159" s="58">
        <f t="shared" si="17"/>
        <v>435000</v>
      </c>
      <c r="M159" s="104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98">
        <v>5.0</v>
      </c>
      <c r="B160" s="112">
        <v>45664.0</v>
      </c>
      <c r="C160" s="17" t="s">
        <v>747</v>
      </c>
      <c r="D160" s="17" t="s">
        <v>860</v>
      </c>
      <c r="E160" s="98" t="s">
        <v>514</v>
      </c>
      <c r="F160" s="98" t="s">
        <v>316</v>
      </c>
      <c r="G160" s="110">
        <v>9000.0</v>
      </c>
      <c r="H160" s="150">
        <v>720000.0</v>
      </c>
      <c r="I160" s="115" t="s">
        <v>212</v>
      </c>
      <c r="J160" s="150">
        <v>350000.0</v>
      </c>
      <c r="K160" s="128" t="s">
        <v>212</v>
      </c>
      <c r="L160" s="58">
        <f t="shared" si="17"/>
        <v>370000</v>
      </c>
      <c r="M160" s="121">
        <v>195000.0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98">
        <v>6.0</v>
      </c>
      <c r="B161" s="112">
        <v>45665.0</v>
      </c>
      <c r="C161" s="17" t="s">
        <v>747</v>
      </c>
      <c r="D161" s="17" t="s">
        <v>860</v>
      </c>
      <c r="E161" s="98" t="s">
        <v>242</v>
      </c>
      <c r="F161" s="98" t="s">
        <v>325</v>
      </c>
      <c r="G161" s="110">
        <v>9000.0</v>
      </c>
      <c r="H161" s="61">
        <v>1200000.0</v>
      </c>
      <c r="I161" s="324" t="s">
        <v>212</v>
      </c>
      <c r="J161" s="58">
        <v>640000.0</v>
      </c>
      <c r="K161" s="128" t="s">
        <v>212</v>
      </c>
      <c r="L161" s="58">
        <f t="shared" si="17"/>
        <v>560000</v>
      </c>
      <c r="M161" s="104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98">
        <v>7.0</v>
      </c>
      <c r="B162" s="112">
        <v>45666.0</v>
      </c>
      <c r="C162" s="98" t="s">
        <v>899</v>
      </c>
      <c r="D162" s="17" t="s">
        <v>860</v>
      </c>
      <c r="E162" s="98" t="s">
        <v>279</v>
      </c>
      <c r="F162" s="98" t="s">
        <v>324</v>
      </c>
      <c r="G162" s="151">
        <v>3000.0</v>
      </c>
      <c r="H162" s="121">
        <v>225000.0</v>
      </c>
      <c r="I162" s="211" t="s">
        <v>212</v>
      </c>
      <c r="K162" s="121" t="s">
        <v>900</v>
      </c>
      <c r="L162" s="58">
        <f t="shared" si="17"/>
        <v>225000</v>
      </c>
      <c r="N162" s="11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98">
        <v>8.0</v>
      </c>
      <c r="B163" s="112">
        <v>45667.0</v>
      </c>
      <c r="C163" s="17" t="s">
        <v>747</v>
      </c>
      <c r="D163" s="17" t="s">
        <v>860</v>
      </c>
      <c r="E163" s="204" t="s">
        <v>273</v>
      </c>
      <c r="F163" s="204" t="s">
        <v>510</v>
      </c>
      <c r="G163" s="151">
        <v>9000.0</v>
      </c>
      <c r="H163" s="208">
        <v>1125000.0</v>
      </c>
      <c r="I163" s="206" t="s">
        <v>212</v>
      </c>
      <c r="J163" s="121">
        <v>665000.0</v>
      </c>
      <c r="K163" s="204" t="s">
        <v>212</v>
      </c>
      <c r="L163" s="58">
        <f t="shared" si="17"/>
        <v>460000</v>
      </c>
      <c r="M163" s="149"/>
      <c r="N163" s="11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98">
        <v>9.0</v>
      </c>
      <c r="B164" s="112">
        <v>45668.0</v>
      </c>
      <c r="C164" s="17" t="s">
        <v>747</v>
      </c>
      <c r="D164" s="17" t="s">
        <v>860</v>
      </c>
      <c r="E164" s="98" t="s">
        <v>280</v>
      </c>
      <c r="F164" s="204" t="s">
        <v>510</v>
      </c>
      <c r="G164" s="110">
        <v>9000.0</v>
      </c>
      <c r="H164" s="208">
        <v>1125000.0</v>
      </c>
      <c r="I164" s="206" t="s">
        <v>901</v>
      </c>
      <c r="J164" s="121">
        <v>640000.0</v>
      </c>
      <c r="K164" s="204" t="s">
        <v>212</v>
      </c>
      <c r="L164" s="58">
        <f>H163-J164</f>
        <v>485000</v>
      </c>
      <c r="M164" s="104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98">
        <v>10.0</v>
      </c>
      <c r="B165" s="112">
        <v>45670.0</v>
      </c>
      <c r="C165" s="17" t="s">
        <v>747</v>
      </c>
      <c r="D165" s="17" t="s">
        <v>860</v>
      </c>
      <c r="E165" s="98" t="s">
        <v>350</v>
      </c>
      <c r="F165" s="98" t="s">
        <v>670</v>
      </c>
      <c r="G165" s="57"/>
      <c r="H165" s="121">
        <v>1200000.0</v>
      </c>
      <c r="I165" s="122" t="s">
        <v>238</v>
      </c>
      <c r="J165" s="121">
        <v>665000.0</v>
      </c>
      <c r="K165" s="204" t="s">
        <v>212</v>
      </c>
      <c r="L165" s="58">
        <f t="shared" ref="L165:L175" si="18">H165-J165</f>
        <v>535000</v>
      </c>
      <c r="M165" s="121">
        <v>200000.0</v>
      </c>
      <c r="N165" s="11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98">
        <v>11.0</v>
      </c>
      <c r="B166" s="112">
        <v>45671.0</v>
      </c>
      <c r="C166" s="17" t="s">
        <v>747</v>
      </c>
      <c r="D166" s="17" t="s">
        <v>860</v>
      </c>
      <c r="E166" s="98" t="s">
        <v>242</v>
      </c>
      <c r="F166" s="98" t="s">
        <v>325</v>
      </c>
      <c r="G166" s="110">
        <v>9000.0</v>
      </c>
      <c r="H166" s="61">
        <v>1200000.0</v>
      </c>
      <c r="I166" s="206" t="s">
        <v>212</v>
      </c>
      <c r="J166" s="58">
        <v>640000.0</v>
      </c>
      <c r="K166" s="204" t="s">
        <v>212</v>
      </c>
      <c r="L166" s="58">
        <f t="shared" si="18"/>
        <v>560000</v>
      </c>
      <c r="M166" s="104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98">
        <v>12.0</v>
      </c>
      <c r="B167" s="112">
        <v>45672.0</v>
      </c>
      <c r="C167" s="17" t="s">
        <v>747</v>
      </c>
      <c r="D167" s="17" t="s">
        <v>860</v>
      </c>
      <c r="E167" s="98" t="s">
        <v>514</v>
      </c>
      <c r="F167" s="98" t="s">
        <v>316</v>
      </c>
      <c r="G167" s="110">
        <v>9000.0</v>
      </c>
      <c r="H167" s="150">
        <v>720000.0</v>
      </c>
      <c r="I167" s="206" t="s">
        <v>212</v>
      </c>
      <c r="J167" s="150">
        <v>350000.0</v>
      </c>
      <c r="K167" s="204" t="s">
        <v>212</v>
      </c>
      <c r="L167" s="58">
        <f t="shared" si="18"/>
        <v>370000</v>
      </c>
      <c r="M167" s="104"/>
      <c r="N167" s="11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98">
        <v>13.0</v>
      </c>
      <c r="B168" s="112">
        <v>45673.0</v>
      </c>
      <c r="C168" s="17" t="s">
        <v>747</v>
      </c>
      <c r="D168" s="17" t="s">
        <v>860</v>
      </c>
      <c r="E168" s="98" t="s">
        <v>273</v>
      </c>
      <c r="F168" s="98" t="s">
        <v>510</v>
      </c>
      <c r="G168" s="110">
        <v>9000.0</v>
      </c>
      <c r="H168" s="208">
        <v>1125000.0</v>
      </c>
      <c r="I168" s="206" t="s">
        <v>212</v>
      </c>
      <c r="J168" s="150">
        <v>375000.0</v>
      </c>
      <c r="K168" s="204" t="s">
        <v>212</v>
      </c>
      <c r="L168" s="58">
        <f t="shared" si="18"/>
        <v>750000</v>
      </c>
      <c r="M168" s="104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98">
        <v>14.0</v>
      </c>
      <c r="B169" s="112">
        <v>45674.0</v>
      </c>
      <c r="C169" s="17" t="s">
        <v>747</v>
      </c>
      <c r="D169" s="17" t="s">
        <v>860</v>
      </c>
      <c r="E169" s="98" t="s">
        <v>273</v>
      </c>
      <c r="F169" s="98" t="s">
        <v>303</v>
      </c>
      <c r="G169" s="110">
        <v>9000.0</v>
      </c>
      <c r="H169" s="101">
        <v>1215000.0</v>
      </c>
      <c r="I169" s="115" t="s">
        <v>238</v>
      </c>
      <c r="J169" s="128">
        <v>725000.0</v>
      </c>
      <c r="K169" s="204" t="s">
        <v>212</v>
      </c>
      <c r="L169" s="58">
        <f t="shared" si="18"/>
        <v>490000</v>
      </c>
      <c r="M169" s="104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98">
        <v>15.0</v>
      </c>
      <c r="B170" s="112">
        <v>45675.0</v>
      </c>
      <c r="C170" s="17" t="s">
        <v>747</v>
      </c>
      <c r="D170" s="17" t="s">
        <v>860</v>
      </c>
      <c r="E170" s="98" t="s">
        <v>254</v>
      </c>
      <c r="F170" s="98" t="s">
        <v>670</v>
      </c>
      <c r="G170" s="170">
        <v>8000.0</v>
      </c>
      <c r="H170" s="135">
        <v>1200000.0</v>
      </c>
      <c r="I170" s="115" t="s">
        <v>238</v>
      </c>
      <c r="J170" s="121">
        <v>640000.0</v>
      </c>
      <c r="K170" s="204" t="s">
        <v>212</v>
      </c>
      <c r="L170" s="58">
        <f t="shared" si="18"/>
        <v>560000</v>
      </c>
      <c r="M170" s="121">
        <v>867000.0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98">
        <v>16.0</v>
      </c>
      <c r="B171" s="112">
        <v>45677.0</v>
      </c>
      <c r="C171" s="17" t="s">
        <v>747</v>
      </c>
      <c r="D171" s="17" t="s">
        <v>860</v>
      </c>
      <c r="E171" s="98" t="s">
        <v>279</v>
      </c>
      <c r="F171" s="98" t="s">
        <v>325</v>
      </c>
      <c r="G171" s="110">
        <v>9000.0</v>
      </c>
      <c r="H171" s="61">
        <v>1200000.0</v>
      </c>
      <c r="I171" s="324" t="s">
        <v>212</v>
      </c>
      <c r="J171" s="58">
        <v>640000.0</v>
      </c>
      <c r="K171" s="204" t="s">
        <v>212</v>
      </c>
      <c r="L171" s="58">
        <f t="shared" si="18"/>
        <v>560000</v>
      </c>
      <c r="M171" s="104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98">
        <v>17.0</v>
      </c>
      <c r="B172" s="112">
        <v>45678.0</v>
      </c>
      <c r="C172" s="17" t="s">
        <v>747</v>
      </c>
      <c r="D172" s="17" t="s">
        <v>860</v>
      </c>
      <c r="E172" s="98" t="s">
        <v>269</v>
      </c>
      <c r="F172" s="98" t="s">
        <v>902</v>
      </c>
      <c r="G172" s="110">
        <v>0.0</v>
      </c>
      <c r="H172" s="121">
        <v>1400000.0</v>
      </c>
      <c r="I172" s="122" t="s">
        <v>238</v>
      </c>
      <c r="J172" s="121">
        <v>600000.0</v>
      </c>
      <c r="K172" s="204" t="s">
        <v>212</v>
      </c>
      <c r="L172" s="58">
        <f t="shared" si="18"/>
        <v>800000</v>
      </c>
      <c r="M172" s="104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98">
        <v>18.0</v>
      </c>
      <c r="B173" s="112">
        <v>45679.0</v>
      </c>
      <c r="C173" s="17" t="s">
        <v>747</v>
      </c>
      <c r="D173" s="17" t="s">
        <v>860</v>
      </c>
      <c r="E173" s="98" t="s">
        <v>273</v>
      </c>
      <c r="F173" s="98" t="s">
        <v>511</v>
      </c>
      <c r="G173" s="110">
        <v>10000.0</v>
      </c>
      <c r="H173" s="121">
        <v>1500000.0</v>
      </c>
      <c r="I173" s="115" t="s">
        <v>238</v>
      </c>
      <c r="J173" s="121">
        <v>325000.0</v>
      </c>
      <c r="K173" s="204" t="s">
        <v>212</v>
      </c>
      <c r="L173" s="58">
        <f t="shared" si="18"/>
        <v>1175000</v>
      </c>
      <c r="M173" s="104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98">
        <v>19.0</v>
      </c>
      <c r="B174" s="112">
        <v>45680.0</v>
      </c>
      <c r="C174" s="17" t="s">
        <v>747</v>
      </c>
      <c r="D174" s="17" t="s">
        <v>860</v>
      </c>
      <c r="E174" s="98" t="s">
        <v>280</v>
      </c>
      <c r="F174" s="98" t="s">
        <v>346</v>
      </c>
      <c r="G174" s="110">
        <v>9000.0</v>
      </c>
      <c r="H174" s="208">
        <v>1000000.0</v>
      </c>
      <c r="I174" s="324" t="s">
        <v>212</v>
      </c>
      <c r="J174" s="121">
        <v>550000.0</v>
      </c>
      <c r="K174" s="204" t="s">
        <v>212</v>
      </c>
      <c r="L174" s="58">
        <f t="shared" si="18"/>
        <v>450000</v>
      </c>
      <c r="M174" s="104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98">
        <v>20.0</v>
      </c>
      <c r="B175" s="112">
        <v>45682.0</v>
      </c>
      <c r="C175" s="17" t="s">
        <v>747</v>
      </c>
      <c r="D175" s="17" t="s">
        <v>860</v>
      </c>
      <c r="E175" s="98" t="s">
        <v>254</v>
      </c>
      <c r="F175" s="98" t="s">
        <v>323</v>
      </c>
      <c r="G175" s="110">
        <v>9000.0</v>
      </c>
      <c r="H175" s="107">
        <v>1350000.0</v>
      </c>
      <c r="I175" s="115" t="s">
        <v>238</v>
      </c>
      <c r="J175" s="60">
        <v>780000.0</v>
      </c>
      <c r="K175" s="204" t="s">
        <v>212</v>
      </c>
      <c r="L175" s="58">
        <f t="shared" si="18"/>
        <v>570000</v>
      </c>
      <c r="M175" s="104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98">
        <v>21.0</v>
      </c>
      <c r="B176" s="112">
        <v>45682.0</v>
      </c>
      <c r="C176" s="17" t="s">
        <v>747</v>
      </c>
      <c r="D176" s="17" t="s">
        <v>860</v>
      </c>
      <c r="E176" s="98" t="s">
        <v>903</v>
      </c>
      <c r="F176" s="98" t="s">
        <v>300</v>
      </c>
      <c r="G176" s="57"/>
      <c r="H176" s="121">
        <v>0.0</v>
      </c>
      <c r="I176" s="103"/>
      <c r="J176" s="121">
        <v>0.0</v>
      </c>
      <c r="K176" s="101"/>
      <c r="L176" s="107">
        <v>0.0</v>
      </c>
      <c r="M176" s="121">
        <v>1294000.0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98">
        <v>22.0</v>
      </c>
      <c r="B177" s="112">
        <v>45687.0</v>
      </c>
      <c r="C177" s="17" t="s">
        <v>747</v>
      </c>
      <c r="D177" s="17" t="s">
        <v>860</v>
      </c>
      <c r="E177" s="98" t="s">
        <v>273</v>
      </c>
      <c r="F177" s="98" t="s">
        <v>670</v>
      </c>
      <c r="G177" s="170">
        <v>8000.0</v>
      </c>
      <c r="H177" s="135">
        <v>1200000.0</v>
      </c>
      <c r="I177" s="115" t="s">
        <v>238</v>
      </c>
      <c r="J177" s="121">
        <v>665000.0</v>
      </c>
      <c r="K177" s="204" t="s">
        <v>238</v>
      </c>
      <c r="L177" s="58">
        <f t="shared" ref="L177:L178" si="19">H177-J177</f>
        <v>535000</v>
      </c>
      <c r="M177" s="121">
        <v>670000.0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98">
        <v>23.0</v>
      </c>
      <c r="B178" s="112">
        <v>45688.0</v>
      </c>
      <c r="C178" s="17" t="s">
        <v>747</v>
      </c>
      <c r="D178" s="17" t="s">
        <v>860</v>
      </c>
      <c r="E178" s="98" t="s">
        <v>514</v>
      </c>
      <c r="F178" s="98" t="s">
        <v>316</v>
      </c>
      <c r="G178" s="110">
        <v>9000.0</v>
      </c>
      <c r="H178" s="150">
        <v>720000.0</v>
      </c>
      <c r="I178" s="324" t="s">
        <v>212</v>
      </c>
      <c r="J178" s="150">
        <v>350000.0</v>
      </c>
      <c r="K178" s="204" t="s">
        <v>238</v>
      </c>
      <c r="L178" s="58">
        <f t="shared" si="19"/>
        <v>370000</v>
      </c>
      <c r="M178" s="121">
        <v>400000.0</v>
      </c>
      <c r="N178" s="11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7"/>
      <c r="B179" s="7"/>
      <c r="C179" s="7"/>
      <c r="D179" s="7"/>
      <c r="E179" s="17"/>
      <c r="F179" s="17"/>
      <c r="G179" s="57"/>
      <c r="H179" s="104"/>
      <c r="I179" s="103"/>
      <c r="J179" s="104"/>
      <c r="K179" s="101"/>
      <c r="L179" s="52">
        <f t="shared" ref="L179:M179" si="20">SUM(L156:L178)</f>
        <v>11875000</v>
      </c>
      <c r="M179" s="30">
        <f t="shared" si="20"/>
        <v>4771000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7"/>
      <c r="B180" s="7"/>
      <c r="C180" s="7"/>
      <c r="D180" s="7"/>
      <c r="E180" s="17"/>
      <c r="F180" s="17"/>
      <c r="G180" s="57"/>
      <c r="H180" s="104"/>
      <c r="I180" s="103"/>
      <c r="J180" s="104"/>
      <c r="K180" s="101"/>
      <c r="L180" s="33">
        <f>L179-M179</f>
        <v>7104000</v>
      </c>
      <c r="M180" s="26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7"/>
      <c r="B181" s="7"/>
      <c r="C181" s="7"/>
      <c r="D181" s="7"/>
      <c r="E181" s="17"/>
      <c r="F181" s="17"/>
      <c r="G181" s="57"/>
      <c r="H181" s="104"/>
      <c r="I181" s="103"/>
      <c r="J181" s="104"/>
      <c r="K181" s="101"/>
      <c r="L181" s="104"/>
      <c r="M181" s="104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9" t="s">
        <v>209</v>
      </c>
      <c r="B182" s="89" t="s">
        <v>0</v>
      </c>
      <c r="C182" s="89" t="s">
        <v>1</v>
      </c>
      <c r="D182" s="89" t="s">
        <v>2</v>
      </c>
      <c r="E182" s="90" t="s">
        <v>3</v>
      </c>
      <c r="F182" s="89" t="s">
        <v>4</v>
      </c>
      <c r="G182" s="91" t="s">
        <v>5</v>
      </c>
      <c r="H182" s="119" t="s">
        <v>6</v>
      </c>
      <c r="I182" s="92" t="s">
        <v>39</v>
      </c>
      <c r="J182" s="119" t="s">
        <v>7</v>
      </c>
      <c r="K182" s="91" t="s">
        <v>39</v>
      </c>
      <c r="L182" s="92" t="s">
        <v>8</v>
      </c>
      <c r="M182" s="120" t="s">
        <v>9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3">
        <v>1.0</v>
      </c>
      <c r="B183" s="112">
        <v>45689.0</v>
      </c>
      <c r="C183" s="17" t="s">
        <v>747</v>
      </c>
      <c r="D183" s="17" t="s">
        <v>860</v>
      </c>
      <c r="E183" s="204" t="s">
        <v>279</v>
      </c>
      <c r="F183" s="204" t="s">
        <v>325</v>
      </c>
      <c r="G183" s="170">
        <v>9000.0</v>
      </c>
      <c r="H183" s="61">
        <v>1200000.0</v>
      </c>
      <c r="I183" s="324" t="s">
        <v>212</v>
      </c>
      <c r="J183" s="58">
        <v>640000.0</v>
      </c>
      <c r="K183" s="204" t="s">
        <v>238</v>
      </c>
      <c r="L183" s="58">
        <f t="shared" ref="L183:L199" si="21">H183-J183</f>
        <v>560000</v>
      </c>
      <c r="M183" s="14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98">
        <v>2.0</v>
      </c>
      <c r="B184" s="112">
        <v>45691.0</v>
      </c>
      <c r="C184" s="17" t="s">
        <v>747</v>
      </c>
      <c r="D184" s="17" t="s">
        <v>860</v>
      </c>
      <c r="E184" s="98" t="s">
        <v>243</v>
      </c>
      <c r="F184" s="98" t="s">
        <v>510</v>
      </c>
      <c r="G184" s="110">
        <v>9000.0</v>
      </c>
      <c r="H184" s="208">
        <v>1125000.0</v>
      </c>
      <c r="I184" s="324" t="s">
        <v>212</v>
      </c>
      <c r="J184" s="121">
        <v>640000.0</v>
      </c>
      <c r="K184" s="204" t="s">
        <v>238</v>
      </c>
      <c r="L184" s="58">
        <f t="shared" si="21"/>
        <v>485000</v>
      </c>
      <c r="M184" s="104"/>
      <c r="N184" s="11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98">
        <v>3.0</v>
      </c>
      <c r="B185" s="112">
        <v>45692.0</v>
      </c>
      <c r="C185" s="17" t="s">
        <v>747</v>
      </c>
      <c r="D185" s="17" t="s">
        <v>860</v>
      </c>
      <c r="E185" s="98" t="s">
        <v>273</v>
      </c>
      <c r="F185" s="98" t="s">
        <v>323</v>
      </c>
      <c r="G185" s="110">
        <v>9000.0</v>
      </c>
      <c r="H185" s="107">
        <v>1350000.0</v>
      </c>
      <c r="I185" s="115" t="s">
        <v>238</v>
      </c>
      <c r="J185" s="109">
        <v>805000.0</v>
      </c>
      <c r="K185" s="204" t="s">
        <v>238</v>
      </c>
      <c r="L185" s="58">
        <f t="shared" si="21"/>
        <v>545000</v>
      </c>
      <c r="M185" s="10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98">
        <v>4.0</v>
      </c>
      <c r="B186" s="112">
        <v>45693.0</v>
      </c>
      <c r="C186" s="17" t="s">
        <v>747</v>
      </c>
      <c r="D186" s="17" t="s">
        <v>860</v>
      </c>
      <c r="E186" s="98" t="s">
        <v>273</v>
      </c>
      <c r="F186" s="98" t="s">
        <v>511</v>
      </c>
      <c r="G186" s="110">
        <v>10000.0</v>
      </c>
      <c r="H186" s="121">
        <v>1500000.0</v>
      </c>
      <c r="I186" s="115" t="s">
        <v>238</v>
      </c>
      <c r="J186" s="121">
        <v>325000.0</v>
      </c>
      <c r="K186" s="204" t="s">
        <v>238</v>
      </c>
      <c r="L186" s="58">
        <f t="shared" si="21"/>
        <v>1175000</v>
      </c>
      <c r="M186" s="104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98">
        <v>5.0</v>
      </c>
      <c r="B187" s="112">
        <v>45694.0</v>
      </c>
      <c r="C187" s="17" t="s">
        <v>747</v>
      </c>
      <c r="D187" s="17" t="s">
        <v>860</v>
      </c>
      <c r="E187" s="98" t="s">
        <v>280</v>
      </c>
      <c r="F187" s="98" t="s">
        <v>346</v>
      </c>
      <c r="G187" s="110">
        <v>9000.0</v>
      </c>
      <c r="H187" s="121">
        <v>1000000.0</v>
      </c>
      <c r="I187" s="324" t="s">
        <v>212</v>
      </c>
      <c r="J187" s="121">
        <v>550000.0</v>
      </c>
      <c r="K187" s="204" t="s">
        <v>238</v>
      </c>
      <c r="L187" s="58">
        <f t="shared" si="21"/>
        <v>450000</v>
      </c>
      <c r="M187" s="104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98">
        <v>6.0</v>
      </c>
      <c r="B188" s="112">
        <v>45695.0</v>
      </c>
      <c r="C188" s="17" t="s">
        <v>747</v>
      </c>
      <c r="D188" s="17" t="s">
        <v>860</v>
      </c>
      <c r="E188" s="98" t="s">
        <v>904</v>
      </c>
      <c r="F188" s="98" t="s">
        <v>311</v>
      </c>
      <c r="G188" s="110">
        <v>9000.0</v>
      </c>
      <c r="H188" s="150">
        <v>720000.0</v>
      </c>
      <c r="I188" s="324" t="s">
        <v>212</v>
      </c>
      <c r="J188" s="150">
        <v>350000.0</v>
      </c>
      <c r="K188" s="204" t="s">
        <v>238</v>
      </c>
      <c r="L188" s="58">
        <f t="shared" si="21"/>
        <v>370000</v>
      </c>
      <c r="M188" s="121">
        <v>50000.0</v>
      </c>
      <c r="N188" s="11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98">
        <v>7.0</v>
      </c>
      <c r="B189" s="112">
        <v>45696.0</v>
      </c>
      <c r="C189" s="17" t="s">
        <v>747</v>
      </c>
      <c r="D189" s="17" t="s">
        <v>860</v>
      </c>
      <c r="E189" s="98" t="s">
        <v>273</v>
      </c>
      <c r="F189" s="98" t="s">
        <v>285</v>
      </c>
      <c r="G189" s="110">
        <v>9000.0</v>
      </c>
      <c r="H189" s="121">
        <v>1350000.0</v>
      </c>
      <c r="I189" s="122" t="s">
        <v>238</v>
      </c>
      <c r="J189" s="121">
        <v>805000.0</v>
      </c>
      <c r="K189" s="204" t="s">
        <v>238</v>
      </c>
      <c r="L189" s="58">
        <f t="shared" si="21"/>
        <v>545000</v>
      </c>
      <c r="M189" s="104"/>
      <c r="N189" s="11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98">
        <v>8.0</v>
      </c>
      <c r="B190" s="112">
        <v>45698.0</v>
      </c>
      <c r="C190" s="17" t="s">
        <v>747</v>
      </c>
      <c r="D190" s="17" t="s">
        <v>860</v>
      </c>
      <c r="E190" s="98" t="s">
        <v>242</v>
      </c>
      <c r="F190" s="98" t="s">
        <v>519</v>
      </c>
      <c r="G190" s="110">
        <v>10000.0</v>
      </c>
      <c r="H190" s="121">
        <v>750000.0</v>
      </c>
      <c r="I190" s="324" t="s">
        <v>212</v>
      </c>
      <c r="J190" s="121">
        <v>425000.0</v>
      </c>
      <c r="K190" s="204" t="s">
        <v>238</v>
      </c>
      <c r="L190" s="58">
        <f t="shared" si="21"/>
        <v>325000</v>
      </c>
      <c r="M190" s="128">
        <v>950000.0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98">
        <v>9.0</v>
      </c>
      <c r="B191" s="112">
        <v>45699.0</v>
      </c>
      <c r="C191" s="17" t="s">
        <v>747</v>
      </c>
      <c r="D191" s="17" t="s">
        <v>860</v>
      </c>
      <c r="E191" s="98" t="s">
        <v>273</v>
      </c>
      <c r="F191" s="98" t="s">
        <v>303</v>
      </c>
      <c r="G191" s="110">
        <v>9000.0</v>
      </c>
      <c r="H191" s="121">
        <v>1215000.0</v>
      </c>
      <c r="I191" s="122" t="s">
        <v>238</v>
      </c>
      <c r="J191" s="121">
        <v>725000.0</v>
      </c>
      <c r="K191" s="128" t="s">
        <v>212</v>
      </c>
      <c r="L191" s="58">
        <f t="shared" si="21"/>
        <v>490000</v>
      </c>
      <c r="M191" s="104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98">
        <v>10.0</v>
      </c>
      <c r="B192" s="112">
        <v>45700.0</v>
      </c>
      <c r="C192" s="17" t="s">
        <v>747</v>
      </c>
      <c r="D192" s="17" t="s">
        <v>860</v>
      </c>
      <c r="E192" s="98" t="s">
        <v>254</v>
      </c>
      <c r="F192" s="98" t="s">
        <v>300</v>
      </c>
      <c r="G192" s="110">
        <v>10000.0</v>
      </c>
      <c r="H192" s="121">
        <v>950000.0</v>
      </c>
      <c r="I192" s="122" t="s">
        <v>212</v>
      </c>
      <c r="J192" s="121">
        <v>500000.0</v>
      </c>
      <c r="K192" s="128" t="s">
        <v>212</v>
      </c>
      <c r="L192" s="58">
        <f t="shared" si="21"/>
        <v>450000</v>
      </c>
      <c r="M192" s="104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98">
        <v>11.0</v>
      </c>
      <c r="B193" s="112">
        <v>45702.0</v>
      </c>
      <c r="C193" s="17" t="s">
        <v>747</v>
      </c>
      <c r="D193" s="17" t="s">
        <v>860</v>
      </c>
      <c r="E193" s="98" t="s">
        <v>904</v>
      </c>
      <c r="F193" s="98" t="s">
        <v>311</v>
      </c>
      <c r="G193" s="110">
        <v>9000.0</v>
      </c>
      <c r="H193" s="150">
        <v>720000.0</v>
      </c>
      <c r="I193" s="324" t="s">
        <v>212</v>
      </c>
      <c r="J193" s="150">
        <v>350000.0</v>
      </c>
      <c r="K193" s="128" t="s">
        <v>212</v>
      </c>
      <c r="L193" s="58">
        <f t="shared" si="21"/>
        <v>370000</v>
      </c>
      <c r="M193" s="10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98">
        <v>12.0</v>
      </c>
      <c r="B194" s="112">
        <v>45703.0</v>
      </c>
      <c r="C194" s="17" t="s">
        <v>747</v>
      </c>
      <c r="D194" s="17" t="s">
        <v>860</v>
      </c>
      <c r="E194" s="98" t="s">
        <v>273</v>
      </c>
      <c r="F194" s="98" t="s">
        <v>303</v>
      </c>
      <c r="G194" s="110">
        <v>10000.0</v>
      </c>
      <c r="H194" s="121">
        <v>1350000.0</v>
      </c>
      <c r="I194" s="122" t="s">
        <v>238</v>
      </c>
      <c r="J194" s="121">
        <v>775000.0</v>
      </c>
      <c r="K194" s="128" t="s">
        <v>212</v>
      </c>
      <c r="L194" s="58">
        <f t="shared" si="21"/>
        <v>575000</v>
      </c>
      <c r="M194" s="104"/>
      <c r="N194" s="11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98">
        <v>13.0</v>
      </c>
      <c r="B195" s="112">
        <v>45705.0</v>
      </c>
      <c r="C195" s="17" t="s">
        <v>747</v>
      </c>
      <c r="D195" s="17" t="s">
        <v>860</v>
      </c>
      <c r="E195" s="98" t="s">
        <v>327</v>
      </c>
      <c r="F195" s="98" t="s">
        <v>281</v>
      </c>
      <c r="G195" s="110">
        <v>9000.0</v>
      </c>
      <c r="H195" s="121">
        <v>1440000.0</v>
      </c>
      <c r="I195" s="122" t="s">
        <v>238</v>
      </c>
      <c r="J195" s="121">
        <v>925000.0</v>
      </c>
      <c r="K195" s="128" t="s">
        <v>212</v>
      </c>
      <c r="L195" s="58">
        <f t="shared" si="21"/>
        <v>515000</v>
      </c>
      <c r="M195" s="104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98">
        <v>14.0</v>
      </c>
      <c r="B196" s="112">
        <v>45707.0</v>
      </c>
      <c r="C196" s="17" t="s">
        <v>747</v>
      </c>
      <c r="D196" s="17" t="s">
        <v>860</v>
      </c>
      <c r="E196" s="98" t="s">
        <v>217</v>
      </c>
      <c r="F196" s="98" t="s">
        <v>324</v>
      </c>
      <c r="G196" s="110">
        <v>10000.0</v>
      </c>
      <c r="H196" s="121">
        <v>750000.0</v>
      </c>
      <c r="I196" s="122" t="s">
        <v>212</v>
      </c>
      <c r="J196" s="121">
        <v>400000.0</v>
      </c>
      <c r="K196" s="128" t="s">
        <v>212</v>
      </c>
      <c r="L196" s="58">
        <f t="shared" si="21"/>
        <v>350000</v>
      </c>
      <c r="M196" s="104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98">
        <v>15.0</v>
      </c>
      <c r="B197" s="112">
        <v>45709.0</v>
      </c>
      <c r="C197" s="17" t="s">
        <v>747</v>
      </c>
      <c r="D197" s="17" t="s">
        <v>860</v>
      </c>
      <c r="E197" s="98" t="s">
        <v>279</v>
      </c>
      <c r="F197" s="98" t="s">
        <v>905</v>
      </c>
      <c r="G197" s="110">
        <v>9000.0</v>
      </c>
      <c r="H197" s="121">
        <v>1450000.0</v>
      </c>
      <c r="I197" s="122" t="s">
        <v>212</v>
      </c>
      <c r="J197" s="121">
        <v>900000.0</v>
      </c>
      <c r="K197" s="128" t="s">
        <v>238</v>
      </c>
      <c r="L197" s="58">
        <f t="shared" si="21"/>
        <v>550000</v>
      </c>
      <c r="M197" s="104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98">
        <v>16.0</v>
      </c>
      <c r="B198" s="112">
        <v>45710.0</v>
      </c>
      <c r="C198" s="17" t="s">
        <v>747</v>
      </c>
      <c r="D198" s="17" t="s">
        <v>860</v>
      </c>
      <c r="E198" s="98" t="s">
        <v>273</v>
      </c>
      <c r="F198" s="98" t="s">
        <v>303</v>
      </c>
      <c r="G198" s="110">
        <v>10000.0</v>
      </c>
      <c r="H198" s="121">
        <v>1350000.0</v>
      </c>
      <c r="I198" s="122" t="s">
        <v>238</v>
      </c>
      <c r="J198" s="121">
        <v>775000.0</v>
      </c>
      <c r="K198" s="128" t="s">
        <v>212</v>
      </c>
      <c r="L198" s="58">
        <f t="shared" si="21"/>
        <v>575000</v>
      </c>
      <c r="M198" s="104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98">
        <v>17.0</v>
      </c>
      <c r="B199" s="112">
        <v>45713.0</v>
      </c>
      <c r="C199" s="17" t="s">
        <v>747</v>
      </c>
      <c r="D199" s="17" t="s">
        <v>860</v>
      </c>
      <c r="E199" s="98" t="s">
        <v>273</v>
      </c>
      <c r="F199" s="98" t="s">
        <v>585</v>
      </c>
      <c r="G199" s="110">
        <v>9000.0</v>
      </c>
      <c r="H199" s="121">
        <v>1350000.0</v>
      </c>
      <c r="I199" s="122" t="s">
        <v>212</v>
      </c>
      <c r="J199" s="121">
        <v>875000.0</v>
      </c>
      <c r="K199" s="128" t="s">
        <v>238</v>
      </c>
      <c r="L199" s="58">
        <f t="shared" si="21"/>
        <v>475000</v>
      </c>
      <c r="M199" s="121">
        <v>85000.0</v>
      </c>
      <c r="N199" s="11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7"/>
      <c r="B200" s="7"/>
      <c r="C200" s="7"/>
      <c r="D200" s="7"/>
      <c r="E200" s="17"/>
      <c r="F200" s="17"/>
      <c r="G200" s="57"/>
      <c r="H200" s="104"/>
      <c r="I200" s="103"/>
      <c r="J200" s="104"/>
      <c r="K200" s="101"/>
      <c r="L200" s="216">
        <f t="shared" ref="L200:M200" si="22">SUM(L183:L199)</f>
        <v>8805000</v>
      </c>
      <c r="M200" s="217">
        <f t="shared" si="22"/>
        <v>1085000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7"/>
      <c r="B201" s="7"/>
      <c r="C201" s="7"/>
      <c r="D201" s="7"/>
      <c r="E201" s="17"/>
      <c r="F201" s="17"/>
      <c r="H201" s="104"/>
      <c r="I201" s="103"/>
      <c r="J201" s="104"/>
      <c r="K201" s="101"/>
      <c r="L201" s="218">
        <f>L200-M200</f>
        <v>7720000</v>
      </c>
      <c r="M201" s="21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7"/>
      <c r="B202" s="7"/>
      <c r="C202" s="7"/>
      <c r="D202" s="7"/>
      <c r="E202" s="17"/>
      <c r="F202" s="17"/>
      <c r="G202" s="57"/>
      <c r="H202" s="104"/>
      <c r="I202" s="103"/>
      <c r="J202" s="104"/>
      <c r="K202" s="101"/>
      <c r="L202" s="104"/>
      <c r="M202" s="104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9" t="s">
        <v>209</v>
      </c>
      <c r="B203" s="89" t="s">
        <v>0</v>
      </c>
      <c r="C203" s="89" t="s">
        <v>1</v>
      </c>
      <c r="D203" s="89" t="s">
        <v>2</v>
      </c>
      <c r="E203" s="90" t="s">
        <v>3</v>
      </c>
      <c r="F203" s="89" t="s">
        <v>4</v>
      </c>
      <c r="G203" s="91" t="s">
        <v>5</v>
      </c>
      <c r="H203" s="119" t="s">
        <v>6</v>
      </c>
      <c r="I203" s="92" t="s">
        <v>39</v>
      </c>
      <c r="J203" s="119" t="s">
        <v>7</v>
      </c>
      <c r="K203" s="91" t="s">
        <v>39</v>
      </c>
      <c r="L203" s="92" t="s">
        <v>8</v>
      </c>
      <c r="M203" s="120" t="s">
        <v>9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3">
        <v>1.0</v>
      </c>
      <c r="B204" s="112">
        <v>45719.0</v>
      </c>
      <c r="C204" s="17" t="s">
        <v>747</v>
      </c>
      <c r="D204" s="17" t="s">
        <v>860</v>
      </c>
      <c r="E204" s="204" t="s">
        <v>273</v>
      </c>
      <c r="F204" s="204" t="s">
        <v>689</v>
      </c>
      <c r="G204" s="151">
        <v>8000.0</v>
      </c>
      <c r="H204" s="106">
        <v>1200000.0</v>
      </c>
      <c r="I204" s="324" t="s">
        <v>238</v>
      </c>
      <c r="J204" s="107">
        <v>665000.0</v>
      </c>
      <c r="K204" s="128" t="s">
        <v>238</v>
      </c>
      <c r="L204" s="58">
        <f t="shared" ref="L204:L222" si="23">H204-J204</f>
        <v>535000</v>
      </c>
      <c r="M204" s="150">
        <v>450000.0</v>
      </c>
      <c r="N204" s="11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98">
        <v>2.0</v>
      </c>
      <c r="B205" s="112">
        <v>45720.0</v>
      </c>
      <c r="C205" s="17" t="s">
        <v>747</v>
      </c>
      <c r="D205" s="17" t="s">
        <v>860</v>
      </c>
      <c r="E205" s="98" t="s">
        <v>906</v>
      </c>
      <c r="F205" s="98" t="s">
        <v>316</v>
      </c>
      <c r="G205" s="110">
        <v>9000.0</v>
      </c>
      <c r="H205" s="121">
        <v>720000.0</v>
      </c>
      <c r="I205" s="122" t="s">
        <v>212</v>
      </c>
      <c r="J205" s="121">
        <v>350000.0</v>
      </c>
      <c r="K205" s="128" t="s">
        <v>238</v>
      </c>
      <c r="L205" s="58">
        <f t="shared" si="23"/>
        <v>370000</v>
      </c>
      <c r="M205" s="104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98">
        <v>3.0</v>
      </c>
      <c r="B206" s="112">
        <v>45720.0</v>
      </c>
      <c r="C206" s="17" t="s">
        <v>747</v>
      </c>
      <c r="D206" s="17" t="s">
        <v>860</v>
      </c>
      <c r="E206" s="98" t="s">
        <v>243</v>
      </c>
      <c r="F206" s="98" t="s">
        <v>296</v>
      </c>
      <c r="G206" s="151">
        <v>9000.0</v>
      </c>
      <c r="H206" s="121">
        <v>765000.0</v>
      </c>
      <c r="I206" s="122" t="s">
        <v>238</v>
      </c>
      <c r="J206" s="121">
        <v>450000.0</v>
      </c>
      <c r="K206" s="128" t="s">
        <v>238</v>
      </c>
      <c r="L206" s="58">
        <f t="shared" si="23"/>
        <v>315000</v>
      </c>
      <c r="M206" s="104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98">
        <v>4.0</v>
      </c>
      <c r="B207" s="112">
        <v>45721.0</v>
      </c>
      <c r="C207" s="17" t="s">
        <v>747</v>
      </c>
      <c r="D207" s="17" t="s">
        <v>860</v>
      </c>
      <c r="E207" s="98" t="s">
        <v>687</v>
      </c>
      <c r="F207" s="98" t="s">
        <v>258</v>
      </c>
      <c r="G207" s="110">
        <v>8000.0</v>
      </c>
      <c r="H207" s="121">
        <v>3128000.0</v>
      </c>
      <c r="I207" s="122" t="s">
        <v>238</v>
      </c>
      <c r="J207" s="121">
        <v>1400000.0</v>
      </c>
      <c r="K207" s="128" t="s">
        <v>238</v>
      </c>
      <c r="L207" s="58">
        <f t="shared" si="23"/>
        <v>1728000</v>
      </c>
      <c r="M207" s="121">
        <v>2061000.0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98">
        <v>5.0</v>
      </c>
      <c r="B208" s="112">
        <v>45724.0</v>
      </c>
      <c r="C208" s="17" t="s">
        <v>747</v>
      </c>
      <c r="D208" s="17" t="s">
        <v>860</v>
      </c>
      <c r="E208" s="98" t="s">
        <v>256</v>
      </c>
      <c r="F208" s="98" t="s">
        <v>303</v>
      </c>
      <c r="G208" s="110">
        <v>9000.0</v>
      </c>
      <c r="H208" s="121">
        <v>1215000.0</v>
      </c>
      <c r="I208" s="122" t="s">
        <v>238</v>
      </c>
      <c r="J208" s="121">
        <v>700000.0</v>
      </c>
      <c r="K208" s="128" t="s">
        <v>238</v>
      </c>
      <c r="L208" s="58">
        <f t="shared" si="23"/>
        <v>515000</v>
      </c>
      <c r="M208" s="104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98">
        <v>6.0</v>
      </c>
      <c r="B209" s="112">
        <v>45726.0</v>
      </c>
      <c r="C209" s="17" t="s">
        <v>747</v>
      </c>
      <c r="D209" s="17" t="s">
        <v>860</v>
      </c>
      <c r="E209" s="98" t="s">
        <v>256</v>
      </c>
      <c r="F209" s="98" t="s">
        <v>271</v>
      </c>
      <c r="G209" s="110">
        <v>9000.0</v>
      </c>
      <c r="H209" s="121">
        <v>675000.0</v>
      </c>
      <c r="I209" s="122" t="s">
        <v>238</v>
      </c>
      <c r="J209" s="121">
        <v>375000.0</v>
      </c>
      <c r="K209" s="128" t="s">
        <v>238</v>
      </c>
      <c r="L209" s="58">
        <f t="shared" si="23"/>
        <v>300000</v>
      </c>
      <c r="M209" s="10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98">
        <v>7.0</v>
      </c>
      <c r="B210" s="112">
        <v>45726.0</v>
      </c>
      <c r="C210" s="17" t="s">
        <v>747</v>
      </c>
      <c r="D210" s="17" t="s">
        <v>860</v>
      </c>
      <c r="E210" s="98" t="s">
        <v>243</v>
      </c>
      <c r="F210" s="98" t="s">
        <v>255</v>
      </c>
      <c r="G210" s="110">
        <v>10000.0</v>
      </c>
      <c r="H210" s="121">
        <v>1500000.0</v>
      </c>
      <c r="I210" s="122" t="s">
        <v>238</v>
      </c>
      <c r="J210" s="121">
        <v>950000.0</v>
      </c>
      <c r="K210" s="128" t="s">
        <v>238</v>
      </c>
      <c r="L210" s="58">
        <f t="shared" si="23"/>
        <v>550000</v>
      </c>
      <c r="M210" s="104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98">
        <v>8.0</v>
      </c>
      <c r="B211" s="112">
        <v>45728.0</v>
      </c>
      <c r="C211" s="17" t="s">
        <v>747</v>
      </c>
      <c r="D211" s="17" t="s">
        <v>860</v>
      </c>
      <c r="E211" s="98" t="s">
        <v>273</v>
      </c>
      <c r="F211" s="98" t="s">
        <v>287</v>
      </c>
      <c r="G211" s="110">
        <v>9000.0</v>
      </c>
      <c r="H211" s="121">
        <v>1200000.0</v>
      </c>
      <c r="I211" s="122" t="s">
        <v>212</v>
      </c>
      <c r="J211" s="121">
        <v>715000.0</v>
      </c>
      <c r="K211" s="128" t="s">
        <v>212</v>
      </c>
      <c r="L211" s="58">
        <f t="shared" si="23"/>
        <v>485000</v>
      </c>
      <c r="M211" s="121">
        <v>660000.0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98">
        <v>9.0</v>
      </c>
      <c r="B212" s="112">
        <v>45730.0</v>
      </c>
      <c r="C212" s="17" t="s">
        <v>747</v>
      </c>
      <c r="D212" s="17" t="s">
        <v>860</v>
      </c>
      <c r="E212" s="98" t="s">
        <v>907</v>
      </c>
      <c r="F212" s="98" t="s">
        <v>323</v>
      </c>
      <c r="G212" s="110">
        <v>9000.0</v>
      </c>
      <c r="H212" s="121">
        <v>1350000.0</v>
      </c>
      <c r="I212" s="122" t="s">
        <v>238</v>
      </c>
      <c r="J212" s="121">
        <v>780000.0</v>
      </c>
      <c r="K212" s="128" t="s">
        <v>212</v>
      </c>
      <c r="L212" s="58">
        <f t="shared" si="23"/>
        <v>570000</v>
      </c>
      <c r="M212" s="104"/>
      <c r="N212" s="11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98">
        <v>10.0</v>
      </c>
      <c r="B213" s="112">
        <v>45733.0</v>
      </c>
      <c r="C213" s="17" t="s">
        <v>747</v>
      </c>
      <c r="D213" s="17" t="s">
        <v>860</v>
      </c>
      <c r="E213" s="98" t="s">
        <v>243</v>
      </c>
      <c r="F213" s="98" t="s">
        <v>306</v>
      </c>
      <c r="G213" s="110">
        <v>9000.0</v>
      </c>
      <c r="H213" s="121">
        <v>1035000.0</v>
      </c>
      <c r="I213" s="122" t="s">
        <v>212</v>
      </c>
      <c r="J213" s="121">
        <v>600000.0</v>
      </c>
      <c r="K213" s="128" t="s">
        <v>212</v>
      </c>
      <c r="L213" s="58">
        <f t="shared" si="23"/>
        <v>435000</v>
      </c>
      <c r="M213" s="121">
        <v>383000.0</v>
      </c>
      <c r="N213" s="11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98">
        <v>11.0</v>
      </c>
      <c r="B214" s="112">
        <v>45734.0</v>
      </c>
      <c r="C214" s="17" t="s">
        <v>747</v>
      </c>
      <c r="D214" s="17" t="s">
        <v>860</v>
      </c>
      <c r="E214" s="98" t="s">
        <v>908</v>
      </c>
      <c r="F214" s="98" t="s">
        <v>303</v>
      </c>
      <c r="G214" s="110">
        <v>9000.0</v>
      </c>
      <c r="H214" s="121">
        <v>1215000.0</v>
      </c>
      <c r="I214" s="122" t="s">
        <v>238</v>
      </c>
      <c r="J214" s="121">
        <v>700000.0</v>
      </c>
      <c r="K214" s="128" t="s">
        <v>212</v>
      </c>
      <c r="L214" s="58">
        <f t="shared" si="23"/>
        <v>515000</v>
      </c>
      <c r="M214" s="104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98">
        <v>12.0</v>
      </c>
      <c r="B215" s="112">
        <v>45735.0</v>
      </c>
      <c r="C215" s="17" t="s">
        <v>747</v>
      </c>
      <c r="D215" s="17" t="s">
        <v>860</v>
      </c>
      <c r="E215" s="98" t="s">
        <v>243</v>
      </c>
      <c r="F215" s="98" t="s">
        <v>332</v>
      </c>
      <c r="G215" s="110">
        <v>9000.0</v>
      </c>
      <c r="H215" s="121">
        <v>765000.0</v>
      </c>
      <c r="I215" s="122" t="s">
        <v>238</v>
      </c>
      <c r="J215" s="121">
        <v>450000.0</v>
      </c>
      <c r="K215" s="128" t="s">
        <v>212</v>
      </c>
      <c r="L215" s="58">
        <f t="shared" si="23"/>
        <v>315000</v>
      </c>
      <c r="M215" s="121">
        <v>300000.0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98">
        <v>13.0</v>
      </c>
      <c r="B216" s="112">
        <v>45737.0</v>
      </c>
      <c r="C216" s="17" t="s">
        <v>747</v>
      </c>
      <c r="D216" s="17" t="s">
        <v>860</v>
      </c>
      <c r="E216" s="98" t="s">
        <v>906</v>
      </c>
      <c r="F216" s="98" t="s">
        <v>311</v>
      </c>
      <c r="G216" s="110">
        <v>9000.0</v>
      </c>
      <c r="H216" s="121">
        <v>720000.0</v>
      </c>
      <c r="I216" s="122" t="s">
        <v>212</v>
      </c>
      <c r="J216" s="121">
        <v>350000.0</v>
      </c>
      <c r="K216" s="128" t="s">
        <v>212</v>
      </c>
      <c r="L216" s="58">
        <f t="shared" si="23"/>
        <v>370000</v>
      </c>
      <c r="M216" s="104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98">
        <v>14.0</v>
      </c>
      <c r="B217" s="112">
        <v>45738.0</v>
      </c>
      <c r="C217" s="17" t="s">
        <v>747</v>
      </c>
      <c r="D217" s="17" t="s">
        <v>860</v>
      </c>
      <c r="E217" s="98" t="s">
        <v>273</v>
      </c>
      <c r="F217" s="98" t="s">
        <v>214</v>
      </c>
      <c r="G217" s="110">
        <v>9000.0</v>
      </c>
      <c r="H217" s="121">
        <v>1350000.0</v>
      </c>
      <c r="I217" s="108" t="s">
        <v>238</v>
      </c>
      <c r="J217" s="121">
        <v>925000.0</v>
      </c>
      <c r="K217" s="128" t="s">
        <v>212</v>
      </c>
      <c r="L217" s="58">
        <f t="shared" si="23"/>
        <v>425000</v>
      </c>
      <c r="M217" s="104"/>
      <c r="N217" s="11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98">
        <v>15.0</v>
      </c>
      <c r="B218" s="112">
        <v>45741.0</v>
      </c>
      <c r="C218" s="17" t="s">
        <v>747</v>
      </c>
      <c r="D218" s="17" t="s">
        <v>860</v>
      </c>
      <c r="E218" s="98" t="s">
        <v>279</v>
      </c>
      <c r="F218" s="98" t="s">
        <v>324</v>
      </c>
      <c r="G218" s="110">
        <v>9000.0</v>
      </c>
      <c r="H218" s="121">
        <v>675000.0</v>
      </c>
      <c r="I218" s="122" t="s">
        <v>212</v>
      </c>
      <c r="J218" s="121">
        <v>350000.0</v>
      </c>
      <c r="K218" s="128" t="s">
        <v>212</v>
      </c>
      <c r="L218" s="58">
        <f t="shared" si="23"/>
        <v>325000</v>
      </c>
      <c r="M218" s="104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98">
        <v>16.0</v>
      </c>
      <c r="B219" s="112">
        <v>45741.0</v>
      </c>
      <c r="C219" s="17" t="s">
        <v>747</v>
      </c>
      <c r="D219" s="17" t="s">
        <v>860</v>
      </c>
      <c r="E219" s="98" t="s">
        <v>280</v>
      </c>
      <c r="F219" s="98" t="s">
        <v>328</v>
      </c>
      <c r="G219" s="110">
        <v>9000.0</v>
      </c>
      <c r="H219" s="121">
        <v>1440000.0</v>
      </c>
      <c r="I219" s="122" t="s">
        <v>238</v>
      </c>
      <c r="J219" s="121">
        <v>900000.0</v>
      </c>
      <c r="K219" s="128" t="s">
        <v>212</v>
      </c>
      <c r="L219" s="58">
        <f t="shared" si="23"/>
        <v>540000</v>
      </c>
      <c r="M219" s="121">
        <v>25000.0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98">
        <v>17.0</v>
      </c>
      <c r="B220" s="112">
        <v>45742.0</v>
      </c>
      <c r="C220" s="17" t="s">
        <v>747</v>
      </c>
      <c r="D220" s="17" t="s">
        <v>860</v>
      </c>
      <c r="E220" s="98" t="s">
        <v>81</v>
      </c>
      <c r="F220" s="98" t="s">
        <v>298</v>
      </c>
      <c r="G220" s="110">
        <v>9000.0</v>
      </c>
      <c r="H220" s="121">
        <v>1350000.0</v>
      </c>
      <c r="I220" s="122" t="s">
        <v>238</v>
      </c>
      <c r="J220" s="121">
        <v>900000.0</v>
      </c>
      <c r="K220" s="128" t="s">
        <v>238</v>
      </c>
      <c r="L220" s="58">
        <f t="shared" si="23"/>
        <v>450000</v>
      </c>
      <c r="M220" s="104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98">
        <v>18.0</v>
      </c>
      <c r="B221" s="112">
        <v>45743.0</v>
      </c>
      <c r="C221" s="17" t="s">
        <v>747</v>
      </c>
      <c r="D221" s="17" t="s">
        <v>860</v>
      </c>
      <c r="E221" s="98" t="s">
        <v>242</v>
      </c>
      <c r="F221" s="98" t="s">
        <v>259</v>
      </c>
      <c r="G221" s="110">
        <v>10000.0</v>
      </c>
      <c r="H221" s="121">
        <v>1500000.0</v>
      </c>
      <c r="I221" s="122" t="s">
        <v>238</v>
      </c>
      <c r="J221" s="121">
        <v>850000.0</v>
      </c>
      <c r="K221" s="128" t="s">
        <v>212</v>
      </c>
      <c r="L221" s="58">
        <f t="shared" si="23"/>
        <v>650000</v>
      </c>
      <c r="M221" s="104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98">
        <v>19.0</v>
      </c>
      <c r="B222" s="112">
        <v>45744.0</v>
      </c>
      <c r="C222" s="17" t="s">
        <v>747</v>
      </c>
      <c r="D222" s="17" t="s">
        <v>860</v>
      </c>
      <c r="E222" s="98" t="s">
        <v>243</v>
      </c>
      <c r="F222" s="98" t="s">
        <v>909</v>
      </c>
      <c r="G222" s="110">
        <v>9000.0</v>
      </c>
      <c r="H222" s="121">
        <v>1250000.0</v>
      </c>
      <c r="I222" s="122" t="s">
        <v>212</v>
      </c>
      <c r="J222" s="121">
        <v>900000.0</v>
      </c>
      <c r="K222" s="128" t="s">
        <v>212</v>
      </c>
      <c r="L222" s="58">
        <f t="shared" si="23"/>
        <v>350000</v>
      </c>
      <c r="M222" s="121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7"/>
      <c r="B223" s="7"/>
      <c r="C223" s="7"/>
      <c r="D223" s="7"/>
      <c r="E223" s="17"/>
      <c r="F223" s="17"/>
      <c r="G223" s="57"/>
      <c r="H223" s="104"/>
      <c r="I223" s="103"/>
      <c r="J223" s="104"/>
      <c r="K223" s="101"/>
      <c r="L223" s="216">
        <f t="shared" ref="L223:M223" si="24">SUM(L204:L222)</f>
        <v>9743000</v>
      </c>
      <c r="M223" s="217">
        <f t="shared" si="24"/>
        <v>3879000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7"/>
      <c r="B224" s="7"/>
      <c r="C224" s="7"/>
      <c r="D224" s="7"/>
      <c r="E224" s="17"/>
      <c r="F224" s="17"/>
      <c r="G224" s="57"/>
      <c r="H224" s="104"/>
      <c r="I224" s="103"/>
      <c r="J224" s="104"/>
      <c r="K224" s="101"/>
      <c r="L224" s="218">
        <f>L223-M223</f>
        <v>5864000</v>
      </c>
      <c r="M224" s="21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7"/>
      <c r="B225" s="7"/>
      <c r="C225" s="7"/>
      <c r="D225" s="7"/>
      <c r="E225" s="17"/>
      <c r="F225" s="17"/>
      <c r="G225" s="57"/>
      <c r="H225" s="104"/>
      <c r="I225" s="103"/>
      <c r="J225" s="104"/>
      <c r="K225" s="101"/>
      <c r="L225" s="104"/>
      <c r="M225" s="104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9" t="s">
        <v>209</v>
      </c>
      <c r="B226" s="89" t="s">
        <v>0</v>
      </c>
      <c r="C226" s="89" t="s">
        <v>1</v>
      </c>
      <c r="D226" s="89" t="s">
        <v>2</v>
      </c>
      <c r="E226" s="90" t="s">
        <v>3</v>
      </c>
      <c r="F226" s="89" t="s">
        <v>4</v>
      </c>
      <c r="G226" s="91" t="s">
        <v>5</v>
      </c>
      <c r="H226" s="119" t="s">
        <v>6</v>
      </c>
      <c r="I226" s="92" t="s">
        <v>39</v>
      </c>
      <c r="J226" s="119" t="s">
        <v>7</v>
      </c>
      <c r="K226" s="91" t="s">
        <v>39</v>
      </c>
      <c r="L226" s="92" t="s">
        <v>8</v>
      </c>
      <c r="M226" s="120" t="s">
        <v>9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1">
        <v>1.0</v>
      </c>
      <c r="B227" s="112">
        <v>45751.0</v>
      </c>
      <c r="C227" s="17" t="s">
        <v>747</v>
      </c>
      <c r="D227" s="17" t="s">
        <v>860</v>
      </c>
      <c r="E227" s="98" t="s">
        <v>243</v>
      </c>
      <c r="F227" s="98" t="s">
        <v>264</v>
      </c>
      <c r="G227" s="110">
        <v>9000.0</v>
      </c>
      <c r="H227" s="121">
        <v>1350000.0</v>
      </c>
      <c r="I227" s="108" t="s">
        <v>238</v>
      </c>
      <c r="J227" s="121">
        <v>900000.0</v>
      </c>
      <c r="K227" s="128" t="s">
        <v>238</v>
      </c>
      <c r="L227" s="58">
        <f t="shared" ref="L227:L245" si="25">H227-J227</f>
        <v>450000</v>
      </c>
      <c r="M227" s="121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18">
        <v>2.0</v>
      </c>
      <c r="B228" s="112">
        <v>45752.0</v>
      </c>
      <c r="C228" s="17" t="s">
        <v>747</v>
      </c>
      <c r="D228" s="17" t="s">
        <v>860</v>
      </c>
      <c r="E228" s="98" t="s">
        <v>243</v>
      </c>
      <c r="F228" s="98" t="s">
        <v>274</v>
      </c>
      <c r="G228" s="110">
        <v>9000.0</v>
      </c>
      <c r="H228" s="121">
        <v>900000.0</v>
      </c>
      <c r="I228" s="122" t="s">
        <v>212</v>
      </c>
      <c r="J228" s="109">
        <v>425000.0</v>
      </c>
      <c r="K228" s="128" t="s">
        <v>238</v>
      </c>
      <c r="L228" s="58">
        <f t="shared" si="25"/>
        <v>475000</v>
      </c>
      <c r="M228" s="106"/>
      <c r="N228" s="11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18">
        <v>3.0</v>
      </c>
      <c r="B229" s="112">
        <v>45754.0</v>
      </c>
      <c r="C229" s="17" t="s">
        <v>747</v>
      </c>
      <c r="D229" s="17" t="s">
        <v>860</v>
      </c>
      <c r="E229" s="98" t="s">
        <v>280</v>
      </c>
      <c r="F229" s="98" t="s">
        <v>328</v>
      </c>
      <c r="G229" s="110">
        <v>9000.0</v>
      </c>
      <c r="H229" s="121">
        <v>1440000.0</v>
      </c>
      <c r="I229" s="122" t="s">
        <v>238</v>
      </c>
      <c r="J229" s="121">
        <v>900000.0</v>
      </c>
      <c r="K229" s="128" t="s">
        <v>212</v>
      </c>
      <c r="L229" s="58">
        <f t="shared" si="25"/>
        <v>540000</v>
      </c>
      <c r="M229" s="106">
        <v>550000.0</v>
      </c>
      <c r="N229" s="11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18">
        <v>4.0</v>
      </c>
      <c r="B230" s="112">
        <v>45755.0</v>
      </c>
      <c r="C230" s="17" t="s">
        <v>747</v>
      </c>
      <c r="D230" s="17" t="s">
        <v>860</v>
      </c>
      <c r="E230" s="98" t="s">
        <v>243</v>
      </c>
      <c r="F230" s="98" t="s">
        <v>297</v>
      </c>
      <c r="G230" s="110">
        <v>10000.0</v>
      </c>
      <c r="H230" s="121">
        <v>1100000.0</v>
      </c>
      <c r="I230" s="122" t="s">
        <v>238</v>
      </c>
      <c r="J230" s="121">
        <v>600000.0</v>
      </c>
      <c r="K230" s="128" t="s">
        <v>212</v>
      </c>
      <c r="L230" s="58">
        <f t="shared" si="25"/>
        <v>500000</v>
      </c>
      <c r="M230" s="61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18">
        <v>5.0</v>
      </c>
      <c r="B231" s="112">
        <v>45756.0</v>
      </c>
      <c r="C231" s="17" t="s">
        <v>747</v>
      </c>
      <c r="D231" s="17" t="s">
        <v>860</v>
      </c>
      <c r="E231" s="98" t="s">
        <v>123</v>
      </c>
      <c r="F231" s="98" t="s">
        <v>298</v>
      </c>
      <c r="G231" s="110">
        <v>9000.0</v>
      </c>
      <c r="H231" s="121">
        <v>1350000.0</v>
      </c>
      <c r="I231" s="122" t="s">
        <v>238</v>
      </c>
      <c r="J231" s="121">
        <v>900000.0</v>
      </c>
      <c r="K231" s="128" t="s">
        <v>238</v>
      </c>
      <c r="L231" s="58">
        <f t="shared" si="25"/>
        <v>450000</v>
      </c>
      <c r="M231" s="61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18">
        <v>6.0</v>
      </c>
      <c r="B232" s="112">
        <v>45757.0</v>
      </c>
      <c r="C232" s="17" t="s">
        <v>747</v>
      </c>
      <c r="D232" s="17" t="s">
        <v>860</v>
      </c>
      <c r="E232" s="98" t="s">
        <v>81</v>
      </c>
      <c r="F232" s="98" t="s">
        <v>306</v>
      </c>
      <c r="G232" s="110">
        <v>9000.0</v>
      </c>
      <c r="H232" s="121">
        <v>1035000.0</v>
      </c>
      <c r="I232" s="122" t="s">
        <v>212</v>
      </c>
      <c r="J232" s="121">
        <v>600000.0</v>
      </c>
      <c r="K232" s="128" t="s">
        <v>212</v>
      </c>
      <c r="L232" s="58">
        <f t="shared" si="25"/>
        <v>435000</v>
      </c>
      <c r="M232" s="61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18">
        <v>7.0</v>
      </c>
      <c r="B233" s="112">
        <v>45758.0</v>
      </c>
      <c r="C233" s="17" t="s">
        <v>747</v>
      </c>
      <c r="D233" s="17" t="s">
        <v>860</v>
      </c>
      <c r="E233" s="98" t="s">
        <v>280</v>
      </c>
      <c r="F233" s="98" t="s">
        <v>326</v>
      </c>
      <c r="G233" s="110">
        <v>9000.0</v>
      </c>
      <c r="H233" s="121">
        <v>1350000.0</v>
      </c>
      <c r="I233" s="108" t="s">
        <v>238</v>
      </c>
      <c r="J233" s="121">
        <v>900000.0</v>
      </c>
      <c r="K233" s="128" t="s">
        <v>212</v>
      </c>
      <c r="L233" s="58">
        <f t="shared" si="25"/>
        <v>450000</v>
      </c>
      <c r="M233" s="61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18">
        <v>8.0</v>
      </c>
      <c r="B234" s="112">
        <v>45764.0</v>
      </c>
      <c r="C234" s="17" t="s">
        <v>747</v>
      </c>
      <c r="D234" s="17" t="s">
        <v>860</v>
      </c>
      <c r="E234" s="98" t="s">
        <v>280</v>
      </c>
      <c r="F234" s="98" t="s">
        <v>295</v>
      </c>
      <c r="G234" s="110">
        <v>9000.0</v>
      </c>
      <c r="H234" s="121">
        <v>1125000.0</v>
      </c>
      <c r="I234" s="122" t="s">
        <v>212</v>
      </c>
      <c r="J234" s="121">
        <v>640000.0</v>
      </c>
      <c r="K234" s="109" t="s">
        <v>238</v>
      </c>
      <c r="L234" s="58">
        <f t="shared" si="25"/>
        <v>485000</v>
      </c>
      <c r="M234" s="106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18">
        <v>9.0</v>
      </c>
      <c r="B235" s="112">
        <v>45766.0</v>
      </c>
      <c r="C235" s="17" t="s">
        <v>747</v>
      </c>
      <c r="D235" s="17" t="s">
        <v>860</v>
      </c>
      <c r="E235" s="98" t="s">
        <v>322</v>
      </c>
      <c r="F235" s="98" t="s">
        <v>214</v>
      </c>
      <c r="G235" s="110">
        <v>9000.0</v>
      </c>
      <c r="H235" s="121">
        <v>1350000.0</v>
      </c>
      <c r="I235" s="115" t="s">
        <v>238</v>
      </c>
      <c r="J235" s="121">
        <v>925000.0</v>
      </c>
      <c r="K235" s="128" t="s">
        <v>212</v>
      </c>
      <c r="L235" s="58">
        <f t="shared" si="25"/>
        <v>425000</v>
      </c>
      <c r="M235" s="106">
        <v>670000.0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18">
        <v>10.0</v>
      </c>
      <c r="B236" s="112">
        <v>45768.0</v>
      </c>
      <c r="C236" s="17" t="s">
        <v>747</v>
      </c>
      <c r="D236" s="17" t="s">
        <v>860</v>
      </c>
      <c r="E236" s="98" t="s">
        <v>261</v>
      </c>
      <c r="F236" s="98" t="s">
        <v>332</v>
      </c>
      <c r="G236" s="110">
        <v>9000.0</v>
      </c>
      <c r="H236" s="121">
        <v>765000.0</v>
      </c>
      <c r="I236" s="115" t="s">
        <v>238</v>
      </c>
      <c r="J236" s="121">
        <v>450000.0</v>
      </c>
      <c r="K236" s="109" t="s">
        <v>238</v>
      </c>
      <c r="L236" s="58">
        <f t="shared" si="25"/>
        <v>315000</v>
      </c>
      <c r="M236" s="106">
        <v>110000.0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18">
        <v>11.0</v>
      </c>
      <c r="B237" s="112">
        <v>45769.0</v>
      </c>
      <c r="C237" s="17" t="s">
        <v>747</v>
      </c>
      <c r="D237" s="17" t="s">
        <v>860</v>
      </c>
      <c r="E237" s="98" t="s">
        <v>123</v>
      </c>
      <c r="F237" s="98" t="s">
        <v>303</v>
      </c>
      <c r="G237" s="110">
        <v>9000.0</v>
      </c>
      <c r="H237" s="121">
        <v>1215000.0</v>
      </c>
      <c r="I237" s="108" t="s">
        <v>238</v>
      </c>
      <c r="J237" s="121">
        <v>700000.0</v>
      </c>
      <c r="K237" s="109" t="s">
        <v>238</v>
      </c>
      <c r="L237" s="58">
        <f t="shared" si="25"/>
        <v>515000</v>
      </c>
      <c r="M237" s="61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18">
        <v>12.0</v>
      </c>
      <c r="B238" s="112">
        <v>45770.0</v>
      </c>
      <c r="C238" s="17" t="s">
        <v>747</v>
      </c>
      <c r="D238" s="17" t="s">
        <v>860</v>
      </c>
      <c r="E238" s="98" t="s">
        <v>81</v>
      </c>
      <c r="F238" s="98" t="s">
        <v>306</v>
      </c>
      <c r="G238" s="110">
        <v>9000.0</v>
      </c>
      <c r="H238" s="121">
        <v>1035000.0</v>
      </c>
      <c r="I238" s="122" t="s">
        <v>212</v>
      </c>
      <c r="J238" s="121">
        <v>600000.0</v>
      </c>
      <c r="K238" s="128" t="s">
        <v>212</v>
      </c>
      <c r="L238" s="58">
        <f t="shared" si="25"/>
        <v>435000</v>
      </c>
      <c r="M238" s="61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18">
        <v>13.0</v>
      </c>
      <c r="B239" s="112">
        <v>45771.0</v>
      </c>
      <c r="C239" s="17" t="s">
        <v>747</v>
      </c>
      <c r="D239" s="17" t="s">
        <v>860</v>
      </c>
      <c r="E239" s="98" t="s">
        <v>307</v>
      </c>
      <c r="F239" s="98" t="s">
        <v>308</v>
      </c>
      <c r="G239" s="110">
        <v>5000.0</v>
      </c>
      <c r="H239" s="135">
        <v>1493550.0</v>
      </c>
      <c r="I239" s="108" t="s">
        <v>238</v>
      </c>
      <c r="J239" s="109">
        <v>900000.0</v>
      </c>
      <c r="K239" s="128" t="s">
        <v>212</v>
      </c>
      <c r="L239" s="58">
        <f t="shared" si="25"/>
        <v>593550</v>
      </c>
      <c r="M239" s="106">
        <v>673000.0</v>
      </c>
      <c r="N239" s="11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18">
        <v>14.0</v>
      </c>
      <c r="B240" s="112">
        <v>45772.0</v>
      </c>
      <c r="C240" s="17" t="s">
        <v>747</v>
      </c>
      <c r="D240" s="17" t="s">
        <v>860</v>
      </c>
      <c r="E240" s="98" t="s">
        <v>322</v>
      </c>
      <c r="F240" s="98" t="s">
        <v>302</v>
      </c>
      <c r="G240" s="110">
        <v>9000.0</v>
      </c>
      <c r="H240" s="121">
        <v>720000.0</v>
      </c>
      <c r="I240" s="108" t="s">
        <v>238</v>
      </c>
      <c r="J240" s="121">
        <v>375000.0</v>
      </c>
      <c r="K240" s="109" t="s">
        <v>238</v>
      </c>
      <c r="L240" s="58">
        <f t="shared" si="25"/>
        <v>345000</v>
      </c>
      <c r="M240" s="106">
        <v>80000.0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18">
        <v>15.0</v>
      </c>
      <c r="B241" s="112">
        <v>45773.0</v>
      </c>
      <c r="C241" s="17" t="s">
        <v>747</v>
      </c>
      <c r="D241" s="17" t="s">
        <v>860</v>
      </c>
      <c r="E241" s="98" t="s">
        <v>242</v>
      </c>
      <c r="F241" s="98" t="s">
        <v>326</v>
      </c>
      <c r="G241" s="110">
        <v>9000.0</v>
      </c>
      <c r="H241" s="121">
        <v>1350000.0</v>
      </c>
      <c r="I241" s="115" t="s">
        <v>238</v>
      </c>
      <c r="J241" s="121">
        <v>900000.0</v>
      </c>
      <c r="K241" s="109" t="s">
        <v>238</v>
      </c>
      <c r="L241" s="58">
        <f t="shared" si="25"/>
        <v>450000</v>
      </c>
      <c r="M241" s="106">
        <v>3695000.0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18">
        <v>16.0</v>
      </c>
      <c r="B242" s="112">
        <v>45775.0</v>
      </c>
      <c r="C242" s="17" t="s">
        <v>747</v>
      </c>
      <c r="D242" s="17" t="s">
        <v>860</v>
      </c>
      <c r="E242" s="98" t="s">
        <v>243</v>
      </c>
      <c r="F242" s="98" t="s">
        <v>295</v>
      </c>
      <c r="G242" s="110">
        <v>9000.0</v>
      </c>
      <c r="H242" s="121">
        <v>1125000.0</v>
      </c>
      <c r="I242" s="122" t="s">
        <v>212</v>
      </c>
      <c r="J242" s="121">
        <v>640000.0</v>
      </c>
      <c r="K242" s="128" t="s">
        <v>212</v>
      </c>
      <c r="L242" s="58">
        <f t="shared" si="25"/>
        <v>485000</v>
      </c>
      <c r="M242" s="61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18">
        <v>17.0</v>
      </c>
      <c r="B243" s="112">
        <v>45776.0</v>
      </c>
      <c r="C243" s="17" t="s">
        <v>747</v>
      </c>
      <c r="D243" s="17" t="s">
        <v>860</v>
      </c>
      <c r="E243" s="98" t="s">
        <v>279</v>
      </c>
      <c r="F243" s="98" t="s">
        <v>325</v>
      </c>
      <c r="G243" s="110">
        <v>9000.0</v>
      </c>
      <c r="H243" s="121">
        <v>1200000.0</v>
      </c>
      <c r="I243" s="122" t="s">
        <v>212</v>
      </c>
      <c r="J243" s="121">
        <v>640000.0</v>
      </c>
      <c r="K243" s="128" t="s">
        <v>212</v>
      </c>
      <c r="L243" s="58">
        <f t="shared" si="25"/>
        <v>560000</v>
      </c>
      <c r="M243" s="61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18">
        <v>18.0</v>
      </c>
      <c r="B244" s="112">
        <v>45777.0</v>
      </c>
      <c r="C244" s="17" t="s">
        <v>747</v>
      </c>
      <c r="D244" s="17" t="s">
        <v>860</v>
      </c>
      <c r="E244" s="98" t="s">
        <v>123</v>
      </c>
      <c r="F244" s="98" t="s">
        <v>302</v>
      </c>
      <c r="G244" s="110">
        <v>9000.0</v>
      </c>
      <c r="H244" s="121">
        <v>720000.0</v>
      </c>
      <c r="I244" s="108" t="s">
        <v>238</v>
      </c>
      <c r="J244" s="121">
        <v>350000.0</v>
      </c>
      <c r="K244" s="128" t="s">
        <v>212</v>
      </c>
      <c r="L244" s="58">
        <f t="shared" si="25"/>
        <v>370000</v>
      </c>
      <c r="M244" s="61"/>
      <c r="N244" s="11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18">
        <v>19.0</v>
      </c>
      <c r="B245" s="112">
        <v>45777.0</v>
      </c>
      <c r="C245" s="17" t="s">
        <v>747</v>
      </c>
      <c r="D245" s="17" t="s">
        <v>860</v>
      </c>
      <c r="E245" s="98" t="s">
        <v>307</v>
      </c>
      <c r="F245" s="98" t="s">
        <v>308</v>
      </c>
      <c r="G245" s="110">
        <v>5000.0</v>
      </c>
      <c r="H245" s="135">
        <v>1494050.0</v>
      </c>
      <c r="I245" s="108" t="s">
        <v>238</v>
      </c>
      <c r="J245" s="109">
        <v>900000.0</v>
      </c>
      <c r="K245" s="128" t="s">
        <v>212</v>
      </c>
      <c r="L245" s="58">
        <f t="shared" si="25"/>
        <v>594050</v>
      </c>
      <c r="M245" s="106">
        <v>100000.0</v>
      </c>
      <c r="N245" s="11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18"/>
      <c r="B246" s="112"/>
      <c r="C246" s="17"/>
      <c r="D246" s="98"/>
      <c r="E246" s="98"/>
      <c r="F246" s="98"/>
      <c r="G246" s="110"/>
      <c r="H246" s="121"/>
      <c r="I246" s="59"/>
      <c r="J246" s="121"/>
      <c r="K246" s="109"/>
      <c r="L246" s="52">
        <f t="shared" ref="L246:M246" si="26">SUM(L227:L245)</f>
        <v>8872600</v>
      </c>
      <c r="M246" s="30">
        <f t="shared" si="26"/>
        <v>5878000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18"/>
      <c r="B247" s="112"/>
      <c r="C247" s="17"/>
      <c r="D247" s="98"/>
      <c r="E247" s="98"/>
      <c r="F247" s="98"/>
      <c r="G247" s="110"/>
      <c r="H247" s="121"/>
      <c r="I247" s="59"/>
      <c r="J247" s="121"/>
      <c r="K247" s="60"/>
      <c r="L247" s="33">
        <f>L246-M246</f>
        <v>2994600</v>
      </c>
      <c r="M247" s="26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1"/>
      <c r="B248" s="7"/>
      <c r="C248" s="17"/>
      <c r="D248" s="17"/>
      <c r="E248" s="17"/>
      <c r="F248" s="17"/>
      <c r="G248" s="57"/>
      <c r="H248" s="58"/>
      <c r="I248" s="59"/>
      <c r="J248" s="121"/>
      <c r="K248" s="60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9" t="s">
        <v>209</v>
      </c>
      <c r="B249" s="89" t="s">
        <v>0</v>
      </c>
      <c r="C249" s="89" t="s">
        <v>1</v>
      </c>
      <c r="D249" s="89" t="s">
        <v>2</v>
      </c>
      <c r="E249" s="90" t="s">
        <v>3</v>
      </c>
      <c r="F249" s="89" t="s">
        <v>4</v>
      </c>
      <c r="G249" s="91" t="s">
        <v>5</v>
      </c>
      <c r="H249" s="119" t="s">
        <v>6</v>
      </c>
      <c r="I249" s="92" t="s">
        <v>39</v>
      </c>
      <c r="J249" s="119" t="s">
        <v>7</v>
      </c>
      <c r="K249" s="91" t="s">
        <v>39</v>
      </c>
      <c r="L249" s="92" t="s">
        <v>8</v>
      </c>
      <c r="M249" s="120" t="s">
        <v>9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1">
        <v>1.0</v>
      </c>
      <c r="B250" s="112">
        <v>45779.0</v>
      </c>
      <c r="C250" s="17" t="s">
        <v>747</v>
      </c>
      <c r="D250" s="17" t="s">
        <v>860</v>
      </c>
      <c r="E250" s="98" t="s">
        <v>279</v>
      </c>
      <c r="F250" s="98" t="s">
        <v>295</v>
      </c>
      <c r="G250" s="110">
        <v>9000.0</v>
      </c>
      <c r="H250" s="121">
        <v>1125000.0</v>
      </c>
      <c r="I250" s="122" t="s">
        <v>212</v>
      </c>
      <c r="J250" s="121">
        <v>640000.0</v>
      </c>
      <c r="K250" s="128" t="s">
        <v>212</v>
      </c>
      <c r="L250" s="58">
        <f t="shared" ref="L250:L275" si="27">H250-J250</f>
        <v>485000</v>
      </c>
      <c r="M250" s="121">
        <v>225000.0</v>
      </c>
      <c r="N250" s="11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18">
        <v>2.0</v>
      </c>
      <c r="B251" s="112">
        <v>45780.0</v>
      </c>
      <c r="C251" s="17" t="s">
        <v>747</v>
      </c>
      <c r="D251" s="17" t="s">
        <v>860</v>
      </c>
      <c r="E251" s="98" t="s">
        <v>256</v>
      </c>
      <c r="F251" s="98" t="s">
        <v>348</v>
      </c>
      <c r="G251" s="110">
        <v>9000.0</v>
      </c>
      <c r="H251" s="121">
        <v>900000.0</v>
      </c>
      <c r="I251" s="115" t="s">
        <v>238</v>
      </c>
      <c r="J251" s="109">
        <v>450000.0</v>
      </c>
      <c r="K251" s="128" t="s">
        <v>212</v>
      </c>
      <c r="L251" s="58">
        <f t="shared" si="27"/>
        <v>450000</v>
      </c>
      <c r="M251" s="106">
        <v>203000.0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18">
        <v>3.0</v>
      </c>
      <c r="B252" s="112">
        <v>45782.0</v>
      </c>
      <c r="C252" s="17" t="s">
        <v>747</v>
      </c>
      <c r="D252" s="17" t="s">
        <v>860</v>
      </c>
      <c r="E252" s="98" t="s">
        <v>242</v>
      </c>
      <c r="F252" s="98" t="s">
        <v>259</v>
      </c>
      <c r="G252" s="110">
        <v>10000.0</v>
      </c>
      <c r="H252" s="121">
        <v>1500000.0</v>
      </c>
      <c r="I252" s="108" t="s">
        <v>238</v>
      </c>
      <c r="J252" s="121">
        <v>850000.0</v>
      </c>
      <c r="K252" s="109" t="s">
        <v>238</v>
      </c>
      <c r="L252" s="58">
        <f t="shared" si="27"/>
        <v>650000</v>
      </c>
      <c r="M252" s="61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18">
        <v>4.0</v>
      </c>
      <c r="B253" s="112">
        <v>45783.0</v>
      </c>
      <c r="C253" s="17" t="s">
        <v>747</v>
      </c>
      <c r="D253" s="17" t="s">
        <v>860</v>
      </c>
      <c r="E253" s="98" t="s">
        <v>279</v>
      </c>
      <c r="F253" s="98" t="s">
        <v>287</v>
      </c>
      <c r="G253" s="110">
        <v>9000.0</v>
      </c>
      <c r="H253" s="121">
        <v>1200000.0</v>
      </c>
      <c r="I253" s="122" t="s">
        <v>212</v>
      </c>
      <c r="J253" s="121">
        <v>690000.0</v>
      </c>
      <c r="K253" s="128" t="s">
        <v>212</v>
      </c>
      <c r="L253" s="58">
        <f t="shared" si="27"/>
        <v>510000</v>
      </c>
      <c r="M253" s="10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18">
        <v>5.0</v>
      </c>
      <c r="B254" s="112">
        <v>45784.0</v>
      </c>
      <c r="C254" s="17" t="s">
        <v>747</v>
      </c>
      <c r="D254" s="17" t="s">
        <v>860</v>
      </c>
      <c r="E254" s="98" t="s">
        <v>527</v>
      </c>
      <c r="F254" s="98" t="s">
        <v>319</v>
      </c>
      <c r="G254" s="110">
        <v>10000.0</v>
      </c>
      <c r="H254" s="121">
        <v>1973850.0</v>
      </c>
      <c r="I254" s="108" t="s">
        <v>238</v>
      </c>
      <c r="J254" s="121">
        <v>1000000.0</v>
      </c>
      <c r="K254" s="128" t="s">
        <v>212</v>
      </c>
      <c r="L254" s="58">
        <f t="shared" si="27"/>
        <v>973850</v>
      </c>
      <c r="M254" s="61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18">
        <v>6.0</v>
      </c>
      <c r="B255" s="112">
        <v>45785.0</v>
      </c>
      <c r="C255" s="17" t="s">
        <v>747</v>
      </c>
      <c r="D255" s="17" t="s">
        <v>860</v>
      </c>
      <c r="E255" s="98" t="s">
        <v>242</v>
      </c>
      <c r="F255" s="98" t="s">
        <v>271</v>
      </c>
      <c r="G255" s="110">
        <v>9000.0</v>
      </c>
      <c r="H255" s="121">
        <v>675000.0</v>
      </c>
      <c r="I255" s="122" t="s">
        <v>238</v>
      </c>
      <c r="J255" s="121">
        <v>375000.0</v>
      </c>
      <c r="K255" s="109" t="s">
        <v>212</v>
      </c>
      <c r="L255" s="58">
        <f t="shared" si="27"/>
        <v>300000</v>
      </c>
      <c r="M255" s="61"/>
      <c r="N255" s="32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18">
        <v>7.0</v>
      </c>
      <c r="B256" s="112">
        <v>45786.0</v>
      </c>
      <c r="C256" s="17" t="s">
        <v>747</v>
      </c>
      <c r="D256" s="17" t="s">
        <v>860</v>
      </c>
      <c r="E256" s="98" t="s">
        <v>243</v>
      </c>
      <c r="F256" s="204" t="s">
        <v>329</v>
      </c>
      <c r="G256" s="151">
        <v>10000.0</v>
      </c>
      <c r="H256" s="107">
        <v>1100000.0</v>
      </c>
      <c r="I256" s="108" t="s">
        <v>238</v>
      </c>
      <c r="J256" s="121">
        <v>600000.0</v>
      </c>
      <c r="K256" s="109" t="s">
        <v>212</v>
      </c>
      <c r="L256" s="58">
        <f t="shared" si="27"/>
        <v>500000</v>
      </c>
      <c r="M256" s="61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18">
        <v>8.0</v>
      </c>
      <c r="B257" s="112">
        <v>45787.0</v>
      </c>
      <c r="C257" s="17" t="s">
        <v>747</v>
      </c>
      <c r="D257" s="17" t="s">
        <v>860</v>
      </c>
      <c r="E257" s="98" t="s">
        <v>242</v>
      </c>
      <c r="F257" s="204" t="s">
        <v>259</v>
      </c>
      <c r="G257" s="151">
        <v>10000.0</v>
      </c>
      <c r="H257" s="135">
        <v>1500000.0</v>
      </c>
      <c r="I257" s="206" t="s">
        <v>238</v>
      </c>
      <c r="J257" s="207">
        <v>850000.0</v>
      </c>
      <c r="K257" s="128" t="s">
        <v>212</v>
      </c>
      <c r="L257" s="58">
        <f t="shared" si="27"/>
        <v>650000</v>
      </c>
      <c r="M257" s="106">
        <v>318000.0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18">
        <v>9.0</v>
      </c>
      <c r="B258" s="112">
        <v>45790.0</v>
      </c>
      <c r="C258" s="17" t="s">
        <v>747</v>
      </c>
      <c r="D258" s="17" t="s">
        <v>860</v>
      </c>
      <c r="E258" s="98" t="s">
        <v>279</v>
      </c>
      <c r="F258" s="98" t="s">
        <v>287</v>
      </c>
      <c r="G258" s="110">
        <v>9000.0</v>
      </c>
      <c r="H258" s="121">
        <v>1200000.0</v>
      </c>
      <c r="I258" s="122" t="s">
        <v>212</v>
      </c>
      <c r="J258" s="121">
        <v>690000.0</v>
      </c>
      <c r="K258" s="109" t="s">
        <v>238</v>
      </c>
      <c r="L258" s="58">
        <f t="shared" si="27"/>
        <v>510000</v>
      </c>
      <c r="M258" s="61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18">
        <v>10.0</v>
      </c>
      <c r="B259" s="112">
        <v>45791.0</v>
      </c>
      <c r="C259" s="17" t="s">
        <v>747</v>
      </c>
      <c r="D259" s="17" t="s">
        <v>860</v>
      </c>
      <c r="E259" s="98" t="s">
        <v>123</v>
      </c>
      <c r="F259" s="98" t="s">
        <v>271</v>
      </c>
      <c r="G259" s="110">
        <v>9000.0</v>
      </c>
      <c r="H259" s="121">
        <v>675000.0</v>
      </c>
      <c r="I259" s="115" t="s">
        <v>238</v>
      </c>
      <c r="J259" s="121">
        <v>375000.0</v>
      </c>
      <c r="K259" s="109" t="s">
        <v>238</v>
      </c>
      <c r="L259" s="58">
        <f t="shared" si="27"/>
        <v>300000</v>
      </c>
      <c r="M259" s="106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18">
        <v>11.0</v>
      </c>
      <c r="B260" s="112">
        <v>45791.0</v>
      </c>
      <c r="C260" s="17" t="s">
        <v>747</v>
      </c>
      <c r="D260" s="17" t="s">
        <v>860</v>
      </c>
      <c r="E260" s="98" t="s">
        <v>242</v>
      </c>
      <c r="F260" s="98" t="s">
        <v>302</v>
      </c>
      <c r="G260" s="110">
        <v>9000.0</v>
      </c>
      <c r="H260" s="121">
        <v>900000.0</v>
      </c>
      <c r="I260" s="115" t="s">
        <v>238</v>
      </c>
      <c r="J260" s="121">
        <v>375000.0</v>
      </c>
      <c r="K260" s="109" t="s">
        <v>238</v>
      </c>
      <c r="L260" s="58">
        <f t="shared" si="27"/>
        <v>525000</v>
      </c>
      <c r="M260" s="106"/>
      <c r="N260" s="11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18">
        <v>12.0</v>
      </c>
      <c r="B261" s="112">
        <v>45792.0</v>
      </c>
      <c r="C261" s="17" t="s">
        <v>747</v>
      </c>
      <c r="D261" s="17" t="s">
        <v>860</v>
      </c>
      <c r="E261" s="98" t="s">
        <v>279</v>
      </c>
      <c r="F261" s="98" t="s">
        <v>303</v>
      </c>
      <c r="G261" s="110">
        <v>9000.0</v>
      </c>
      <c r="H261" s="121">
        <v>1215000.0</v>
      </c>
      <c r="I261" s="115" t="s">
        <v>238</v>
      </c>
      <c r="J261" s="121">
        <v>700000.0</v>
      </c>
      <c r="K261" s="128" t="s">
        <v>212</v>
      </c>
      <c r="L261" s="58">
        <f t="shared" si="27"/>
        <v>515000</v>
      </c>
      <c r="M261" s="61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18">
        <v>13.0</v>
      </c>
      <c r="B262" s="112">
        <v>45793.0</v>
      </c>
      <c r="C262" s="17" t="s">
        <v>747</v>
      </c>
      <c r="D262" s="17" t="s">
        <v>860</v>
      </c>
      <c r="E262" s="98" t="s">
        <v>320</v>
      </c>
      <c r="F262" s="98" t="s">
        <v>301</v>
      </c>
      <c r="G262" s="110">
        <v>10000.0</v>
      </c>
      <c r="H262" s="121">
        <v>900000.0</v>
      </c>
      <c r="I262" s="122" t="s">
        <v>212</v>
      </c>
      <c r="J262" s="109">
        <v>550000.0</v>
      </c>
      <c r="K262" s="109" t="s">
        <v>238</v>
      </c>
      <c r="L262" s="58">
        <f t="shared" si="27"/>
        <v>350000</v>
      </c>
      <c r="M262" s="61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18">
        <v>14.0</v>
      </c>
      <c r="B263" s="112">
        <v>45794.0</v>
      </c>
      <c r="C263" s="17" t="s">
        <v>747</v>
      </c>
      <c r="D263" s="17" t="s">
        <v>860</v>
      </c>
      <c r="E263" s="98" t="s">
        <v>320</v>
      </c>
      <c r="F263" s="98" t="s">
        <v>348</v>
      </c>
      <c r="G263" s="110">
        <v>10000.0</v>
      </c>
      <c r="H263" s="107">
        <v>1000000.0</v>
      </c>
      <c r="I263" s="108" t="s">
        <v>238</v>
      </c>
      <c r="J263" s="121">
        <v>475000.0</v>
      </c>
      <c r="K263" s="109" t="s">
        <v>238</v>
      </c>
      <c r="L263" s="58">
        <f t="shared" si="27"/>
        <v>525000</v>
      </c>
      <c r="M263" s="61"/>
      <c r="N263" s="11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18">
        <v>15.0</v>
      </c>
      <c r="B264" s="112">
        <v>45796.0</v>
      </c>
      <c r="C264" s="17" t="s">
        <v>747</v>
      </c>
      <c r="D264" s="17" t="s">
        <v>860</v>
      </c>
      <c r="E264" s="98" t="s">
        <v>322</v>
      </c>
      <c r="F264" s="98" t="s">
        <v>271</v>
      </c>
      <c r="G264" s="110">
        <v>9000.0</v>
      </c>
      <c r="H264" s="107">
        <v>675000.0</v>
      </c>
      <c r="I264" s="115" t="s">
        <v>238</v>
      </c>
      <c r="J264" s="121">
        <v>400000.0</v>
      </c>
      <c r="K264" s="109" t="s">
        <v>238</v>
      </c>
      <c r="L264" s="58">
        <f t="shared" si="27"/>
        <v>275000</v>
      </c>
      <c r="M264" s="61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18">
        <v>16.0</v>
      </c>
      <c r="B265" s="112">
        <v>45796.0</v>
      </c>
      <c r="C265" s="17" t="s">
        <v>747</v>
      </c>
      <c r="D265" s="17" t="s">
        <v>860</v>
      </c>
      <c r="E265" s="98" t="s">
        <v>243</v>
      </c>
      <c r="F265" s="98" t="s">
        <v>323</v>
      </c>
      <c r="G265" s="110">
        <v>9000.0</v>
      </c>
      <c r="H265" s="107">
        <v>1350000.0</v>
      </c>
      <c r="I265" s="108" t="s">
        <v>238</v>
      </c>
      <c r="J265" s="121">
        <v>780000.0</v>
      </c>
      <c r="K265" s="109" t="s">
        <v>238</v>
      </c>
      <c r="L265" s="58">
        <f t="shared" si="27"/>
        <v>570000</v>
      </c>
      <c r="M265" s="106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18">
        <v>17.0</v>
      </c>
      <c r="B266" s="112">
        <v>45797.0</v>
      </c>
      <c r="C266" s="17" t="s">
        <v>747</v>
      </c>
      <c r="D266" s="17" t="s">
        <v>860</v>
      </c>
      <c r="E266" s="98" t="s">
        <v>243</v>
      </c>
      <c r="F266" s="98" t="s">
        <v>329</v>
      </c>
      <c r="G266" s="110">
        <v>10000.0</v>
      </c>
      <c r="H266" s="107">
        <v>1100000.0</v>
      </c>
      <c r="I266" s="115" t="s">
        <v>238</v>
      </c>
      <c r="J266" s="121">
        <v>600000.0</v>
      </c>
      <c r="K266" s="128" t="s">
        <v>212</v>
      </c>
      <c r="L266" s="58">
        <f t="shared" si="27"/>
        <v>500000</v>
      </c>
      <c r="M266" s="106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18">
        <v>18.0</v>
      </c>
      <c r="B267" s="112">
        <v>45798.0</v>
      </c>
      <c r="C267" s="17" t="s">
        <v>747</v>
      </c>
      <c r="D267" s="17" t="s">
        <v>860</v>
      </c>
      <c r="E267" s="98" t="s">
        <v>322</v>
      </c>
      <c r="F267" s="98" t="s">
        <v>317</v>
      </c>
      <c r="G267" s="110">
        <v>9000.0</v>
      </c>
      <c r="H267" s="107">
        <v>700000.0</v>
      </c>
      <c r="I267" s="122" t="s">
        <v>212</v>
      </c>
      <c r="J267" s="121">
        <v>450000.0</v>
      </c>
      <c r="K267" s="109" t="s">
        <v>238</v>
      </c>
      <c r="L267" s="58">
        <f t="shared" si="27"/>
        <v>250000</v>
      </c>
      <c r="M267" s="106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18">
        <v>19.0</v>
      </c>
      <c r="B268" s="112">
        <v>45799.0</v>
      </c>
      <c r="C268" s="17" t="s">
        <v>747</v>
      </c>
      <c r="D268" s="17" t="s">
        <v>860</v>
      </c>
      <c r="E268" s="98" t="s">
        <v>322</v>
      </c>
      <c r="F268" s="98" t="s">
        <v>249</v>
      </c>
      <c r="G268" s="110">
        <v>10000.0</v>
      </c>
      <c r="H268" s="107">
        <v>1550000.0</v>
      </c>
      <c r="I268" s="122" t="s">
        <v>212</v>
      </c>
      <c r="J268" s="121">
        <v>975000.0</v>
      </c>
      <c r="K268" s="109" t="s">
        <v>238</v>
      </c>
      <c r="L268" s="58">
        <f t="shared" si="27"/>
        <v>575000</v>
      </c>
      <c r="M268" s="61"/>
      <c r="N268" s="11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18">
        <v>20.0</v>
      </c>
      <c r="B269" s="112">
        <v>45800.0</v>
      </c>
      <c r="C269" s="17" t="s">
        <v>747</v>
      </c>
      <c r="D269" s="17" t="s">
        <v>860</v>
      </c>
      <c r="E269" s="98" t="s">
        <v>305</v>
      </c>
      <c r="F269" s="98" t="s">
        <v>295</v>
      </c>
      <c r="G269" s="110">
        <v>9000.0</v>
      </c>
      <c r="H269" s="121">
        <v>1125000.0</v>
      </c>
      <c r="I269" s="122" t="s">
        <v>212</v>
      </c>
      <c r="J269" s="109">
        <v>640000.0</v>
      </c>
      <c r="K269" s="109" t="s">
        <v>238</v>
      </c>
      <c r="L269" s="58">
        <f t="shared" si="27"/>
        <v>485000</v>
      </c>
      <c r="M269" s="106"/>
      <c r="N269" s="11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18">
        <v>21.0</v>
      </c>
      <c r="B270" s="112">
        <v>45801.0</v>
      </c>
      <c r="C270" s="17" t="s">
        <v>747</v>
      </c>
      <c r="D270" s="17" t="s">
        <v>860</v>
      </c>
      <c r="E270" s="98" t="s">
        <v>527</v>
      </c>
      <c r="F270" s="98" t="s">
        <v>349</v>
      </c>
      <c r="G270" s="110">
        <v>10000.0</v>
      </c>
      <c r="H270" s="107">
        <v>1500000.0</v>
      </c>
      <c r="I270" s="108" t="s">
        <v>238</v>
      </c>
      <c r="J270" s="134">
        <v>700000.0</v>
      </c>
      <c r="K270" s="109" t="s">
        <v>238</v>
      </c>
      <c r="L270" s="58">
        <f t="shared" si="27"/>
        <v>800000</v>
      </c>
      <c r="M270" s="106"/>
      <c r="N270" s="11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18">
        <v>22.0</v>
      </c>
      <c r="B271" s="112">
        <v>45803.0</v>
      </c>
      <c r="C271" s="17" t="s">
        <v>747</v>
      </c>
      <c r="D271" s="17" t="s">
        <v>860</v>
      </c>
      <c r="E271" s="98" t="s">
        <v>322</v>
      </c>
      <c r="F271" s="98" t="s">
        <v>326</v>
      </c>
      <c r="G271" s="110">
        <v>10000.0</v>
      </c>
      <c r="H271" s="107">
        <v>1500000.0</v>
      </c>
      <c r="I271" s="115" t="s">
        <v>238</v>
      </c>
      <c r="J271" s="121">
        <v>975000.0</v>
      </c>
      <c r="K271" s="128" t="s">
        <v>212</v>
      </c>
      <c r="L271" s="58">
        <f t="shared" si="27"/>
        <v>525000</v>
      </c>
      <c r="M271" s="106">
        <v>219000.0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18">
        <v>23.0</v>
      </c>
      <c r="B272" s="112">
        <v>45804.0</v>
      </c>
      <c r="C272" s="17" t="s">
        <v>747</v>
      </c>
      <c r="D272" s="17" t="s">
        <v>860</v>
      </c>
      <c r="E272" s="98" t="s">
        <v>334</v>
      </c>
      <c r="F272" s="98" t="s">
        <v>910</v>
      </c>
      <c r="G272" s="110">
        <v>10000.0</v>
      </c>
      <c r="H272" s="107">
        <v>720000.0</v>
      </c>
      <c r="I272" s="122" t="s">
        <v>212</v>
      </c>
      <c r="J272" s="121">
        <v>400000.0</v>
      </c>
      <c r="K272" s="109" t="s">
        <v>238</v>
      </c>
      <c r="L272" s="58">
        <f t="shared" si="27"/>
        <v>320000</v>
      </c>
      <c r="N272" s="11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18">
        <v>24.0</v>
      </c>
      <c r="B273" s="112">
        <v>45805.0</v>
      </c>
      <c r="C273" s="17" t="s">
        <v>747</v>
      </c>
      <c r="D273" s="17" t="s">
        <v>860</v>
      </c>
      <c r="E273" s="98" t="s">
        <v>322</v>
      </c>
      <c r="F273" s="98" t="s">
        <v>214</v>
      </c>
      <c r="G273" s="110">
        <v>10000.0</v>
      </c>
      <c r="H273" s="121">
        <v>1500000.0</v>
      </c>
      <c r="I273" s="108" t="s">
        <v>238</v>
      </c>
      <c r="J273" s="121">
        <v>975000.0</v>
      </c>
      <c r="K273" s="109" t="s">
        <v>238</v>
      </c>
      <c r="L273" s="58">
        <f t="shared" si="27"/>
        <v>525000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98">
        <v>25.0</v>
      </c>
      <c r="B274" s="112">
        <v>45807.0</v>
      </c>
      <c r="C274" s="17" t="s">
        <v>747</v>
      </c>
      <c r="D274" s="17" t="s">
        <v>860</v>
      </c>
      <c r="E274" s="98" t="s">
        <v>322</v>
      </c>
      <c r="F274" s="98" t="s">
        <v>303</v>
      </c>
      <c r="G274" s="110">
        <v>9000.0</v>
      </c>
      <c r="H274" s="121">
        <v>1215000.0</v>
      </c>
      <c r="I274" s="122" t="s">
        <v>238</v>
      </c>
      <c r="J274" s="121">
        <v>725000.0</v>
      </c>
      <c r="K274" s="128" t="s">
        <v>212</v>
      </c>
      <c r="L274" s="58">
        <f t="shared" si="27"/>
        <v>490000</v>
      </c>
      <c r="M274" s="104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98">
        <v>26.0</v>
      </c>
      <c r="B275" s="112">
        <v>45808.0</v>
      </c>
      <c r="C275" s="17" t="s">
        <v>747</v>
      </c>
      <c r="D275" s="17" t="s">
        <v>860</v>
      </c>
      <c r="E275" s="98" t="s">
        <v>320</v>
      </c>
      <c r="F275" s="98" t="s">
        <v>329</v>
      </c>
      <c r="G275" s="110">
        <v>10000.0</v>
      </c>
      <c r="H275" s="121">
        <v>1100000.0</v>
      </c>
      <c r="I275" s="122" t="s">
        <v>238</v>
      </c>
      <c r="J275" s="121">
        <v>600000.0</v>
      </c>
      <c r="K275" s="109" t="s">
        <v>238</v>
      </c>
      <c r="L275" s="58">
        <f t="shared" si="27"/>
        <v>500000</v>
      </c>
      <c r="M275" s="104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7"/>
      <c r="B276" s="7"/>
      <c r="C276" s="7"/>
      <c r="D276" s="7"/>
      <c r="E276" s="17"/>
      <c r="F276" s="17"/>
      <c r="G276" s="57"/>
      <c r="H276" s="104"/>
      <c r="I276" s="103"/>
      <c r="J276" s="104"/>
      <c r="K276" s="101"/>
      <c r="L276" s="52">
        <f t="shared" ref="L276:M276" si="28">SUM(L250:L271)</f>
        <v>11223850</v>
      </c>
      <c r="M276" s="30">
        <f t="shared" si="28"/>
        <v>965000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7"/>
      <c r="B277" s="7"/>
      <c r="C277" s="7"/>
      <c r="D277" s="7"/>
      <c r="E277" s="17"/>
      <c r="F277" s="17"/>
      <c r="G277" s="57"/>
      <c r="H277" s="104"/>
      <c r="I277" s="103"/>
      <c r="J277" s="104"/>
      <c r="K277" s="101"/>
      <c r="L277" s="33">
        <f>L276-M276</f>
        <v>10258850</v>
      </c>
      <c r="M277" s="26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7"/>
      <c r="B278" s="7"/>
      <c r="C278" s="7"/>
      <c r="D278" s="7"/>
      <c r="E278" s="17"/>
      <c r="F278" s="17"/>
      <c r="G278" s="57"/>
      <c r="H278" s="104"/>
      <c r="I278" s="103"/>
      <c r="J278" s="104"/>
      <c r="K278" s="101"/>
      <c r="L278" s="104"/>
      <c r="M278" s="104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36" t="s">
        <v>209</v>
      </c>
      <c r="B279" s="136" t="s">
        <v>0</v>
      </c>
      <c r="C279" s="136" t="s">
        <v>1</v>
      </c>
      <c r="D279" s="136" t="s">
        <v>2</v>
      </c>
      <c r="E279" s="137" t="s">
        <v>3</v>
      </c>
      <c r="F279" s="136" t="s">
        <v>4</v>
      </c>
      <c r="G279" s="138" t="s">
        <v>5</v>
      </c>
      <c r="H279" s="139" t="s">
        <v>6</v>
      </c>
      <c r="I279" s="140" t="s">
        <v>39</v>
      </c>
      <c r="J279" s="139" t="s">
        <v>7</v>
      </c>
      <c r="K279" s="138" t="s">
        <v>39</v>
      </c>
      <c r="L279" s="140" t="s">
        <v>8</v>
      </c>
      <c r="M279" s="141" t="s">
        <v>9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7">
        <v>1.0</v>
      </c>
      <c r="B280" s="142">
        <v>45810.0</v>
      </c>
      <c r="C280" s="17" t="s">
        <v>747</v>
      </c>
      <c r="D280" s="17" t="s">
        <v>860</v>
      </c>
      <c r="E280" s="144" t="s">
        <v>911</v>
      </c>
      <c r="F280" s="144" t="s">
        <v>313</v>
      </c>
      <c r="G280" s="132">
        <v>9000.0</v>
      </c>
      <c r="H280" s="134">
        <v>1200000.0</v>
      </c>
      <c r="I280" s="122" t="s">
        <v>212</v>
      </c>
      <c r="J280" s="134">
        <v>665000.0</v>
      </c>
      <c r="K280" s="128" t="s">
        <v>212</v>
      </c>
      <c r="L280" s="146">
        <f t="shared" ref="L280:L300" si="29">H280-J280</f>
        <v>535000</v>
      </c>
      <c r="M280" s="326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18">
        <v>2.0</v>
      </c>
      <c r="B281" s="142">
        <v>45811.0</v>
      </c>
      <c r="C281" s="17" t="s">
        <v>747</v>
      </c>
      <c r="D281" s="17" t="s">
        <v>860</v>
      </c>
      <c r="E281" s="98" t="s">
        <v>322</v>
      </c>
      <c r="F281" s="144" t="s">
        <v>294</v>
      </c>
      <c r="G281" s="110">
        <v>9000.0</v>
      </c>
      <c r="H281" s="121">
        <v>765000.0</v>
      </c>
      <c r="I281" s="122" t="s">
        <v>212</v>
      </c>
      <c r="J281" s="121">
        <v>425000.0</v>
      </c>
      <c r="K281" s="128" t="s">
        <v>212</v>
      </c>
      <c r="L281" s="146">
        <f t="shared" si="29"/>
        <v>340000</v>
      </c>
      <c r="M281" s="121">
        <v>550000.0</v>
      </c>
      <c r="N281" s="11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18">
        <v>3.0</v>
      </c>
      <c r="B282" s="142">
        <v>45812.0</v>
      </c>
      <c r="C282" s="17" t="s">
        <v>747</v>
      </c>
      <c r="D282" s="17" t="s">
        <v>860</v>
      </c>
      <c r="E282" s="98" t="s">
        <v>322</v>
      </c>
      <c r="F282" s="144" t="s">
        <v>303</v>
      </c>
      <c r="G282" s="110">
        <v>9000.0</v>
      </c>
      <c r="H282" s="121">
        <v>1215000.0</v>
      </c>
      <c r="I282" s="122" t="s">
        <v>238</v>
      </c>
      <c r="J282" s="121">
        <v>725000.0</v>
      </c>
      <c r="K282" s="128" t="s">
        <v>212</v>
      </c>
      <c r="L282" s="146">
        <f t="shared" si="29"/>
        <v>490000</v>
      </c>
      <c r="M282" s="104"/>
      <c r="N282" s="11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18">
        <v>4.0</v>
      </c>
      <c r="B283" s="142">
        <v>45813.0</v>
      </c>
      <c r="C283" s="17" t="s">
        <v>747</v>
      </c>
      <c r="D283" s="17" t="s">
        <v>860</v>
      </c>
      <c r="E283" s="98" t="s">
        <v>243</v>
      </c>
      <c r="F283" s="144" t="s">
        <v>323</v>
      </c>
      <c r="G283" s="110">
        <v>9000.0</v>
      </c>
      <c r="H283" s="121">
        <v>1350000.0</v>
      </c>
      <c r="I283" s="122" t="s">
        <v>238</v>
      </c>
      <c r="J283" s="121">
        <v>780000.0</v>
      </c>
      <c r="K283" s="128" t="s">
        <v>212</v>
      </c>
      <c r="L283" s="146">
        <f t="shared" si="29"/>
        <v>570000</v>
      </c>
      <c r="M283" s="121">
        <v>67000.0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18">
        <v>5.0</v>
      </c>
      <c r="B284" s="142">
        <v>45817.0</v>
      </c>
      <c r="C284" s="17" t="s">
        <v>747</v>
      </c>
      <c r="D284" s="17" t="s">
        <v>860</v>
      </c>
      <c r="E284" s="98" t="s">
        <v>243</v>
      </c>
      <c r="F284" s="144" t="s">
        <v>512</v>
      </c>
      <c r="G284" s="151">
        <v>9000.0</v>
      </c>
      <c r="H284" s="121">
        <v>900000.0</v>
      </c>
      <c r="I284" s="122" t="s">
        <v>238</v>
      </c>
      <c r="J284" s="121">
        <v>450000.0</v>
      </c>
      <c r="K284" s="128" t="s">
        <v>238</v>
      </c>
      <c r="L284" s="146">
        <f t="shared" si="29"/>
        <v>450000</v>
      </c>
      <c r="M284" s="121">
        <v>15000.0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18">
        <v>6.0</v>
      </c>
      <c r="B285" s="142">
        <v>45818.0</v>
      </c>
      <c r="C285" s="17" t="s">
        <v>747</v>
      </c>
      <c r="D285" s="17" t="s">
        <v>860</v>
      </c>
      <c r="E285" s="98" t="s">
        <v>243</v>
      </c>
      <c r="F285" s="144" t="s">
        <v>329</v>
      </c>
      <c r="G285" s="110">
        <v>10000.0</v>
      </c>
      <c r="H285" s="121">
        <v>1100000.0</v>
      </c>
      <c r="I285" s="122" t="s">
        <v>238</v>
      </c>
      <c r="J285" s="121">
        <v>600000.0</v>
      </c>
      <c r="K285" s="128" t="s">
        <v>238</v>
      </c>
      <c r="L285" s="146">
        <f t="shared" si="29"/>
        <v>500000</v>
      </c>
      <c r="M285" s="104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18">
        <v>7.0</v>
      </c>
      <c r="B286" s="142">
        <v>45819.0</v>
      </c>
      <c r="C286" s="17" t="s">
        <v>747</v>
      </c>
      <c r="D286" s="17" t="s">
        <v>860</v>
      </c>
      <c r="E286" s="98" t="s">
        <v>299</v>
      </c>
      <c r="F286" s="144" t="s">
        <v>316</v>
      </c>
      <c r="G286" s="110">
        <v>9000.0</v>
      </c>
      <c r="H286" s="121">
        <v>720000.0</v>
      </c>
      <c r="I286" s="122" t="s">
        <v>212</v>
      </c>
      <c r="J286" s="121">
        <v>350000.0</v>
      </c>
      <c r="K286" s="128" t="s">
        <v>238</v>
      </c>
      <c r="L286" s="146">
        <f t="shared" si="29"/>
        <v>370000</v>
      </c>
      <c r="M286" s="104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18">
        <v>8.0</v>
      </c>
      <c r="B287" s="142">
        <v>45820.0</v>
      </c>
      <c r="C287" s="17" t="s">
        <v>747</v>
      </c>
      <c r="D287" s="17" t="s">
        <v>860</v>
      </c>
      <c r="E287" s="98" t="s">
        <v>243</v>
      </c>
      <c r="F287" s="144" t="s">
        <v>323</v>
      </c>
      <c r="G287" s="110">
        <v>9000.0</v>
      </c>
      <c r="H287" s="121">
        <v>1350000.0</v>
      </c>
      <c r="I287" s="122" t="s">
        <v>238</v>
      </c>
      <c r="J287" s="121">
        <v>780000.0</v>
      </c>
      <c r="K287" s="128" t="s">
        <v>238</v>
      </c>
      <c r="L287" s="146">
        <f t="shared" si="29"/>
        <v>570000</v>
      </c>
      <c r="M287" s="104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18">
        <v>9.0</v>
      </c>
      <c r="B288" s="142">
        <v>45821.0</v>
      </c>
      <c r="C288" s="17" t="s">
        <v>747</v>
      </c>
      <c r="D288" s="17" t="s">
        <v>860</v>
      </c>
      <c r="E288" s="98" t="s">
        <v>327</v>
      </c>
      <c r="F288" s="144" t="s">
        <v>303</v>
      </c>
      <c r="G288" s="110">
        <v>9000.0</v>
      </c>
      <c r="H288" s="121">
        <v>1215000.0</v>
      </c>
      <c r="I288" s="122" t="s">
        <v>238</v>
      </c>
      <c r="J288" s="121">
        <v>700000.0</v>
      </c>
      <c r="K288" s="128" t="s">
        <v>238</v>
      </c>
      <c r="L288" s="146">
        <f t="shared" si="29"/>
        <v>515000</v>
      </c>
      <c r="M288" s="104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18">
        <v>10.0</v>
      </c>
      <c r="B289" s="142">
        <v>45822.0</v>
      </c>
      <c r="C289" s="17" t="s">
        <v>747</v>
      </c>
      <c r="D289" s="17" t="s">
        <v>860</v>
      </c>
      <c r="E289" s="98" t="s">
        <v>243</v>
      </c>
      <c r="F289" s="144" t="s">
        <v>295</v>
      </c>
      <c r="G289" s="110">
        <v>9000.0</v>
      </c>
      <c r="H289" s="121">
        <v>1125000.0</v>
      </c>
      <c r="I289" s="122" t="s">
        <v>212</v>
      </c>
      <c r="J289" s="121">
        <v>640000.0</v>
      </c>
      <c r="K289" s="128" t="s">
        <v>212</v>
      </c>
      <c r="L289" s="146">
        <f t="shared" si="29"/>
        <v>485000</v>
      </c>
      <c r="M289" s="121">
        <v>500000.0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18">
        <v>11.0</v>
      </c>
      <c r="B290" s="142">
        <v>45824.0</v>
      </c>
      <c r="C290" s="17" t="s">
        <v>747</v>
      </c>
      <c r="D290" s="17" t="s">
        <v>860</v>
      </c>
      <c r="E290" s="98" t="s">
        <v>320</v>
      </c>
      <c r="F290" s="144" t="s">
        <v>316</v>
      </c>
      <c r="G290" s="110">
        <v>9000.0</v>
      </c>
      <c r="H290" s="121">
        <v>720000.0</v>
      </c>
      <c r="I290" s="122" t="s">
        <v>212</v>
      </c>
      <c r="J290" s="121">
        <v>400000.0</v>
      </c>
      <c r="K290" s="128" t="s">
        <v>212</v>
      </c>
      <c r="L290" s="146">
        <f t="shared" si="29"/>
        <v>320000</v>
      </c>
      <c r="M290" s="121"/>
      <c r="N290" s="11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18">
        <v>12.0</v>
      </c>
      <c r="B291" s="142">
        <v>45825.0</v>
      </c>
      <c r="C291" s="17" t="s">
        <v>747</v>
      </c>
      <c r="D291" s="17" t="s">
        <v>860</v>
      </c>
      <c r="E291" s="98" t="s">
        <v>320</v>
      </c>
      <c r="F291" s="144" t="s">
        <v>324</v>
      </c>
      <c r="G291" s="110">
        <v>10000.0</v>
      </c>
      <c r="H291" s="121">
        <v>750000.0</v>
      </c>
      <c r="I291" s="122" t="s">
        <v>212</v>
      </c>
      <c r="J291" s="121">
        <v>425000.0</v>
      </c>
      <c r="K291" s="128" t="s">
        <v>212</v>
      </c>
      <c r="L291" s="146">
        <f t="shared" si="29"/>
        <v>325000</v>
      </c>
      <c r="M291" s="104"/>
      <c r="N291" s="11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18">
        <v>13.0</v>
      </c>
      <c r="B292" s="142">
        <v>45825.0</v>
      </c>
      <c r="C292" s="17" t="s">
        <v>747</v>
      </c>
      <c r="D292" s="17" t="s">
        <v>860</v>
      </c>
      <c r="E292" s="98" t="s">
        <v>305</v>
      </c>
      <c r="F292" s="144" t="s">
        <v>295</v>
      </c>
      <c r="G292" s="110">
        <v>9000.0</v>
      </c>
      <c r="H292" s="121">
        <v>1125000.0</v>
      </c>
      <c r="I292" s="115" t="s">
        <v>212</v>
      </c>
      <c r="J292" s="121">
        <v>640000.0</v>
      </c>
      <c r="K292" s="128" t="s">
        <v>212</v>
      </c>
      <c r="L292" s="146">
        <f t="shared" si="29"/>
        <v>485000</v>
      </c>
      <c r="M292" s="121">
        <v>70000.0</v>
      </c>
      <c r="N292" s="11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18">
        <v>14.0</v>
      </c>
      <c r="B293" s="142">
        <v>45826.0</v>
      </c>
      <c r="C293" s="17" t="s">
        <v>747</v>
      </c>
      <c r="D293" s="17" t="s">
        <v>860</v>
      </c>
      <c r="E293" s="98" t="s">
        <v>320</v>
      </c>
      <c r="F293" s="98" t="s">
        <v>316</v>
      </c>
      <c r="G293" s="110">
        <v>10000.0</v>
      </c>
      <c r="H293" s="121">
        <v>800000.0</v>
      </c>
      <c r="I293" s="115" t="s">
        <v>212</v>
      </c>
      <c r="J293" s="121">
        <v>425000.0</v>
      </c>
      <c r="K293" s="128" t="s">
        <v>212</v>
      </c>
      <c r="L293" s="146">
        <f t="shared" si="29"/>
        <v>375000</v>
      </c>
      <c r="M293" s="104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18">
        <v>15.0</v>
      </c>
      <c r="B294" s="142">
        <v>45826.0</v>
      </c>
      <c r="C294" s="17" t="s">
        <v>747</v>
      </c>
      <c r="D294" s="17" t="s">
        <v>860</v>
      </c>
      <c r="E294" s="98" t="s">
        <v>243</v>
      </c>
      <c r="F294" s="98" t="s">
        <v>329</v>
      </c>
      <c r="G294" s="110">
        <v>10000.0</v>
      </c>
      <c r="H294" s="121">
        <v>1100000.0</v>
      </c>
      <c r="I294" s="122" t="s">
        <v>238</v>
      </c>
      <c r="J294" s="121">
        <v>600000.0</v>
      </c>
      <c r="K294" s="128" t="s">
        <v>212</v>
      </c>
      <c r="L294" s="146">
        <f t="shared" si="29"/>
        <v>500000</v>
      </c>
      <c r="M294" s="104"/>
      <c r="N294" s="11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18">
        <v>16.0</v>
      </c>
      <c r="B295" s="142">
        <v>45831.0</v>
      </c>
      <c r="C295" s="17" t="s">
        <v>747</v>
      </c>
      <c r="D295" s="17" t="s">
        <v>860</v>
      </c>
      <c r="E295" s="98" t="s">
        <v>242</v>
      </c>
      <c r="F295" s="98" t="s">
        <v>302</v>
      </c>
      <c r="G295" s="110">
        <v>9000.0</v>
      </c>
      <c r="H295" s="121">
        <v>900000.0</v>
      </c>
      <c r="I295" s="122" t="s">
        <v>238</v>
      </c>
      <c r="J295" s="121">
        <v>350000.0</v>
      </c>
      <c r="K295" s="128" t="s">
        <v>238</v>
      </c>
      <c r="L295" s="146">
        <f t="shared" si="29"/>
        <v>550000</v>
      </c>
      <c r="M295" s="104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18">
        <v>17.0</v>
      </c>
      <c r="B296" s="142">
        <v>45832.0</v>
      </c>
      <c r="C296" s="17" t="s">
        <v>747</v>
      </c>
      <c r="D296" s="17" t="s">
        <v>860</v>
      </c>
      <c r="E296" s="98" t="s">
        <v>322</v>
      </c>
      <c r="F296" s="98" t="s">
        <v>302</v>
      </c>
      <c r="G296" s="110">
        <v>9000.0</v>
      </c>
      <c r="H296" s="121">
        <v>900000.0</v>
      </c>
      <c r="I296" s="122" t="s">
        <v>238</v>
      </c>
      <c r="J296" s="121">
        <v>375000.0</v>
      </c>
      <c r="K296" s="128" t="s">
        <v>212</v>
      </c>
      <c r="L296" s="146">
        <f t="shared" si="29"/>
        <v>525000</v>
      </c>
      <c r="M296" s="104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98">
        <v>18.0</v>
      </c>
      <c r="B297" s="142">
        <v>45833.0</v>
      </c>
      <c r="C297" s="17" t="s">
        <v>747</v>
      </c>
      <c r="D297" s="17" t="s">
        <v>860</v>
      </c>
      <c r="E297" s="98" t="s">
        <v>243</v>
      </c>
      <c r="F297" s="98" t="s">
        <v>323</v>
      </c>
      <c r="G297" s="110">
        <v>9000.0</v>
      </c>
      <c r="H297" s="121">
        <v>1350000.0</v>
      </c>
      <c r="I297" s="122" t="s">
        <v>238</v>
      </c>
      <c r="J297" s="121">
        <v>780000.0</v>
      </c>
      <c r="K297" s="128" t="s">
        <v>238</v>
      </c>
      <c r="L297" s="146">
        <f t="shared" si="29"/>
        <v>570000</v>
      </c>
      <c r="M297" s="104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98">
        <v>19.0</v>
      </c>
      <c r="B298" s="142">
        <v>45834.0</v>
      </c>
      <c r="C298" s="17" t="s">
        <v>747</v>
      </c>
      <c r="D298" s="17" t="s">
        <v>860</v>
      </c>
      <c r="E298" s="98" t="s">
        <v>322</v>
      </c>
      <c r="F298" s="98" t="s">
        <v>214</v>
      </c>
      <c r="G298" s="110">
        <v>9000.0</v>
      </c>
      <c r="H298" s="121">
        <v>1350000.0</v>
      </c>
      <c r="I298" s="122" t="s">
        <v>238</v>
      </c>
      <c r="J298" s="121">
        <v>925000.0</v>
      </c>
      <c r="K298" s="128" t="s">
        <v>238</v>
      </c>
      <c r="L298" s="146">
        <f t="shared" si="29"/>
        <v>425000</v>
      </c>
      <c r="M298" s="10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98">
        <v>20.0</v>
      </c>
      <c r="B299" s="142">
        <v>45836.0</v>
      </c>
      <c r="C299" s="17" t="s">
        <v>747</v>
      </c>
      <c r="D299" s="17" t="s">
        <v>860</v>
      </c>
      <c r="E299" s="98" t="s">
        <v>243</v>
      </c>
      <c r="F299" s="98" t="s">
        <v>323</v>
      </c>
      <c r="G299" s="110">
        <v>9000.0</v>
      </c>
      <c r="H299" s="121">
        <v>1350000.0</v>
      </c>
      <c r="I299" s="122" t="s">
        <v>238</v>
      </c>
      <c r="J299" s="121">
        <v>780000.0</v>
      </c>
      <c r="K299" s="128" t="s">
        <v>238</v>
      </c>
      <c r="L299" s="146">
        <f t="shared" si="29"/>
        <v>570000</v>
      </c>
      <c r="M299" s="121">
        <v>301000.0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98">
        <v>21.0</v>
      </c>
      <c r="B300" s="142">
        <v>45838.0</v>
      </c>
      <c r="C300" s="17" t="s">
        <v>747</v>
      </c>
      <c r="D300" s="17" t="s">
        <v>860</v>
      </c>
      <c r="E300" s="98" t="s">
        <v>912</v>
      </c>
      <c r="F300" s="98" t="s">
        <v>333</v>
      </c>
      <c r="G300" s="110">
        <v>9000.0</v>
      </c>
      <c r="H300" s="107">
        <v>1350000.0</v>
      </c>
      <c r="I300" s="122" t="s">
        <v>238</v>
      </c>
      <c r="J300" s="109">
        <v>850000.0</v>
      </c>
      <c r="K300" s="128" t="s">
        <v>238</v>
      </c>
      <c r="L300" s="146">
        <f t="shared" si="29"/>
        <v>500000</v>
      </c>
      <c r="M300" s="104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7"/>
      <c r="B301" s="7"/>
      <c r="C301" s="7"/>
      <c r="D301" s="7"/>
      <c r="E301" s="17"/>
      <c r="F301" s="17"/>
      <c r="G301" s="57"/>
      <c r="H301" s="104"/>
      <c r="I301" s="103"/>
      <c r="J301" s="104"/>
      <c r="K301" s="101"/>
      <c r="L301" s="52">
        <f t="shared" ref="L301:M301" si="30">SUM(L280:L300)</f>
        <v>9970000</v>
      </c>
      <c r="M301" s="30">
        <f t="shared" si="30"/>
        <v>1503000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7"/>
      <c r="B302" s="7"/>
      <c r="C302" s="7"/>
      <c r="D302" s="7"/>
      <c r="E302" s="17"/>
      <c r="F302" s="17"/>
      <c r="G302" s="57"/>
      <c r="H302" s="121"/>
      <c r="I302" s="103"/>
      <c r="J302" s="104"/>
      <c r="K302" s="101"/>
      <c r="L302" s="33">
        <f>L301-M301</f>
        <v>8467000</v>
      </c>
      <c r="M302" s="26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7"/>
      <c r="B303" s="7"/>
      <c r="C303" s="7"/>
      <c r="D303" s="7"/>
      <c r="E303" s="17"/>
      <c r="F303" s="17"/>
      <c r="G303" s="57"/>
      <c r="H303" s="104"/>
      <c r="I303" s="103"/>
      <c r="J303" s="104"/>
      <c r="K303" s="101"/>
      <c r="L303" s="104"/>
      <c r="M303" s="104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36" t="s">
        <v>209</v>
      </c>
      <c r="B304" s="136" t="s">
        <v>0</v>
      </c>
      <c r="C304" s="136" t="s">
        <v>1</v>
      </c>
      <c r="D304" s="136" t="s">
        <v>2</v>
      </c>
      <c r="E304" s="137" t="s">
        <v>3</v>
      </c>
      <c r="F304" s="136" t="s">
        <v>4</v>
      </c>
      <c r="G304" s="138" t="s">
        <v>5</v>
      </c>
      <c r="H304" s="139" t="s">
        <v>6</v>
      </c>
      <c r="I304" s="140" t="s">
        <v>39</v>
      </c>
      <c r="J304" s="139" t="s">
        <v>7</v>
      </c>
      <c r="K304" s="138" t="s">
        <v>39</v>
      </c>
      <c r="L304" s="140" t="s">
        <v>8</v>
      </c>
      <c r="M304" s="141" t="s">
        <v>9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7">
        <v>1.0</v>
      </c>
      <c r="B305" s="142">
        <v>45839.0</v>
      </c>
      <c r="C305" s="17" t="s">
        <v>747</v>
      </c>
      <c r="D305" s="17" t="s">
        <v>860</v>
      </c>
      <c r="E305" s="144" t="s">
        <v>242</v>
      </c>
      <c r="F305" s="144" t="s">
        <v>348</v>
      </c>
      <c r="G305" s="148">
        <v>10000.0</v>
      </c>
      <c r="H305" s="134">
        <v>1000000.0</v>
      </c>
      <c r="I305" s="145" t="s">
        <v>238</v>
      </c>
      <c r="J305" s="134">
        <v>475000.0</v>
      </c>
      <c r="K305" s="109" t="s">
        <v>238</v>
      </c>
      <c r="L305" s="146">
        <f>H305-J305</f>
        <v>525000</v>
      </c>
      <c r="M305" s="147">
        <v>120000.0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18"/>
      <c r="B306" s="142"/>
      <c r="C306" s="143"/>
      <c r="D306" s="143"/>
      <c r="E306" s="98"/>
      <c r="F306" s="144"/>
      <c r="G306" s="110"/>
      <c r="H306" s="107"/>
      <c r="I306" s="108"/>
      <c r="J306" s="109"/>
      <c r="K306" s="109"/>
      <c r="L306" s="52">
        <f t="shared" ref="L306:M306" si="31">SUM(L305)</f>
        <v>525000</v>
      </c>
      <c r="M306" s="30">
        <f t="shared" si="31"/>
        <v>120000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18"/>
      <c r="B307" s="142"/>
      <c r="C307" s="143"/>
      <c r="D307" s="143"/>
      <c r="E307" s="98"/>
      <c r="F307" s="144"/>
      <c r="G307" s="110"/>
      <c r="H307" s="107"/>
      <c r="I307" s="108"/>
      <c r="J307" s="109"/>
      <c r="K307" s="109"/>
      <c r="L307" s="33">
        <f>L306-M306</f>
        <v>405000</v>
      </c>
      <c r="M307" s="26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18"/>
      <c r="B308" s="142"/>
      <c r="C308" s="143"/>
      <c r="D308" s="143"/>
      <c r="E308" s="98"/>
      <c r="F308" s="144"/>
      <c r="G308" s="110"/>
      <c r="H308" s="135"/>
      <c r="I308" s="115"/>
      <c r="J308" s="121"/>
      <c r="K308" s="109"/>
      <c r="L308" s="146"/>
      <c r="M308" s="61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36" t="s">
        <v>209</v>
      </c>
      <c r="B309" s="136" t="s">
        <v>0</v>
      </c>
      <c r="C309" s="136" t="s">
        <v>1</v>
      </c>
      <c r="D309" s="136" t="s">
        <v>2</v>
      </c>
      <c r="E309" s="137" t="s">
        <v>3</v>
      </c>
      <c r="F309" s="136" t="s">
        <v>4</v>
      </c>
      <c r="G309" s="138" t="s">
        <v>5</v>
      </c>
      <c r="H309" s="139" t="s">
        <v>6</v>
      </c>
      <c r="I309" s="140" t="s">
        <v>39</v>
      </c>
      <c r="J309" s="139" t="s">
        <v>7</v>
      </c>
      <c r="K309" s="138" t="s">
        <v>39</v>
      </c>
      <c r="L309" s="140" t="s">
        <v>8</v>
      </c>
      <c r="M309" s="141" t="s">
        <v>9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7">
        <v>1.0</v>
      </c>
      <c r="B310" s="142">
        <v>45839.0</v>
      </c>
      <c r="C310" s="98" t="s">
        <v>913</v>
      </c>
      <c r="D310" s="98" t="s">
        <v>914</v>
      </c>
      <c r="E310" s="144" t="s">
        <v>335</v>
      </c>
      <c r="F310" s="144" t="s">
        <v>340</v>
      </c>
      <c r="G310" s="148">
        <v>5000.0</v>
      </c>
      <c r="H310" s="134">
        <v>1550003.0</v>
      </c>
      <c r="I310" s="108" t="s">
        <v>238</v>
      </c>
      <c r="J310" s="134">
        <v>600000.0</v>
      </c>
      <c r="K310" s="98" t="s">
        <v>238</v>
      </c>
      <c r="L310" s="146">
        <f t="shared" ref="L310:L331" si="32">H310-J310</f>
        <v>950003</v>
      </c>
      <c r="M310" s="14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18">
        <v>2.0</v>
      </c>
      <c r="B311" s="142">
        <v>45840.0</v>
      </c>
      <c r="C311" s="98" t="s">
        <v>913</v>
      </c>
      <c r="D311" s="98" t="s">
        <v>914</v>
      </c>
      <c r="E311" s="144" t="s">
        <v>335</v>
      </c>
      <c r="F311" s="144" t="s">
        <v>340</v>
      </c>
      <c r="G311" s="148">
        <v>5000.0</v>
      </c>
      <c r="H311" s="134">
        <v>1550003.0</v>
      </c>
      <c r="I311" s="108" t="s">
        <v>238</v>
      </c>
      <c r="J311" s="109">
        <v>600000.0</v>
      </c>
      <c r="K311" s="109" t="s">
        <v>238</v>
      </c>
      <c r="L311" s="146">
        <f t="shared" si="32"/>
        <v>950003</v>
      </c>
      <c r="M311" s="106">
        <v>1800000.0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18">
        <v>3.0</v>
      </c>
      <c r="B312" s="142">
        <v>45841.0</v>
      </c>
      <c r="C312" s="98" t="s">
        <v>913</v>
      </c>
      <c r="D312" s="98" t="s">
        <v>914</v>
      </c>
      <c r="E312" s="98" t="s">
        <v>915</v>
      </c>
      <c r="F312" s="144" t="s">
        <v>302</v>
      </c>
      <c r="G312" s="110">
        <v>9000.0</v>
      </c>
      <c r="H312" s="107">
        <v>900000.0</v>
      </c>
      <c r="I312" s="108" t="s">
        <v>238</v>
      </c>
      <c r="J312" s="109">
        <v>350000.0</v>
      </c>
      <c r="K312" s="109" t="s">
        <v>238</v>
      </c>
      <c r="L312" s="146">
        <f t="shared" si="32"/>
        <v>550000</v>
      </c>
      <c r="M312" s="61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18">
        <v>4.0</v>
      </c>
      <c r="B313" s="142">
        <v>45842.0</v>
      </c>
      <c r="C313" s="98" t="s">
        <v>913</v>
      </c>
      <c r="D313" s="98" t="s">
        <v>914</v>
      </c>
      <c r="E313" s="98" t="s">
        <v>243</v>
      </c>
      <c r="F313" s="144" t="s">
        <v>321</v>
      </c>
      <c r="G313" s="110">
        <v>9000.0</v>
      </c>
      <c r="H313" s="135">
        <v>850000.0</v>
      </c>
      <c r="I313" s="115" t="s">
        <v>212</v>
      </c>
      <c r="J313" s="121">
        <v>400000.0</v>
      </c>
      <c r="K313" s="109" t="s">
        <v>238</v>
      </c>
      <c r="L313" s="146">
        <f t="shared" si="32"/>
        <v>450000</v>
      </c>
      <c r="M313" s="61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18">
        <v>5.0</v>
      </c>
      <c r="B314" s="142">
        <v>45843.0</v>
      </c>
      <c r="C314" s="98" t="s">
        <v>913</v>
      </c>
      <c r="D314" s="98" t="s">
        <v>914</v>
      </c>
      <c r="E314" s="98" t="s">
        <v>335</v>
      </c>
      <c r="F314" s="144" t="s">
        <v>341</v>
      </c>
      <c r="G314" s="110">
        <v>7000.0</v>
      </c>
      <c r="H314" s="134">
        <v>1550003.0</v>
      </c>
      <c r="I314" s="108" t="s">
        <v>238</v>
      </c>
      <c r="J314" s="109">
        <v>690000.0</v>
      </c>
      <c r="K314" s="109" t="s">
        <v>238</v>
      </c>
      <c r="L314" s="146">
        <f t="shared" si="32"/>
        <v>860003</v>
      </c>
      <c r="M314" s="61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18">
        <v>6.0</v>
      </c>
      <c r="B315" s="142">
        <v>45845.0</v>
      </c>
      <c r="C315" s="98" t="s">
        <v>913</v>
      </c>
      <c r="D315" s="98" t="s">
        <v>914</v>
      </c>
      <c r="E315" s="98" t="s">
        <v>335</v>
      </c>
      <c r="F315" s="144" t="s">
        <v>341</v>
      </c>
      <c r="G315" s="110">
        <v>7000.0</v>
      </c>
      <c r="H315" s="134">
        <v>1550003.0</v>
      </c>
      <c r="I315" s="115" t="s">
        <v>238</v>
      </c>
      <c r="J315" s="109">
        <v>640000.0</v>
      </c>
      <c r="K315" s="109" t="s">
        <v>238</v>
      </c>
      <c r="L315" s="146">
        <f t="shared" si="32"/>
        <v>910003</v>
      </c>
      <c r="M315" s="106">
        <v>1400000.0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18">
        <v>7.0</v>
      </c>
      <c r="B316" s="142">
        <v>45848.0</v>
      </c>
      <c r="C316" s="98" t="s">
        <v>913</v>
      </c>
      <c r="D316" s="98" t="s">
        <v>916</v>
      </c>
      <c r="E316" s="98" t="s">
        <v>243</v>
      </c>
      <c r="F316" s="98" t="s">
        <v>329</v>
      </c>
      <c r="G316" s="110">
        <v>9000.0</v>
      </c>
      <c r="H316" s="134">
        <v>1100000.0</v>
      </c>
      <c r="I316" s="108" t="s">
        <v>238</v>
      </c>
      <c r="J316" s="121">
        <v>600000.0</v>
      </c>
      <c r="K316" s="98" t="s">
        <v>212</v>
      </c>
      <c r="L316" s="146">
        <f t="shared" si="32"/>
        <v>500000</v>
      </c>
      <c r="M316" s="106">
        <v>204000.0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18">
        <v>8.0</v>
      </c>
      <c r="B317" s="142">
        <v>45849.0</v>
      </c>
      <c r="C317" s="98" t="s">
        <v>913</v>
      </c>
      <c r="D317" s="98" t="s">
        <v>916</v>
      </c>
      <c r="E317" s="98" t="s">
        <v>335</v>
      </c>
      <c r="F317" s="98" t="s">
        <v>336</v>
      </c>
      <c r="G317" s="110">
        <v>6250.0</v>
      </c>
      <c r="H317" s="150">
        <v>1550003.0</v>
      </c>
      <c r="I317" s="115" t="s">
        <v>238</v>
      </c>
      <c r="J317" s="121">
        <v>750000.0</v>
      </c>
      <c r="K317" s="109" t="s">
        <v>238</v>
      </c>
      <c r="L317" s="146">
        <f t="shared" si="32"/>
        <v>800003</v>
      </c>
      <c r="M317" s="106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18">
        <v>9.0</v>
      </c>
      <c r="B318" s="142">
        <v>45850.0</v>
      </c>
      <c r="C318" s="98" t="s">
        <v>913</v>
      </c>
      <c r="D318" s="98" t="s">
        <v>916</v>
      </c>
      <c r="E318" s="98" t="s">
        <v>243</v>
      </c>
      <c r="F318" s="144" t="s">
        <v>329</v>
      </c>
      <c r="G318" s="110">
        <v>10000.0</v>
      </c>
      <c r="H318" s="134">
        <v>1100000.0</v>
      </c>
      <c r="I318" s="108" t="s">
        <v>238</v>
      </c>
      <c r="J318" s="121">
        <v>600000.0</v>
      </c>
      <c r="K318" s="109" t="s">
        <v>238</v>
      </c>
      <c r="L318" s="146">
        <f t="shared" si="32"/>
        <v>500000</v>
      </c>
      <c r="M318" s="106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18">
        <v>10.0</v>
      </c>
      <c r="B319" s="142">
        <v>45852.0</v>
      </c>
      <c r="C319" s="98" t="s">
        <v>913</v>
      </c>
      <c r="D319" s="98" t="s">
        <v>916</v>
      </c>
      <c r="E319" s="98" t="s">
        <v>335</v>
      </c>
      <c r="F319" s="98" t="s">
        <v>336</v>
      </c>
      <c r="G319" s="110">
        <v>6600.0</v>
      </c>
      <c r="H319" s="134">
        <v>1550003.0</v>
      </c>
      <c r="I319" s="108" t="s">
        <v>238</v>
      </c>
      <c r="J319" s="109">
        <v>750000.0</v>
      </c>
      <c r="K319" s="109" t="s">
        <v>238</v>
      </c>
      <c r="L319" s="146">
        <f t="shared" si="32"/>
        <v>800003</v>
      </c>
      <c r="M319" s="61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18">
        <v>11.0</v>
      </c>
      <c r="B320" s="142">
        <v>45854.0</v>
      </c>
      <c r="C320" s="98" t="s">
        <v>913</v>
      </c>
      <c r="D320" s="98" t="s">
        <v>916</v>
      </c>
      <c r="E320" s="98" t="s">
        <v>335</v>
      </c>
      <c r="F320" s="98" t="s">
        <v>341</v>
      </c>
      <c r="G320" s="110">
        <v>6000.0</v>
      </c>
      <c r="H320" s="134">
        <v>1550003.0</v>
      </c>
      <c r="I320" s="108" t="s">
        <v>238</v>
      </c>
      <c r="J320" s="109">
        <v>640000.0</v>
      </c>
      <c r="K320" s="109" t="s">
        <v>238</v>
      </c>
      <c r="L320" s="146">
        <f t="shared" si="32"/>
        <v>910003</v>
      </c>
      <c r="M320" s="106">
        <v>200000.0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18">
        <v>12.0</v>
      </c>
      <c r="B321" s="142">
        <v>45856.0</v>
      </c>
      <c r="C321" s="98" t="s">
        <v>913</v>
      </c>
      <c r="D321" s="98" t="s">
        <v>916</v>
      </c>
      <c r="E321" s="98" t="s">
        <v>279</v>
      </c>
      <c r="F321" s="144" t="s">
        <v>301</v>
      </c>
      <c r="G321" s="110">
        <v>9000.0</v>
      </c>
      <c r="H321" s="134">
        <v>900000.0</v>
      </c>
      <c r="I321" s="115" t="s">
        <v>212</v>
      </c>
      <c r="J321" s="109">
        <v>500000.0</v>
      </c>
      <c r="K321" s="98" t="s">
        <v>212</v>
      </c>
      <c r="L321" s="146">
        <f t="shared" si="32"/>
        <v>400000</v>
      </c>
      <c r="M321" s="106">
        <v>70000.0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18">
        <v>13.0</v>
      </c>
      <c r="B322" s="142">
        <v>45857.0</v>
      </c>
      <c r="C322" s="98" t="s">
        <v>913</v>
      </c>
      <c r="D322" s="98" t="s">
        <v>916</v>
      </c>
      <c r="E322" s="98" t="s">
        <v>242</v>
      </c>
      <c r="F322" s="98" t="s">
        <v>264</v>
      </c>
      <c r="G322" s="110">
        <v>10000.0</v>
      </c>
      <c r="H322" s="134">
        <v>1500000.0</v>
      </c>
      <c r="I322" s="108" t="s">
        <v>238</v>
      </c>
      <c r="J322" s="109">
        <v>950000.0</v>
      </c>
      <c r="K322" s="98" t="s">
        <v>212</v>
      </c>
      <c r="L322" s="146">
        <f t="shared" si="32"/>
        <v>550000</v>
      </c>
      <c r="M322" s="61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18">
        <v>14.0</v>
      </c>
      <c r="B323" s="142">
        <v>45859.0</v>
      </c>
      <c r="C323" s="98" t="s">
        <v>913</v>
      </c>
      <c r="D323" s="98" t="s">
        <v>916</v>
      </c>
      <c r="E323" s="98" t="s">
        <v>243</v>
      </c>
      <c r="F323" s="144" t="s">
        <v>295</v>
      </c>
      <c r="G323" s="110">
        <v>9000.0</v>
      </c>
      <c r="H323" s="134">
        <v>1125000.0</v>
      </c>
      <c r="I323" s="115" t="s">
        <v>212</v>
      </c>
      <c r="J323" s="109">
        <v>640000.0</v>
      </c>
      <c r="K323" s="109" t="s">
        <v>238</v>
      </c>
      <c r="L323" s="146">
        <f t="shared" si="32"/>
        <v>485000</v>
      </c>
      <c r="M323" s="106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18">
        <v>15.0</v>
      </c>
      <c r="B324" s="142">
        <v>45860.0</v>
      </c>
      <c r="C324" s="98" t="s">
        <v>913</v>
      </c>
      <c r="D324" s="98" t="s">
        <v>916</v>
      </c>
      <c r="E324" s="98" t="s">
        <v>243</v>
      </c>
      <c r="F324" s="144" t="s">
        <v>342</v>
      </c>
      <c r="G324" s="110">
        <v>10000.0</v>
      </c>
      <c r="H324" s="107">
        <v>1500000.0</v>
      </c>
      <c r="I324" s="108" t="s">
        <v>238</v>
      </c>
      <c r="J324" s="109">
        <v>950000.0</v>
      </c>
      <c r="K324" s="109" t="s">
        <v>238</v>
      </c>
      <c r="L324" s="146">
        <f t="shared" si="32"/>
        <v>550000</v>
      </c>
      <c r="M324" s="106"/>
      <c r="N324" s="11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18">
        <v>16.0</v>
      </c>
      <c r="B325" s="142">
        <v>45861.0</v>
      </c>
      <c r="C325" s="98" t="s">
        <v>913</v>
      </c>
      <c r="D325" s="98" t="s">
        <v>916</v>
      </c>
      <c r="E325" s="98" t="s">
        <v>242</v>
      </c>
      <c r="F325" s="98" t="s">
        <v>348</v>
      </c>
      <c r="G325" s="110">
        <v>10000.0</v>
      </c>
      <c r="H325" s="121">
        <v>1000000.0</v>
      </c>
      <c r="I325" s="108" t="s">
        <v>238</v>
      </c>
      <c r="J325" s="121">
        <v>475000.0</v>
      </c>
      <c r="K325" s="109" t="s">
        <v>238</v>
      </c>
      <c r="L325" s="146">
        <f t="shared" si="32"/>
        <v>525000</v>
      </c>
      <c r="M325" s="106">
        <v>657000.0</v>
      </c>
      <c r="N325" s="11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18">
        <v>17.0</v>
      </c>
      <c r="B326" s="142">
        <v>45862.0</v>
      </c>
      <c r="C326" s="98" t="s">
        <v>913</v>
      </c>
      <c r="D326" s="98" t="s">
        <v>916</v>
      </c>
      <c r="E326" s="98" t="s">
        <v>279</v>
      </c>
      <c r="F326" s="98" t="s">
        <v>329</v>
      </c>
      <c r="G326" s="110">
        <v>10000.0</v>
      </c>
      <c r="H326" s="134">
        <v>1100000.0</v>
      </c>
      <c r="I326" s="108" t="s">
        <v>238</v>
      </c>
      <c r="J326" s="109">
        <v>600000.0</v>
      </c>
      <c r="K326" s="98" t="s">
        <v>212</v>
      </c>
      <c r="L326" s="146">
        <f t="shared" si="32"/>
        <v>500000</v>
      </c>
      <c r="M326" s="106">
        <v>575000.0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18">
        <v>18.0</v>
      </c>
      <c r="B327" s="142">
        <v>45863.0</v>
      </c>
      <c r="C327" s="98" t="s">
        <v>913</v>
      </c>
      <c r="D327" s="98" t="s">
        <v>916</v>
      </c>
      <c r="E327" s="98" t="s">
        <v>327</v>
      </c>
      <c r="F327" s="98" t="s">
        <v>917</v>
      </c>
      <c r="G327" s="110">
        <v>9000.0</v>
      </c>
      <c r="H327" s="134">
        <v>1300000.0</v>
      </c>
      <c r="I327" s="108" t="s">
        <v>238</v>
      </c>
      <c r="J327" s="109">
        <v>900000.0</v>
      </c>
      <c r="K327" s="98" t="s">
        <v>212</v>
      </c>
      <c r="L327" s="146">
        <f t="shared" si="32"/>
        <v>400000</v>
      </c>
      <c r="M327" s="106">
        <v>48000.0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18">
        <v>19.0</v>
      </c>
      <c r="B328" s="142">
        <v>45866.0</v>
      </c>
      <c r="C328" s="98" t="s">
        <v>913</v>
      </c>
      <c r="D328" s="98" t="s">
        <v>531</v>
      </c>
      <c r="E328" s="98" t="s">
        <v>335</v>
      </c>
      <c r="F328" s="98" t="s">
        <v>535</v>
      </c>
      <c r="G328" s="110">
        <v>7000.0</v>
      </c>
      <c r="H328" s="150">
        <v>1550003.0</v>
      </c>
      <c r="I328" s="108" t="s">
        <v>238</v>
      </c>
      <c r="J328" s="109">
        <v>900000.0</v>
      </c>
      <c r="K328" s="109" t="s">
        <v>238</v>
      </c>
      <c r="L328" s="146">
        <f t="shared" si="32"/>
        <v>650003</v>
      </c>
      <c r="M328" s="106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18">
        <v>20.0</v>
      </c>
      <c r="B329" s="142">
        <v>45868.0</v>
      </c>
      <c r="C329" s="98" t="s">
        <v>913</v>
      </c>
      <c r="D329" s="98" t="s">
        <v>916</v>
      </c>
      <c r="E329" s="98" t="s">
        <v>242</v>
      </c>
      <c r="F329" s="98" t="s">
        <v>332</v>
      </c>
      <c r="G329" s="110">
        <v>9000.0</v>
      </c>
      <c r="H329" s="107">
        <v>765000.0</v>
      </c>
      <c r="I329" s="108" t="s">
        <v>238</v>
      </c>
      <c r="J329" s="109">
        <v>450000.0</v>
      </c>
      <c r="K329" s="98" t="s">
        <v>212</v>
      </c>
      <c r="L329" s="146">
        <f t="shared" si="32"/>
        <v>315000</v>
      </c>
      <c r="M329" s="106">
        <v>4600000.0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18">
        <v>21.0</v>
      </c>
      <c r="B330" s="142">
        <v>45869.0</v>
      </c>
      <c r="C330" s="98" t="s">
        <v>913</v>
      </c>
      <c r="D330" s="98" t="s">
        <v>916</v>
      </c>
      <c r="E330" s="98" t="s">
        <v>243</v>
      </c>
      <c r="F330" s="98" t="s">
        <v>512</v>
      </c>
      <c r="G330" s="110">
        <v>6000.0</v>
      </c>
      <c r="H330" s="134">
        <v>600000.0</v>
      </c>
      <c r="I330" s="115" t="s">
        <v>212</v>
      </c>
      <c r="J330" s="134">
        <v>350000.0</v>
      </c>
      <c r="K330" s="98" t="s">
        <v>212</v>
      </c>
      <c r="L330" s="146">
        <f t="shared" si="32"/>
        <v>250000</v>
      </c>
      <c r="M330" s="106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98">
        <v>22.0</v>
      </c>
      <c r="B331" s="142">
        <v>45869.0</v>
      </c>
      <c r="C331" s="98" t="s">
        <v>913</v>
      </c>
      <c r="D331" s="98" t="s">
        <v>916</v>
      </c>
      <c r="E331" s="98" t="s">
        <v>242</v>
      </c>
      <c r="F331" s="98" t="s">
        <v>324</v>
      </c>
      <c r="G331" s="110">
        <v>10500.0</v>
      </c>
      <c r="H331" s="121">
        <v>788000.0</v>
      </c>
      <c r="I331" s="115" t="s">
        <v>212</v>
      </c>
      <c r="J331" s="121">
        <v>375000.0</v>
      </c>
      <c r="K331" s="98" t="s">
        <v>212</v>
      </c>
      <c r="L331" s="146">
        <f t="shared" si="32"/>
        <v>413000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7"/>
      <c r="B332" s="7"/>
      <c r="C332" s="7"/>
      <c r="D332" s="7"/>
      <c r="E332" s="17"/>
      <c r="F332" s="17"/>
      <c r="G332" s="57"/>
      <c r="H332" s="104"/>
      <c r="I332" s="103"/>
      <c r="J332" s="104"/>
      <c r="K332" s="101"/>
      <c r="L332" s="52">
        <f>SUM(L310:L328)</f>
        <v>12240024</v>
      </c>
      <c r="M332" s="30">
        <f>SUM(M310:M330)</f>
        <v>9554000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7"/>
      <c r="B333" s="7"/>
      <c r="C333" s="7"/>
      <c r="D333" s="7"/>
      <c r="E333" s="17"/>
      <c r="F333" s="17"/>
      <c r="G333" s="57"/>
      <c r="H333" s="104"/>
      <c r="I333" s="103"/>
      <c r="J333" s="104"/>
      <c r="K333" s="101"/>
      <c r="L333" s="33">
        <f>L332-M332</f>
        <v>2686024</v>
      </c>
      <c r="M333" s="26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7"/>
      <c r="B334" s="7"/>
      <c r="C334" s="7"/>
      <c r="D334" s="7"/>
      <c r="E334" s="17"/>
      <c r="F334" s="17"/>
      <c r="G334" s="57"/>
      <c r="H334" s="104"/>
      <c r="I334" s="103"/>
      <c r="J334" s="104"/>
      <c r="K334" s="101"/>
      <c r="L334" s="104"/>
      <c r="M334" s="104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36" t="s">
        <v>209</v>
      </c>
      <c r="B335" s="136" t="s">
        <v>0</v>
      </c>
      <c r="C335" s="136" t="s">
        <v>1</v>
      </c>
      <c r="D335" s="136" t="s">
        <v>2</v>
      </c>
      <c r="E335" s="137" t="s">
        <v>3</v>
      </c>
      <c r="F335" s="136" t="s">
        <v>4</v>
      </c>
      <c r="G335" s="138" t="s">
        <v>5</v>
      </c>
      <c r="H335" s="139" t="s">
        <v>6</v>
      </c>
      <c r="I335" s="140" t="s">
        <v>39</v>
      </c>
      <c r="J335" s="139" t="s">
        <v>7</v>
      </c>
      <c r="K335" s="138" t="s">
        <v>39</v>
      </c>
      <c r="L335" s="140" t="s">
        <v>8</v>
      </c>
      <c r="M335" s="141" t="s">
        <v>9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7">
        <v>1.0</v>
      </c>
      <c r="B336" s="142">
        <v>45871.0</v>
      </c>
      <c r="C336" s="98" t="s">
        <v>913</v>
      </c>
      <c r="D336" s="98" t="s">
        <v>916</v>
      </c>
      <c r="E336" s="144" t="s">
        <v>243</v>
      </c>
      <c r="F336" s="144" t="s">
        <v>342</v>
      </c>
      <c r="G336" s="148">
        <v>10000.0</v>
      </c>
      <c r="H336" s="134">
        <v>1500000.0</v>
      </c>
      <c r="I336" s="145" t="s">
        <v>238</v>
      </c>
      <c r="J336" s="134">
        <v>950000.0</v>
      </c>
      <c r="K336" s="98" t="s">
        <v>212</v>
      </c>
      <c r="L336" s="58">
        <f t="shared" ref="L336:L353" si="33">H336-J336</f>
        <v>550000</v>
      </c>
      <c r="M336" s="147">
        <v>85000.0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18">
        <v>2.0</v>
      </c>
      <c r="B337" s="142">
        <v>45873.0</v>
      </c>
      <c r="C337" s="98" t="s">
        <v>913</v>
      </c>
      <c r="D337" s="98" t="s">
        <v>916</v>
      </c>
      <c r="E337" s="98" t="s">
        <v>327</v>
      </c>
      <c r="F337" s="144" t="s">
        <v>332</v>
      </c>
      <c r="G337" s="110">
        <v>9000.0</v>
      </c>
      <c r="H337" s="134">
        <v>765000.0</v>
      </c>
      <c r="I337" s="108" t="s">
        <v>238</v>
      </c>
      <c r="J337" s="134">
        <v>450000.0</v>
      </c>
      <c r="K337" s="98" t="s">
        <v>212</v>
      </c>
      <c r="L337" s="58">
        <f t="shared" si="33"/>
        <v>315000</v>
      </c>
      <c r="M337" s="14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18">
        <v>3.0</v>
      </c>
      <c r="B338" s="142">
        <v>45874.0</v>
      </c>
      <c r="C338" s="98" t="s">
        <v>913</v>
      </c>
      <c r="D338" s="98" t="s">
        <v>916</v>
      </c>
      <c r="E338" s="98" t="s">
        <v>918</v>
      </c>
      <c r="F338" s="144" t="s">
        <v>303</v>
      </c>
      <c r="G338" s="110">
        <v>9000.0</v>
      </c>
      <c r="H338" s="134">
        <v>1215000.0</v>
      </c>
      <c r="I338" s="115" t="s">
        <v>238</v>
      </c>
      <c r="J338" s="134">
        <v>700000.0</v>
      </c>
      <c r="K338" s="98" t="s">
        <v>212</v>
      </c>
      <c r="L338" s="58">
        <f t="shared" si="33"/>
        <v>515000</v>
      </c>
      <c r="M338" s="150">
        <v>4137000.0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18">
        <v>4.0</v>
      </c>
      <c r="B339" s="142">
        <v>45875.0</v>
      </c>
      <c r="C339" s="98" t="s">
        <v>913</v>
      </c>
      <c r="D339" s="98" t="s">
        <v>916</v>
      </c>
      <c r="E339" s="98" t="s">
        <v>243</v>
      </c>
      <c r="F339" s="144" t="s">
        <v>342</v>
      </c>
      <c r="G339" s="151">
        <v>10000.0</v>
      </c>
      <c r="H339" s="134">
        <v>1500000.0</v>
      </c>
      <c r="I339" s="115" t="s">
        <v>238</v>
      </c>
      <c r="J339" s="134">
        <v>950000.0</v>
      </c>
      <c r="K339" s="98" t="s">
        <v>212</v>
      </c>
      <c r="L339" s="58">
        <f t="shared" si="33"/>
        <v>550000</v>
      </c>
      <c r="M339" s="150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18">
        <v>5.0</v>
      </c>
      <c r="B340" s="142">
        <v>45877.0</v>
      </c>
      <c r="C340" s="98" t="s">
        <v>913</v>
      </c>
      <c r="D340" s="98" t="s">
        <v>916</v>
      </c>
      <c r="E340" s="98" t="s">
        <v>242</v>
      </c>
      <c r="F340" s="144" t="s">
        <v>294</v>
      </c>
      <c r="G340" s="151">
        <v>10000.0</v>
      </c>
      <c r="H340" s="134">
        <v>800000.0</v>
      </c>
      <c r="I340" s="115" t="s">
        <v>212</v>
      </c>
      <c r="J340" s="134">
        <v>425000.0</v>
      </c>
      <c r="K340" s="98" t="s">
        <v>212</v>
      </c>
      <c r="L340" s="58">
        <f t="shared" si="33"/>
        <v>375000</v>
      </c>
      <c r="M340" s="14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18">
        <v>6.0</v>
      </c>
      <c r="B341" s="142">
        <v>45878.0</v>
      </c>
      <c r="C341" s="98" t="s">
        <v>913</v>
      </c>
      <c r="D341" s="98" t="s">
        <v>916</v>
      </c>
      <c r="E341" s="98" t="s">
        <v>242</v>
      </c>
      <c r="F341" s="144" t="s">
        <v>348</v>
      </c>
      <c r="G341" s="151">
        <v>10000.0</v>
      </c>
      <c r="H341" s="134">
        <v>1000000.0</v>
      </c>
      <c r="I341" s="115" t="s">
        <v>238</v>
      </c>
      <c r="J341" s="134">
        <v>475000.0</v>
      </c>
      <c r="K341" s="98" t="s">
        <v>212</v>
      </c>
      <c r="L341" s="58">
        <f t="shared" si="33"/>
        <v>525000</v>
      </c>
      <c r="M341" s="150">
        <v>350000.0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18">
        <v>7.0</v>
      </c>
      <c r="B342" s="142">
        <v>45880.0</v>
      </c>
      <c r="C342" s="98" t="s">
        <v>913</v>
      </c>
      <c r="D342" s="98" t="s">
        <v>916</v>
      </c>
      <c r="E342" s="98" t="s">
        <v>243</v>
      </c>
      <c r="F342" s="144" t="s">
        <v>329</v>
      </c>
      <c r="G342" s="151">
        <v>10000.0</v>
      </c>
      <c r="H342" s="134">
        <v>1100000.0</v>
      </c>
      <c r="I342" s="152" t="s">
        <v>238</v>
      </c>
      <c r="J342" s="134">
        <v>600000.0</v>
      </c>
      <c r="K342" s="109" t="s">
        <v>238</v>
      </c>
      <c r="L342" s="58">
        <f t="shared" si="33"/>
        <v>500000</v>
      </c>
      <c r="M342" s="150">
        <v>80000.0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18">
        <v>8.0</v>
      </c>
      <c r="B343" s="142">
        <v>45882.0</v>
      </c>
      <c r="C343" s="98" t="s">
        <v>913</v>
      </c>
      <c r="D343" s="98" t="s">
        <v>916</v>
      </c>
      <c r="E343" s="98" t="s">
        <v>534</v>
      </c>
      <c r="F343" s="98" t="s">
        <v>341</v>
      </c>
      <c r="G343" s="110">
        <v>7000.0</v>
      </c>
      <c r="H343" s="134">
        <v>1550003.0</v>
      </c>
      <c r="I343" s="59"/>
      <c r="J343" s="109">
        <v>640000.0</v>
      </c>
      <c r="K343" s="109" t="s">
        <v>238</v>
      </c>
      <c r="L343" s="58">
        <f t="shared" si="33"/>
        <v>910003</v>
      </c>
      <c r="M343" s="150">
        <v>5850000.0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18">
        <v>9.0</v>
      </c>
      <c r="B344" s="142">
        <v>45883.0</v>
      </c>
      <c r="C344" s="98" t="s">
        <v>913</v>
      </c>
      <c r="D344" s="98" t="s">
        <v>916</v>
      </c>
      <c r="E344" s="98" t="s">
        <v>305</v>
      </c>
      <c r="F344" s="144" t="s">
        <v>295</v>
      </c>
      <c r="G344" s="151">
        <v>9000.0</v>
      </c>
      <c r="H344" s="134">
        <v>1125000.0</v>
      </c>
      <c r="I344" s="115" t="s">
        <v>212</v>
      </c>
      <c r="J344" s="134">
        <v>640000.0</v>
      </c>
      <c r="K344" s="109" t="s">
        <v>238</v>
      </c>
      <c r="L344" s="58">
        <f t="shared" si="33"/>
        <v>485000</v>
      </c>
      <c r="M344" s="150">
        <v>990000.0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18">
        <v>10.0</v>
      </c>
      <c r="B345" s="142">
        <v>45884.0</v>
      </c>
      <c r="C345" s="98" t="s">
        <v>913</v>
      </c>
      <c r="D345" s="98" t="s">
        <v>916</v>
      </c>
      <c r="E345" s="98" t="s">
        <v>534</v>
      </c>
      <c r="F345" s="144" t="s">
        <v>336</v>
      </c>
      <c r="G345" s="110">
        <v>8000.0</v>
      </c>
      <c r="H345" s="134">
        <v>1771432.0</v>
      </c>
      <c r="I345" s="59"/>
      <c r="J345" s="109">
        <v>800000.0</v>
      </c>
      <c r="K345" s="98" t="s">
        <v>212</v>
      </c>
      <c r="L345" s="58">
        <f t="shared" si="33"/>
        <v>971432</v>
      </c>
      <c r="M345" s="150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18">
        <v>11.0</v>
      </c>
      <c r="B346" s="142">
        <v>45887.0</v>
      </c>
      <c r="C346" s="98" t="s">
        <v>913</v>
      </c>
      <c r="D346" s="98" t="s">
        <v>916</v>
      </c>
      <c r="E346" s="98" t="s">
        <v>282</v>
      </c>
      <c r="F346" s="144" t="s">
        <v>295</v>
      </c>
      <c r="G346" s="151" t="s">
        <v>351</v>
      </c>
      <c r="H346" s="150">
        <v>1300000.0</v>
      </c>
      <c r="I346" s="115" t="s">
        <v>212</v>
      </c>
      <c r="J346" s="121">
        <v>640000.0</v>
      </c>
      <c r="K346" s="98" t="s">
        <v>212</v>
      </c>
      <c r="L346" s="58">
        <f t="shared" si="33"/>
        <v>660000</v>
      </c>
      <c r="M346" s="150">
        <v>67000.0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18">
        <v>12.0</v>
      </c>
      <c r="B347" s="142">
        <v>45888.0</v>
      </c>
      <c r="C347" s="98" t="s">
        <v>913</v>
      </c>
      <c r="D347" s="98" t="s">
        <v>916</v>
      </c>
      <c r="E347" s="98" t="s">
        <v>320</v>
      </c>
      <c r="F347" s="144" t="s">
        <v>328</v>
      </c>
      <c r="G347" s="151">
        <v>10000.0</v>
      </c>
      <c r="H347" s="150">
        <v>1600000.0</v>
      </c>
      <c r="I347" s="152"/>
      <c r="J347" s="121">
        <v>950000.0</v>
      </c>
      <c r="K347" s="98" t="s">
        <v>212</v>
      </c>
      <c r="L347" s="58">
        <f t="shared" si="33"/>
        <v>650000</v>
      </c>
      <c r="M347" s="14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18">
        <v>13.0</v>
      </c>
      <c r="B348" s="142">
        <v>45892.0</v>
      </c>
      <c r="C348" s="98" t="s">
        <v>913</v>
      </c>
      <c r="D348" s="98" t="s">
        <v>916</v>
      </c>
      <c r="E348" s="98" t="s">
        <v>327</v>
      </c>
      <c r="F348" s="144" t="s">
        <v>329</v>
      </c>
      <c r="G348" s="151">
        <v>10000.0</v>
      </c>
      <c r="H348" s="150">
        <v>1100000.0</v>
      </c>
      <c r="I348" s="152" t="s">
        <v>238</v>
      </c>
      <c r="J348" s="121">
        <v>600000.0</v>
      </c>
      <c r="K348" s="98" t="s">
        <v>212</v>
      </c>
      <c r="L348" s="58">
        <f t="shared" si="33"/>
        <v>500000</v>
      </c>
      <c r="M348" s="150">
        <v>3780000.0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18">
        <v>14.0</v>
      </c>
      <c r="B349" s="142">
        <v>45894.0</v>
      </c>
      <c r="C349" s="98" t="s">
        <v>913</v>
      </c>
      <c r="D349" s="98" t="s">
        <v>916</v>
      </c>
      <c r="E349" s="98" t="s">
        <v>123</v>
      </c>
      <c r="F349" s="144" t="s">
        <v>316</v>
      </c>
      <c r="G349" s="151">
        <v>9000.0</v>
      </c>
      <c r="H349" s="150">
        <v>720000.0</v>
      </c>
      <c r="I349" s="115" t="s">
        <v>212</v>
      </c>
      <c r="J349" s="121">
        <v>350000.0</v>
      </c>
      <c r="K349" s="98" t="s">
        <v>212</v>
      </c>
      <c r="L349" s="58">
        <f t="shared" si="33"/>
        <v>370000</v>
      </c>
      <c r="M349" s="150">
        <v>70000.0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18">
        <v>15.0</v>
      </c>
      <c r="B350" s="142">
        <v>45894.0</v>
      </c>
      <c r="C350" s="98" t="s">
        <v>913</v>
      </c>
      <c r="D350" s="98" t="s">
        <v>916</v>
      </c>
      <c r="E350" s="98" t="s">
        <v>327</v>
      </c>
      <c r="F350" s="144" t="s">
        <v>325</v>
      </c>
      <c r="G350" s="151">
        <v>10000.0</v>
      </c>
      <c r="H350" s="150">
        <v>1300000.0</v>
      </c>
      <c r="I350" s="152" t="s">
        <v>238</v>
      </c>
      <c r="J350" s="121">
        <v>690000.0</v>
      </c>
      <c r="K350" s="98" t="s">
        <v>212</v>
      </c>
      <c r="L350" s="58">
        <f t="shared" si="33"/>
        <v>610000</v>
      </c>
      <c r="M350" s="150">
        <v>88000.0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18">
        <v>16.0</v>
      </c>
      <c r="B351" s="142">
        <v>45895.0</v>
      </c>
      <c r="C351" s="98" t="s">
        <v>913</v>
      </c>
      <c r="D351" s="98" t="s">
        <v>916</v>
      </c>
      <c r="E351" s="98" t="s">
        <v>536</v>
      </c>
      <c r="F351" s="144" t="s">
        <v>341</v>
      </c>
      <c r="G351" s="151">
        <v>7250.0</v>
      </c>
      <c r="H351" s="150">
        <v>1605360.0</v>
      </c>
      <c r="I351" s="152"/>
      <c r="J351" s="121">
        <v>700000.0</v>
      </c>
      <c r="K351" s="98" t="s">
        <v>212</v>
      </c>
      <c r="L351" s="58">
        <f t="shared" si="33"/>
        <v>905360</v>
      </c>
      <c r="M351" s="150">
        <v>124000.0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18">
        <v>17.0</v>
      </c>
      <c r="B352" s="142">
        <v>45896.0</v>
      </c>
      <c r="C352" s="98" t="s">
        <v>913</v>
      </c>
      <c r="D352" s="98" t="s">
        <v>916</v>
      </c>
      <c r="E352" s="98" t="s">
        <v>536</v>
      </c>
      <c r="F352" s="144" t="s">
        <v>336</v>
      </c>
      <c r="G352" s="151">
        <v>6250.0</v>
      </c>
      <c r="H352" s="150">
        <v>1550003.0</v>
      </c>
      <c r="I352" s="152"/>
      <c r="J352" s="121">
        <v>750000.0</v>
      </c>
      <c r="K352" s="98" t="s">
        <v>212</v>
      </c>
      <c r="L352" s="58">
        <f t="shared" si="33"/>
        <v>800003</v>
      </c>
      <c r="M352" s="150">
        <v>22000.0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18">
        <v>18.0</v>
      </c>
      <c r="B353" s="142">
        <v>45898.0</v>
      </c>
      <c r="C353" s="98" t="s">
        <v>913</v>
      </c>
      <c r="D353" s="98" t="s">
        <v>916</v>
      </c>
      <c r="E353" s="98" t="s">
        <v>327</v>
      </c>
      <c r="F353" s="144" t="s">
        <v>333</v>
      </c>
      <c r="G353" s="110">
        <v>9000.0</v>
      </c>
      <c r="H353" s="150">
        <v>1350000.0</v>
      </c>
      <c r="I353" s="184"/>
      <c r="J353" s="121">
        <v>850000.0</v>
      </c>
      <c r="K353" s="98" t="s">
        <v>212</v>
      </c>
      <c r="L353" s="58">
        <f t="shared" si="33"/>
        <v>500000</v>
      </c>
      <c r="M353" s="150">
        <v>1850000.0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18"/>
      <c r="B354" s="7"/>
      <c r="C354" s="7"/>
      <c r="D354" s="7"/>
      <c r="E354" s="17"/>
      <c r="F354" s="144"/>
      <c r="G354" s="170"/>
      <c r="H354" s="149"/>
      <c r="I354" s="184"/>
      <c r="J354" s="121"/>
      <c r="K354" s="17"/>
      <c r="L354" s="52">
        <f t="shared" ref="L354:M354" si="34">SUM(L336:L353)</f>
        <v>10691798</v>
      </c>
      <c r="M354" s="30">
        <f t="shared" si="34"/>
        <v>17493000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1"/>
      <c r="B355" s="7"/>
      <c r="C355" s="7"/>
      <c r="D355" s="7"/>
      <c r="E355" s="17"/>
      <c r="F355" s="144"/>
      <c r="G355" s="170"/>
      <c r="H355" s="149"/>
      <c r="I355" s="184"/>
      <c r="J355" s="121"/>
      <c r="K355" s="17"/>
      <c r="L355" s="33">
        <f>L354-M354</f>
        <v>-6801202</v>
      </c>
      <c r="M355" s="26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144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36" t="s">
        <v>209</v>
      </c>
      <c r="B357" s="136" t="s">
        <v>0</v>
      </c>
      <c r="C357" s="136" t="s">
        <v>1</v>
      </c>
      <c r="D357" s="136" t="s">
        <v>2</v>
      </c>
      <c r="E357" s="137" t="s">
        <v>3</v>
      </c>
      <c r="F357" s="136" t="s">
        <v>4</v>
      </c>
      <c r="G357" s="138" t="s">
        <v>5</v>
      </c>
      <c r="H357" s="139" t="s">
        <v>6</v>
      </c>
      <c r="I357" s="140" t="s">
        <v>39</v>
      </c>
      <c r="J357" s="139" t="s">
        <v>7</v>
      </c>
      <c r="K357" s="138" t="s">
        <v>39</v>
      </c>
      <c r="L357" s="140" t="s">
        <v>8</v>
      </c>
      <c r="M357" s="141" t="s">
        <v>9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7">
        <v>1.0</v>
      </c>
      <c r="B358" s="142">
        <v>45901.0</v>
      </c>
      <c r="C358" s="98" t="s">
        <v>913</v>
      </c>
      <c r="D358" s="98" t="s">
        <v>916</v>
      </c>
      <c r="E358" s="144" t="s">
        <v>320</v>
      </c>
      <c r="F358" s="144" t="s">
        <v>324</v>
      </c>
      <c r="G358" s="148">
        <v>10000.0</v>
      </c>
      <c r="H358" s="107">
        <v>750000.0</v>
      </c>
      <c r="I358" s="108"/>
      <c r="J358" s="109">
        <v>375000.0</v>
      </c>
      <c r="K358" s="98" t="s">
        <v>212</v>
      </c>
      <c r="L358" s="58">
        <f>H358-J358</f>
        <v>375000</v>
      </c>
      <c r="M358" s="14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1.14"/>
    <col customWidth="1" min="6" max="6" width="24.86"/>
  </cols>
  <sheetData>
    <row r="1">
      <c r="A1" s="89" t="s">
        <v>209</v>
      </c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2" t="s">
        <v>39</v>
      </c>
      <c r="J1" s="120" t="s">
        <v>7</v>
      </c>
      <c r="K1" s="91" t="s">
        <v>39</v>
      </c>
      <c r="L1" s="92" t="s">
        <v>8</v>
      </c>
      <c r="M1" s="120" t="s">
        <v>9</v>
      </c>
    </row>
    <row r="2">
      <c r="A2" s="17">
        <v>1.0</v>
      </c>
      <c r="B2" s="112">
        <v>45681.0</v>
      </c>
      <c r="C2" s="98" t="s">
        <v>919</v>
      </c>
      <c r="D2" s="98" t="s">
        <v>26</v>
      </c>
      <c r="E2" s="213" t="s">
        <v>242</v>
      </c>
      <c r="F2" s="204" t="s">
        <v>259</v>
      </c>
      <c r="G2" s="151">
        <v>10000.0</v>
      </c>
      <c r="H2" s="104">
        <v>1500000.0</v>
      </c>
      <c r="I2" s="115" t="s">
        <v>238</v>
      </c>
      <c r="J2" s="121">
        <v>850000.0</v>
      </c>
      <c r="K2" s="212" t="s">
        <v>212</v>
      </c>
      <c r="L2" s="127">
        <f t="shared" ref="L2:L4" si="1">H2-J2</f>
        <v>650000</v>
      </c>
      <c r="M2" s="150"/>
    </row>
    <row r="3">
      <c r="A3" s="17">
        <v>2.0</v>
      </c>
      <c r="B3" s="112">
        <v>45682.0</v>
      </c>
      <c r="C3" s="98" t="s">
        <v>919</v>
      </c>
      <c r="D3" s="98" t="s">
        <v>26</v>
      </c>
      <c r="E3" s="213" t="s">
        <v>256</v>
      </c>
      <c r="F3" s="205" t="s">
        <v>303</v>
      </c>
      <c r="G3" s="110">
        <v>9000.0</v>
      </c>
      <c r="H3" s="101">
        <v>1215000.0</v>
      </c>
      <c r="I3" s="115" t="s">
        <v>238</v>
      </c>
      <c r="J3" s="128">
        <v>725000.0</v>
      </c>
      <c r="K3" s="212" t="s">
        <v>212</v>
      </c>
      <c r="L3" s="58">
        <f t="shared" si="1"/>
        <v>490000</v>
      </c>
      <c r="M3" s="150">
        <v>40000.0</v>
      </c>
    </row>
    <row r="4">
      <c r="A4" s="17">
        <v>3.0</v>
      </c>
      <c r="B4" s="112">
        <v>45682.0</v>
      </c>
      <c r="C4" s="98" t="s">
        <v>919</v>
      </c>
      <c r="D4" s="98" t="s">
        <v>26</v>
      </c>
      <c r="E4" s="213" t="s">
        <v>243</v>
      </c>
      <c r="F4" s="204" t="s">
        <v>264</v>
      </c>
      <c r="G4" s="151">
        <v>10000.0</v>
      </c>
      <c r="H4" s="135">
        <v>1500000.0</v>
      </c>
      <c r="I4" s="206" t="s">
        <v>238</v>
      </c>
      <c r="J4" s="207">
        <v>975000.0</v>
      </c>
      <c r="K4" s="212" t="s">
        <v>212</v>
      </c>
      <c r="L4" s="61">
        <f t="shared" si="1"/>
        <v>525000</v>
      </c>
      <c r="M4" s="150">
        <v>1126000.0</v>
      </c>
      <c r="N4" s="205" t="s">
        <v>920</v>
      </c>
    </row>
    <row r="5">
      <c r="A5" s="17"/>
      <c r="E5" s="213"/>
    </row>
    <row r="6">
      <c r="A6" s="17"/>
      <c r="E6" s="213"/>
      <c r="L6" s="52">
        <f>SUM(L2:L5)</f>
        <v>1665000</v>
      </c>
      <c r="M6" s="30">
        <f>SUM(M2:M4)</f>
        <v>1166000</v>
      </c>
    </row>
    <row r="7">
      <c r="A7" s="17"/>
      <c r="E7" s="213"/>
      <c r="L7" s="33">
        <f>L6-M6</f>
        <v>499000</v>
      </c>
      <c r="M7" s="26"/>
    </row>
    <row r="8">
      <c r="A8" s="17"/>
      <c r="E8" s="213"/>
    </row>
    <row r="9">
      <c r="A9" s="136" t="s">
        <v>209</v>
      </c>
      <c r="B9" s="327" t="s">
        <v>0</v>
      </c>
      <c r="C9" s="327" t="s">
        <v>1</v>
      </c>
      <c r="D9" s="327" t="s">
        <v>2</v>
      </c>
      <c r="E9" s="328" t="s">
        <v>3</v>
      </c>
      <c r="F9" s="327" t="s">
        <v>4</v>
      </c>
      <c r="G9" s="138" t="s">
        <v>5</v>
      </c>
      <c r="H9" s="139" t="s">
        <v>6</v>
      </c>
      <c r="I9" s="140" t="s">
        <v>39</v>
      </c>
      <c r="J9" s="139" t="s">
        <v>7</v>
      </c>
      <c r="K9" s="138" t="s">
        <v>39</v>
      </c>
      <c r="L9" s="140" t="s">
        <v>8</v>
      </c>
      <c r="M9" s="141" t="s">
        <v>9</v>
      </c>
    </row>
    <row r="10">
      <c r="A10" s="169">
        <v>1.0</v>
      </c>
      <c r="B10" s="209">
        <v>45689.0</v>
      </c>
      <c r="C10" s="98" t="s">
        <v>919</v>
      </c>
      <c r="D10" s="98" t="s">
        <v>26</v>
      </c>
      <c r="E10" s="210" t="s">
        <v>242</v>
      </c>
      <c r="F10" s="210" t="s">
        <v>43</v>
      </c>
      <c r="G10" s="151">
        <v>10000.0</v>
      </c>
      <c r="H10" s="104">
        <v>1500000.0</v>
      </c>
      <c r="I10" s="115" t="s">
        <v>238</v>
      </c>
      <c r="J10" s="121">
        <v>850000.0</v>
      </c>
      <c r="K10" s="212" t="s">
        <v>238</v>
      </c>
      <c r="L10" s="127">
        <f t="shared" ref="L10:L27" si="2">H10-J10</f>
        <v>650000</v>
      </c>
      <c r="M10" s="147">
        <v>1150000.0</v>
      </c>
    </row>
    <row r="11">
      <c r="A11" s="98">
        <v>2.0</v>
      </c>
      <c r="B11" s="142">
        <v>45692.0</v>
      </c>
      <c r="C11" s="98" t="s">
        <v>919</v>
      </c>
      <c r="D11" s="98" t="s">
        <v>26</v>
      </c>
      <c r="E11" s="210" t="s">
        <v>684</v>
      </c>
      <c r="F11" s="210" t="s">
        <v>43</v>
      </c>
      <c r="G11" s="151">
        <v>10000.0</v>
      </c>
      <c r="H11" s="104">
        <v>1500000.0</v>
      </c>
      <c r="I11" s="115" t="s">
        <v>238</v>
      </c>
      <c r="J11" s="121">
        <v>850000.0</v>
      </c>
      <c r="K11" s="212" t="s">
        <v>212</v>
      </c>
      <c r="L11" s="127">
        <f t="shared" si="2"/>
        <v>650000</v>
      </c>
      <c r="M11" s="147">
        <v>436000.0</v>
      </c>
    </row>
    <row r="12">
      <c r="A12" s="98">
        <v>3.0</v>
      </c>
      <c r="B12" s="142">
        <v>45693.0</v>
      </c>
      <c r="C12" s="98" t="s">
        <v>919</v>
      </c>
      <c r="D12" s="98" t="s">
        <v>26</v>
      </c>
      <c r="E12" s="213" t="s">
        <v>335</v>
      </c>
      <c r="F12" s="98" t="s">
        <v>921</v>
      </c>
      <c r="G12" s="110">
        <v>6000.0</v>
      </c>
      <c r="H12" s="121">
        <v>1400000.0</v>
      </c>
      <c r="I12" s="115" t="s">
        <v>238</v>
      </c>
      <c r="J12" s="121">
        <v>640000.0</v>
      </c>
      <c r="K12" s="213" t="s">
        <v>238</v>
      </c>
      <c r="L12" s="58">
        <f t="shared" si="2"/>
        <v>760000</v>
      </c>
      <c r="M12" s="147"/>
    </row>
    <row r="13">
      <c r="A13" s="98">
        <v>4.0</v>
      </c>
      <c r="B13" s="142">
        <v>45694.0</v>
      </c>
      <c r="C13" s="98" t="s">
        <v>919</v>
      </c>
      <c r="D13" s="98" t="s">
        <v>26</v>
      </c>
      <c r="E13" s="213" t="s">
        <v>254</v>
      </c>
      <c r="F13" s="110" t="s">
        <v>285</v>
      </c>
      <c r="G13" s="110">
        <v>9000.0</v>
      </c>
      <c r="H13" s="121">
        <v>1350000.0</v>
      </c>
      <c r="I13" s="115" t="s">
        <v>238</v>
      </c>
      <c r="J13" s="121">
        <v>780000.0</v>
      </c>
      <c r="K13" s="213" t="s">
        <v>238</v>
      </c>
      <c r="L13" s="58">
        <f t="shared" si="2"/>
        <v>570000</v>
      </c>
      <c r="M13" s="147"/>
    </row>
    <row r="14">
      <c r="A14" s="98">
        <v>5.0</v>
      </c>
      <c r="B14" s="142">
        <v>45695.0</v>
      </c>
      <c r="C14" s="98" t="s">
        <v>919</v>
      </c>
      <c r="D14" s="98" t="s">
        <v>26</v>
      </c>
      <c r="E14" s="210" t="s">
        <v>242</v>
      </c>
      <c r="F14" s="210" t="s">
        <v>43</v>
      </c>
      <c r="G14" s="151">
        <v>10000.0</v>
      </c>
      <c r="H14" s="104">
        <v>1500000.0</v>
      </c>
      <c r="I14" s="115" t="s">
        <v>238</v>
      </c>
      <c r="J14" s="121">
        <v>850000.0</v>
      </c>
      <c r="K14" s="213" t="s">
        <v>238</v>
      </c>
      <c r="L14" s="127">
        <f t="shared" si="2"/>
        <v>650000</v>
      </c>
      <c r="M14" s="147">
        <v>588000.0</v>
      </c>
    </row>
    <row r="15">
      <c r="A15" s="98">
        <v>6.0</v>
      </c>
      <c r="B15" s="142">
        <v>45696.0</v>
      </c>
      <c r="C15" s="98" t="s">
        <v>919</v>
      </c>
      <c r="D15" s="98" t="s">
        <v>26</v>
      </c>
      <c r="E15" s="213" t="s">
        <v>242</v>
      </c>
      <c r="F15" s="110" t="s">
        <v>324</v>
      </c>
      <c r="G15" s="110">
        <v>10000.0</v>
      </c>
      <c r="H15" s="121">
        <v>750000.0</v>
      </c>
      <c r="I15" s="115" t="s">
        <v>212</v>
      </c>
      <c r="J15" s="121">
        <v>400000.0</v>
      </c>
      <c r="K15" s="212" t="s">
        <v>212</v>
      </c>
      <c r="L15" s="127">
        <f t="shared" si="2"/>
        <v>350000</v>
      </c>
      <c r="M15" s="147">
        <v>455000.0</v>
      </c>
    </row>
    <row r="16">
      <c r="A16" s="98">
        <v>7.0</v>
      </c>
      <c r="B16" s="142">
        <v>45698.0</v>
      </c>
      <c r="C16" s="98" t="s">
        <v>919</v>
      </c>
      <c r="D16" s="98" t="s">
        <v>26</v>
      </c>
      <c r="E16" s="213" t="s">
        <v>279</v>
      </c>
      <c r="F16" s="110" t="s">
        <v>325</v>
      </c>
      <c r="G16" s="110">
        <v>9000.0</v>
      </c>
      <c r="H16" s="121">
        <v>1200000.0</v>
      </c>
      <c r="I16" s="115" t="s">
        <v>212</v>
      </c>
      <c r="J16" s="121">
        <v>640000.0</v>
      </c>
      <c r="K16" s="212" t="s">
        <v>212</v>
      </c>
      <c r="L16" s="127">
        <f t="shared" si="2"/>
        <v>560000</v>
      </c>
      <c r="M16" s="147">
        <v>60000.0</v>
      </c>
    </row>
    <row r="17">
      <c r="A17" s="98">
        <v>8.0</v>
      </c>
      <c r="B17" s="142">
        <v>45699.0</v>
      </c>
      <c r="C17" s="98" t="s">
        <v>919</v>
      </c>
      <c r="D17" s="98" t="s">
        <v>26</v>
      </c>
      <c r="E17" s="213" t="s">
        <v>242</v>
      </c>
      <c r="F17" s="110" t="s">
        <v>43</v>
      </c>
      <c r="G17" s="151">
        <v>10000.0</v>
      </c>
      <c r="H17" s="104">
        <v>1500000.0</v>
      </c>
      <c r="I17" s="115" t="s">
        <v>238</v>
      </c>
      <c r="J17" s="121">
        <v>850000.0</v>
      </c>
      <c r="K17" s="212" t="s">
        <v>212</v>
      </c>
      <c r="L17" s="127">
        <f t="shared" si="2"/>
        <v>650000</v>
      </c>
      <c r="M17" s="147">
        <v>100000.0</v>
      </c>
      <c r="N17" s="214"/>
    </row>
    <row r="18">
      <c r="A18" s="98">
        <v>9.0</v>
      </c>
      <c r="B18" s="142">
        <v>45702.0</v>
      </c>
      <c r="C18" s="98" t="s">
        <v>919</v>
      </c>
      <c r="D18" s="98" t="s">
        <v>26</v>
      </c>
      <c r="E18" s="213" t="s">
        <v>279</v>
      </c>
      <c r="F18" s="110" t="s">
        <v>589</v>
      </c>
      <c r="G18" s="110">
        <v>9000.0</v>
      </c>
      <c r="H18" s="121">
        <v>1305000.0</v>
      </c>
      <c r="I18" s="115" t="s">
        <v>238</v>
      </c>
      <c r="J18" s="121">
        <v>725000.0</v>
      </c>
      <c r="K18" s="212" t="s">
        <v>212</v>
      </c>
      <c r="L18" s="127">
        <f t="shared" si="2"/>
        <v>580000</v>
      </c>
      <c r="M18" s="147"/>
    </row>
    <row r="19">
      <c r="A19" s="98">
        <v>10.0</v>
      </c>
      <c r="B19" s="142">
        <v>45705.0</v>
      </c>
      <c r="C19" s="98" t="s">
        <v>919</v>
      </c>
      <c r="D19" s="98" t="s">
        <v>26</v>
      </c>
      <c r="E19" s="213" t="s">
        <v>922</v>
      </c>
      <c r="F19" s="110" t="s">
        <v>296</v>
      </c>
      <c r="G19" s="110">
        <v>9000.0</v>
      </c>
      <c r="H19" s="61">
        <v>765000.0</v>
      </c>
      <c r="I19" s="115" t="s">
        <v>238</v>
      </c>
      <c r="J19" s="61">
        <v>450000.0</v>
      </c>
      <c r="K19" s="212" t="s">
        <v>212</v>
      </c>
      <c r="L19" s="127">
        <f t="shared" si="2"/>
        <v>315000</v>
      </c>
      <c r="M19" s="147">
        <v>245000.0</v>
      </c>
    </row>
    <row r="20">
      <c r="A20" s="98">
        <v>11.0</v>
      </c>
      <c r="B20" s="142">
        <v>45707.0</v>
      </c>
      <c r="C20" s="98" t="s">
        <v>919</v>
      </c>
      <c r="D20" s="98" t="s">
        <v>26</v>
      </c>
      <c r="E20" s="213" t="s">
        <v>254</v>
      </c>
      <c r="F20" s="110" t="s">
        <v>285</v>
      </c>
      <c r="G20" s="110">
        <v>10000.0</v>
      </c>
      <c r="H20" s="121">
        <v>1500000.0</v>
      </c>
      <c r="I20" s="115" t="s">
        <v>238</v>
      </c>
      <c r="J20" s="121">
        <v>830000.0</v>
      </c>
      <c r="K20" s="212" t="s">
        <v>212</v>
      </c>
      <c r="L20" s="127">
        <f t="shared" si="2"/>
        <v>670000</v>
      </c>
      <c r="M20" s="147"/>
    </row>
    <row r="21">
      <c r="A21" s="98">
        <v>12.0</v>
      </c>
      <c r="B21" s="142">
        <v>45709.0</v>
      </c>
      <c r="C21" s="98" t="s">
        <v>919</v>
      </c>
      <c r="D21" s="98" t="s">
        <v>26</v>
      </c>
      <c r="E21" s="213" t="s">
        <v>242</v>
      </c>
      <c r="F21" s="110" t="s">
        <v>259</v>
      </c>
      <c r="G21" s="110">
        <v>10000.0</v>
      </c>
      <c r="H21" s="121">
        <v>1500000.0</v>
      </c>
      <c r="I21" s="115" t="s">
        <v>238</v>
      </c>
      <c r="J21" s="121">
        <v>850000.0</v>
      </c>
      <c r="K21" s="212" t="s">
        <v>212</v>
      </c>
      <c r="L21" s="127">
        <f t="shared" si="2"/>
        <v>650000</v>
      </c>
      <c r="M21" s="147"/>
    </row>
    <row r="22">
      <c r="A22" s="98">
        <v>13.0</v>
      </c>
      <c r="B22" s="142">
        <v>45710.0</v>
      </c>
      <c r="C22" s="98" t="s">
        <v>919</v>
      </c>
      <c r="D22" s="98" t="s">
        <v>26</v>
      </c>
      <c r="E22" s="213" t="s">
        <v>279</v>
      </c>
      <c r="F22" s="110" t="s">
        <v>324</v>
      </c>
      <c r="G22" s="110">
        <v>9000.0</v>
      </c>
      <c r="H22" s="121">
        <v>675000.0</v>
      </c>
      <c r="I22" s="115" t="s">
        <v>212</v>
      </c>
      <c r="J22" s="121">
        <v>350000.0</v>
      </c>
      <c r="K22" s="212" t="s">
        <v>212</v>
      </c>
      <c r="L22" s="127">
        <f t="shared" si="2"/>
        <v>325000</v>
      </c>
      <c r="M22" s="147">
        <v>55000.0</v>
      </c>
    </row>
    <row r="23">
      <c r="A23" s="98">
        <v>14.0</v>
      </c>
      <c r="B23" s="142">
        <v>45712.0</v>
      </c>
      <c r="C23" s="98" t="s">
        <v>919</v>
      </c>
      <c r="D23" s="98" t="s">
        <v>26</v>
      </c>
      <c r="E23" s="213" t="s">
        <v>684</v>
      </c>
      <c r="F23" s="110" t="s">
        <v>259</v>
      </c>
      <c r="G23" s="110">
        <v>10000.0</v>
      </c>
      <c r="H23" s="121">
        <v>1500000.0</v>
      </c>
      <c r="I23" s="115" t="s">
        <v>238</v>
      </c>
      <c r="J23" s="121">
        <v>850000.0</v>
      </c>
      <c r="K23" s="212" t="s">
        <v>212</v>
      </c>
      <c r="L23" s="127">
        <f t="shared" si="2"/>
        <v>650000</v>
      </c>
      <c r="M23" s="147">
        <v>3792000.0</v>
      </c>
      <c r="N23" s="205" t="s">
        <v>923</v>
      </c>
    </row>
    <row r="24">
      <c r="A24" s="98">
        <v>15.0</v>
      </c>
      <c r="B24" s="142">
        <v>45713.0</v>
      </c>
      <c r="C24" s="98" t="s">
        <v>919</v>
      </c>
      <c r="D24" s="98" t="s">
        <v>26</v>
      </c>
      <c r="E24" s="213" t="s">
        <v>242</v>
      </c>
      <c r="F24" s="110" t="s">
        <v>278</v>
      </c>
      <c r="G24" s="110">
        <v>9000.0</v>
      </c>
      <c r="H24" s="121">
        <v>700000.0</v>
      </c>
      <c r="I24" s="115" t="s">
        <v>238</v>
      </c>
      <c r="J24" s="121">
        <v>375000.0</v>
      </c>
      <c r="K24" s="212" t="s">
        <v>212</v>
      </c>
      <c r="L24" s="127">
        <f t="shared" si="2"/>
        <v>325000</v>
      </c>
      <c r="M24" s="147"/>
    </row>
    <row r="25">
      <c r="A25" s="98">
        <v>16.0</v>
      </c>
      <c r="B25" s="142">
        <v>45714.0</v>
      </c>
      <c r="C25" s="98" t="s">
        <v>919</v>
      </c>
      <c r="D25" s="98" t="s">
        <v>26</v>
      </c>
      <c r="E25" s="213" t="s">
        <v>242</v>
      </c>
      <c r="F25" s="110" t="s">
        <v>259</v>
      </c>
      <c r="G25" s="110">
        <v>10000.0</v>
      </c>
      <c r="H25" s="121">
        <v>1500000.0</v>
      </c>
      <c r="I25" s="115" t="s">
        <v>238</v>
      </c>
      <c r="J25" s="121">
        <v>850000.0</v>
      </c>
      <c r="K25" s="212" t="s">
        <v>212</v>
      </c>
      <c r="L25" s="127">
        <f t="shared" si="2"/>
        <v>650000</v>
      </c>
      <c r="M25" s="147">
        <v>600000.0</v>
      </c>
    </row>
    <row r="26">
      <c r="A26" s="98">
        <v>17.0</v>
      </c>
      <c r="B26" s="142">
        <v>45715.0</v>
      </c>
      <c r="C26" s="98" t="s">
        <v>919</v>
      </c>
      <c r="D26" s="98" t="s">
        <v>26</v>
      </c>
      <c r="E26" s="213" t="s">
        <v>243</v>
      </c>
      <c r="F26" s="110" t="s">
        <v>260</v>
      </c>
      <c r="G26" s="110">
        <v>10000.0</v>
      </c>
      <c r="H26" s="121">
        <v>1500000.0</v>
      </c>
      <c r="I26" s="115" t="s">
        <v>238</v>
      </c>
      <c r="J26" s="121">
        <v>950000.0</v>
      </c>
      <c r="K26" s="212" t="s">
        <v>212</v>
      </c>
      <c r="L26" s="127">
        <f t="shared" si="2"/>
        <v>550000</v>
      </c>
      <c r="M26" s="147"/>
    </row>
    <row r="27">
      <c r="A27" s="98">
        <v>18.0</v>
      </c>
      <c r="B27" s="142">
        <v>45716.0</v>
      </c>
      <c r="C27" s="98" t="s">
        <v>919</v>
      </c>
      <c r="D27" s="98" t="s">
        <v>26</v>
      </c>
      <c r="E27" s="205" t="s">
        <v>594</v>
      </c>
      <c r="F27" s="110" t="s">
        <v>924</v>
      </c>
      <c r="G27" s="110">
        <v>9000.0</v>
      </c>
      <c r="H27" s="121">
        <v>1200000.0</v>
      </c>
      <c r="I27" s="115" t="s">
        <v>212</v>
      </c>
      <c r="J27" s="121">
        <v>665000.0</v>
      </c>
      <c r="K27" s="212" t="s">
        <v>212</v>
      </c>
      <c r="L27" s="127">
        <f t="shared" si="2"/>
        <v>535000</v>
      </c>
      <c r="M27" s="147"/>
    </row>
    <row r="28">
      <c r="A28" s="98"/>
      <c r="F28" s="110"/>
      <c r="G28" s="110"/>
      <c r="H28" s="121"/>
      <c r="I28" s="115"/>
      <c r="J28" s="121"/>
      <c r="L28" s="216">
        <f t="shared" ref="L28:M28" si="3">SUM(L10:L27)</f>
        <v>10090000</v>
      </c>
      <c r="M28" s="217">
        <f t="shared" si="3"/>
        <v>7481000</v>
      </c>
    </row>
    <row r="29">
      <c r="A29" s="98"/>
      <c r="F29" s="110"/>
      <c r="G29" s="110"/>
      <c r="H29" s="121"/>
      <c r="L29" s="218">
        <f>L28-M28</f>
        <v>2609000</v>
      </c>
      <c r="M29" s="219"/>
    </row>
    <row r="30">
      <c r="A30" s="98"/>
      <c r="H30" s="121"/>
      <c r="M30" s="205" t="s">
        <v>925</v>
      </c>
    </row>
    <row r="31">
      <c r="A31" s="136" t="s">
        <v>209</v>
      </c>
      <c r="B31" s="327" t="s">
        <v>0</v>
      </c>
      <c r="C31" s="327" t="s">
        <v>1</v>
      </c>
      <c r="D31" s="327" t="s">
        <v>2</v>
      </c>
      <c r="E31" s="328" t="s">
        <v>3</v>
      </c>
      <c r="F31" s="327" t="s">
        <v>4</v>
      </c>
      <c r="G31" s="138" t="s">
        <v>5</v>
      </c>
      <c r="H31" s="139" t="s">
        <v>6</v>
      </c>
      <c r="I31" s="140" t="s">
        <v>39</v>
      </c>
      <c r="J31" s="139" t="s">
        <v>7</v>
      </c>
      <c r="K31" s="138" t="s">
        <v>39</v>
      </c>
      <c r="L31" s="140" t="s">
        <v>8</v>
      </c>
      <c r="M31" s="141" t="s">
        <v>9</v>
      </c>
    </row>
    <row r="32">
      <c r="A32" s="169">
        <v>1.0</v>
      </c>
      <c r="B32" s="142">
        <v>45719.0</v>
      </c>
      <c r="C32" s="98" t="s">
        <v>919</v>
      </c>
      <c r="D32" s="98" t="s">
        <v>26</v>
      </c>
      <c r="E32" s="210" t="s">
        <v>279</v>
      </c>
      <c r="F32" s="210" t="s">
        <v>281</v>
      </c>
      <c r="G32" s="151">
        <v>10000.0</v>
      </c>
      <c r="H32" s="121">
        <v>1600000.0</v>
      </c>
      <c r="I32" s="115" t="s">
        <v>238</v>
      </c>
      <c r="J32" s="121">
        <v>950000.0</v>
      </c>
      <c r="K32" s="212" t="s">
        <v>212</v>
      </c>
      <c r="L32" s="127">
        <f t="shared" ref="L32:L49" si="4">H32-J32</f>
        <v>650000</v>
      </c>
      <c r="M32" s="147"/>
    </row>
    <row r="33">
      <c r="A33" s="98">
        <v>2.0</v>
      </c>
      <c r="B33" s="142">
        <v>45720.0</v>
      </c>
      <c r="C33" s="98" t="s">
        <v>919</v>
      </c>
      <c r="D33" s="98" t="s">
        <v>26</v>
      </c>
      <c r="E33" s="210" t="s">
        <v>243</v>
      </c>
      <c r="F33" s="210" t="s">
        <v>260</v>
      </c>
      <c r="G33" s="151">
        <v>10000.0</v>
      </c>
      <c r="H33" s="121">
        <v>1500000.0</v>
      </c>
      <c r="I33" s="115" t="s">
        <v>238</v>
      </c>
      <c r="J33" s="121">
        <v>950000.0</v>
      </c>
      <c r="K33" s="212" t="s">
        <v>212</v>
      </c>
      <c r="L33" s="127">
        <f t="shared" si="4"/>
        <v>550000</v>
      </c>
    </row>
    <row r="34">
      <c r="A34" s="98">
        <v>3.0</v>
      </c>
      <c r="B34" s="142">
        <v>45722.0</v>
      </c>
      <c r="C34" s="98" t="s">
        <v>919</v>
      </c>
      <c r="D34" s="98" t="s">
        <v>26</v>
      </c>
      <c r="E34" s="210" t="s">
        <v>243</v>
      </c>
      <c r="F34" s="210" t="s">
        <v>321</v>
      </c>
      <c r="G34" s="110">
        <v>9000.0</v>
      </c>
      <c r="H34" s="121">
        <v>800000.0</v>
      </c>
      <c r="I34" s="115" t="s">
        <v>212</v>
      </c>
      <c r="J34" s="121">
        <v>400000.0</v>
      </c>
      <c r="K34" s="212" t="s">
        <v>212</v>
      </c>
      <c r="L34" s="127">
        <f t="shared" si="4"/>
        <v>400000</v>
      </c>
      <c r="M34" s="147">
        <v>1356500.0</v>
      </c>
    </row>
    <row r="35">
      <c r="A35" s="98">
        <v>4.0</v>
      </c>
      <c r="B35" s="142">
        <v>45724.0</v>
      </c>
      <c r="C35" s="98" t="s">
        <v>919</v>
      </c>
      <c r="D35" s="98" t="s">
        <v>26</v>
      </c>
      <c r="E35" s="213" t="s">
        <v>242</v>
      </c>
      <c r="F35" s="210" t="s">
        <v>926</v>
      </c>
      <c r="G35" s="110">
        <v>10000.0</v>
      </c>
      <c r="H35" s="329">
        <v>800000.0</v>
      </c>
      <c r="I35" s="115" t="s">
        <v>238</v>
      </c>
      <c r="J35" s="106">
        <v>425000.0</v>
      </c>
      <c r="K35" s="212" t="s">
        <v>212</v>
      </c>
      <c r="L35" s="127">
        <f t="shared" si="4"/>
        <v>375000</v>
      </c>
    </row>
    <row r="36">
      <c r="A36" s="98">
        <v>5.0</v>
      </c>
      <c r="B36" s="142">
        <v>45726.0</v>
      </c>
      <c r="C36" s="98" t="s">
        <v>919</v>
      </c>
      <c r="D36" s="98" t="s">
        <v>26</v>
      </c>
      <c r="E36" s="213" t="s">
        <v>242</v>
      </c>
      <c r="F36" s="210" t="s">
        <v>259</v>
      </c>
      <c r="G36" s="110">
        <v>10000.0</v>
      </c>
      <c r="H36" s="329">
        <v>1500000.0</v>
      </c>
      <c r="I36" s="115" t="s">
        <v>238</v>
      </c>
      <c r="J36" s="121">
        <v>850000.0</v>
      </c>
      <c r="K36" s="212" t="s">
        <v>212</v>
      </c>
      <c r="L36" s="127">
        <f t="shared" si="4"/>
        <v>650000</v>
      </c>
    </row>
    <row r="37">
      <c r="A37" s="98">
        <v>6.0</v>
      </c>
      <c r="B37" s="142">
        <v>45727.0</v>
      </c>
      <c r="C37" s="98" t="s">
        <v>919</v>
      </c>
      <c r="D37" s="98" t="s">
        <v>26</v>
      </c>
      <c r="E37" s="213" t="s">
        <v>242</v>
      </c>
      <c r="F37" s="210" t="s">
        <v>259</v>
      </c>
      <c r="G37" s="110">
        <v>10000.0</v>
      </c>
      <c r="H37" s="329">
        <v>1500000.0</v>
      </c>
      <c r="I37" s="115" t="s">
        <v>238</v>
      </c>
      <c r="J37" s="121">
        <v>850000.0</v>
      </c>
      <c r="K37" s="212" t="s">
        <v>238</v>
      </c>
      <c r="L37" s="127">
        <f t="shared" si="4"/>
        <v>650000</v>
      </c>
      <c r="M37" s="147">
        <v>65000.0</v>
      </c>
    </row>
    <row r="38">
      <c r="A38" s="98">
        <v>7.0</v>
      </c>
      <c r="B38" s="142">
        <v>45729.0</v>
      </c>
      <c r="C38" s="98" t="s">
        <v>919</v>
      </c>
      <c r="D38" s="98" t="s">
        <v>26</v>
      </c>
      <c r="E38" s="213" t="s">
        <v>243</v>
      </c>
      <c r="F38" s="213" t="s">
        <v>591</v>
      </c>
      <c r="G38" s="110">
        <v>10000.0</v>
      </c>
      <c r="H38" s="329">
        <v>1500000.0</v>
      </c>
      <c r="I38" s="115" t="s">
        <v>238</v>
      </c>
      <c r="J38" s="121">
        <v>850000.0</v>
      </c>
      <c r="K38" s="212" t="s">
        <v>212</v>
      </c>
      <c r="L38" s="127">
        <f t="shared" si="4"/>
        <v>650000</v>
      </c>
    </row>
    <row r="39">
      <c r="A39" s="98">
        <v>8.0</v>
      </c>
      <c r="B39" s="142">
        <v>45731.0</v>
      </c>
      <c r="C39" s="98" t="s">
        <v>919</v>
      </c>
      <c r="D39" s="98" t="s">
        <v>26</v>
      </c>
      <c r="E39" s="213" t="s">
        <v>243</v>
      </c>
      <c r="F39" s="210" t="s">
        <v>260</v>
      </c>
      <c r="G39" s="151">
        <v>10000.0</v>
      </c>
      <c r="H39" s="121">
        <v>1500000.0</v>
      </c>
      <c r="I39" s="115" t="s">
        <v>238</v>
      </c>
      <c r="J39" s="121">
        <v>950000.0</v>
      </c>
      <c r="K39" s="212" t="s">
        <v>212</v>
      </c>
      <c r="L39" s="127">
        <f t="shared" si="4"/>
        <v>550000</v>
      </c>
    </row>
    <row r="40">
      <c r="A40" s="98">
        <v>9.0</v>
      </c>
      <c r="B40" s="142">
        <v>45733.0</v>
      </c>
      <c r="C40" s="98" t="s">
        <v>919</v>
      </c>
      <c r="D40" s="98" t="s">
        <v>26</v>
      </c>
      <c r="E40" s="213" t="s">
        <v>242</v>
      </c>
      <c r="F40" s="210" t="s">
        <v>259</v>
      </c>
      <c r="G40" s="110">
        <v>10000.0</v>
      </c>
      <c r="H40" s="329">
        <v>1500000.0</v>
      </c>
      <c r="I40" s="115" t="s">
        <v>238</v>
      </c>
      <c r="J40" s="121">
        <v>850000.0</v>
      </c>
      <c r="K40" s="212" t="s">
        <v>212</v>
      </c>
      <c r="L40" s="127">
        <f t="shared" si="4"/>
        <v>650000</v>
      </c>
    </row>
    <row r="41">
      <c r="A41" s="98">
        <v>10.0</v>
      </c>
      <c r="B41" s="142">
        <v>45734.0</v>
      </c>
      <c r="C41" s="98" t="s">
        <v>919</v>
      </c>
      <c r="D41" s="98" t="s">
        <v>26</v>
      </c>
      <c r="E41" s="213" t="s">
        <v>242</v>
      </c>
      <c r="F41" s="210" t="s">
        <v>259</v>
      </c>
      <c r="G41" s="110">
        <v>10000.0</v>
      </c>
      <c r="H41" s="329">
        <v>1500000.0</v>
      </c>
      <c r="I41" s="115" t="s">
        <v>238</v>
      </c>
      <c r="J41" s="121">
        <v>850000.0</v>
      </c>
      <c r="K41" s="212" t="s">
        <v>212</v>
      </c>
      <c r="L41" s="127">
        <f t="shared" si="4"/>
        <v>650000</v>
      </c>
    </row>
    <row r="42">
      <c r="A42" s="98">
        <v>11.0</v>
      </c>
      <c r="B42" s="142">
        <v>45735.0</v>
      </c>
      <c r="C42" s="98" t="s">
        <v>919</v>
      </c>
      <c r="D42" s="98" t="s">
        <v>26</v>
      </c>
      <c r="E42" s="213" t="s">
        <v>243</v>
      </c>
      <c r="F42" s="210" t="s">
        <v>332</v>
      </c>
      <c r="G42" s="110">
        <v>9000.0</v>
      </c>
      <c r="H42" s="121">
        <v>765000.0</v>
      </c>
      <c r="I42" s="122" t="s">
        <v>238</v>
      </c>
      <c r="J42" s="121">
        <v>450000.0</v>
      </c>
      <c r="K42" s="212" t="s">
        <v>212</v>
      </c>
      <c r="L42" s="58">
        <f t="shared" si="4"/>
        <v>315000</v>
      </c>
      <c r="M42" s="147">
        <v>105000.0</v>
      </c>
    </row>
    <row r="43">
      <c r="A43" s="98">
        <v>12.0</v>
      </c>
      <c r="B43" s="142">
        <v>45737.0</v>
      </c>
      <c r="C43" s="98" t="s">
        <v>919</v>
      </c>
      <c r="D43" s="98" t="s">
        <v>26</v>
      </c>
      <c r="E43" s="213" t="s">
        <v>242</v>
      </c>
      <c r="F43" s="210" t="s">
        <v>259</v>
      </c>
      <c r="G43" s="110">
        <v>10000.0</v>
      </c>
      <c r="H43" s="329">
        <v>1500000.0</v>
      </c>
      <c r="I43" s="122" t="s">
        <v>238</v>
      </c>
      <c r="J43" s="121">
        <v>850000.0</v>
      </c>
      <c r="K43" s="212" t="s">
        <v>212</v>
      </c>
      <c r="L43" s="127">
        <f t="shared" si="4"/>
        <v>650000</v>
      </c>
    </row>
    <row r="44">
      <c r="A44" s="98">
        <v>13.0</v>
      </c>
      <c r="B44" s="142">
        <v>45738.0</v>
      </c>
      <c r="C44" s="98" t="s">
        <v>919</v>
      </c>
      <c r="D44" s="98" t="s">
        <v>26</v>
      </c>
      <c r="E44" s="210" t="s">
        <v>279</v>
      </c>
      <c r="F44" s="213" t="s">
        <v>325</v>
      </c>
      <c r="G44" s="110">
        <v>9000.0</v>
      </c>
      <c r="H44" s="121">
        <v>1200000.0</v>
      </c>
      <c r="I44" s="115" t="s">
        <v>212</v>
      </c>
      <c r="J44" s="121">
        <v>690000.0</v>
      </c>
      <c r="K44" s="212" t="s">
        <v>212</v>
      </c>
      <c r="L44" s="127">
        <f t="shared" si="4"/>
        <v>510000</v>
      </c>
      <c r="M44" s="147">
        <v>98000.0</v>
      </c>
    </row>
    <row r="45">
      <c r="A45" s="98">
        <v>14.0</v>
      </c>
      <c r="B45" s="142">
        <v>45740.0</v>
      </c>
      <c r="C45" s="98" t="s">
        <v>919</v>
      </c>
      <c r="D45" s="98" t="s">
        <v>26</v>
      </c>
      <c r="E45" s="210" t="s">
        <v>243</v>
      </c>
      <c r="F45" s="210" t="s">
        <v>259</v>
      </c>
      <c r="G45" s="110">
        <v>10000.0</v>
      </c>
      <c r="H45" s="329">
        <v>1500000.0</v>
      </c>
      <c r="I45" s="122" t="s">
        <v>238</v>
      </c>
      <c r="J45" s="121">
        <v>850000.0</v>
      </c>
      <c r="K45" s="212" t="s">
        <v>212</v>
      </c>
      <c r="L45" s="127">
        <f t="shared" si="4"/>
        <v>650000</v>
      </c>
      <c r="M45" s="147">
        <v>150000.0</v>
      </c>
    </row>
    <row r="46">
      <c r="A46" s="98">
        <v>15.0</v>
      </c>
      <c r="B46" s="142">
        <v>45741.0</v>
      </c>
      <c r="C46" s="98" t="s">
        <v>919</v>
      </c>
      <c r="D46" s="98" t="s">
        <v>26</v>
      </c>
      <c r="E46" s="213" t="s">
        <v>242</v>
      </c>
      <c r="F46" s="210" t="s">
        <v>259</v>
      </c>
      <c r="G46" s="110">
        <v>10000.0</v>
      </c>
      <c r="H46" s="329">
        <v>1500000.0</v>
      </c>
      <c r="I46" s="122" t="s">
        <v>238</v>
      </c>
      <c r="J46" s="121">
        <v>850000.0</v>
      </c>
      <c r="K46" s="212" t="s">
        <v>212</v>
      </c>
      <c r="L46" s="127">
        <f t="shared" si="4"/>
        <v>650000</v>
      </c>
      <c r="M46" s="147">
        <v>430000.0</v>
      </c>
    </row>
    <row r="47">
      <c r="A47" s="98">
        <v>16.0</v>
      </c>
      <c r="B47" s="142">
        <v>45742.0</v>
      </c>
      <c r="C47" s="98" t="s">
        <v>919</v>
      </c>
      <c r="D47" s="98" t="s">
        <v>26</v>
      </c>
      <c r="E47" s="213" t="s">
        <v>256</v>
      </c>
      <c r="F47" s="210" t="s">
        <v>330</v>
      </c>
      <c r="G47" s="110">
        <v>8500.0</v>
      </c>
      <c r="H47" s="329">
        <v>1200000.0</v>
      </c>
      <c r="I47" s="115" t="s">
        <v>212</v>
      </c>
      <c r="J47" s="121">
        <v>640000.0</v>
      </c>
      <c r="K47" s="212" t="s">
        <v>212</v>
      </c>
      <c r="L47" s="127">
        <f t="shared" si="4"/>
        <v>560000</v>
      </c>
    </row>
    <row r="48">
      <c r="A48" s="98">
        <v>17.0</v>
      </c>
      <c r="B48" s="142">
        <v>45743.0</v>
      </c>
      <c r="C48" s="98" t="s">
        <v>919</v>
      </c>
      <c r="D48" s="98" t="s">
        <v>26</v>
      </c>
      <c r="E48" s="213" t="s">
        <v>242</v>
      </c>
      <c r="F48" s="213" t="s">
        <v>264</v>
      </c>
      <c r="G48" s="110">
        <v>10000.0</v>
      </c>
      <c r="H48" s="329">
        <v>1500000.0</v>
      </c>
      <c r="I48" s="122" t="s">
        <v>238</v>
      </c>
      <c r="J48" s="121">
        <v>950000.0</v>
      </c>
      <c r="K48" s="212" t="s">
        <v>212</v>
      </c>
      <c r="L48" s="127">
        <f t="shared" si="4"/>
        <v>550000</v>
      </c>
    </row>
    <row r="49">
      <c r="A49" s="98">
        <v>18.0</v>
      </c>
      <c r="B49" s="142">
        <v>45744.0</v>
      </c>
      <c r="C49" s="98" t="s">
        <v>919</v>
      </c>
      <c r="D49" s="98" t="s">
        <v>26</v>
      </c>
      <c r="E49" s="210" t="s">
        <v>243</v>
      </c>
      <c r="F49" s="110" t="s">
        <v>321</v>
      </c>
      <c r="G49" s="110">
        <v>9000.0</v>
      </c>
      <c r="H49" s="121">
        <v>800000.0</v>
      </c>
      <c r="I49" s="115" t="s">
        <v>212</v>
      </c>
      <c r="J49" s="121">
        <v>400000.0</v>
      </c>
      <c r="K49" s="212" t="s">
        <v>212</v>
      </c>
      <c r="L49" s="58">
        <f t="shared" si="4"/>
        <v>400000</v>
      </c>
    </row>
    <row r="50">
      <c r="L50" s="216">
        <f t="shared" ref="L50:M50" si="5">SUM(L32:L49)</f>
        <v>10060000</v>
      </c>
      <c r="M50" s="217">
        <f t="shared" si="5"/>
        <v>2204500</v>
      </c>
    </row>
    <row r="51">
      <c r="L51" s="218">
        <f>L50-M50</f>
        <v>7855500</v>
      </c>
      <c r="M51" s="219"/>
    </row>
    <row r="53">
      <c r="A53" s="327" t="s">
        <v>209</v>
      </c>
      <c r="B53" s="327" t="s">
        <v>0</v>
      </c>
      <c r="C53" s="327" t="s">
        <v>1</v>
      </c>
      <c r="D53" s="327" t="s">
        <v>2</v>
      </c>
      <c r="E53" s="330" t="s">
        <v>3</v>
      </c>
      <c r="F53" s="327" t="s">
        <v>4</v>
      </c>
      <c r="G53" s="138" t="s">
        <v>5</v>
      </c>
      <c r="H53" s="139" t="s">
        <v>6</v>
      </c>
      <c r="I53" s="140" t="s">
        <v>39</v>
      </c>
      <c r="J53" s="139" t="s">
        <v>7</v>
      </c>
      <c r="K53" s="138" t="s">
        <v>39</v>
      </c>
      <c r="L53" s="140" t="s">
        <v>8</v>
      </c>
      <c r="M53" s="141" t="s">
        <v>9</v>
      </c>
    </row>
    <row r="54">
      <c r="A54" s="331">
        <v>1.0</v>
      </c>
      <c r="B54" s="142">
        <v>45764.0</v>
      </c>
      <c r="C54" s="98" t="s">
        <v>919</v>
      </c>
      <c r="D54" s="98" t="s">
        <v>26</v>
      </c>
      <c r="E54" s="144" t="s">
        <v>243</v>
      </c>
      <c r="F54" s="144" t="s">
        <v>264</v>
      </c>
      <c r="G54" s="148">
        <v>9000.0</v>
      </c>
      <c r="H54" s="134">
        <v>1350000.0</v>
      </c>
      <c r="I54" s="145" t="s">
        <v>238</v>
      </c>
      <c r="J54" s="134">
        <v>900000.0</v>
      </c>
      <c r="K54" s="212" t="s">
        <v>212</v>
      </c>
      <c r="L54" s="146">
        <f t="shared" ref="L54:L61" si="6">H54-J54</f>
        <v>450000</v>
      </c>
      <c r="M54" s="147">
        <v>750000.0</v>
      </c>
    </row>
    <row r="55">
      <c r="A55" s="331">
        <v>2.0</v>
      </c>
      <c r="B55" s="142">
        <v>45766.0</v>
      </c>
      <c r="C55" s="98" t="s">
        <v>919</v>
      </c>
      <c r="D55" s="98" t="s">
        <v>26</v>
      </c>
      <c r="E55" s="144" t="s">
        <v>243</v>
      </c>
      <c r="F55" s="144" t="s">
        <v>255</v>
      </c>
      <c r="G55" s="148">
        <v>10000.0</v>
      </c>
      <c r="H55" s="134">
        <v>1500000.0</v>
      </c>
      <c r="I55" s="332" t="s">
        <v>238</v>
      </c>
      <c r="J55" s="107">
        <v>950000.0</v>
      </c>
      <c r="K55" s="212" t="s">
        <v>212</v>
      </c>
      <c r="L55" s="146">
        <f t="shared" si="6"/>
        <v>550000</v>
      </c>
      <c r="M55" s="333">
        <v>2200000.0</v>
      </c>
    </row>
    <row r="56">
      <c r="A56" s="331">
        <v>3.0</v>
      </c>
      <c r="B56" s="142">
        <v>45768.0</v>
      </c>
      <c r="C56" s="98" t="s">
        <v>919</v>
      </c>
      <c r="D56" s="98" t="s">
        <v>26</v>
      </c>
      <c r="E56" s="144" t="s">
        <v>242</v>
      </c>
      <c r="F56" s="144" t="s">
        <v>259</v>
      </c>
      <c r="G56" s="148">
        <v>10000.0</v>
      </c>
      <c r="H56" s="134">
        <v>1500000.0</v>
      </c>
      <c r="I56" s="332" t="s">
        <v>238</v>
      </c>
      <c r="J56" s="134">
        <v>850000.0</v>
      </c>
      <c r="K56" s="212" t="s">
        <v>212</v>
      </c>
      <c r="L56" s="146">
        <f t="shared" si="6"/>
        <v>650000</v>
      </c>
      <c r="M56" s="333">
        <v>800000.0</v>
      </c>
    </row>
    <row r="57">
      <c r="A57" s="331">
        <v>4.0</v>
      </c>
      <c r="B57" s="142">
        <v>45769.0</v>
      </c>
      <c r="C57" s="98" t="s">
        <v>919</v>
      </c>
      <c r="D57" s="98" t="s">
        <v>26</v>
      </c>
      <c r="E57" s="144" t="s">
        <v>123</v>
      </c>
      <c r="F57" s="144" t="s">
        <v>283</v>
      </c>
      <c r="G57" s="148">
        <v>9000.0</v>
      </c>
      <c r="H57" s="134">
        <v>1300000.0</v>
      </c>
      <c r="I57" s="145" t="s">
        <v>238</v>
      </c>
      <c r="J57" s="134">
        <v>640000.0</v>
      </c>
      <c r="K57" s="212" t="s">
        <v>212</v>
      </c>
      <c r="L57" s="146">
        <f t="shared" si="6"/>
        <v>660000</v>
      </c>
      <c r="M57" s="333">
        <v>50000.0</v>
      </c>
    </row>
    <row r="58">
      <c r="A58" s="331">
        <v>5.0</v>
      </c>
      <c r="B58" s="142">
        <v>45770.0</v>
      </c>
      <c r="C58" s="98" t="s">
        <v>919</v>
      </c>
      <c r="D58" s="98" t="s">
        <v>26</v>
      </c>
      <c r="E58" s="144" t="s">
        <v>242</v>
      </c>
      <c r="F58" s="144" t="s">
        <v>259</v>
      </c>
      <c r="G58" s="148">
        <v>10000.0</v>
      </c>
      <c r="H58" s="134">
        <v>1500000.0</v>
      </c>
      <c r="I58" s="145" t="s">
        <v>238</v>
      </c>
      <c r="J58" s="134">
        <v>850000.0</v>
      </c>
      <c r="K58" s="144" t="s">
        <v>238</v>
      </c>
      <c r="L58" s="146">
        <f t="shared" si="6"/>
        <v>650000</v>
      </c>
      <c r="M58" s="333">
        <v>660000.0</v>
      </c>
    </row>
    <row r="59">
      <c r="A59" s="331">
        <v>6.0</v>
      </c>
      <c r="B59" s="142">
        <v>45775.0</v>
      </c>
      <c r="C59" s="98" t="s">
        <v>919</v>
      </c>
      <c r="D59" s="98" t="s">
        <v>26</v>
      </c>
      <c r="E59" s="144" t="s">
        <v>243</v>
      </c>
      <c r="F59" s="144" t="s">
        <v>264</v>
      </c>
      <c r="G59" s="148">
        <v>10000.0</v>
      </c>
      <c r="H59" s="134">
        <v>1500000.0</v>
      </c>
      <c r="I59" s="145" t="s">
        <v>238</v>
      </c>
      <c r="J59" s="134">
        <v>950000.0</v>
      </c>
      <c r="K59" s="212" t="s">
        <v>212</v>
      </c>
      <c r="L59" s="146">
        <f t="shared" si="6"/>
        <v>550000</v>
      </c>
      <c r="M59" s="333">
        <v>1110000.0</v>
      </c>
    </row>
    <row r="60">
      <c r="A60" s="331">
        <v>7.0</v>
      </c>
      <c r="B60" s="142">
        <v>45776.0</v>
      </c>
      <c r="C60" s="98" t="s">
        <v>919</v>
      </c>
      <c r="D60" s="98" t="s">
        <v>26</v>
      </c>
      <c r="E60" s="144" t="s">
        <v>279</v>
      </c>
      <c r="F60" s="144" t="s">
        <v>328</v>
      </c>
      <c r="G60" s="148">
        <v>9000.0</v>
      </c>
      <c r="H60" s="134">
        <v>1440000.0</v>
      </c>
      <c r="I60" s="332" t="s">
        <v>238</v>
      </c>
      <c r="J60" s="134">
        <v>900000.0</v>
      </c>
      <c r="K60" s="212" t="s">
        <v>212</v>
      </c>
      <c r="L60" s="146">
        <f t="shared" si="6"/>
        <v>540000</v>
      </c>
      <c r="M60" s="333">
        <v>80000.0</v>
      </c>
    </row>
    <row r="61">
      <c r="A61" s="331">
        <v>8.0</v>
      </c>
      <c r="B61" s="142">
        <v>45777.0</v>
      </c>
      <c r="C61" s="98" t="s">
        <v>919</v>
      </c>
      <c r="D61" s="98" t="s">
        <v>26</v>
      </c>
      <c r="E61" s="144" t="s">
        <v>242</v>
      </c>
      <c r="F61" s="144" t="s">
        <v>214</v>
      </c>
      <c r="G61" s="148">
        <v>9000.0</v>
      </c>
      <c r="H61" s="134">
        <v>1350000.0</v>
      </c>
      <c r="I61" s="145" t="s">
        <v>238</v>
      </c>
      <c r="J61" s="134">
        <v>900000.0</v>
      </c>
      <c r="K61" s="212" t="s">
        <v>212</v>
      </c>
      <c r="L61" s="146">
        <f t="shared" si="6"/>
        <v>450000</v>
      </c>
      <c r="M61" s="219"/>
    </row>
    <row r="62">
      <c r="A62" s="331"/>
      <c r="B62" s="209"/>
      <c r="C62" s="334"/>
      <c r="D62" s="334"/>
      <c r="E62" s="334"/>
      <c r="F62" s="334"/>
      <c r="G62" s="132"/>
      <c r="H62" s="133"/>
      <c r="I62" s="219"/>
      <c r="J62" s="133"/>
      <c r="K62" s="334"/>
      <c r="L62" s="216">
        <f t="shared" ref="L62:M62" si="7">SUM(L54:L61)</f>
        <v>4500000</v>
      </c>
      <c r="M62" s="217">
        <f t="shared" si="7"/>
        <v>5650000</v>
      </c>
    </row>
    <row r="63">
      <c r="A63" s="331"/>
      <c r="B63" s="209"/>
      <c r="C63" s="334"/>
      <c r="D63" s="334"/>
      <c r="E63" s="334"/>
      <c r="F63" s="334"/>
      <c r="G63" s="132"/>
      <c r="H63" s="133"/>
      <c r="I63" s="335"/>
      <c r="J63" s="133"/>
      <c r="K63" s="202"/>
      <c r="L63" s="218">
        <f>L62-M62</f>
        <v>-1150000</v>
      </c>
      <c r="M63" s="219"/>
    </row>
    <row r="64">
      <c r="A64" s="331"/>
      <c r="B64" s="336"/>
      <c r="C64" s="335"/>
      <c r="D64" s="335"/>
      <c r="E64" s="335"/>
      <c r="F64" s="335"/>
      <c r="G64" s="337"/>
      <c r="H64" s="326"/>
      <c r="I64" s="219"/>
      <c r="J64" s="326"/>
      <c r="K64" s="202"/>
      <c r="L64" s="146"/>
      <c r="M64" s="219"/>
    </row>
    <row r="65">
      <c r="A65" s="89" t="s">
        <v>209</v>
      </c>
      <c r="B65" s="89" t="s">
        <v>0</v>
      </c>
      <c r="C65" s="89" t="s">
        <v>1</v>
      </c>
      <c r="D65" s="89" t="s">
        <v>2</v>
      </c>
      <c r="E65" s="90" t="s">
        <v>3</v>
      </c>
      <c r="F65" s="89" t="s">
        <v>4</v>
      </c>
      <c r="G65" s="91" t="s">
        <v>5</v>
      </c>
      <c r="H65" s="119" t="s">
        <v>6</v>
      </c>
      <c r="I65" s="92" t="s">
        <v>39</v>
      </c>
      <c r="J65" s="119" t="s">
        <v>7</v>
      </c>
      <c r="K65" s="91" t="s">
        <v>39</v>
      </c>
      <c r="L65" s="92" t="s">
        <v>8</v>
      </c>
      <c r="M65" s="120" t="s">
        <v>9</v>
      </c>
    </row>
    <row r="66">
      <c r="A66" s="21">
        <v>1.0</v>
      </c>
      <c r="B66" s="112">
        <v>45779.0</v>
      </c>
      <c r="C66" s="98" t="s">
        <v>919</v>
      </c>
      <c r="D66" s="98" t="s">
        <v>26</v>
      </c>
      <c r="E66" s="98" t="s">
        <v>279</v>
      </c>
      <c r="F66" s="98" t="s">
        <v>328</v>
      </c>
      <c r="G66" s="110">
        <v>9000.0</v>
      </c>
      <c r="H66" s="121">
        <v>1440000.0</v>
      </c>
      <c r="I66" s="108" t="s">
        <v>238</v>
      </c>
      <c r="J66" s="121">
        <v>900000.0</v>
      </c>
      <c r="K66" s="212" t="s">
        <v>212</v>
      </c>
      <c r="L66" s="58">
        <f t="shared" ref="L66:L87" si="8">H66-J66</f>
        <v>540000</v>
      </c>
      <c r="M66" s="121"/>
    </row>
    <row r="67">
      <c r="A67" s="118">
        <v>2.0</v>
      </c>
      <c r="B67" s="112">
        <v>45780.0</v>
      </c>
      <c r="C67" s="98" t="s">
        <v>919</v>
      </c>
      <c r="D67" s="98" t="s">
        <v>26</v>
      </c>
      <c r="E67" s="98" t="s">
        <v>242</v>
      </c>
      <c r="F67" s="98" t="s">
        <v>259</v>
      </c>
      <c r="G67" s="110">
        <v>10000.0</v>
      </c>
      <c r="H67" s="121">
        <v>1500000.0</v>
      </c>
      <c r="I67" s="115" t="s">
        <v>238</v>
      </c>
      <c r="J67" s="109">
        <v>850000.0</v>
      </c>
      <c r="K67" s="212" t="s">
        <v>212</v>
      </c>
      <c r="L67" s="58">
        <f t="shared" si="8"/>
        <v>650000</v>
      </c>
      <c r="M67" s="106"/>
    </row>
    <row r="68">
      <c r="A68" s="118">
        <v>3.0</v>
      </c>
      <c r="B68" s="112">
        <v>45782.0</v>
      </c>
      <c r="C68" s="98" t="s">
        <v>919</v>
      </c>
      <c r="D68" s="98" t="s">
        <v>26</v>
      </c>
      <c r="E68" s="98" t="s">
        <v>242</v>
      </c>
      <c r="F68" s="144" t="s">
        <v>264</v>
      </c>
      <c r="G68" s="148">
        <v>10000.0</v>
      </c>
      <c r="H68" s="134">
        <v>1500000.0</v>
      </c>
      <c r="I68" s="115" t="s">
        <v>238</v>
      </c>
      <c r="J68" s="134">
        <v>950000.0</v>
      </c>
      <c r="K68" s="212" t="s">
        <v>212</v>
      </c>
      <c r="L68" s="58">
        <f t="shared" si="8"/>
        <v>550000</v>
      </c>
      <c r="M68" s="106">
        <v>575000.0</v>
      </c>
    </row>
    <row r="69">
      <c r="A69" s="118">
        <v>4.0</v>
      </c>
      <c r="B69" s="112">
        <v>45783.0</v>
      </c>
      <c r="C69" s="98" t="s">
        <v>919</v>
      </c>
      <c r="D69" s="98" t="s">
        <v>26</v>
      </c>
      <c r="E69" s="98" t="s">
        <v>242</v>
      </c>
      <c r="F69" s="98" t="s">
        <v>303</v>
      </c>
      <c r="G69" s="110">
        <v>9000.0</v>
      </c>
      <c r="H69" s="121">
        <v>1215000.0</v>
      </c>
      <c r="I69" s="115" t="s">
        <v>238</v>
      </c>
      <c r="J69" s="121">
        <v>700000.0</v>
      </c>
      <c r="K69" s="212" t="s">
        <v>212</v>
      </c>
      <c r="L69" s="58">
        <f t="shared" si="8"/>
        <v>515000</v>
      </c>
      <c r="M69" s="106">
        <v>70000.0</v>
      </c>
    </row>
    <row r="70">
      <c r="A70" s="118">
        <v>5.0</v>
      </c>
      <c r="B70" s="112">
        <v>45784.0</v>
      </c>
      <c r="C70" s="98" t="s">
        <v>919</v>
      </c>
      <c r="D70" s="98" t="s">
        <v>26</v>
      </c>
      <c r="E70" s="98" t="s">
        <v>279</v>
      </c>
      <c r="F70" s="98" t="s">
        <v>689</v>
      </c>
      <c r="G70" s="110">
        <v>9000.0</v>
      </c>
      <c r="H70" s="121">
        <v>1300000.0</v>
      </c>
      <c r="I70" s="108" t="s">
        <v>238</v>
      </c>
      <c r="J70" s="121">
        <v>640000.0</v>
      </c>
      <c r="K70" s="212" t="s">
        <v>212</v>
      </c>
      <c r="L70" s="58">
        <f t="shared" si="8"/>
        <v>660000</v>
      </c>
      <c r="M70" s="106">
        <v>1950000.0</v>
      </c>
    </row>
    <row r="71">
      <c r="A71" s="118">
        <v>6.0</v>
      </c>
      <c r="B71" s="112">
        <v>45785.0</v>
      </c>
      <c r="C71" s="98" t="s">
        <v>919</v>
      </c>
      <c r="D71" s="98" t="s">
        <v>26</v>
      </c>
      <c r="E71" s="98" t="s">
        <v>242</v>
      </c>
      <c r="F71" s="98" t="s">
        <v>348</v>
      </c>
      <c r="G71" s="110">
        <v>10000.0</v>
      </c>
      <c r="H71" s="121">
        <v>1000000.0</v>
      </c>
      <c r="I71" s="122" t="s">
        <v>238</v>
      </c>
      <c r="J71" s="121">
        <v>475000.0</v>
      </c>
      <c r="K71" s="212" t="s">
        <v>212</v>
      </c>
      <c r="L71" s="58">
        <f t="shared" si="8"/>
        <v>525000</v>
      </c>
      <c r="M71" s="106">
        <v>60000.0</v>
      </c>
    </row>
    <row r="72">
      <c r="A72" s="118">
        <v>7.0</v>
      </c>
      <c r="B72" s="112">
        <v>45786.0</v>
      </c>
      <c r="C72" s="98" t="s">
        <v>919</v>
      </c>
      <c r="D72" s="98" t="s">
        <v>26</v>
      </c>
      <c r="E72" s="98" t="s">
        <v>243</v>
      </c>
      <c r="F72" s="98" t="s">
        <v>264</v>
      </c>
      <c r="G72" s="110">
        <v>10000.0</v>
      </c>
      <c r="H72" s="121">
        <v>1500000.0</v>
      </c>
      <c r="I72" s="108" t="s">
        <v>238</v>
      </c>
      <c r="J72" s="121">
        <v>950000.0</v>
      </c>
      <c r="K72" s="212" t="s">
        <v>212</v>
      </c>
      <c r="L72" s="58">
        <f t="shared" si="8"/>
        <v>550000</v>
      </c>
      <c r="M72" s="61"/>
    </row>
    <row r="73">
      <c r="A73" s="118">
        <v>8.0</v>
      </c>
      <c r="B73" s="112">
        <v>45787.0</v>
      </c>
      <c r="C73" s="98" t="s">
        <v>919</v>
      </c>
      <c r="D73" s="98" t="s">
        <v>26</v>
      </c>
      <c r="E73" s="98" t="s">
        <v>243</v>
      </c>
      <c r="F73" s="98" t="s">
        <v>264</v>
      </c>
      <c r="G73" s="110">
        <v>10000.0</v>
      </c>
      <c r="H73" s="121">
        <v>1500000.0</v>
      </c>
      <c r="I73" s="108" t="s">
        <v>238</v>
      </c>
      <c r="J73" s="121">
        <v>950000.0</v>
      </c>
      <c r="K73" s="212" t="s">
        <v>212</v>
      </c>
      <c r="L73" s="58">
        <f t="shared" si="8"/>
        <v>550000</v>
      </c>
      <c r="M73" s="106"/>
    </row>
    <row r="74">
      <c r="A74" s="118">
        <v>9.0</v>
      </c>
      <c r="B74" s="112">
        <v>45790.0</v>
      </c>
      <c r="C74" s="98" t="s">
        <v>919</v>
      </c>
      <c r="D74" s="98" t="s">
        <v>26</v>
      </c>
      <c r="E74" s="98" t="s">
        <v>279</v>
      </c>
      <c r="F74" s="98" t="s">
        <v>295</v>
      </c>
      <c r="G74" s="110">
        <v>9000.0</v>
      </c>
      <c r="H74" s="121">
        <v>1125000.0</v>
      </c>
      <c r="I74" s="115" t="s">
        <v>212</v>
      </c>
      <c r="J74" s="121">
        <v>640000.0</v>
      </c>
      <c r="K74" s="212" t="s">
        <v>212</v>
      </c>
      <c r="L74" s="58">
        <f t="shared" si="8"/>
        <v>485000</v>
      </c>
      <c r="M74" s="106">
        <v>180000.0</v>
      </c>
    </row>
    <row r="75">
      <c r="A75" s="118">
        <v>10.0</v>
      </c>
      <c r="B75" s="112">
        <v>45791.0</v>
      </c>
      <c r="C75" s="98" t="s">
        <v>919</v>
      </c>
      <c r="D75" s="98" t="s">
        <v>26</v>
      </c>
      <c r="E75" s="98" t="s">
        <v>242</v>
      </c>
      <c r="F75" s="98" t="s">
        <v>255</v>
      </c>
      <c r="G75" s="110">
        <v>10000.0</v>
      </c>
      <c r="H75" s="121">
        <v>1500000.0</v>
      </c>
      <c r="I75" s="108" t="s">
        <v>238</v>
      </c>
      <c r="J75" s="121">
        <v>950000.0</v>
      </c>
      <c r="K75" s="212" t="s">
        <v>212</v>
      </c>
      <c r="L75" s="58">
        <f t="shared" si="8"/>
        <v>550000</v>
      </c>
      <c r="M75" s="106"/>
    </row>
    <row r="76">
      <c r="A76" s="118">
        <v>11.0</v>
      </c>
      <c r="B76" s="112">
        <v>45792.0</v>
      </c>
      <c r="C76" s="98" t="s">
        <v>919</v>
      </c>
      <c r="D76" s="98" t="s">
        <v>26</v>
      </c>
      <c r="E76" s="131" t="s">
        <v>242</v>
      </c>
      <c r="F76" s="131" t="s">
        <v>259</v>
      </c>
      <c r="G76" s="132">
        <v>10000.0</v>
      </c>
      <c r="H76" s="133">
        <v>1500000.0</v>
      </c>
      <c r="I76" s="108" t="s">
        <v>238</v>
      </c>
      <c r="J76" s="133">
        <v>850000.0</v>
      </c>
      <c r="K76" s="212" t="s">
        <v>212</v>
      </c>
      <c r="L76" s="58">
        <f t="shared" si="8"/>
        <v>650000</v>
      </c>
      <c r="M76" s="106">
        <v>280000.0</v>
      </c>
    </row>
    <row r="77">
      <c r="A77" s="118">
        <v>12.0</v>
      </c>
      <c r="B77" s="112">
        <v>45793.0</v>
      </c>
      <c r="C77" s="98" t="s">
        <v>919</v>
      </c>
      <c r="D77" s="98" t="s">
        <v>26</v>
      </c>
      <c r="E77" s="98" t="s">
        <v>242</v>
      </c>
      <c r="F77" s="98" t="s">
        <v>214</v>
      </c>
      <c r="G77" s="110">
        <v>9000.0</v>
      </c>
      <c r="H77" s="121">
        <v>1350000.0</v>
      </c>
      <c r="I77" s="115" t="s">
        <v>238</v>
      </c>
      <c r="J77" s="121">
        <v>900000.0</v>
      </c>
      <c r="K77" s="212" t="s">
        <v>212</v>
      </c>
      <c r="L77" s="58">
        <f t="shared" si="8"/>
        <v>450000</v>
      </c>
      <c r="M77" s="106">
        <v>65000.0</v>
      </c>
    </row>
    <row r="78">
      <c r="A78" s="118">
        <v>13.0</v>
      </c>
      <c r="B78" s="112">
        <v>45797.0</v>
      </c>
      <c r="C78" s="98" t="s">
        <v>919</v>
      </c>
      <c r="D78" s="98" t="s">
        <v>26</v>
      </c>
      <c r="E78" s="98" t="s">
        <v>242</v>
      </c>
      <c r="F78" s="98" t="s">
        <v>259</v>
      </c>
      <c r="G78" s="110">
        <v>10000.0</v>
      </c>
      <c r="H78" s="121">
        <v>1500000.0</v>
      </c>
      <c r="I78" s="115" t="s">
        <v>238</v>
      </c>
      <c r="J78" s="109">
        <v>850000.0</v>
      </c>
      <c r="K78" s="212" t="s">
        <v>212</v>
      </c>
      <c r="L78" s="58">
        <f t="shared" si="8"/>
        <v>650000</v>
      </c>
      <c r="M78" s="61"/>
    </row>
    <row r="79">
      <c r="A79" s="118">
        <v>14.0</v>
      </c>
      <c r="B79" s="112">
        <v>45798.0</v>
      </c>
      <c r="C79" s="98" t="s">
        <v>919</v>
      </c>
      <c r="D79" s="98" t="s">
        <v>26</v>
      </c>
      <c r="E79" s="98" t="s">
        <v>242</v>
      </c>
      <c r="F79" s="98" t="s">
        <v>255</v>
      </c>
      <c r="G79" s="110">
        <v>10000.0</v>
      </c>
      <c r="H79" s="107">
        <v>1500000.0</v>
      </c>
      <c r="I79" s="108" t="s">
        <v>238</v>
      </c>
      <c r="J79" s="121">
        <v>950000.0</v>
      </c>
      <c r="K79" s="212" t="s">
        <v>212</v>
      </c>
      <c r="L79" s="58">
        <f t="shared" si="8"/>
        <v>550000</v>
      </c>
      <c r="M79" s="61"/>
    </row>
    <row r="80">
      <c r="A80" s="118">
        <v>15.0</v>
      </c>
      <c r="B80" s="112">
        <v>45799.0</v>
      </c>
      <c r="C80" s="98" t="s">
        <v>919</v>
      </c>
      <c r="D80" s="98" t="s">
        <v>26</v>
      </c>
      <c r="E80" s="98" t="s">
        <v>243</v>
      </c>
      <c r="F80" s="98" t="s">
        <v>264</v>
      </c>
      <c r="G80" s="110">
        <v>10000.0</v>
      </c>
      <c r="H80" s="107">
        <v>1500000.0</v>
      </c>
      <c r="I80" s="115" t="s">
        <v>238</v>
      </c>
      <c r="J80" s="121">
        <v>950000.0</v>
      </c>
      <c r="K80" s="212" t="s">
        <v>212</v>
      </c>
      <c r="L80" s="58">
        <f t="shared" si="8"/>
        <v>550000</v>
      </c>
      <c r="M80" s="61"/>
    </row>
    <row r="81">
      <c r="A81" s="118">
        <v>16.0</v>
      </c>
      <c r="B81" s="112">
        <v>45800.0</v>
      </c>
      <c r="C81" s="98" t="s">
        <v>919</v>
      </c>
      <c r="D81" s="98" t="s">
        <v>26</v>
      </c>
      <c r="E81" s="98" t="s">
        <v>242</v>
      </c>
      <c r="F81" s="98" t="s">
        <v>324</v>
      </c>
      <c r="G81" s="110">
        <v>10000.0</v>
      </c>
      <c r="H81" s="107">
        <v>750000.0</v>
      </c>
      <c r="I81" s="115" t="s">
        <v>212</v>
      </c>
      <c r="J81" s="121">
        <v>375000.0</v>
      </c>
      <c r="K81" s="212" t="s">
        <v>212</v>
      </c>
      <c r="L81" s="58">
        <f t="shared" si="8"/>
        <v>375000</v>
      </c>
      <c r="M81" s="106"/>
    </row>
    <row r="82">
      <c r="A82" s="118">
        <v>17.0</v>
      </c>
      <c r="B82" s="112">
        <v>45801.0</v>
      </c>
      <c r="C82" s="98" t="s">
        <v>919</v>
      </c>
      <c r="D82" s="98" t="s">
        <v>26</v>
      </c>
      <c r="E82" s="98" t="s">
        <v>242</v>
      </c>
      <c r="F82" s="98" t="s">
        <v>264</v>
      </c>
      <c r="G82" s="110">
        <v>10000.0</v>
      </c>
      <c r="H82" s="107">
        <v>1500000.0</v>
      </c>
      <c r="I82" s="115" t="s">
        <v>238</v>
      </c>
      <c r="J82" s="121">
        <v>950000.0</v>
      </c>
      <c r="K82" s="212" t="s">
        <v>212</v>
      </c>
      <c r="L82" s="58">
        <f t="shared" si="8"/>
        <v>550000</v>
      </c>
      <c r="M82" s="106"/>
    </row>
    <row r="83">
      <c r="A83" s="118">
        <v>18.0</v>
      </c>
      <c r="B83" s="112">
        <v>45803.0</v>
      </c>
      <c r="C83" s="98" t="s">
        <v>919</v>
      </c>
      <c r="D83" s="98" t="s">
        <v>26</v>
      </c>
      <c r="E83" s="98" t="s">
        <v>242</v>
      </c>
      <c r="F83" s="98" t="s">
        <v>303</v>
      </c>
      <c r="G83" s="110">
        <v>9000.0</v>
      </c>
      <c r="H83" s="107">
        <v>1215000.0</v>
      </c>
      <c r="I83" s="108" t="s">
        <v>238</v>
      </c>
      <c r="J83" s="121">
        <v>700000.0</v>
      </c>
      <c r="K83" s="212" t="s">
        <v>212</v>
      </c>
      <c r="L83" s="58">
        <f t="shared" si="8"/>
        <v>515000</v>
      </c>
      <c r="M83" s="106">
        <v>105000.0</v>
      </c>
    </row>
    <row r="84">
      <c r="A84" s="118">
        <v>19.0</v>
      </c>
      <c r="B84" s="112">
        <v>45804.0</v>
      </c>
      <c r="C84" s="98" t="s">
        <v>919</v>
      </c>
      <c r="D84" s="98" t="s">
        <v>26</v>
      </c>
      <c r="E84" s="98" t="s">
        <v>279</v>
      </c>
      <c r="F84" s="98" t="s">
        <v>311</v>
      </c>
      <c r="G84" s="110">
        <v>9000.0</v>
      </c>
      <c r="H84" s="107">
        <v>720000.0</v>
      </c>
      <c r="I84" s="115" t="s">
        <v>212</v>
      </c>
      <c r="J84" s="121">
        <v>350000.0</v>
      </c>
      <c r="K84" s="212" t="s">
        <v>212</v>
      </c>
      <c r="L84" s="58">
        <f t="shared" si="8"/>
        <v>370000</v>
      </c>
      <c r="M84" s="106">
        <v>780000.0</v>
      </c>
    </row>
    <row r="85">
      <c r="A85" s="118">
        <v>20.0</v>
      </c>
      <c r="B85" s="112">
        <v>45805.0</v>
      </c>
      <c r="C85" s="98" t="s">
        <v>919</v>
      </c>
      <c r="D85" s="98" t="s">
        <v>26</v>
      </c>
      <c r="E85" s="98" t="s">
        <v>242</v>
      </c>
      <c r="F85" s="98" t="s">
        <v>259</v>
      </c>
      <c r="G85" s="110">
        <v>10000.0</v>
      </c>
      <c r="H85" s="121">
        <v>1500000.0</v>
      </c>
      <c r="I85" s="115" t="s">
        <v>238</v>
      </c>
      <c r="J85" s="109">
        <v>850000.0</v>
      </c>
      <c r="K85" s="212" t="s">
        <v>212</v>
      </c>
      <c r="L85" s="58">
        <f t="shared" si="8"/>
        <v>650000</v>
      </c>
      <c r="M85" s="106">
        <v>3000000.0</v>
      </c>
    </row>
    <row r="86">
      <c r="A86" s="118">
        <v>21.0</v>
      </c>
      <c r="B86" s="112">
        <v>45807.0</v>
      </c>
      <c r="C86" s="98" t="s">
        <v>919</v>
      </c>
      <c r="D86" s="98" t="s">
        <v>26</v>
      </c>
      <c r="E86" s="98" t="s">
        <v>299</v>
      </c>
      <c r="F86" s="98" t="s">
        <v>306</v>
      </c>
      <c r="G86" s="110">
        <v>9000.0</v>
      </c>
      <c r="H86" s="107">
        <v>1035000.0</v>
      </c>
      <c r="I86" s="115" t="s">
        <v>212</v>
      </c>
      <c r="J86" s="121">
        <v>600000.0</v>
      </c>
      <c r="K86" s="109" t="s">
        <v>212</v>
      </c>
      <c r="L86" s="58">
        <f t="shared" si="8"/>
        <v>435000</v>
      </c>
      <c r="M86" s="106">
        <v>3500000.0</v>
      </c>
    </row>
    <row r="87">
      <c r="A87" s="118">
        <v>22.0</v>
      </c>
      <c r="B87" s="112">
        <v>45808.0</v>
      </c>
      <c r="C87" s="98" t="s">
        <v>919</v>
      </c>
      <c r="D87" s="98" t="s">
        <v>26</v>
      </c>
      <c r="E87" s="98" t="s">
        <v>242</v>
      </c>
      <c r="F87" s="98" t="s">
        <v>259</v>
      </c>
      <c r="G87" s="110">
        <v>10000.0</v>
      </c>
      <c r="H87" s="107">
        <v>1500000.0</v>
      </c>
      <c r="I87" s="108" t="s">
        <v>238</v>
      </c>
      <c r="J87" s="121">
        <v>850000.0</v>
      </c>
      <c r="K87" s="109" t="s">
        <v>212</v>
      </c>
      <c r="L87" s="58">
        <f t="shared" si="8"/>
        <v>650000</v>
      </c>
      <c r="M87" s="106">
        <v>269000.0</v>
      </c>
    </row>
    <row r="88">
      <c r="A88" s="21"/>
      <c r="B88" s="7"/>
      <c r="C88" s="17"/>
      <c r="D88" s="17"/>
      <c r="E88" s="98"/>
      <c r="F88" s="17"/>
      <c r="G88" s="110" t="s">
        <v>24</v>
      </c>
      <c r="H88" s="58"/>
      <c r="I88" s="59"/>
      <c r="J88" s="121"/>
      <c r="K88" s="60"/>
      <c r="L88" s="52">
        <f t="shared" ref="L88:M88" si="9">SUM(L66:L87)</f>
        <v>11970000</v>
      </c>
      <c r="M88" s="30">
        <f t="shared" si="9"/>
        <v>10834000</v>
      </c>
    </row>
    <row r="89">
      <c r="A89" s="21"/>
      <c r="B89" s="7"/>
      <c r="C89" s="17"/>
      <c r="D89" s="17"/>
      <c r="E89" s="17"/>
      <c r="F89" s="17"/>
      <c r="G89" s="57"/>
      <c r="H89" s="58"/>
      <c r="I89" s="59"/>
      <c r="K89" s="60"/>
      <c r="L89" s="33">
        <f>L88-M88</f>
        <v>1136000</v>
      </c>
      <c r="M89" s="26"/>
    </row>
    <row r="91">
      <c r="A91" s="136" t="s">
        <v>209</v>
      </c>
      <c r="B91" s="136" t="s">
        <v>0</v>
      </c>
      <c r="C91" s="136" t="s">
        <v>1</v>
      </c>
      <c r="D91" s="136" t="s">
        <v>2</v>
      </c>
      <c r="E91" s="137" t="s">
        <v>3</v>
      </c>
      <c r="F91" s="136" t="s">
        <v>4</v>
      </c>
      <c r="G91" s="138" t="s">
        <v>5</v>
      </c>
      <c r="H91" s="139" t="s">
        <v>6</v>
      </c>
      <c r="I91" s="140" t="s">
        <v>39</v>
      </c>
      <c r="J91" s="139" t="s">
        <v>7</v>
      </c>
      <c r="K91" s="138" t="s">
        <v>39</v>
      </c>
      <c r="L91" s="140" t="s">
        <v>8</v>
      </c>
      <c r="M91" s="141" t="s">
        <v>9</v>
      </c>
    </row>
    <row r="92">
      <c r="A92" s="17">
        <v>1.0</v>
      </c>
      <c r="B92" s="142">
        <v>45810.0</v>
      </c>
      <c r="C92" s="98" t="s">
        <v>919</v>
      </c>
      <c r="D92" s="98" t="s">
        <v>26</v>
      </c>
      <c r="E92" s="144" t="s">
        <v>243</v>
      </c>
      <c r="F92" s="144" t="s">
        <v>264</v>
      </c>
      <c r="G92" s="148">
        <v>10000.0</v>
      </c>
      <c r="H92" s="134">
        <v>1500000.0</v>
      </c>
      <c r="I92" s="145" t="s">
        <v>238</v>
      </c>
      <c r="J92" s="134">
        <v>950000.0</v>
      </c>
      <c r="K92" s="109" t="s">
        <v>212</v>
      </c>
      <c r="L92" s="146">
        <f t="shared" ref="L92:L109" si="10">H92-J92</f>
        <v>550000</v>
      </c>
      <c r="M92" s="147">
        <v>115000.0</v>
      </c>
    </row>
    <row r="93">
      <c r="A93" s="118">
        <v>2.0</v>
      </c>
      <c r="B93" s="142">
        <v>45811.0</v>
      </c>
      <c r="C93" s="98" t="s">
        <v>919</v>
      </c>
      <c r="D93" s="98" t="s">
        <v>26</v>
      </c>
      <c r="E93" s="144" t="s">
        <v>327</v>
      </c>
      <c r="F93" s="144" t="s">
        <v>303</v>
      </c>
      <c r="G93" s="110">
        <v>9000.0</v>
      </c>
      <c r="H93" s="107">
        <v>1215000.0</v>
      </c>
      <c r="I93" s="108" t="s">
        <v>238</v>
      </c>
      <c r="J93" s="121">
        <v>700000.0</v>
      </c>
      <c r="K93" s="109" t="s">
        <v>212</v>
      </c>
      <c r="L93" s="146">
        <f t="shared" si="10"/>
        <v>515000</v>
      </c>
    </row>
    <row r="94">
      <c r="A94" s="118">
        <v>3.0</v>
      </c>
      <c r="B94" s="142">
        <v>45812.0</v>
      </c>
      <c r="C94" s="98" t="s">
        <v>919</v>
      </c>
      <c r="D94" s="98" t="s">
        <v>26</v>
      </c>
      <c r="E94" s="144" t="s">
        <v>327</v>
      </c>
      <c r="F94" s="144" t="s">
        <v>332</v>
      </c>
      <c r="G94" s="110">
        <v>9000.0</v>
      </c>
      <c r="H94" s="107">
        <v>765000.0</v>
      </c>
      <c r="I94" s="108" t="s">
        <v>238</v>
      </c>
      <c r="J94" s="121">
        <v>450000.0</v>
      </c>
      <c r="K94" s="109" t="s">
        <v>212</v>
      </c>
      <c r="L94" s="146">
        <f t="shared" si="10"/>
        <v>315000</v>
      </c>
    </row>
    <row r="95">
      <c r="A95" s="118">
        <v>4.0</v>
      </c>
      <c r="B95" s="142">
        <v>45813.0</v>
      </c>
      <c r="C95" s="98" t="s">
        <v>919</v>
      </c>
      <c r="D95" s="98" t="s">
        <v>26</v>
      </c>
      <c r="E95" s="98" t="s">
        <v>242</v>
      </c>
      <c r="F95" s="144" t="s">
        <v>259</v>
      </c>
      <c r="G95" s="110">
        <v>10000.0</v>
      </c>
      <c r="H95" s="121">
        <v>1500000.0</v>
      </c>
      <c r="I95" s="115" t="s">
        <v>238</v>
      </c>
      <c r="J95" s="109">
        <v>850000.0</v>
      </c>
      <c r="K95" s="109" t="s">
        <v>212</v>
      </c>
      <c r="L95" s="146">
        <f t="shared" si="10"/>
        <v>650000</v>
      </c>
    </row>
    <row r="96">
      <c r="A96" s="118">
        <v>5.0</v>
      </c>
      <c r="B96" s="142">
        <v>45815.0</v>
      </c>
      <c r="C96" s="98" t="s">
        <v>919</v>
      </c>
      <c r="D96" s="98" t="s">
        <v>26</v>
      </c>
      <c r="E96" s="98" t="s">
        <v>242</v>
      </c>
      <c r="F96" s="144" t="s">
        <v>264</v>
      </c>
      <c r="G96" s="110">
        <v>10000.0</v>
      </c>
      <c r="H96" s="107">
        <v>1500000.0</v>
      </c>
      <c r="I96" s="115" t="s">
        <v>238</v>
      </c>
      <c r="J96" s="121">
        <v>950000.0</v>
      </c>
      <c r="K96" s="109" t="s">
        <v>212</v>
      </c>
      <c r="L96" s="146">
        <f t="shared" si="10"/>
        <v>550000</v>
      </c>
    </row>
    <row r="97">
      <c r="A97" s="118">
        <v>6.0</v>
      </c>
      <c r="B97" s="142">
        <v>45817.0</v>
      </c>
      <c r="C97" s="98" t="s">
        <v>919</v>
      </c>
      <c r="D97" s="98" t="s">
        <v>26</v>
      </c>
      <c r="E97" s="98" t="s">
        <v>242</v>
      </c>
      <c r="F97" s="144" t="s">
        <v>214</v>
      </c>
      <c r="G97" s="110">
        <v>9000.0</v>
      </c>
      <c r="H97" s="107">
        <v>1350000.0</v>
      </c>
      <c r="I97" s="108" t="s">
        <v>238</v>
      </c>
      <c r="J97" s="121">
        <v>900000.0</v>
      </c>
      <c r="K97" s="109" t="s">
        <v>212</v>
      </c>
      <c r="L97" s="146">
        <f t="shared" si="10"/>
        <v>450000</v>
      </c>
    </row>
    <row r="98">
      <c r="A98" s="118">
        <v>7.0</v>
      </c>
      <c r="B98" s="142">
        <v>45818.0</v>
      </c>
      <c r="C98" s="98" t="s">
        <v>919</v>
      </c>
      <c r="D98" s="98" t="s">
        <v>26</v>
      </c>
      <c r="E98" s="144" t="s">
        <v>243</v>
      </c>
      <c r="F98" s="144" t="s">
        <v>255</v>
      </c>
      <c r="G98" s="148">
        <v>10000.0</v>
      </c>
      <c r="H98" s="134">
        <v>1500000.0</v>
      </c>
      <c r="I98" s="145" t="s">
        <v>238</v>
      </c>
      <c r="J98" s="134">
        <v>950000.0</v>
      </c>
      <c r="K98" s="109" t="s">
        <v>212</v>
      </c>
      <c r="L98" s="146">
        <f t="shared" si="10"/>
        <v>550000</v>
      </c>
      <c r="M98" s="147">
        <v>232000.0</v>
      </c>
    </row>
    <row r="99">
      <c r="A99" s="118">
        <v>8.0</v>
      </c>
      <c r="B99" s="142">
        <v>45819.0</v>
      </c>
      <c r="C99" s="98" t="s">
        <v>919</v>
      </c>
      <c r="D99" s="98" t="s">
        <v>26</v>
      </c>
      <c r="E99" s="144" t="s">
        <v>243</v>
      </c>
      <c r="F99" s="144" t="s">
        <v>264</v>
      </c>
      <c r="G99" s="110">
        <v>10000.0</v>
      </c>
      <c r="H99" s="107">
        <v>1500000.0</v>
      </c>
      <c r="I99" s="145" t="s">
        <v>238</v>
      </c>
      <c r="J99" s="121">
        <v>950000.0</v>
      </c>
      <c r="K99" s="109" t="s">
        <v>212</v>
      </c>
      <c r="L99" s="146">
        <f t="shared" si="10"/>
        <v>550000</v>
      </c>
      <c r="M99" s="147">
        <v>560000.0</v>
      </c>
    </row>
    <row r="100">
      <c r="A100" s="118">
        <v>9.0</v>
      </c>
      <c r="B100" s="142">
        <v>45820.0</v>
      </c>
      <c r="C100" s="98" t="s">
        <v>919</v>
      </c>
      <c r="D100" s="98" t="s">
        <v>26</v>
      </c>
      <c r="E100" s="144" t="s">
        <v>327</v>
      </c>
      <c r="F100" s="144" t="s">
        <v>303</v>
      </c>
      <c r="G100" s="110">
        <v>9000.0</v>
      </c>
      <c r="H100" s="107">
        <v>1215000.0</v>
      </c>
      <c r="I100" s="108" t="s">
        <v>238</v>
      </c>
      <c r="J100" s="121">
        <v>700000.0</v>
      </c>
      <c r="K100" s="109" t="s">
        <v>212</v>
      </c>
      <c r="L100" s="146">
        <f t="shared" si="10"/>
        <v>515000</v>
      </c>
    </row>
    <row r="101">
      <c r="A101" s="118">
        <v>10.0</v>
      </c>
      <c r="B101" s="142">
        <v>45821.0</v>
      </c>
      <c r="C101" s="98" t="s">
        <v>919</v>
      </c>
      <c r="D101" s="98" t="s">
        <v>26</v>
      </c>
      <c r="E101" s="144" t="s">
        <v>243</v>
      </c>
      <c r="F101" s="144" t="s">
        <v>329</v>
      </c>
      <c r="G101" s="110">
        <v>10000.0</v>
      </c>
      <c r="H101" s="107">
        <v>1100000.0</v>
      </c>
      <c r="I101" s="108" t="s">
        <v>238</v>
      </c>
      <c r="J101" s="121">
        <v>600000.0</v>
      </c>
      <c r="K101" s="109" t="s">
        <v>212</v>
      </c>
      <c r="L101" s="146">
        <f t="shared" si="10"/>
        <v>500000</v>
      </c>
    </row>
    <row r="102">
      <c r="A102" s="118">
        <v>11.0</v>
      </c>
      <c r="B102" s="142">
        <v>45822.0</v>
      </c>
      <c r="C102" s="98" t="s">
        <v>919</v>
      </c>
      <c r="D102" s="98" t="s">
        <v>26</v>
      </c>
      <c r="E102" s="144" t="s">
        <v>243</v>
      </c>
      <c r="F102" s="144" t="s">
        <v>333</v>
      </c>
      <c r="G102" s="110">
        <v>9000.0</v>
      </c>
      <c r="H102" s="107">
        <v>1350000.0</v>
      </c>
      <c r="I102" s="108" t="s">
        <v>238</v>
      </c>
      <c r="J102" s="109">
        <v>850000.0</v>
      </c>
      <c r="K102" s="109" t="s">
        <v>212</v>
      </c>
      <c r="L102" s="146">
        <f t="shared" si="10"/>
        <v>500000</v>
      </c>
    </row>
    <row r="103">
      <c r="A103" s="118">
        <v>12.0</v>
      </c>
      <c r="B103" s="142">
        <v>45824.0</v>
      </c>
      <c r="C103" s="98" t="s">
        <v>919</v>
      </c>
      <c r="D103" s="98" t="s">
        <v>26</v>
      </c>
      <c r="E103" s="98" t="s">
        <v>279</v>
      </c>
      <c r="F103" s="98" t="s">
        <v>324</v>
      </c>
      <c r="G103" s="110">
        <v>9000.0</v>
      </c>
      <c r="H103" s="107">
        <v>675000.0</v>
      </c>
      <c r="I103" s="115" t="s">
        <v>212</v>
      </c>
      <c r="J103" s="121">
        <v>350000.0</v>
      </c>
      <c r="K103" s="109" t="s">
        <v>212</v>
      </c>
      <c r="L103" s="146">
        <f t="shared" si="10"/>
        <v>325000</v>
      </c>
      <c r="M103" s="147">
        <v>75000.0</v>
      </c>
    </row>
    <row r="104">
      <c r="A104" s="118">
        <v>13.0</v>
      </c>
      <c r="B104" s="142">
        <v>45825.0</v>
      </c>
      <c r="C104" s="98" t="s">
        <v>919</v>
      </c>
      <c r="D104" s="98" t="s">
        <v>26</v>
      </c>
      <c r="E104" s="98" t="s">
        <v>243</v>
      </c>
      <c r="F104" s="144" t="s">
        <v>264</v>
      </c>
      <c r="G104" s="110">
        <v>10000.0</v>
      </c>
      <c r="H104" s="107">
        <v>1500000.0</v>
      </c>
      <c r="I104" s="108" t="s">
        <v>238</v>
      </c>
      <c r="J104" s="121">
        <v>950000.0</v>
      </c>
      <c r="K104" s="109" t="s">
        <v>212</v>
      </c>
      <c r="L104" s="146">
        <f t="shared" si="10"/>
        <v>550000</v>
      </c>
      <c r="M104" s="147">
        <v>1155000.0</v>
      </c>
    </row>
    <row r="105">
      <c r="A105" s="118">
        <v>14.0</v>
      </c>
      <c r="B105" s="142">
        <v>45826.0</v>
      </c>
      <c r="C105" s="98" t="s">
        <v>919</v>
      </c>
      <c r="D105" s="98" t="s">
        <v>26</v>
      </c>
      <c r="E105" s="98" t="s">
        <v>243</v>
      </c>
      <c r="F105" s="144" t="s">
        <v>255</v>
      </c>
      <c r="G105" s="110">
        <v>10000.0</v>
      </c>
      <c r="H105" s="107">
        <v>1500000.0</v>
      </c>
      <c r="I105" s="108" t="s">
        <v>238</v>
      </c>
      <c r="J105" s="121">
        <v>950000.0</v>
      </c>
      <c r="K105" s="109" t="s">
        <v>212</v>
      </c>
      <c r="L105" s="146">
        <f t="shared" si="10"/>
        <v>550000</v>
      </c>
      <c r="M105" s="147">
        <v>290000.0</v>
      </c>
    </row>
    <row r="106">
      <c r="A106" s="118">
        <v>15.0</v>
      </c>
      <c r="B106" s="142">
        <v>45831.0</v>
      </c>
      <c r="C106" s="98" t="s">
        <v>919</v>
      </c>
      <c r="D106" s="98" t="s">
        <v>26</v>
      </c>
      <c r="E106" s="98" t="s">
        <v>242</v>
      </c>
      <c r="F106" s="144" t="s">
        <v>259</v>
      </c>
      <c r="G106" s="110">
        <v>10000.0</v>
      </c>
      <c r="H106" s="107">
        <v>1500000.0</v>
      </c>
      <c r="I106" s="108" t="s">
        <v>238</v>
      </c>
      <c r="J106" s="109">
        <v>850000.0</v>
      </c>
      <c r="K106" s="109" t="s">
        <v>212</v>
      </c>
      <c r="L106" s="146">
        <f t="shared" si="10"/>
        <v>650000</v>
      </c>
      <c r="M106" s="147">
        <v>835000.0</v>
      </c>
    </row>
    <row r="107">
      <c r="A107" s="118">
        <v>16.0</v>
      </c>
      <c r="B107" s="142">
        <v>45832.0</v>
      </c>
      <c r="C107" s="98" t="s">
        <v>919</v>
      </c>
      <c r="D107" s="98" t="s">
        <v>26</v>
      </c>
      <c r="E107" s="98" t="s">
        <v>242</v>
      </c>
      <c r="F107" s="98" t="s">
        <v>324</v>
      </c>
      <c r="G107" s="110">
        <v>10000.0</v>
      </c>
      <c r="H107" s="107">
        <v>750000.0</v>
      </c>
      <c r="I107" s="108" t="s">
        <v>212</v>
      </c>
      <c r="J107" s="121">
        <v>375000.0</v>
      </c>
      <c r="K107" s="109" t="s">
        <v>212</v>
      </c>
      <c r="L107" s="146">
        <f t="shared" si="10"/>
        <v>375000</v>
      </c>
      <c r="M107" s="147">
        <v>212000.0</v>
      </c>
    </row>
    <row r="108">
      <c r="A108" s="118">
        <v>17.0</v>
      </c>
      <c r="B108" s="142">
        <v>45836.0</v>
      </c>
      <c r="C108" s="98" t="s">
        <v>919</v>
      </c>
      <c r="D108" s="98" t="s">
        <v>26</v>
      </c>
      <c r="E108" s="98" t="s">
        <v>242</v>
      </c>
      <c r="F108" s="144" t="s">
        <v>259</v>
      </c>
      <c r="G108" s="110">
        <v>10000.0</v>
      </c>
      <c r="H108" s="107">
        <v>1500000.0</v>
      </c>
      <c r="I108" s="108" t="s">
        <v>238</v>
      </c>
      <c r="J108" s="109">
        <v>850000.0</v>
      </c>
      <c r="K108" s="109" t="s">
        <v>212</v>
      </c>
      <c r="L108" s="146">
        <f t="shared" si="10"/>
        <v>650000</v>
      </c>
      <c r="M108" s="147"/>
    </row>
    <row r="109">
      <c r="A109" s="118">
        <v>18.0</v>
      </c>
      <c r="B109" s="142">
        <v>45838.0</v>
      </c>
      <c r="C109" s="98" t="s">
        <v>919</v>
      </c>
      <c r="D109" s="98" t="s">
        <v>26</v>
      </c>
      <c r="E109" s="98" t="s">
        <v>242</v>
      </c>
      <c r="F109" s="144" t="s">
        <v>264</v>
      </c>
      <c r="G109" s="110">
        <v>10000.0</v>
      </c>
      <c r="H109" s="107">
        <v>1500000.0</v>
      </c>
      <c r="I109" s="108" t="s">
        <v>238</v>
      </c>
      <c r="J109" s="121">
        <v>950000.0</v>
      </c>
      <c r="K109" s="109" t="s">
        <v>238</v>
      </c>
      <c r="L109" s="146">
        <f t="shared" si="10"/>
        <v>550000</v>
      </c>
    </row>
    <row r="110">
      <c r="A110" s="118"/>
      <c r="F110" s="98"/>
      <c r="H110" s="107"/>
      <c r="J110" s="121"/>
      <c r="K110" s="109"/>
      <c r="L110" s="52">
        <f t="shared" ref="L110:M110" si="11">SUM(L92:L109)</f>
        <v>9295000</v>
      </c>
      <c r="M110" s="30">
        <f t="shared" si="11"/>
        <v>3474000</v>
      </c>
    </row>
    <row r="111">
      <c r="A111" s="118"/>
      <c r="H111" s="107"/>
      <c r="K111" s="109"/>
      <c r="L111" s="33">
        <f>L110-M110</f>
        <v>5821000</v>
      </c>
      <c r="M111" s="26"/>
    </row>
    <row r="113">
      <c r="A113" s="136" t="s">
        <v>209</v>
      </c>
      <c r="B113" s="136" t="s">
        <v>0</v>
      </c>
      <c r="C113" s="136" t="s">
        <v>1</v>
      </c>
      <c r="D113" s="136" t="s">
        <v>2</v>
      </c>
      <c r="E113" s="137" t="s">
        <v>3</v>
      </c>
      <c r="F113" s="136" t="s">
        <v>4</v>
      </c>
      <c r="G113" s="138" t="s">
        <v>5</v>
      </c>
      <c r="H113" s="139" t="s">
        <v>6</v>
      </c>
      <c r="I113" s="140" t="s">
        <v>39</v>
      </c>
      <c r="J113" s="139" t="s">
        <v>7</v>
      </c>
      <c r="K113" s="138" t="s">
        <v>39</v>
      </c>
      <c r="L113" s="140" t="s">
        <v>8</v>
      </c>
      <c r="M113" s="141" t="s">
        <v>9</v>
      </c>
    </row>
    <row r="114">
      <c r="A114" s="17">
        <v>1.0</v>
      </c>
      <c r="B114" s="142">
        <v>45839.0</v>
      </c>
      <c r="C114" s="98" t="s">
        <v>919</v>
      </c>
      <c r="D114" s="98" t="s">
        <v>26</v>
      </c>
      <c r="E114" s="144" t="s">
        <v>335</v>
      </c>
      <c r="F114" s="144" t="s">
        <v>336</v>
      </c>
      <c r="G114" s="148">
        <v>7000.0</v>
      </c>
      <c r="H114" s="134">
        <v>1550003.0</v>
      </c>
      <c r="I114" s="108" t="s">
        <v>238</v>
      </c>
      <c r="J114" s="134">
        <v>800000.0</v>
      </c>
      <c r="K114" s="109" t="s">
        <v>238</v>
      </c>
      <c r="L114" s="146">
        <f t="shared" ref="L114:L136" si="12">H114-J114</f>
        <v>750003</v>
      </c>
      <c r="M114" s="147">
        <v>2050000.0</v>
      </c>
    </row>
    <row r="115">
      <c r="A115" s="118">
        <v>2.0</v>
      </c>
      <c r="B115" s="142">
        <v>45840.0</v>
      </c>
      <c r="C115" s="98" t="s">
        <v>919</v>
      </c>
      <c r="D115" s="98" t="s">
        <v>26</v>
      </c>
      <c r="E115" s="98" t="s">
        <v>327</v>
      </c>
      <c r="F115" s="144" t="s">
        <v>328</v>
      </c>
      <c r="G115" s="110">
        <v>9000.0</v>
      </c>
      <c r="H115" s="107">
        <v>1440000.0</v>
      </c>
      <c r="I115" s="108" t="s">
        <v>238</v>
      </c>
      <c r="J115" s="109">
        <v>900000.0</v>
      </c>
      <c r="K115" s="109" t="s">
        <v>212</v>
      </c>
      <c r="L115" s="146">
        <f t="shared" si="12"/>
        <v>540000</v>
      </c>
      <c r="M115" s="106">
        <v>40000.0</v>
      </c>
    </row>
    <row r="116">
      <c r="A116" s="118">
        <v>3.0</v>
      </c>
      <c r="B116" s="142">
        <v>45841.0</v>
      </c>
      <c r="C116" s="98" t="s">
        <v>919</v>
      </c>
      <c r="D116" s="98" t="s">
        <v>26</v>
      </c>
      <c r="E116" s="98" t="s">
        <v>243</v>
      </c>
      <c r="F116" s="144" t="s">
        <v>255</v>
      </c>
      <c r="G116" s="110">
        <v>10000.0</v>
      </c>
      <c r="H116" s="107">
        <v>1500000.0</v>
      </c>
      <c r="I116" s="108" t="s">
        <v>238</v>
      </c>
      <c r="J116" s="109">
        <v>950000.0</v>
      </c>
      <c r="K116" s="109" t="s">
        <v>212</v>
      </c>
      <c r="L116" s="146">
        <f t="shared" si="12"/>
        <v>550000</v>
      </c>
      <c r="M116" s="61"/>
    </row>
    <row r="117">
      <c r="A117" s="118">
        <v>4.0</v>
      </c>
      <c r="B117" s="142">
        <v>45842.0</v>
      </c>
      <c r="C117" s="98" t="s">
        <v>919</v>
      </c>
      <c r="D117" s="98" t="s">
        <v>26</v>
      </c>
      <c r="E117" s="98" t="s">
        <v>242</v>
      </c>
      <c r="F117" s="144" t="s">
        <v>259</v>
      </c>
      <c r="G117" s="110">
        <v>10000.0</v>
      </c>
      <c r="H117" s="135">
        <v>1500000.0</v>
      </c>
      <c r="I117" s="115" t="s">
        <v>238</v>
      </c>
      <c r="J117" s="121">
        <v>850000.0</v>
      </c>
      <c r="K117" s="109" t="s">
        <v>212</v>
      </c>
      <c r="L117" s="146">
        <f t="shared" si="12"/>
        <v>650000</v>
      </c>
      <c r="M117" s="61"/>
    </row>
    <row r="118">
      <c r="A118" s="118">
        <v>5.0</v>
      </c>
      <c r="B118" s="142">
        <v>45843.0</v>
      </c>
      <c r="C118" s="98" t="s">
        <v>919</v>
      </c>
      <c r="D118" s="98" t="s">
        <v>26</v>
      </c>
      <c r="E118" s="98" t="s">
        <v>243</v>
      </c>
      <c r="F118" s="144" t="s">
        <v>323</v>
      </c>
      <c r="G118" s="110">
        <v>9000.0</v>
      </c>
      <c r="H118" s="107">
        <v>1200000.0</v>
      </c>
      <c r="I118" s="108" t="s">
        <v>212</v>
      </c>
      <c r="J118" s="109">
        <v>780000.0</v>
      </c>
      <c r="K118" s="109" t="s">
        <v>212</v>
      </c>
      <c r="L118" s="146">
        <f t="shared" si="12"/>
        <v>420000</v>
      </c>
      <c r="M118" s="61"/>
    </row>
    <row r="119">
      <c r="A119" s="118">
        <v>6.0</v>
      </c>
      <c r="B119" s="142">
        <v>45845.0</v>
      </c>
      <c r="C119" s="98" t="s">
        <v>919</v>
      </c>
      <c r="D119" s="98" t="s">
        <v>26</v>
      </c>
      <c r="E119" s="98" t="s">
        <v>279</v>
      </c>
      <c r="F119" s="144" t="s">
        <v>325</v>
      </c>
      <c r="G119" s="87">
        <v>9000.0</v>
      </c>
      <c r="H119" s="61">
        <v>1200000.0</v>
      </c>
      <c r="I119" s="108" t="s">
        <v>212</v>
      </c>
      <c r="J119" s="101">
        <v>640000.0</v>
      </c>
      <c r="K119" s="109" t="s">
        <v>212</v>
      </c>
      <c r="L119" s="146">
        <f t="shared" si="12"/>
        <v>560000</v>
      </c>
      <c r="M119" s="106">
        <v>950000.0</v>
      </c>
    </row>
    <row r="120">
      <c r="A120" s="118">
        <v>7.0</v>
      </c>
      <c r="B120" s="142">
        <v>45846.0</v>
      </c>
      <c r="C120" s="98" t="s">
        <v>919</v>
      </c>
      <c r="D120" s="98" t="s">
        <v>26</v>
      </c>
      <c r="E120" s="98" t="s">
        <v>243</v>
      </c>
      <c r="F120" s="144" t="s">
        <v>329</v>
      </c>
      <c r="G120" s="110">
        <v>10000.0</v>
      </c>
      <c r="H120" s="107">
        <v>1100000.0</v>
      </c>
      <c r="I120" s="108" t="s">
        <v>238</v>
      </c>
      <c r="J120" s="109">
        <v>600000.0</v>
      </c>
      <c r="K120" s="109" t="s">
        <v>212</v>
      </c>
      <c r="L120" s="146">
        <f t="shared" si="12"/>
        <v>500000</v>
      </c>
      <c r="M120" s="106"/>
    </row>
    <row r="121">
      <c r="A121" s="118">
        <v>8.0</v>
      </c>
      <c r="B121" s="142">
        <v>45847.0</v>
      </c>
      <c r="C121" s="98" t="s">
        <v>919</v>
      </c>
      <c r="D121" s="98" t="s">
        <v>26</v>
      </c>
      <c r="E121" s="98" t="s">
        <v>243</v>
      </c>
      <c r="F121" s="144" t="s">
        <v>323</v>
      </c>
      <c r="G121" s="110">
        <v>9000.0</v>
      </c>
      <c r="H121" s="107">
        <v>1300000.0</v>
      </c>
      <c r="I121" s="108" t="s">
        <v>212</v>
      </c>
      <c r="J121" s="109">
        <v>780000.0</v>
      </c>
      <c r="K121" s="109" t="s">
        <v>212</v>
      </c>
      <c r="L121" s="146">
        <f t="shared" si="12"/>
        <v>520000</v>
      </c>
      <c r="M121" s="106">
        <v>190000.0</v>
      </c>
    </row>
    <row r="122">
      <c r="A122" s="118">
        <v>9.0</v>
      </c>
      <c r="B122" s="142">
        <v>45848.0</v>
      </c>
      <c r="C122" s="98" t="s">
        <v>919</v>
      </c>
      <c r="D122" s="98" t="s">
        <v>26</v>
      </c>
      <c r="E122" s="98" t="s">
        <v>242</v>
      </c>
      <c r="F122" s="144" t="s">
        <v>259</v>
      </c>
      <c r="G122" s="110">
        <v>10000.0</v>
      </c>
      <c r="H122" s="107">
        <v>1500000.0</v>
      </c>
      <c r="I122" s="108" t="s">
        <v>238</v>
      </c>
      <c r="J122" s="121">
        <v>850000.0</v>
      </c>
      <c r="K122" s="109" t="s">
        <v>212</v>
      </c>
      <c r="L122" s="146">
        <f t="shared" si="12"/>
        <v>650000</v>
      </c>
      <c r="M122" s="106"/>
    </row>
    <row r="123">
      <c r="A123" s="118">
        <v>10.0</v>
      </c>
      <c r="B123" s="142">
        <v>45849.0</v>
      </c>
      <c r="C123" s="98" t="s">
        <v>919</v>
      </c>
      <c r="D123" s="98" t="s">
        <v>26</v>
      </c>
      <c r="E123" s="98" t="s">
        <v>256</v>
      </c>
      <c r="F123" s="144" t="s">
        <v>328</v>
      </c>
      <c r="G123" s="110">
        <v>9000.0</v>
      </c>
      <c r="H123" s="107">
        <v>1440000.0</v>
      </c>
      <c r="I123" s="108" t="s">
        <v>238</v>
      </c>
      <c r="J123" s="109">
        <v>900000.0</v>
      </c>
      <c r="K123" s="109" t="s">
        <v>212</v>
      </c>
      <c r="L123" s="146">
        <f t="shared" si="12"/>
        <v>540000</v>
      </c>
      <c r="M123" s="61"/>
    </row>
    <row r="124">
      <c r="A124" s="118">
        <v>11.0</v>
      </c>
      <c r="B124" s="142">
        <v>45850.0</v>
      </c>
      <c r="C124" s="98" t="s">
        <v>919</v>
      </c>
      <c r="D124" s="98" t="s">
        <v>26</v>
      </c>
      <c r="E124" s="98" t="s">
        <v>242</v>
      </c>
      <c r="F124" s="144" t="s">
        <v>259</v>
      </c>
      <c r="G124" s="110">
        <v>10000.0</v>
      </c>
      <c r="H124" s="107">
        <v>1500000.0</v>
      </c>
      <c r="I124" s="108" t="s">
        <v>238</v>
      </c>
      <c r="J124" s="109">
        <v>850000.0</v>
      </c>
      <c r="K124" s="109" t="s">
        <v>238</v>
      </c>
      <c r="L124" s="146">
        <f t="shared" si="12"/>
        <v>650000</v>
      </c>
      <c r="M124" s="106"/>
    </row>
    <row r="125">
      <c r="A125" s="118">
        <v>12.0</v>
      </c>
      <c r="B125" s="142">
        <v>45852.0</v>
      </c>
      <c r="C125" s="98" t="s">
        <v>919</v>
      </c>
      <c r="D125" s="98" t="s">
        <v>26</v>
      </c>
      <c r="E125" s="98" t="s">
        <v>242</v>
      </c>
      <c r="F125" s="144" t="s">
        <v>326</v>
      </c>
      <c r="G125" s="110">
        <v>9000.0</v>
      </c>
      <c r="H125" s="107">
        <v>1350000.0</v>
      </c>
      <c r="I125" s="108" t="s">
        <v>238</v>
      </c>
      <c r="J125" s="109">
        <v>900000.0</v>
      </c>
      <c r="K125" s="109" t="s">
        <v>212</v>
      </c>
      <c r="L125" s="146">
        <f t="shared" si="12"/>
        <v>450000</v>
      </c>
      <c r="M125" s="61"/>
    </row>
    <row r="126">
      <c r="A126" s="118">
        <v>13.0</v>
      </c>
      <c r="B126" s="142">
        <v>45854.0</v>
      </c>
      <c r="C126" s="98" t="s">
        <v>919</v>
      </c>
      <c r="D126" s="98" t="s">
        <v>26</v>
      </c>
      <c r="E126" s="98" t="s">
        <v>243</v>
      </c>
      <c r="F126" s="98" t="s">
        <v>264</v>
      </c>
      <c r="G126" s="110">
        <v>10000.0</v>
      </c>
      <c r="H126" s="107">
        <v>1500000.0</v>
      </c>
      <c r="I126" s="108" t="s">
        <v>238</v>
      </c>
      <c r="J126" s="109">
        <v>950000.0</v>
      </c>
      <c r="K126" s="109" t="s">
        <v>212</v>
      </c>
      <c r="L126" s="146">
        <f t="shared" si="12"/>
        <v>550000</v>
      </c>
      <c r="M126" s="61"/>
    </row>
    <row r="127">
      <c r="A127" s="118">
        <v>14.0</v>
      </c>
      <c r="B127" s="142">
        <v>45855.0</v>
      </c>
      <c r="C127" s="98" t="s">
        <v>919</v>
      </c>
      <c r="D127" s="98" t="s">
        <v>26</v>
      </c>
      <c r="E127" s="98" t="s">
        <v>279</v>
      </c>
      <c r="F127" s="144" t="s">
        <v>328</v>
      </c>
      <c r="G127" s="110">
        <v>9000.0</v>
      </c>
      <c r="H127" s="107">
        <v>1440000.0</v>
      </c>
      <c r="I127" s="108" t="s">
        <v>238</v>
      </c>
      <c r="J127" s="109">
        <v>900000.0</v>
      </c>
      <c r="K127" s="109" t="s">
        <v>212</v>
      </c>
      <c r="L127" s="146">
        <f t="shared" si="12"/>
        <v>540000</v>
      </c>
      <c r="M127" s="106"/>
    </row>
    <row r="128">
      <c r="A128" s="118">
        <v>15.0</v>
      </c>
      <c r="B128" s="142">
        <v>45856.0</v>
      </c>
      <c r="C128" s="98" t="s">
        <v>919</v>
      </c>
      <c r="D128" s="98" t="s">
        <v>26</v>
      </c>
      <c r="E128" s="98" t="s">
        <v>243</v>
      </c>
      <c r="F128" s="98" t="s">
        <v>333</v>
      </c>
      <c r="G128" s="110">
        <v>9000.0</v>
      </c>
      <c r="H128" s="107">
        <v>1350000.0</v>
      </c>
      <c r="I128" s="115" t="s">
        <v>238</v>
      </c>
      <c r="J128" s="109">
        <v>850000.0</v>
      </c>
      <c r="K128" s="109" t="s">
        <v>212</v>
      </c>
      <c r="L128" s="146">
        <f t="shared" si="12"/>
        <v>500000</v>
      </c>
      <c r="M128" s="106"/>
    </row>
    <row r="129">
      <c r="A129" s="118">
        <v>16.0</v>
      </c>
      <c r="B129" s="142">
        <v>45860.0</v>
      </c>
      <c r="C129" s="98" t="s">
        <v>919</v>
      </c>
      <c r="D129" s="98" t="s">
        <v>26</v>
      </c>
      <c r="E129" s="98" t="s">
        <v>279</v>
      </c>
      <c r="F129" s="98" t="s">
        <v>328</v>
      </c>
      <c r="G129" s="110">
        <v>9000.0</v>
      </c>
      <c r="H129" s="107">
        <v>1440000.0</v>
      </c>
      <c r="I129" s="108" t="s">
        <v>238</v>
      </c>
      <c r="J129" s="109">
        <v>900000.0</v>
      </c>
      <c r="K129" s="109" t="s">
        <v>212</v>
      </c>
      <c r="L129" s="146">
        <f t="shared" si="12"/>
        <v>540000</v>
      </c>
      <c r="M129" s="106">
        <v>1135000.0</v>
      </c>
    </row>
    <row r="130">
      <c r="A130" s="118">
        <v>17.0</v>
      </c>
      <c r="B130" s="142">
        <v>45861.0</v>
      </c>
      <c r="C130" s="98" t="s">
        <v>919</v>
      </c>
      <c r="D130" s="98" t="s">
        <v>26</v>
      </c>
      <c r="E130" s="98" t="s">
        <v>279</v>
      </c>
      <c r="F130" s="98" t="s">
        <v>249</v>
      </c>
      <c r="G130" s="110">
        <v>9000.0</v>
      </c>
      <c r="H130" s="107">
        <v>1450000.0</v>
      </c>
      <c r="I130" s="108" t="s">
        <v>212</v>
      </c>
      <c r="J130" s="109">
        <v>900000.0</v>
      </c>
      <c r="K130" s="109" t="s">
        <v>212</v>
      </c>
      <c r="L130" s="146">
        <f t="shared" si="12"/>
        <v>550000</v>
      </c>
      <c r="M130" s="106">
        <v>200000.0</v>
      </c>
    </row>
    <row r="131">
      <c r="A131" s="118">
        <v>18.0</v>
      </c>
      <c r="B131" s="142">
        <v>45863.0</v>
      </c>
      <c r="C131" s="98" t="s">
        <v>919</v>
      </c>
      <c r="D131" s="98" t="s">
        <v>26</v>
      </c>
      <c r="E131" s="98" t="s">
        <v>327</v>
      </c>
      <c r="F131" s="98" t="s">
        <v>328</v>
      </c>
      <c r="G131" s="110">
        <v>9000.0</v>
      </c>
      <c r="H131" s="107">
        <v>1440000.0</v>
      </c>
      <c r="I131" s="108" t="s">
        <v>238</v>
      </c>
      <c r="J131" s="109">
        <v>900000.0</v>
      </c>
      <c r="K131" s="109" t="s">
        <v>212</v>
      </c>
      <c r="L131" s="146">
        <f t="shared" si="12"/>
        <v>540000</v>
      </c>
      <c r="M131" s="61"/>
    </row>
    <row r="132">
      <c r="A132" s="118">
        <v>19.0</v>
      </c>
      <c r="B132" s="142">
        <v>45864.0</v>
      </c>
      <c r="C132" s="98" t="s">
        <v>919</v>
      </c>
      <c r="D132" s="98" t="s">
        <v>26</v>
      </c>
      <c r="E132" s="98" t="s">
        <v>242</v>
      </c>
      <c r="F132" s="98" t="s">
        <v>271</v>
      </c>
      <c r="G132" s="110">
        <v>10000.0</v>
      </c>
      <c r="H132" s="107">
        <v>750000.0</v>
      </c>
      <c r="I132" s="108" t="s">
        <v>238</v>
      </c>
      <c r="J132" s="109">
        <v>375000.0</v>
      </c>
      <c r="K132" s="109" t="s">
        <v>212</v>
      </c>
      <c r="L132" s="146">
        <f t="shared" si="12"/>
        <v>375000</v>
      </c>
      <c r="M132" s="61"/>
    </row>
    <row r="133">
      <c r="A133" s="118">
        <v>20.0</v>
      </c>
      <c r="B133" s="142">
        <v>45866.0</v>
      </c>
      <c r="C133" s="98" t="s">
        <v>919</v>
      </c>
      <c r="D133" s="98" t="s">
        <v>26</v>
      </c>
      <c r="E133" s="98" t="s">
        <v>242</v>
      </c>
      <c r="F133" s="98" t="s">
        <v>259</v>
      </c>
      <c r="G133" s="110">
        <v>10000.0</v>
      </c>
      <c r="H133" s="107">
        <v>1500000.0</v>
      </c>
      <c r="I133" s="108" t="s">
        <v>238</v>
      </c>
      <c r="J133" s="109">
        <v>850000.0</v>
      </c>
      <c r="K133" s="109" t="s">
        <v>212</v>
      </c>
      <c r="L133" s="146">
        <f t="shared" si="12"/>
        <v>650000</v>
      </c>
      <c r="M133" s="106">
        <v>600000.0</v>
      </c>
    </row>
    <row r="134">
      <c r="A134" s="118">
        <v>21.0</v>
      </c>
      <c r="B134" s="142">
        <v>45867.0</v>
      </c>
      <c r="C134" s="98" t="s">
        <v>919</v>
      </c>
      <c r="D134" s="98" t="s">
        <v>26</v>
      </c>
      <c r="E134" s="98" t="s">
        <v>242</v>
      </c>
      <c r="F134" s="98" t="s">
        <v>259</v>
      </c>
      <c r="G134" s="110">
        <v>10000.0</v>
      </c>
      <c r="H134" s="107">
        <v>1500000.0</v>
      </c>
      <c r="I134" s="108" t="s">
        <v>238</v>
      </c>
      <c r="J134" s="109">
        <v>850000.0</v>
      </c>
      <c r="K134" s="109" t="s">
        <v>212</v>
      </c>
      <c r="L134" s="146">
        <f t="shared" si="12"/>
        <v>650000</v>
      </c>
    </row>
    <row r="135">
      <c r="A135" s="118">
        <v>22.0</v>
      </c>
      <c r="B135" s="142">
        <v>45868.0</v>
      </c>
      <c r="C135" s="98" t="s">
        <v>919</v>
      </c>
      <c r="D135" s="98" t="s">
        <v>26</v>
      </c>
      <c r="E135" s="98" t="s">
        <v>327</v>
      </c>
      <c r="F135" s="144" t="s">
        <v>329</v>
      </c>
      <c r="G135" s="110">
        <v>10000.0</v>
      </c>
      <c r="H135" s="107">
        <v>1100000.0</v>
      </c>
      <c r="I135" s="108" t="s">
        <v>238</v>
      </c>
      <c r="J135" s="109">
        <v>600000.0</v>
      </c>
      <c r="K135" s="109" t="s">
        <v>212</v>
      </c>
      <c r="L135" s="146">
        <f t="shared" si="12"/>
        <v>500000</v>
      </c>
      <c r="M135" s="106">
        <v>234000.0</v>
      </c>
    </row>
    <row r="136">
      <c r="A136" s="118">
        <v>23.0</v>
      </c>
      <c r="B136" s="142">
        <v>45869.0</v>
      </c>
      <c r="C136" s="98" t="s">
        <v>919</v>
      </c>
      <c r="D136" s="98" t="s">
        <v>26</v>
      </c>
      <c r="E136" s="98" t="s">
        <v>242</v>
      </c>
      <c r="F136" s="98" t="s">
        <v>259</v>
      </c>
      <c r="G136" s="110">
        <v>10000.0</v>
      </c>
      <c r="H136" s="107">
        <v>1500000.0</v>
      </c>
      <c r="I136" s="115" t="s">
        <v>238</v>
      </c>
      <c r="J136" s="109">
        <v>850000.0</v>
      </c>
      <c r="K136" s="109" t="s">
        <v>212</v>
      </c>
      <c r="L136" s="146">
        <f t="shared" si="12"/>
        <v>650000</v>
      </c>
    </row>
    <row r="137">
      <c r="A137" s="118"/>
      <c r="L137" s="52">
        <f>SUM(L114:L132)</f>
        <v>10375003</v>
      </c>
      <c r="M137" s="30">
        <f>SUM(M114:M135)</f>
        <v>5399000</v>
      </c>
    </row>
    <row r="138">
      <c r="A138" s="118"/>
      <c r="L138" s="33">
        <f>L137-M137</f>
        <v>4976003</v>
      </c>
      <c r="M138" s="26"/>
    </row>
    <row r="140">
      <c r="A140" s="136" t="s">
        <v>209</v>
      </c>
      <c r="B140" s="136" t="s">
        <v>0</v>
      </c>
      <c r="C140" s="136" t="s">
        <v>1</v>
      </c>
      <c r="D140" s="136" t="s">
        <v>2</v>
      </c>
      <c r="E140" s="137" t="s">
        <v>3</v>
      </c>
      <c r="F140" s="136" t="s">
        <v>4</v>
      </c>
      <c r="G140" s="138" t="s">
        <v>5</v>
      </c>
      <c r="H140" s="139" t="s">
        <v>6</v>
      </c>
      <c r="I140" s="140" t="s">
        <v>39</v>
      </c>
      <c r="J140" s="139" t="s">
        <v>7</v>
      </c>
      <c r="K140" s="138" t="s">
        <v>39</v>
      </c>
      <c r="L140" s="140" t="s">
        <v>8</v>
      </c>
      <c r="M140" s="141" t="s">
        <v>9</v>
      </c>
    </row>
    <row r="141">
      <c r="A141" s="17">
        <v>1.0</v>
      </c>
      <c r="B141" s="142">
        <v>45871.0</v>
      </c>
      <c r="C141" s="98" t="s">
        <v>919</v>
      </c>
      <c r="D141" s="98" t="s">
        <v>26</v>
      </c>
      <c r="E141" s="98" t="s">
        <v>242</v>
      </c>
      <c r="F141" s="98" t="s">
        <v>259</v>
      </c>
      <c r="G141" s="110">
        <v>10000.0</v>
      </c>
      <c r="H141" s="107">
        <v>1500000.0</v>
      </c>
      <c r="I141" s="115" t="s">
        <v>238</v>
      </c>
      <c r="J141" s="109">
        <v>850000.0</v>
      </c>
      <c r="K141" s="109" t="s">
        <v>212</v>
      </c>
      <c r="L141" s="58">
        <f t="shared" ref="L141:L158" si="13">H141-J141</f>
        <v>650000</v>
      </c>
      <c r="M141" s="147">
        <v>418000.0</v>
      </c>
    </row>
    <row r="142">
      <c r="A142" s="118">
        <v>2.0</v>
      </c>
      <c r="B142" s="142">
        <v>45873.0</v>
      </c>
      <c r="C142" s="98" t="s">
        <v>919</v>
      </c>
      <c r="D142" s="98" t="s">
        <v>26</v>
      </c>
      <c r="E142" s="98" t="s">
        <v>242</v>
      </c>
      <c r="F142" s="144" t="s">
        <v>264</v>
      </c>
      <c r="G142" s="110">
        <v>10000.0</v>
      </c>
      <c r="H142" s="134">
        <v>1500000.0</v>
      </c>
      <c r="I142" s="108" t="s">
        <v>238</v>
      </c>
      <c r="J142" s="134">
        <v>950000.0</v>
      </c>
      <c r="K142" s="109" t="s">
        <v>212</v>
      </c>
      <c r="L142" s="58">
        <f t="shared" si="13"/>
        <v>550000</v>
      </c>
      <c r="M142" s="149"/>
    </row>
    <row r="143">
      <c r="A143" s="118">
        <v>3.0</v>
      </c>
      <c r="B143" s="142">
        <v>45874.0</v>
      </c>
      <c r="C143" s="98" t="s">
        <v>919</v>
      </c>
      <c r="D143" s="98" t="s">
        <v>26</v>
      </c>
      <c r="E143" s="98" t="s">
        <v>243</v>
      </c>
      <c r="F143" s="144" t="s">
        <v>333</v>
      </c>
      <c r="G143" s="110">
        <v>9000.0</v>
      </c>
      <c r="H143" s="134">
        <v>1350000.0</v>
      </c>
      <c r="I143" s="108" t="s">
        <v>238</v>
      </c>
      <c r="J143" s="134">
        <v>850000.0</v>
      </c>
      <c r="K143" s="109" t="s">
        <v>212</v>
      </c>
      <c r="L143" s="58">
        <f t="shared" si="13"/>
        <v>500000</v>
      </c>
      <c r="M143" s="150">
        <v>60000.0</v>
      </c>
    </row>
    <row r="144">
      <c r="A144" s="118">
        <v>4.0</v>
      </c>
      <c r="B144" s="142">
        <v>45876.0</v>
      </c>
      <c r="C144" s="98" t="s">
        <v>919</v>
      </c>
      <c r="D144" s="98" t="s">
        <v>26</v>
      </c>
      <c r="E144" s="98" t="s">
        <v>327</v>
      </c>
      <c r="F144" s="144" t="s">
        <v>303</v>
      </c>
      <c r="G144" s="151">
        <v>10000.0</v>
      </c>
      <c r="H144" s="134">
        <v>1215000.0</v>
      </c>
      <c r="I144" s="115" t="s">
        <v>238</v>
      </c>
      <c r="J144" s="134">
        <v>700000.0</v>
      </c>
      <c r="K144" s="109" t="s">
        <v>212</v>
      </c>
      <c r="L144" s="58">
        <f t="shared" si="13"/>
        <v>515000</v>
      </c>
      <c r="M144" s="150">
        <v>365000.0</v>
      </c>
    </row>
    <row r="145">
      <c r="A145" s="118">
        <v>5.0</v>
      </c>
      <c r="B145" s="142">
        <v>45878.0</v>
      </c>
      <c r="C145" s="98" t="s">
        <v>919</v>
      </c>
      <c r="D145" s="98" t="s">
        <v>26</v>
      </c>
      <c r="E145" s="98" t="s">
        <v>242</v>
      </c>
      <c r="F145" s="98" t="s">
        <v>259</v>
      </c>
      <c r="G145" s="110">
        <v>10000.0</v>
      </c>
      <c r="H145" s="107">
        <v>1500000.0</v>
      </c>
      <c r="I145" s="115" t="s">
        <v>238</v>
      </c>
      <c r="J145" s="109">
        <v>850000.0</v>
      </c>
      <c r="K145" s="109" t="s">
        <v>212</v>
      </c>
      <c r="L145" s="58">
        <f t="shared" si="13"/>
        <v>650000</v>
      </c>
      <c r="M145" s="149"/>
    </row>
    <row r="146">
      <c r="A146" s="118">
        <v>6.0</v>
      </c>
      <c r="B146" s="142">
        <v>45880.0</v>
      </c>
      <c r="C146" s="98" t="s">
        <v>919</v>
      </c>
      <c r="D146" s="98" t="s">
        <v>26</v>
      </c>
      <c r="E146" s="98" t="s">
        <v>327</v>
      </c>
      <c r="F146" s="98" t="s">
        <v>328</v>
      </c>
      <c r="G146" s="151">
        <v>9000.0</v>
      </c>
      <c r="H146" s="134">
        <v>1440000.0</v>
      </c>
      <c r="I146" s="115" t="s">
        <v>238</v>
      </c>
      <c r="J146" s="134">
        <v>900000.0</v>
      </c>
      <c r="K146" s="109" t="s">
        <v>212</v>
      </c>
      <c r="L146" s="58">
        <f t="shared" si="13"/>
        <v>540000</v>
      </c>
      <c r="M146" s="150">
        <v>530000.0</v>
      </c>
    </row>
    <row r="147">
      <c r="A147" s="118">
        <v>7.0</v>
      </c>
      <c r="B147" s="142">
        <v>45881.0</v>
      </c>
      <c r="C147" s="98" t="s">
        <v>919</v>
      </c>
      <c r="D147" s="98" t="s">
        <v>26</v>
      </c>
      <c r="E147" s="98" t="s">
        <v>242</v>
      </c>
      <c r="F147" s="98" t="s">
        <v>264</v>
      </c>
      <c r="G147" s="151">
        <v>10000.0</v>
      </c>
      <c r="H147" s="134">
        <v>1500000.0</v>
      </c>
      <c r="I147" s="152" t="s">
        <v>238</v>
      </c>
      <c r="J147" s="134">
        <v>950000.0</v>
      </c>
      <c r="K147" s="109" t="s">
        <v>212</v>
      </c>
      <c r="L147" s="58">
        <f t="shared" si="13"/>
        <v>550000</v>
      </c>
      <c r="M147" s="150">
        <v>230000.0</v>
      </c>
    </row>
    <row r="148">
      <c r="A148" s="118">
        <v>8.0</v>
      </c>
      <c r="B148" s="142">
        <v>45882.0</v>
      </c>
      <c r="C148" s="98" t="s">
        <v>919</v>
      </c>
      <c r="D148" s="98" t="s">
        <v>26</v>
      </c>
      <c r="E148" s="98" t="s">
        <v>242</v>
      </c>
      <c r="F148" s="98" t="s">
        <v>259</v>
      </c>
      <c r="G148" s="151">
        <v>10000.0</v>
      </c>
      <c r="H148" s="134">
        <v>1500000.0</v>
      </c>
      <c r="I148" s="152" t="s">
        <v>238</v>
      </c>
      <c r="J148" s="134">
        <v>850000.0</v>
      </c>
      <c r="K148" s="109" t="s">
        <v>212</v>
      </c>
      <c r="L148" s="58">
        <f t="shared" si="13"/>
        <v>650000</v>
      </c>
      <c r="M148" s="149"/>
    </row>
    <row r="149">
      <c r="A149" s="118">
        <v>9.0</v>
      </c>
      <c r="B149" s="142">
        <v>45883.0</v>
      </c>
      <c r="C149" s="98" t="s">
        <v>919</v>
      </c>
      <c r="D149" s="98" t="s">
        <v>26</v>
      </c>
      <c r="E149" s="98" t="s">
        <v>327</v>
      </c>
      <c r="F149" s="98" t="s">
        <v>332</v>
      </c>
      <c r="G149" s="151">
        <v>9000.0</v>
      </c>
      <c r="H149" s="134">
        <v>765000.0</v>
      </c>
      <c r="I149" s="152" t="s">
        <v>238</v>
      </c>
      <c r="J149" s="134">
        <v>450000.0</v>
      </c>
      <c r="K149" s="109" t="s">
        <v>212</v>
      </c>
      <c r="L149" s="58">
        <f t="shared" si="13"/>
        <v>315000</v>
      </c>
      <c r="M149" s="150">
        <v>1818000.0</v>
      </c>
    </row>
    <row r="150">
      <c r="A150" s="118">
        <v>10.0</v>
      </c>
      <c r="B150" s="142">
        <v>45884.0</v>
      </c>
      <c r="C150" s="98" t="s">
        <v>919</v>
      </c>
      <c r="D150" s="98" t="s">
        <v>26</v>
      </c>
      <c r="E150" s="98" t="s">
        <v>242</v>
      </c>
      <c r="F150" s="98" t="s">
        <v>214</v>
      </c>
      <c r="G150" s="110">
        <v>9000.0</v>
      </c>
      <c r="H150" s="134">
        <v>1350000.0</v>
      </c>
      <c r="I150" s="108" t="s">
        <v>238</v>
      </c>
      <c r="J150" s="109">
        <v>900000.0</v>
      </c>
      <c r="K150" s="109" t="s">
        <v>212</v>
      </c>
      <c r="L150" s="58">
        <f t="shared" si="13"/>
        <v>450000</v>
      </c>
      <c r="M150" s="150">
        <v>50000.0</v>
      </c>
    </row>
    <row r="151">
      <c r="A151" s="118">
        <v>11.0</v>
      </c>
      <c r="B151" s="142">
        <v>45885.0</v>
      </c>
      <c r="C151" s="98" t="s">
        <v>919</v>
      </c>
      <c r="D151" s="98" t="s">
        <v>26</v>
      </c>
      <c r="E151" s="98" t="s">
        <v>327</v>
      </c>
      <c r="F151" s="98" t="s">
        <v>333</v>
      </c>
      <c r="G151" s="151">
        <v>9000.0</v>
      </c>
      <c r="H151" s="150">
        <v>1350000.0</v>
      </c>
      <c r="I151" s="152"/>
      <c r="J151" s="121">
        <v>850000.0</v>
      </c>
      <c r="K151" s="109" t="s">
        <v>212</v>
      </c>
      <c r="L151" s="58">
        <f t="shared" si="13"/>
        <v>500000</v>
      </c>
      <c r="M151" s="150">
        <v>200000.0</v>
      </c>
    </row>
    <row r="152">
      <c r="A152" s="118">
        <v>12.0</v>
      </c>
      <c r="B152" s="142">
        <v>45890.0</v>
      </c>
      <c r="C152" s="98" t="s">
        <v>919</v>
      </c>
      <c r="D152" s="98" t="s">
        <v>26</v>
      </c>
      <c r="E152" s="98" t="s">
        <v>532</v>
      </c>
      <c r="F152" s="98" t="s">
        <v>333</v>
      </c>
      <c r="G152" s="151">
        <v>9000.0</v>
      </c>
      <c r="H152" s="150">
        <v>1350000.0</v>
      </c>
      <c r="I152" s="152"/>
      <c r="J152" s="121">
        <v>850000.0</v>
      </c>
      <c r="K152" s="109" t="s">
        <v>212</v>
      </c>
      <c r="L152" s="58">
        <f t="shared" si="13"/>
        <v>500000</v>
      </c>
      <c r="M152" s="150">
        <v>875000.0</v>
      </c>
    </row>
    <row r="153">
      <c r="A153" s="118">
        <v>13.0</v>
      </c>
      <c r="B153" s="142">
        <v>45894.0</v>
      </c>
      <c r="C153" s="98" t="s">
        <v>919</v>
      </c>
      <c r="D153" s="98" t="s">
        <v>26</v>
      </c>
      <c r="E153" s="98" t="s">
        <v>243</v>
      </c>
      <c r="F153" s="98" t="s">
        <v>325</v>
      </c>
      <c r="G153" s="151">
        <v>10000.0</v>
      </c>
      <c r="H153" s="150">
        <v>1300000.0</v>
      </c>
      <c r="I153" s="108" t="s">
        <v>212</v>
      </c>
      <c r="J153" s="121">
        <v>690000.0</v>
      </c>
      <c r="K153" s="109" t="s">
        <v>212</v>
      </c>
      <c r="L153" s="58">
        <f t="shared" si="13"/>
        <v>610000</v>
      </c>
      <c r="M153" s="149"/>
    </row>
    <row r="154">
      <c r="A154" s="118">
        <v>14.0</v>
      </c>
      <c r="B154" s="142">
        <v>45895.0</v>
      </c>
      <c r="C154" s="98" t="s">
        <v>919</v>
      </c>
      <c r="D154" s="98" t="s">
        <v>26</v>
      </c>
      <c r="E154" s="98" t="s">
        <v>327</v>
      </c>
      <c r="F154" s="98" t="s">
        <v>329</v>
      </c>
      <c r="G154" s="151">
        <v>10000.0</v>
      </c>
      <c r="H154" s="150">
        <v>1100000.0</v>
      </c>
      <c r="I154" s="152" t="s">
        <v>238</v>
      </c>
      <c r="J154" s="121">
        <v>600000.0</v>
      </c>
      <c r="K154" s="109" t="s">
        <v>212</v>
      </c>
      <c r="L154" s="58">
        <f t="shared" si="13"/>
        <v>500000</v>
      </c>
      <c r="M154" s="149"/>
    </row>
    <row r="155">
      <c r="A155" s="118">
        <v>15.0</v>
      </c>
      <c r="B155" s="142">
        <v>45896.0</v>
      </c>
      <c r="C155" s="98" t="s">
        <v>919</v>
      </c>
      <c r="D155" s="98" t="s">
        <v>26</v>
      </c>
      <c r="E155" s="98" t="s">
        <v>243</v>
      </c>
      <c r="F155" s="98" t="s">
        <v>323</v>
      </c>
      <c r="G155" s="151">
        <v>9000.0</v>
      </c>
      <c r="H155" s="150">
        <v>1300000.0</v>
      </c>
      <c r="I155" s="152" t="s">
        <v>238</v>
      </c>
      <c r="J155" s="121">
        <v>780000.0</v>
      </c>
      <c r="K155" s="109" t="s">
        <v>212</v>
      </c>
      <c r="L155" s="58">
        <f t="shared" si="13"/>
        <v>520000</v>
      </c>
      <c r="M155" s="149"/>
    </row>
    <row r="156">
      <c r="A156" s="118">
        <v>16.0</v>
      </c>
      <c r="B156" s="142">
        <v>45897.0</v>
      </c>
      <c r="C156" s="98" t="s">
        <v>919</v>
      </c>
      <c r="D156" s="98" t="s">
        <v>26</v>
      </c>
      <c r="E156" s="98" t="s">
        <v>243</v>
      </c>
      <c r="F156" s="98" t="s">
        <v>264</v>
      </c>
      <c r="G156" s="151">
        <v>10000.0</v>
      </c>
      <c r="H156" s="150">
        <v>1500000.0</v>
      </c>
      <c r="I156" s="152"/>
      <c r="J156" s="121">
        <v>950000.0</v>
      </c>
      <c r="K156" s="109" t="s">
        <v>238</v>
      </c>
      <c r="L156" s="58">
        <f t="shared" si="13"/>
        <v>550000</v>
      </c>
      <c r="M156" s="150"/>
    </row>
    <row r="157">
      <c r="A157" s="118">
        <v>17.0</v>
      </c>
      <c r="B157" s="142">
        <v>45898.0</v>
      </c>
      <c r="C157" s="98" t="s">
        <v>919</v>
      </c>
      <c r="D157" s="98" t="s">
        <v>26</v>
      </c>
      <c r="E157" s="98" t="s">
        <v>327</v>
      </c>
      <c r="F157" s="98" t="s">
        <v>259</v>
      </c>
      <c r="G157" s="151">
        <v>10000.0</v>
      </c>
      <c r="H157" s="150">
        <v>1500000.0</v>
      </c>
      <c r="I157" s="152" t="s">
        <v>238</v>
      </c>
      <c r="J157" s="121">
        <v>850000.0</v>
      </c>
      <c r="K157" s="109" t="s">
        <v>238</v>
      </c>
      <c r="L157" s="58">
        <f t="shared" si="13"/>
        <v>650000</v>
      </c>
      <c r="M157" s="150">
        <v>100000.0</v>
      </c>
    </row>
    <row r="158">
      <c r="A158" s="118">
        <v>18.0</v>
      </c>
      <c r="B158" s="142">
        <v>45899.0</v>
      </c>
      <c r="C158" s="98" t="s">
        <v>919</v>
      </c>
      <c r="D158" s="98" t="s">
        <v>26</v>
      </c>
      <c r="E158" s="98" t="s">
        <v>242</v>
      </c>
      <c r="F158" s="98" t="s">
        <v>259</v>
      </c>
      <c r="G158" s="110">
        <v>10000.0</v>
      </c>
      <c r="H158" s="150">
        <v>1500000.0</v>
      </c>
      <c r="I158" s="152" t="s">
        <v>238</v>
      </c>
      <c r="J158" s="121">
        <v>850000.0</v>
      </c>
      <c r="K158" s="109" t="s">
        <v>212</v>
      </c>
      <c r="L158" s="58">
        <f t="shared" si="13"/>
        <v>650000</v>
      </c>
      <c r="M158" s="150"/>
    </row>
    <row r="159">
      <c r="A159" s="118"/>
      <c r="B159" s="7"/>
      <c r="C159" s="7"/>
      <c r="D159" s="7"/>
      <c r="E159" s="17"/>
      <c r="F159" s="17"/>
      <c r="G159" s="170"/>
      <c r="H159" s="149"/>
      <c r="I159" s="184"/>
      <c r="J159" s="121"/>
      <c r="K159" s="17"/>
      <c r="L159" s="52">
        <f t="shared" ref="L159:M159" si="14">SUM(L141:L158)</f>
        <v>9850000</v>
      </c>
      <c r="M159" s="30">
        <f t="shared" si="14"/>
        <v>4646000</v>
      </c>
    </row>
    <row r="160">
      <c r="A160" s="21"/>
      <c r="B160" s="7"/>
      <c r="C160" s="7"/>
      <c r="D160" s="7"/>
      <c r="E160" s="17"/>
      <c r="F160" s="17"/>
      <c r="G160" s="170"/>
      <c r="H160" s="149"/>
      <c r="I160" s="184"/>
      <c r="J160" s="121"/>
      <c r="K160" s="17"/>
      <c r="L160" s="33">
        <f>L159-M159</f>
        <v>5204000</v>
      </c>
      <c r="M160" s="26"/>
    </row>
    <row r="162">
      <c r="A162" s="136" t="s">
        <v>209</v>
      </c>
      <c r="B162" s="136" t="s">
        <v>0</v>
      </c>
      <c r="C162" s="136" t="s">
        <v>1</v>
      </c>
      <c r="D162" s="136" t="s">
        <v>2</v>
      </c>
      <c r="E162" s="137" t="s">
        <v>3</v>
      </c>
      <c r="F162" s="136" t="s">
        <v>4</v>
      </c>
      <c r="G162" s="138" t="s">
        <v>5</v>
      </c>
      <c r="H162" s="139" t="s">
        <v>6</v>
      </c>
      <c r="I162" s="140" t="s">
        <v>39</v>
      </c>
      <c r="J162" s="139" t="s">
        <v>7</v>
      </c>
      <c r="K162" s="138" t="s">
        <v>39</v>
      </c>
      <c r="L162" s="140" t="s">
        <v>8</v>
      </c>
      <c r="M162" s="141" t="s">
        <v>9</v>
      </c>
    </row>
    <row r="163">
      <c r="A163" s="17">
        <v>1.0</v>
      </c>
      <c r="B163" s="142">
        <v>45901.0</v>
      </c>
      <c r="C163" s="98" t="s">
        <v>919</v>
      </c>
      <c r="D163" s="98" t="s">
        <v>26</v>
      </c>
      <c r="E163" s="144" t="s">
        <v>327</v>
      </c>
      <c r="F163" s="98" t="s">
        <v>329</v>
      </c>
      <c r="G163" s="151">
        <v>10000.0</v>
      </c>
      <c r="H163" s="150">
        <v>1100000.0</v>
      </c>
      <c r="I163" s="152"/>
      <c r="J163" s="121">
        <v>600000.0</v>
      </c>
      <c r="K163" s="109" t="s">
        <v>212</v>
      </c>
      <c r="L163" s="58">
        <f>H163-J163</f>
        <v>500000</v>
      </c>
      <c r="M163" s="1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14.43"/>
    <col customWidth="1" min="4" max="4" width="16.43"/>
    <col customWidth="1" min="5" max="5" width="20.0"/>
    <col customWidth="1" min="6" max="6" width="29.14"/>
    <col customWidth="1" min="7" max="7" width="17.29"/>
    <col customWidth="1" min="8" max="8" width="22.14"/>
    <col customWidth="1" min="9" max="9" width="16.0"/>
    <col customWidth="1" min="10" max="10" width="20.0"/>
    <col customWidth="1" min="11" max="11" width="8.71"/>
    <col customWidth="1" min="12" max="12" width="22.43"/>
    <col customWidth="1" min="13" max="13" width="15.57"/>
    <col customWidth="1" min="14" max="14" width="8.71"/>
  </cols>
  <sheetData>
    <row r="1" ht="15.75" customHeight="1">
      <c r="A1" s="21"/>
      <c r="B1" s="7"/>
      <c r="C1" s="7"/>
      <c r="D1" s="7"/>
      <c r="E1" s="17"/>
      <c r="F1" s="17"/>
      <c r="G1" s="170"/>
      <c r="H1" s="149"/>
      <c r="I1" s="184"/>
      <c r="J1" s="104"/>
      <c r="K1" s="17"/>
      <c r="M1" s="149"/>
    </row>
    <row r="2" ht="15.75" customHeight="1">
      <c r="A2" s="136" t="s">
        <v>209</v>
      </c>
      <c r="B2" s="136" t="s">
        <v>0</v>
      </c>
      <c r="C2" s="136" t="s">
        <v>1</v>
      </c>
      <c r="D2" s="136" t="s">
        <v>2</v>
      </c>
      <c r="E2" s="137" t="s">
        <v>3</v>
      </c>
      <c r="F2" s="136" t="s">
        <v>4</v>
      </c>
      <c r="G2" s="138" t="s">
        <v>5</v>
      </c>
      <c r="H2" s="139" t="s">
        <v>6</v>
      </c>
      <c r="I2" s="140" t="s">
        <v>39</v>
      </c>
      <c r="J2" s="139" t="s">
        <v>7</v>
      </c>
      <c r="K2" s="138" t="s">
        <v>39</v>
      </c>
      <c r="L2" s="140" t="s">
        <v>8</v>
      </c>
      <c r="M2" s="141" t="s">
        <v>9</v>
      </c>
    </row>
    <row r="3" ht="15.75" customHeight="1">
      <c r="A3" s="17">
        <v>1.0</v>
      </c>
      <c r="B3" s="142">
        <v>45842.0</v>
      </c>
      <c r="C3" s="144" t="s">
        <v>927</v>
      </c>
      <c r="D3" s="144" t="s">
        <v>860</v>
      </c>
      <c r="E3" s="144" t="s">
        <v>279</v>
      </c>
      <c r="F3" s="144" t="s">
        <v>324</v>
      </c>
      <c r="G3" s="148">
        <v>9000.0</v>
      </c>
      <c r="H3" s="134">
        <v>675000.0</v>
      </c>
      <c r="I3" s="145" t="s">
        <v>212</v>
      </c>
      <c r="J3" s="134">
        <v>350000.0</v>
      </c>
      <c r="K3" s="107" t="s">
        <v>212</v>
      </c>
      <c r="L3" s="58">
        <f t="shared" ref="L3:L22" si="1">H3-J3</f>
        <v>325000</v>
      </c>
      <c r="M3" s="147">
        <v>7895000.0</v>
      </c>
    </row>
    <row r="4" ht="15.75" customHeight="1">
      <c r="A4" s="118">
        <v>2.0</v>
      </c>
      <c r="B4" s="142">
        <v>45843.0</v>
      </c>
      <c r="C4" s="144" t="s">
        <v>927</v>
      </c>
      <c r="D4" s="98" t="s">
        <v>928</v>
      </c>
      <c r="E4" s="98" t="s">
        <v>335</v>
      </c>
      <c r="F4" s="144" t="s">
        <v>341</v>
      </c>
      <c r="G4" s="110">
        <v>7000.0</v>
      </c>
      <c r="H4" s="134">
        <v>1550003.0</v>
      </c>
      <c r="I4" s="108" t="s">
        <v>238</v>
      </c>
      <c r="J4" s="134">
        <v>640000.0</v>
      </c>
      <c r="K4" s="98" t="s">
        <v>238</v>
      </c>
      <c r="L4" s="58">
        <f t="shared" si="1"/>
        <v>910003</v>
      </c>
      <c r="M4" s="149"/>
    </row>
    <row r="5" ht="15.75" customHeight="1">
      <c r="A5" s="118">
        <v>3.0</v>
      </c>
      <c r="B5" s="142">
        <v>45845.0</v>
      </c>
      <c r="C5" s="144" t="s">
        <v>927</v>
      </c>
      <c r="D5" s="98" t="s">
        <v>928</v>
      </c>
      <c r="E5" s="98" t="s">
        <v>335</v>
      </c>
      <c r="F5" s="144" t="s">
        <v>341</v>
      </c>
      <c r="G5" s="110">
        <v>7000.0</v>
      </c>
      <c r="H5" s="134">
        <v>1550003.0</v>
      </c>
      <c r="I5" s="115" t="s">
        <v>238</v>
      </c>
      <c r="J5" s="134">
        <v>640000.0</v>
      </c>
      <c r="K5" s="98" t="s">
        <v>238</v>
      </c>
      <c r="L5" s="58">
        <f t="shared" si="1"/>
        <v>910003</v>
      </c>
      <c r="M5" s="149"/>
    </row>
    <row r="6" ht="15.75" customHeight="1">
      <c r="A6" s="118">
        <v>4.0</v>
      </c>
      <c r="B6" s="142">
        <v>45846.0</v>
      </c>
      <c r="C6" s="144" t="s">
        <v>927</v>
      </c>
      <c r="D6" s="98" t="s">
        <v>928</v>
      </c>
      <c r="E6" s="98" t="s">
        <v>335</v>
      </c>
      <c r="F6" s="144" t="s">
        <v>341</v>
      </c>
      <c r="G6" s="151">
        <v>6250.0</v>
      </c>
      <c r="H6" s="134">
        <v>1550003.0</v>
      </c>
      <c r="I6" s="115" t="s">
        <v>238</v>
      </c>
      <c r="J6" s="134">
        <v>640000.0</v>
      </c>
      <c r="K6" s="98" t="s">
        <v>238</v>
      </c>
      <c r="L6" s="58">
        <f t="shared" si="1"/>
        <v>910003</v>
      </c>
      <c r="M6" s="149"/>
    </row>
    <row r="7" ht="15.75" customHeight="1">
      <c r="A7" s="118">
        <v>5.0</v>
      </c>
      <c r="B7" s="142">
        <v>45847.0</v>
      </c>
      <c r="C7" s="144" t="s">
        <v>927</v>
      </c>
      <c r="D7" s="98" t="s">
        <v>928</v>
      </c>
      <c r="E7" s="98" t="s">
        <v>335</v>
      </c>
      <c r="F7" s="144" t="s">
        <v>341</v>
      </c>
      <c r="G7" s="151">
        <v>4500.0</v>
      </c>
      <c r="H7" s="134">
        <v>1550003.0</v>
      </c>
      <c r="I7" s="115" t="s">
        <v>238</v>
      </c>
      <c r="J7" s="134">
        <v>640000.0</v>
      </c>
      <c r="K7" s="98" t="s">
        <v>238</v>
      </c>
      <c r="L7" s="58">
        <f t="shared" si="1"/>
        <v>910003</v>
      </c>
      <c r="M7" s="149"/>
    </row>
    <row r="8" ht="15.75" customHeight="1">
      <c r="A8" s="118">
        <v>6.0</v>
      </c>
      <c r="B8" s="142">
        <v>45849.0</v>
      </c>
      <c r="C8" s="144" t="s">
        <v>927</v>
      </c>
      <c r="D8" s="98" t="s">
        <v>928</v>
      </c>
      <c r="E8" s="98" t="s">
        <v>335</v>
      </c>
      <c r="F8" s="98" t="s">
        <v>336</v>
      </c>
      <c r="G8" s="151">
        <v>5300.0</v>
      </c>
      <c r="H8" s="134">
        <v>1550003.0</v>
      </c>
      <c r="I8" s="115" t="s">
        <v>238</v>
      </c>
      <c r="J8" s="134">
        <v>750000.0</v>
      </c>
      <c r="K8" s="98" t="s">
        <v>238</v>
      </c>
      <c r="L8" s="58">
        <f t="shared" si="1"/>
        <v>800003</v>
      </c>
      <c r="M8" s="149"/>
    </row>
    <row r="9" ht="15.75" customHeight="1">
      <c r="A9" s="118">
        <v>7.0</v>
      </c>
      <c r="B9" s="142">
        <v>45850.0</v>
      </c>
      <c r="C9" s="144" t="s">
        <v>927</v>
      </c>
      <c r="D9" s="98" t="s">
        <v>928</v>
      </c>
      <c r="E9" s="98" t="s">
        <v>532</v>
      </c>
      <c r="F9" s="98" t="s">
        <v>333</v>
      </c>
      <c r="G9" s="151">
        <v>9000.0</v>
      </c>
      <c r="H9" s="134">
        <v>1350000.0</v>
      </c>
      <c r="I9" s="152" t="s">
        <v>238</v>
      </c>
      <c r="J9" s="134">
        <v>850000.0</v>
      </c>
      <c r="K9" s="98" t="s">
        <v>238</v>
      </c>
      <c r="L9" s="58">
        <f t="shared" si="1"/>
        <v>500000</v>
      </c>
      <c r="M9" s="149"/>
    </row>
    <row r="10" ht="15.75" customHeight="1">
      <c r="A10" s="118">
        <v>8.0</v>
      </c>
      <c r="B10" s="142">
        <v>45852.0</v>
      </c>
      <c r="C10" s="144" t="s">
        <v>927</v>
      </c>
      <c r="D10" s="98" t="s">
        <v>928</v>
      </c>
      <c r="E10" s="98" t="s">
        <v>335</v>
      </c>
      <c r="F10" s="98" t="s">
        <v>340</v>
      </c>
      <c r="G10" s="151">
        <v>8000.0</v>
      </c>
      <c r="H10" s="134">
        <v>1771432.0</v>
      </c>
      <c r="I10" s="108" t="s">
        <v>238</v>
      </c>
      <c r="J10" s="134">
        <v>800000.0</v>
      </c>
      <c r="K10" s="98" t="s">
        <v>238</v>
      </c>
      <c r="L10" s="58">
        <f t="shared" si="1"/>
        <v>971432</v>
      </c>
      <c r="M10" s="149"/>
    </row>
    <row r="11" ht="15.75" customHeight="1">
      <c r="A11" s="118">
        <v>9.0</v>
      </c>
      <c r="B11" s="142">
        <v>45853.0</v>
      </c>
      <c r="C11" s="144" t="s">
        <v>927</v>
      </c>
      <c r="D11" s="98" t="s">
        <v>928</v>
      </c>
      <c r="E11" s="98" t="s">
        <v>243</v>
      </c>
      <c r="F11" s="98" t="s">
        <v>512</v>
      </c>
      <c r="G11" s="151">
        <v>6000.0</v>
      </c>
      <c r="H11" s="134">
        <v>600000.0</v>
      </c>
      <c r="I11" s="152" t="s">
        <v>212</v>
      </c>
      <c r="J11" s="134">
        <v>350000.0</v>
      </c>
      <c r="K11" s="98" t="s">
        <v>238</v>
      </c>
      <c r="L11" s="58">
        <f t="shared" si="1"/>
        <v>250000</v>
      </c>
      <c r="M11" s="149"/>
    </row>
    <row r="12" ht="15.75" customHeight="1">
      <c r="A12" s="118">
        <v>10.0</v>
      </c>
      <c r="B12" s="142">
        <v>45854.0</v>
      </c>
      <c r="C12" s="144" t="s">
        <v>927</v>
      </c>
      <c r="D12" s="98" t="s">
        <v>928</v>
      </c>
      <c r="E12" s="98" t="s">
        <v>335</v>
      </c>
      <c r="F12" s="98" t="s">
        <v>341</v>
      </c>
      <c r="G12" s="110">
        <v>6000.0</v>
      </c>
      <c r="H12" s="134">
        <v>1550003.0</v>
      </c>
      <c r="I12" s="108" t="s">
        <v>238</v>
      </c>
      <c r="J12" s="109">
        <v>640000.0</v>
      </c>
      <c r="K12" s="109" t="s">
        <v>238</v>
      </c>
      <c r="L12" s="58">
        <f t="shared" si="1"/>
        <v>910003</v>
      </c>
      <c r="M12" s="150">
        <v>133000.0</v>
      </c>
    </row>
    <row r="13" ht="15.75" customHeight="1">
      <c r="A13" s="118">
        <v>11.0</v>
      </c>
      <c r="B13" s="142">
        <v>45855.0</v>
      </c>
      <c r="C13" s="144" t="s">
        <v>927</v>
      </c>
      <c r="D13" s="98" t="s">
        <v>928</v>
      </c>
      <c r="E13" s="98" t="s">
        <v>279</v>
      </c>
      <c r="F13" s="98" t="s">
        <v>329</v>
      </c>
      <c r="G13" s="151">
        <v>10000.0</v>
      </c>
      <c r="H13" s="150">
        <v>1100000.0</v>
      </c>
      <c r="I13" s="152" t="s">
        <v>238</v>
      </c>
      <c r="J13" s="121">
        <v>600000.0</v>
      </c>
      <c r="K13" s="109" t="s">
        <v>238</v>
      </c>
      <c r="L13" s="58">
        <f t="shared" si="1"/>
        <v>500000</v>
      </c>
      <c r="M13" s="149"/>
    </row>
    <row r="14" ht="15.75" customHeight="1">
      <c r="A14" s="118">
        <v>12.0</v>
      </c>
      <c r="B14" s="142">
        <v>45857.0</v>
      </c>
      <c r="C14" s="144" t="s">
        <v>927</v>
      </c>
      <c r="D14" s="98" t="s">
        <v>928</v>
      </c>
      <c r="E14" s="98" t="s">
        <v>322</v>
      </c>
      <c r="F14" s="98" t="s">
        <v>302</v>
      </c>
      <c r="G14" s="151">
        <v>9000.0</v>
      </c>
      <c r="H14" s="150">
        <v>720000.0</v>
      </c>
      <c r="I14" s="152" t="s">
        <v>238</v>
      </c>
      <c r="J14" s="121">
        <v>375000.0</v>
      </c>
      <c r="K14" s="109" t="s">
        <v>238</v>
      </c>
      <c r="L14" s="58">
        <f t="shared" si="1"/>
        <v>345000</v>
      </c>
      <c r="M14" s="149"/>
    </row>
    <row r="15" ht="15.75" customHeight="1">
      <c r="A15" s="118">
        <v>13.0</v>
      </c>
      <c r="B15" s="142">
        <v>45859.0</v>
      </c>
      <c r="C15" s="144" t="s">
        <v>927</v>
      </c>
      <c r="D15" s="98" t="s">
        <v>928</v>
      </c>
      <c r="E15" s="98" t="s">
        <v>243</v>
      </c>
      <c r="F15" s="98" t="s">
        <v>329</v>
      </c>
      <c r="G15" s="151">
        <v>10000.0</v>
      </c>
      <c r="H15" s="150">
        <v>1100000.0</v>
      </c>
      <c r="I15" s="152" t="s">
        <v>238</v>
      </c>
      <c r="J15" s="121">
        <v>600000.0</v>
      </c>
      <c r="K15" s="109" t="s">
        <v>238</v>
      </c>
      <c r="L15" s="58">
        <f t="shared" si="1"/>
        <v>500000</v>
      </c>
      <c r="M15" s="149"/>
    </row>
    <row r="16" ht="15.75" customHeight="1">
      <c r="A16" s="118">
        <v>14.0</v>
      </c>
      <c r="B16" s="142">
        <v>45860.0</v>
      </c>
      <c r="C16" s="144" t="s">
        <v>927</v>
      </c>
      <c r="D16" s="98" t="s">
        <v>928</v>
      </c>
      <c r="E16" s="98" t="s">
        <v>335</v>
      </c>
      <c r="F16" s="98" t="s">
        <v>341</v>
      </c>
      <c r="G16" s="151">
        <v>6500.0</v>
      </c>
      <c r="H16" s="150">
        <v>1550003.0</v>
      </c>
      <c r="I16" s="108" t="s">
        <v>238</v>
      </c>
      <c r="J16" s="121">
        <v>700000.0</v>
      </c>
      <c r="K16" s="98" t="s">
        <v>212</v>
      </c>
      <c r="L16" s="58">
        <f t="shared" si="1"/>
        <v>850003</v>
      </c>
      <c r="M16" s="149"/>
    </row>
    <row r="17" ht="15.75" customHeight="1">
      <c r="A17" s="118">
        <v>15.0</v>
      </c>
      <c r="B17" s="142">
        <v>45861.0</v>
      </c>
      <c r="C17" s="144" t="s">
        <v>927</v>
      </c>
      <c r="D17" s="98" t="s">
        <v>928</v>
      </c>
      <c r="E17" s="98" t="s">
        <v>242</v>
      </c>
      <c r="F17" s="98" t="s">
        <v>321</v>
      </c>
      <c r="G17" s="151">
        <v>9000.0</v>
      </c>
      <c r="H17" s="150">
        <v>800000.0</v>
      </c>
      <c r="I17" s="152" t="s">
        <v>212</v>
      </c>
      <c r="J17" s="121">
        <v>400000.0</v>
      </c>
      <c r="K17" s="109" t="s">
        <v>238</v>
      </c>
      <c r="L17" s="58">
        <f t="shared" si="1"/>
        <v>400000</v>
      </c>
      <c r="M17" s="149"/>
    </row>
    <row r="18" ht="15.75" customHeight="1">
      <c r="A18" s="118">
        <v>16.0</v>
      </c>
      <c r="B18" s="142">
        <v>45863.0</v>
      </c>
      <c r="C18" s="144" t="s">
        <v>927</v>
      </c>
      <c r="D18" s="98" t="s">
        <v>928</v>
      </c>
      <c r="E18" s="98" t="s">
        <v>327</v>
      </c>
      <c r="F18" s="98" t="s">
        <v>929</v>
      </c>
      <c r="G18" s="151">
        <v>9000.0</v>
      </c>
      <c r="H18" s="150">
        <v>1914000.0</v>
      </c>
      <c r="I18" s="152" t="s">
        <v>523</v>
      </c>
      <c r="J18" s="121">
        <v>850000.0</v>
      </c>
      <c r="K18" s="109" t="s">
        <v>238</v>
      </c>
      <c r="L18" s="58">
        <f t="shared" si="1"/>
        <v>1064000</v>
      </c>
      <c r="M18" s="150">
        <v>458000.0</v>
      </c>
      <c r="N18" s="205">
        <v>564000.0</v>
      </c>
    </row>
    <row r="19" ht="15.75" customHeight="1">
      <c r="A19" s="118">
        <v>17.0</v>
      </c>
      <c r="B19" s="142">
        <v>45864.0</v>
      </c>
      <c r="C19" s="144" t="s">
        <v>927</v>
      </c>
      <c r="D19" s="98" t="s">
        <v>928</v>
      </c>
      <c r="E19" s="98" t="s">
        <v>327</v>
      </c>
      <c r="F19" s="98" t="s">
        <v>329</v>
      </c>
      <c r="G19" s="151">
        <v>10000.0</v>
      </c>
      <c r="H19" s="150">
        <v>1100000.0</v>
      </c>
      <c r="I19" s="152" t="s">
        <v>238</v>
      </c>
      <c r="J19" s="121">
        <v>600000.0</v>
      </c>
      <c r="K19" s="109" t="s">
        <v>238</v>
      </c>
      <c r="L19" s="58">
        <f t="shared" si="1"/>
        <v>500000</v>
      </c>
      <c r="M19" s="149"/>
    </row>
    <row r="20" ht="15.75" customHeight="1">
      <c r="A20" s="118">
        <v>18.0</v>
      </c>
      <c r="B20" s="142">
        <v>45866.0</v>
      </c>
      <c r="C20" s="144" t="s">
        <v>927</v>
      </c>
      <c r="D20" s="98" t="s">
        <v>928</v>
      </c>
      <c r="E20" s="98" t="s">
        <v>335</v>
      </c>
      <c r="F20" s="98" t="s">
        <v>535</v>
      </c>
      <c r="G20" s="110">
        <v>7000.0</v>
      </c>
      <c r="H20" s="150">
        <v>1550003.0</v>
      </c>
      <c r="I20" s="108" t="s">
        <v>238</v>
      </c>
      <c r="J20" s="121">
        <v>900000.0</v>
      </c>
      <c r="K20" s="109" t="s">
        <v>238</v>
      </c>
      <c r="L20" s="58">
        <f t="shared" si="1"/>
        <v>650003</v>
      </c>
      <c r="M20" s="150">
        <v>728000.0</v>
      </c>
    </row>
    <row r="21" ht="15.75" customHeight="1">
      <c r="A21" s="118">
        <v>19.0</v>
      </c>
      <c r="B21" s="142">
        <v>45868.0</v>
      </c>
      <c r="C21" s="144" t="s">
        <v>927</v>
      </c>
      <c r="D21" s="98" t="s">
        <v>928</v>
      </c>
      <c r="E21" s="98" t="s">
        <v>322</v>
      </c>
      <c r="F21" s="98" t="s">
        <v>333</v>
      </c>
      <c r="G21" s="151">
        <v>9000.0</v>
      </c>
      <c r="H21" s="150">
        <v>1350000.0</v>
      </c>
      <c r="I21" s="115" t="s">
        <v>238</v>
      </c>
      <c r="J21" s="121">
        <v>875000.0</v>
      </c>
      <c r="K21" s="98" t="s">
        <v>212</v>
      </c>
      <c r="L21" s="58">
        <f t="shared" si="1"/>
        <v>475000</v>
      </c>
      <c r="M21" s="150">
        <v>6290000.0</v>
      </c>
    </row>
    <row r="22" ht="15.75" customHeight="1">
      <c r="A22" s="118">
        <v>20.0</v>
      </c>
      <c r="B22" s="142">
        <v>45869.0</v>
      </c>
      <c r="C22" s="144" t="s">
        <v>927</v>
      </c>
      <c r="D22" s="98" t="s">
        <v>928</v>
      </c>
      <c r="E22" s="98" t="s">
        <v>327</v>
      </c>
      <c r="F22" s="98" t="s">
        <v>303</v>
      </c>
      <c r="G22" s="151">
        <v>9000.0</v>
      </c>
      <c r="H22" s="150">
        <v>1215000.0</v>
      </c>
      <c r="I22" s="115" t="s">
        <v>238</v>
      </c>
      <c r="J22" s="121">
        <v>700000.0</v>
      </c>
      <c r="K22" s="109" t="s">
        <v>238</v>
      </c>
      <c r="L22" s="58">
        <f t="shared" si="1"/>
        <v>515000</v>
      </c>
    </row>
    <row r="23" ht="15.75" customHeight="1">
      <c r="A23" s="118"/>
      <c r="B23" s="7"/>
      <c r="C23" s="7"/>
      <c r="D23" s="7"/>
      <c r="E23" s="17"/>
      <c r="F23" s="17"/>
      <c r="G23" s="170"/>
      <c r="H23" s="149"/>
      <c r="I23" s="184"/>
      <c r="J23" s="121"/>
      <c r="K23" s="17"/>
      <c r="L23" s="52">
        <f t="shared" ref="L23:M23" si="2">SUM(L3:L21)</f>
        <v>12680456</v>
      </c>
      <c r="M23" s="30">
        <f t="shared" si="2"/>
        <v>15504000</v>
      </c>
    </row>
    <row r="24" ht="15.75" customHeight="1">
      <c r="A24" s="21"/>
      <c r="B24" s="7"/>
      <c r="C24" s="7"/>
      <c r="D24" s="7"/>
      <c r="E24" s="17"/>
      <c r="F24" s="17"/>
      <c r="G24" s="170"/>
      <c r="H24" s="149"/>
      <c r="I24" s="184"/>
      <c r="J24" s="121"/>
      <c r="K24" s="17"/>
      <c r="L24" s="33">
        <f>L23-M23</f>
        <v>-2823544</v>
      </c>
      <c r="M24" s="26"/>
    </row>
    <row r="25" ht="15.75" customHeight="1">
      <c r="A25" s="21"/>
      <c r="B25" s="7"/>
      <c r="C25" s="7"/>
      <c r="D25" s="7"/>
      <c r="E25" s="17"/>
      <c r="F25" s="17"/>
      <c r="G25" s="170"/>
      <c r="H25" s="149"/>
      <c r="I25" s="184"/>
      <c r="J25" s="104"/>
      <c r="K25" s="17"/>
      <c r="M25" s="149"/>
    </row>
    <row r="26" ht="15.75" customHeight="1">
      <c r="A26" s="136" t="s">
        <v>209</v>
      </c>
      <c r="B26" s="136" t="s">
        <v>0</v>
      </c>
      <c r="C26" s="136" t="s">
        <v>1</v>
      </c>
      <c r="D26" s="136" t="s">
        <v>2</v>
      </c>
      <c r="E26" s="137" t="s">
        <v>3</v>
      </c>
      <c r="F26" s="136" t="s">
        <v>4</v>
      </c>
      <c r="G26" s="138" t="s">
        <v>5</v>
      </c>
      <c r="H26" s="139" t="s">
        <v>6</v>
      </c>
      <c r="I26" s="140" t="s">
        <v>39</v>
      </c>
      <c r="J26" s="139" t="s">
        <v>7</v>
      </c>
      <c r="K26" s="138" t="s">
        <v>39</v>
      </c>
      <c r="L26" s="140" t="s">
        <v>8</v>
      </c>
      <c r="M26" s="141" t="s">
        <v>9</v>
      </c>
    </row>
    <row r="27" ht="15.75" customHeight="1">
      <c r="A27" s="17">
        <v>1.0</v>
      </c>
      <c r="B27" s="142">
        <v>45870.0</v>
      </c>
      <c r="C27" s="144" t="s">
        <v>927</v>
      </c>
      <c r="D27" s="98" t="s">
        <v>928</v>
      </c>
      <c r="E27" s="144" t="s">
        <v>322</v>
      </c>
      <c r="F27" s="144" t="s">
        <v>287</v>
      </c>
      <c r="G27" s="148">
        <v>9000.0</v>
      </c>
      <c r="H27" s="134">
        <v>1200000.0</v>
      </c>
      <c r="I27" s="152" t="s">
        <v>212</v>
      </c>
      <c r="J27" s="134">
        <v>690000.0</v>
      </c>
      <c r="K27" s="109" t="s">
        <v>238</v>
      </c>
      <c r="L27" s="58">
        <f t="shared" ref="L27:L50" si="3">H27-J27</f>
        <v>510000</v>
      </c>
      <c r="M27" s="147">
        <v>700000.0</v>
      </c>
    </row>
    <row r="28" ht="15.75" customHeight="1">
      <c r="A28" s="118">
        <v>2.0</v>
      </c>
      <c r="B28" s="142">
        <v>45873.0</v>
      </c>
      <c r="C28" s="144" t="s">
        <v>927</v>
      </c>
      <c r="D28" s="98" t="s">
        <v>928</v>
      </c>
      <c r="E28" s="98" t="s">
        <v>327</v>
      </c>
      <c r="F28" s="144" t="s">
        <v>329</v>
      </c>
      <c r="G28" s="110">
        <v>10000.0</v>
      </c>
      <c r="H28" s="134">
        <v>1100000.0</v>
      </c>
      <c r="I28" s="108" t="s">
        <v>238</v>
      </c>
      <c r="J28" s="134">
        <v>600000.0</v>
      </c>
      <c r="K28" s="98" t="s">
        <v>212</v>
      </c>
      <c r="L28" s="58">
        <f t="shared" si="3"/>
        <v>500000</v>
      </c>
      <c r="M28" s="149"/>
    </row>
    <row r="29" ht="15.75" customHeight="1">
      <c r="A29" s="118">
        <v>3.0</v>
      </c>
      <c r="B29" s="142">
        <v>45874.0</v>
      </c>
      <c r="C29" s="144" t="s">
        <v>927</v>
      </c>
      <c r="D29" s="98" t="s">
        <v>928</v>
      </c>
      <c r="E29" s="98" t="s">
        <v>327</v>
      </c>
      <c r="F29" s="144" t="s">
        <v>329</v>
      </c>
      <c r="G29" s="110">
        <v>10000.0</v>
      </c>
      <c r="H29" s="134">
        <v>1100000.0</v>
      </c>
      <c r="I29" s="108" t="s">
        <v>238</v>
      </c>
      <c r="J29" s="134">
        <v>600000.0</v>
      </c>
      <c r="K29" s="98" t="s">
        <v>212</v>
      </c>
      <c r="L29" s="58">
        <f t="shared" si="3"/>
        <v>500000</v>
      </c>
      <c r="M29" s="149"/>
    </row>
    <row r="30" ht="15.75" customHeight="1">
      <c r="A30" s="118">
        <v>4.0</v>
      </c>
      <c r="B30" s="142">
        <v>45875.0</v>
      </c>
      <c r="C30" s="144" t="s">
        <v>927</v>
      </c>
      <c r="D30" s="98" t="s">
        <v>928</v>
      </c>
      <c r="E30" s="98" t="s">
        <v>532</v>
      </c>
      <c r="F30" s="144" t="s">
        <v>348</v>
      </c>
      <c r="G30" s="151">
        <v>10000.0</v>
      </c>
      <c r="H30" s="134">
        <v>1000000.0</v>
      </c>
      <c r="I30" s="115" t="s">
        <v>238</v>
      </c>
      <c r="J30" s="134">
        <v>475000.0</v>
      </c>
      <c r="K30" s="109" t="s">
        <v>238</v>
      </c>
      <c r="L30" s="58">
        <f t="shared" si="3"/>
        <v>525000</v>
      </c>
      <c r="M30" s="150">
        <v>322000.0</v>
      </c>
    </row>
    <row r="31" ht="15.75" customHeight="1">
      <c r="A31" s="118">
        <v>5.0</v>
      </c>
      <c r="B31" s="142">
        <v>45876.0</v>
      </c>
      <c r="C31" s="144" t="s">
        <v>927</v>
      </c>
      <c r="D31" s="98" t="s">
        <v>928</v>
      </c>
      <c r="E31" s="98" t="s">
        <v>322</v>
      </c>
      <c r="F31" s="144" t="s">
        <v>271</v>
      </c>
      <c r="G31" s="151">
        <v>9000.0</v>
      </c>
      <c r="H31" s="134">
        <v>675000.0</v>
      </c>
      <c r="I31" s="115" t="s">
        <v>238</v>
      </c>
      <c r="J31" s="134">
        <v>400000.0</v>
      </c>
      <c r="K31" s="109" t="s">
        <v>238</v>
      </c>
      <c r="L31" s="58">
        <f t="shared" si="3"/>
        <v>275000</v>
      </c>
      <c r="M31" s="149"/>
    </row>
    <row r="32" ht="15.75" customHeight="1">
      <c r="A32" s="118">
        <v>6.0</v>
      </c>
      <c r="B32" s="142">
        <v>45878.0</v>
      </c>
      <c r="C32" s="144" t="s">
        <v>927</v>
      </c>
      <c r="D32" s="98" t="s">
        <v>928</v>
      </c>
      <c r="E32" s="98" t="s">
        <v>327</v>
      </c>
      <c r="F32" s="98" t="s">
        <v>329</v>
      </c>
      <c r="G32" s="151">
        <v>10000.0</v>
      </c>
      <c r="H32" s="134">
        <v>1100000.0</v>
      </c>
      <c r="I32" s="115" t="s">
        <v>238</v>
      </c>
      <c r="J32" s="134">
        <v>600000.0</v>
      </c>
      <c r="K32" s="109" t="s">
        <v>238</v>
      </c>
      <c r="L32" s="58">
        <f t="shared" si="3"/>
        <v>500000</v>
      </c>
      <c r="M32" s="149"/>
    </row>
    <row r="33" ht="15.75" customHeight="1">
      <c r="A33" s="118">
        <v>7.0</v>
      </c>
      <c r="B33" s="142">
        <v>45880.0</v>
      </c>
      <c r="C33" s="144" t="s">
        <v>927</v>
      </c>
      <c r="D33" s="98" t="s">
        <v>928</v>
      </c>
      <c r="E33" s="98" t="s">
        <v>123</v>
      </c>
      <c r="F33" s="98" t="s">
        <v>316</v>
      </c>
      <c r="G33" s="151">
        <v>9000.0</v>
      </c>
      <c r="H33" s="134">
        <v>720000.0</v>
      </c>
      <c r="I33" s="152" t="s">
        <v>212</v>
      </c>
      <c r="J33" s="134">
        <v>350000.0</v>
      </c>
      <c r="K33" s="109" t="s">
        <v>238</v>
      </c>
      <c r="L33" s="58">
        <f t="shared" si="3"/>
        <v>370000</v>
      </c>
      <c r="M33" s="149"/>
    </row>
    <row r="34" ht="15.75" customHeight="1">
      <c r="A34" s="118">
        <v>8.0</v>
      </c>
      <c r="B34" s="142">
        <v>45880.0</v>
      </c>
      <c r="C34" s="144" t="s">
        <v>927</v>
      </c>
      <c r="D34" s="98" t="s">
        <v>928</v>
      </c>
      <c r="E34" s="98" t="s">
        <v>320</v>
      </c>
      <c r="F34" s="98" t="s">
        <v>324</v>
      </c>
      <c r="G34" s="151">
        <v>9000.0</v>
      </c>
      <c r="H34" s="134">
        <v>675000.0</v>
      </c>
      <c r="I34" s="152" t="s">
        <v>212</v>
      </c>
      <c r="J34" s="134">
        <v>350000.0</v>
      </c>
      <c r="K34" s="109" t="s">
        <v>238</v>
      </c>
      <c r="L34" s="58">
        <f t="shared" si="3"/>
        <v>325000</v>
      </c>
      <c r="M34" s="149"/>
    </row>
    <row r="35" ht="15.75" customHeight="1">
      <c r="A35" s="118">
        <v>9.0</v>
      </c>
      <c r="B35" s="142">
        <v>45881.0</v>
      </c>
      <c r="C35" s="144" t="s">
        <v>927</v>
      </c>
      <c r="D35" s="98" t="s">
        <v>928</v>
      </c>
      <c r="E35" s="98" t="s">
        <v>322</v>
      </c>
      <c r="F35" s="98" t="s">
        <v>297</v>
      </c>
      <c r="G35" s="151">
        <v>10000.0</v>
      </c>
      <c r="H35" s="134">
        <v>1100000.0</v>
      </c>
      <c r="I35" s="152" t="s">
        <v>238</v>
      </c>
      <c r="J35" s="134">
        <v>625000.0</v>
      </c>
      <c r="K35" s="109" t="s">
        <v>238</v>
      </c>
      <c r="L35" s="58">
        <f t="shared" si="3"/>
        <v>475000</v>
      </c>
      <c r="M35" s="149"/>
    </row>
    <row r="36" ht="15.75" customHeight="1">
      <c r="A36" s="118">
        <v>10.0</v>
      </c>
      <c r="B36" s="142">
        <v>45882.0</v>
      </c>
      <c r="C36" s="144" t="s">
        <v>927</v>
      </c>
      <c r="D36" s="98" t="s">
        <v>928</v>
      </c>
      <c r="E36" s="98" t="s">
        <v>322</v>
      </c>
      <c r="F36" s="98" t="s">
        <v>214</v>
      </c>
      <c r="G36" s="151">
        <v>9000.0</v>
      </c>
      <c r="H36" s="134">
        <v>1350000.0</v>
      </c>
      <c r="I36" s="108" t="s">
        <v>238</v>
      </c>
      <c r="J36" s="109">
        <v>925000.0</v>
      </c>
      <c r="K36" s="109" t="s">
        <v>238</v>
      </c>
      <c r="L36" s="58">
        <f t="shared" si="3"/>
        <v>425000</v>
      </c>
      <c r="M36" s="150"/>
    </row>
    <row r="37" ht="15.75" customHeight="1">
      <c r="A37" s="118">
        <v>11.0</v>
      </c>
      <c r="B37" s="142">
        <v>45883.0</v>
      </c>
      <c r="C37" s="144" t="s">
        <v>927</v>
      </c>
      <c r="D37" s="98" t="s">
        <v>928</v>
      </c>
      <c r="E37" s="98" t="s">
        <v>322</v>
      </c>
      <c r="F37" s="98" t="s">
        <v>333</v>
      </c>
      <c r="G37" s="151">
        <v>9000.0</v>
      </c>
      <c r="H37" s="150">
        <v>1350000.0</v>
      </c>
      <c r="I37" s="152"/>
      <c r="J37" s="121">
        <v>875000.0</v>
      </c>
      <c r="K37" s="109" t="s">
        <v>238</v>
      </c>
      <c r="L37" s="58">
        <f t="shared" si="3"/>
        <v>475000</v>
      </c>
      <c r="M37" s="149"/>
    </row>
    <row r="38" ht="15.75" customHeight="1">
      <c r="A38" s="118">
        <v>12.0</v>
      </c>
      <c r="B38" s="142">
        <v>45884.0</v>
      </c>
      <c r="C38" s="144" t="s">
        <v>927</v>
      </c>
      <c r="D38" s="98" t="s">
        <v>928</v>
      </c>
      <c r="E38" s="98" t="s">
        <v>534</v>
      </c>
      <c r="F38" s="98" t="s">
        <v>930</v>
      </c>
      <c r="G38" s="151">
        <v>8000.0</v>
      </c>
      <c r="H38" s="150">
        <v>1771432.0</v>
      </c>
      <c r="I38" s="152"/>
      <c r="J38" s="121">
        <v>640000.0</v>
      </c>
      <c r="K38" s="109" t="s">
        <v>238</v>
      </c>
      <c r="L38" s="58">
        <f t="shared" si="3"/>
        <v>1131432</v>
      </c>
      <c r="M38" s="149"/>
    </row>
    <row r="39" ht="15.75" customHeight="1">
      <c r="A39" s="118">
        <v>13.0</v>
      </c>
      <c r="B39" s="142">
        <v>45885.0</v>
      </c>
      <c r="C39" s="144" t="s">
        <v>927</v>
      </c>
      <c r="D39" s="98" t="s">
        <v>928</v>
      </c>
      <c r="E39" s="98" t="s">
        <v>327</v>
      </c>
      <c r="F39" s="98" t="s">
        <v>329</v>
      </c>
      <c r="G39" s="151">
        <v>10000.0</v>
      </c>
      <c r="H39" s="150">
        <v>1100000.0</v>
      </c>
      <c r="I39" s="152" t="s">
        <v>238</v>
      </c>
      <c r="J39" s="121">
        <v>600000.0</v>
      </c>
      <c r="K39" s="109" t="s">
        <v>238</v>
      </c>
      <c r="L39" s="58">
        <f t="shared" si="3"/>
        <v>500000</v>
      </c>
      <c r="M39" s="150">
        <v>293000.0</v>
      </c>
    </row>
    <row r="40" ht="15.75" customHeight="1">
      <c r="A40" s="118">
        <v>14.0</v>
      </c>
      <c r="B40" s="142">
        <v>45887.0</v>
      </c>
      <c r="C40" s="144" t="s">
        <v>927</v>
      </c>
      <c r="D40" s="98" t="s">
        <v>928</v>
      </c>
      <c r="E40" s="98" t="s">
        <v>322</v>
      </c>
      <c r="F40" s="98" t="s">
        <v>316</v>
      </c>
      <c r="G40" s="151">
        <v>9000.0</v>
      </c>
      <c r="H40" s="150">
        <v>720000.0</v>
      </c>
      <c r="I40" s="152" t="s">
        <v>212</v>
      </c>
      <c r="J40" s="121">
        <v>375000.0</v>
      </c>
      <c r="K40" s="109" t="s">
        <v>238</v>
      </c>
      <c r="L40" s="58">
        <f t="shared" si="3"/>
        <v>345000</v>
      </c>
      <c r="M40" s="149"/>
    </row>
    <row r="41" ht="15.75" customHeight="1">
      <c r="A41" s="118">
        <v>15.0</v>
      </c>
      <c r="B41" s="142">
        <v>45888.0</v>
      </c>
      <c r="C41" s="144" t="s">
        <v>927</v>
      </c>
      <c r="D41" s="98" t="s">
        <v>928</v>
      </c>
      <c r="E41" s="98" t="s">
        <v>123</v>
      </c>
      <c r="F41" s="98" t="s">
        <v>346</v>
      </c>
      <c r="G41" s="151">
        <v>9000.0</v>
      </c>
      <c r="H41" s="150">
        <v>990000.0</v>
      </c>
      <c r="I41" s="338"/>
      <c r="J41" s="121">
        <v>550000.0</v>
      </c>
      <c r="K41" s="109" t="s">
        <v>238</v>
      </c>
      <c r="L41" s="58">
        <f t="shared" si="3"/>
        <v>440000</v>
      </c>
      <c r="M41" s="150">
        <v>329000.0</v>
      </c>
    </row>
    <row r="42" ht="15.75" customHeight="1">
      <c r="A42" s="118">
        <v>16.0</v>
      </c>
      <c r="B42" s="142">
        <v>45889.0</v>
      </c>
      <c r="C42" s="144" t="s">
        <v>927</v>
      </c>
      <c r="D42" s="98" t="s">
        <v>928</v>
      </c>
      <c r="E42" s="98" t="s">
        <v>242</v>
      </c>
      <c r="F42" s="98" t="s">
        <v>931</v>
      </c>
      <c r="G42" s="151">
        <v>8000.0</v>
      </c>
      <c r="H42" s="150">
        <v>800000.0</v>
      </c>
      <c r="I42" s="152" t="s">
        <v>238</v>
      </c>
      <c r="J42" s="121">
        <v>375000.0</v>
      </c>
      <c r="K42" s="109" t="s">
        <v>238</v>
      </c>
      <c r="L42" s="58">
        <f t="shared" si="3"/>
        <v>425000</v>
      </c>
      <c r="M42" s="150"/>
    </row>
    <row r="43" ht="15.75" customHeight="1">
      <c r="A43" s="118">
        <v>17.0</v>
      </c>
      <c r="B43" s="142">
        <v>45890.0</v>
      </c>
      <c r="C43" s="144" t="s">
        <v>927</v>
      </c>
      <c r="D43" s="98" t="s">
        <v>928</v>
      </c>
      <c r="E43" s="98" t="s">
        <v>322</v>
      </c>
      <c r="F43" s="98" t="s">
        <v>271</v>
      </c>
      <c r="G43" s="151">
        <v>9000.0</v>
      </c>
      <c r="H43" s="150">
        <v>675000.0</v>
      </c>
      <c r="I43" s="152" t="s">
        <v>238</v>
      </c>
      <c r="J43" s="121">
        <v>400000.0</v>
      </c>
      <c r="K43" s="109" t="s">
        <v>238</v>
      </c>
      <c r="L43" s="58">
        <f t="shared" si="3"/>
        <v>275000</v>
      </c>
      <c r="M43" s="149"/>
    </row>
    <row r="44" ht="15.75" customHeight="1">
      <c r="A44" s="118">
        <v>18.0</v>
      </c>
      <c r="B44" s="142">
        <v>45891.0</v>
      </c>
      <c r="C44" s="144" t="s">
        <v>927</v>
      </c>
      <c r="D44" s="98" t="s">
        <v>928</v>
      </c>
      <c r="E44" s="98" t="s">
        <v>243</v>
      </c>
      <c r="F44" s="98" t="s">
        <v>331</v>
      </c>
      <c r="G44" s="110">
        <v>9000.0</v>
      </c>
      <c r="H44" s="150">
        <v>1305000.0</v>
      </c>
      <c r="I44" s="152" t="s">
        <v>238</v>
      </c>
      <c r="J44" s="121">
        <v>725000.0</v>
      </c>
      <c r="K44" s="109" t="s">
        <v>238</v>
      </c>
      <c r="L44" s="58">
        <f t="shared" si="3"/>
        <v>580000</v>
      </c>
      <c r="M44" s="150"/>
    </row>
    <row r="45" ht="15.75" customHeight="1">
      <c r="A45" s="118">
        <v>19.0</v>
      </c>
      <c r="B45" s="142">
        <v>45894.0</v>
      </c>
      <c r="C45" s="144" t="s">
        <v>927</v>
      </c>
      <c r="D45" s="98" t="s">
        <v>928</v>
      </c>
      <c r="E45" s="98" t="s">
        <v>350</v>
      </c>
      <c r="F45" s="98" t="s">
        <v>295</v>
      </c>
      <c r="G45" s="151" t="s">
        <v>351</v>
      </c>
      <c r="H45" s="150">
        <v>1300000.0</v>
      </c>
      <c r="I45" s="152" t="s">
        <v>212</v>
      </c>
      <c r="J45" s="121">
        <v>665000.0</v>
      </c>
      <c r="K45" s="109" t="s">
        <v>238</v>
      </c>
      <c r="L45" s="58">
        <f t="shared" si="3"/>
        <v>635000</v>
      </c>
      <c r="M45" s="150"/>
    </row>
    <row r="46" ht="15.75" customHeight="1">
      <c r="A46" s="118">
        <v>20.0</v>
      </c>
      <c r="B46" s="142">
        <v>45895.0</v>
      </c>
      <c r="C46" s="144" t="s">
        <v>927</v>
      </c>
      <c r="D46" s="98" t="s">
        <v>928</v>
      </c>
      <c r="E46" s="98" t="s">
        <v>322</v>
      </c>
      <c r="F46" s="98" t="s">
        <v>302</v>
      </c>
      <c r="G46" s="151">
        <v>9000.0</v>
      </c>
      <c r="H46" s="150">
        <v>900000.0</v>
      </c>
      <c r="I46" s="152" t="s">
        <v>238</v>
      </c>
      <c r="J46" s="121">
        <v>375000.0</v>
      </c>
      <c r="K46" s="109" t="s">
        <v>238</v>
      </c>
      <c r="L46" s="58">
        <f t="shared" si="3"/>
        <v>525000</v>
      </c>
      <c r="M46" s="150">
        <v>301000.0</v>
      </c>
    </row>
    <row r="47" ht="15.75" customHeight="1">
      <c r="A47" s="118">
        <v>21.0</v>
      </c>
      <c r="B47" s="142">
        <v>45896.0</v>
      </c>
      <c r="C47" s="144" t="s">
        <v>927</v>
      </c>
      <c r="D47" s="98" t="s">
        <v>928</v>
      </c>
      <c r="E47" s="98" t="s">
        <v>327</v>
      </c>
      <c r="F47" s="98" t="s">
        <v>333</v>
      </c>
      <c r="G47" s="151">
        <v>9000.0</v>
      </c>
      <c r="H47" s="150">
        <v>1350000.0</v>
      </c>
      <c r="I47" s="184"/>
      <c r="J47" s="121">
        <v>850000.0</v>
      </c>
      <c r="K47" s="109" t="s">
        <v>238</v>
      </c>
      <c r="L47" s="58">
        <f t="shared" si="3"/>
        <v>500000</v>
      </c>
    </row>
    <row r="48" ht="15.75" customHeight="1">
      <c r="A48" s="118">
        <v>22.0</v>
      </c>
      <c r="B48" s="142">
        <v>45897.0</v>
      </c>
      <c r="C48" s="144" t="s">
        <v>927</v>
      </c>
      <c r="D48" s="98" t="s">
        <v>928</v>
      </c>
      <c r="E48" s="98" t="s">
        <v>322</v>
      </c>
      <c r="F48" s="98" t="s">
        <v>295</v>
      </c>
      <c r="G48" s="151">
        <v>9000.0</v>
      </c>
      <c r="H48" s="150">
        <v>1125000.0</v>
      </c>
      <c r="I48" s="305"/>
      <c r="J48" s="121">
        <v>665000.0</v>
      </c>
      <c r="K48" s="109" t="s">
        <v>238</v>
      </c>
      <c r="L48" s="58">
        <f t="shared" si="3"/>
        <v>460000</v>
      </c>
    </row>
    <row r="49" ht="15.75" customHeight="1">
      <c r="A49" s="118">
        <v>23.0</v>
      </c>
      <c r="B49" s="142">
        <v>45898.0</v>
      </c>
      <c r="C49" s="144" t="s">
        <v>927</v>
      </c>
      <c r="D49" s="98" t="s">
        <v>928</v>
      </c>
      <c r="E49" s="98" t="s">
        <v>322</v>
      </c>
      <c r="F49" s="98" t="s">
        <v>865</v>
      </c>
      <c r="G49" s="151">
        <v>9000.0</v>
      </c>
      <c r="H49" s="150">
        <v>750000.0</v>
      </c>
      <c r="I49" s="152" t="s">
        <v>238</v>
      </c>
      <c r="J49" s="121">
        <v>375000.0</v>
      </c>
      <c r="K49" s="314"/>
      <c r="L49" s="58">
        <f t="shared" si="3"/>
        <v>375000</v>
      </c>
      <c r="M49" s="149"/>
    </row>
    <row r="50" ht="15.75" customHeight="1">
      <c r="A50" s="118">
        <v>24.0</v>
      </c>
      <c r="B50" s="142">
        <v>45899.0</v>
      </c>
      <c r="C50" s="144" t="s">
        <v>927</v>
      </c>
      <c r="D50" s="98" t="s">
        <v>928</v>
      </c>
      <c r="E50" s="98" t="s">
        <v>322</v>
      </c>
      <c r="F50" s="98" t="s">
        <v>865</v>
      </c>
      <c r="G50" s="151">
        <v>9000.0</v>
      </c>
      <c r="H50" s="150">
        <v>750000.0</v>
      </c>
      <c r="I50" s="184"/>
      <c r="J50" s="121">
        <v>375000.0</v>
      </c>
      <c r="K50" s="314"/>
      <c r="L50" s="58">
        <f t="shared" si="3"/>
        <v>375000</v>
      </c>
      <c r="M50" s="149"/>
      <c r="N50" s="205">
        <v>375000.0</v>
      </c>
    </row>
    <row r="51" ht="15.75" customHeight="1">
      <c r="A51" s="21"/>
      <c r="B51" s="7"/>
      <c r="C51" s="7"/>
      <c r="D51" s="7"/>
      <c r="E51" s="17"/>
      <c r="F51" s="17"/>
      <c r="G51" s="170"/>
      <c r="H51" s="149"/>
      <c r="I51" s="184"/>
      <c r="J51" s="104"/>
      <c r="K51" s="17"/>
      <c r="L51" s="52">
        <f>SUM(L27:L50)</f>
        <v>11446432</v>
      </c>
      <c r="M51" s="30">
        <f>SUM(M27:M46)</f>
        <v>1945000</v>
      </c>
    </row>
    <row r="52" ht="15.75" customHeight="1">
      <c r="A52" s="21"/>
      <c r="B52" s="7"/>
      <c r="C52" s="7"/>
      <c r="D52" s="7"/>
      <c r="E52" s="17"/>
      <c r="F52" s="17"/>
      <c r="G52" s="170"/>
      <c r="H52" s="149"/>
      <c r="I52" s="184"/>
      <c r="J52" s="104"/>
      <c r="K52" s="17"/>
      <c r="L52" s="33">
        <f>L51-M51</f>
        <v>9501432</v>
      </c>
      <c r="M52" s="26"/>
    </row>
    <row r="53" ht="15.75" customHeight="1">
      <c r="A53" s="21"/>
      <c r="B53" s="7"/>
      <c r="C53" s="7"/>
      <c r="D53" s="7"/>
      <c r="E53" s="17"/>
      <c r="F53" s="17"/>
      <c r="G53" s="170"/>
      <c r="H53" s="149"/>
      <c r="I53" s="184"/>
      <c r="J53" s="104"/>
      <c r="K53" s="17"/>
      <c r="M53" s="149"/>
    </row>
    <row r="54" ht="15.75" customHeight="1">
      <c r="A54" s="136" t="s">
        <v>209</v>
      </c>
      <c r="B54" s="136" t="s">
        <v>0</v>
      </c>
      <c r="C54" s="136" t="s">
        <v>1</v>
      </c>
      <c r="D54" s="136" t="s">
        <v>2</v>
      </c>
      <c r="E54" s="137" t="s">
        <v>3</v>
      </c>
      <c r="F54" s="136" t="s">
        <v>4</v>
      </c>
      <c r="G54" s="138" t="s">
        <v>5</v>
      </c>
      <c r="H54" s="139" t="s">
        <v>6</v>
      </c>
      <c r="I54" s="140" t="s">
        <v>39</v>
      </c>
      <c r="J54" s="139" t="s">
        <v>7</v>
      </c>
      <c r="K54" s="138" t="s">
        <v>39</v>
      </c>
      <c r="L54" s="140" t="s">
        <v>8</v>
      </c>
      <c r="M54" s="141" t="s">
        <v>9</v>
      </c>
    </row>
    <row r="55" ht="15.75" customHeight="1">
      <c r="A55" s="17">
        <v>1.0</v>
      </c>
      <c r="B55" s="142">
        <v>45901.0</v>
      </c>
      <c r="C55" s="144" t="s">
        <v>927</v>
      </c>
      <c r="D55" s="98" t="s">
        <v>928</v>
      </c>
      <c r="E55" s="144"/>
      <c r="F55" s="144"/>
      <c r="G55" s="148"/>
      <c r="H55" s="107"/>
      <c r="I55" s="108"/>
      <c r="J55" s="109"/>
      <c r="K55" s="109"/>
      <c r="L55" s="58"/>
      <c r="M55" s="147"/>
    </row>
    <row r="56" ht="15.75" customHeight="1">
      <c r="A56" s="21"/>
      <c r="B56" s="7"/>
      <c r="C56" s="7"/>
      <c r="D56" s="7"/>
      <c r="E56" s="17"/>
      <c r="F56" s="17"/>
      <c r="G56" s="170"/>
      <c r="H56" s="149"/>
      <c r="I56" s="184"/>
      <c r="J56" s="104"/>
      <c r="K56" s="17"/>
      <c r="M56" s="149"/>
    </row>
    <row r="57" ht="15.75" customHeight="1">
      <c r="A57" s="21"/>
      <c r="B57" s="7"/>
      <c r="C57" s="7"/>
      <c r="D57" s="7"/>
      <c r="E57" s="17"/>
      <c r="F57" s="17"/>
      <c r="G57" s="170"/>
      <c r="H57" s="149"/>
      <c r="I57" s="184"/>
      <c r="J57" s="104"/>
      <c r="K57" s="17"/>
      <c r="M57" s="149"/>
    </row>
    <row r="58" ht="15.75" customHeight="1">
      <c r="A58" s="21"/>
      <c r="B58" s="7"/>
      <c r="C58" s="7"/>
      <c r="D58" s="7"/>
      <c r="E58" s="17"/>
      <c r="F58" s="17"/>
      <c r="G58" s="170"/>
      <c r="H58" s="149"/>
      <c r="I58" s="184"/>
      <c r="J58" s="104"/>
      <c r="K58" s="17"/>
      <c r="M58" s="149"/>
    </row>
    <row r="59" ht="15.75" customHeight="1">
      <c r="A59" s="21"/>
      <c r="B59" s="7"/>
      <c r="C59" s="7"/>
      <c r="D59" s="7"/>
      <c r="E59" s="17"/>
      <c r="F59" s="17"/>
      <c r="G59" s="170"/>
      <c r="H59" s="149"/>
      <c r="I59" s="184"/>
      <c r="J59" s="104"/>
      <c r="K59" s="17"/>
      <c r="M59" s="149"/>
    </row>
    <row r="60" ht="15.75" customHeight="1">
      <c r="A60" s="21"/>
      <c r="B60" s="7"/>
      <c r="C60" s="7"/>
      <c r="D60" s="7"/>
      <c r="E60" s="17"/>
      <c r="F60" s="17"/>
      <c r="G60" s="170"/>
      <c r="H60" s="149"/>
      <c r="I60" s="184"/>
      <c r="J60" s="104"/>
      <c r="K60" s="17"/>
      <c r="M60" s="149"/>
    </row>
    <row r="61" ht="15.75" customHeight="1">
      <c r="A61" s="21"/>
      <c r="B61" s="7"/>
      <c r="C61" s="7"/>
      <c r="D61" s="7"/>
      <c r="E61" s="17"/>
      <c r="F61" s="17"/>
      <c r="G61" s="170"/>
      <c r="H61" s="149"/>
      <c r="I61" s="184"/>
      <c r="J61" s="104"/>
      <c r="K61" s="17"/>
      <c r="M61" s="149"/>
    </row>
    <row r="62" ht="15.75" customHeight="1">
      <c r="A62" s="21"/>
      <c r="B62" s="7"/>
      <c r="C62" s="7"/>
      <c r="D62" s="7"/>
      <c r="E62" s="17"/>
      <c r="F62" s="17"/>
      <c r="G62" s="170"/>
      <c r="H62" s="149"/>
      <c r="I62" s="184"/>
      <c r="J62" s="104"/>
      <c r="K62" s="17"/>
      <c r="M62" s="149"/>
    </row>
    <row r="63" ht="15.75" customHeight="1">
      <c r="A63" s="21"/>
      <c r="B63" s="7"/>
      <c r="C63" s="7"/>
      <c r="D63" s="7"/>
      <c r="E63" s="17"/>
      <c r="F63" s="17"/>
      <c r="G63" s="170"/>
      <c r="H63" s="149"/>
      <c r="I63" s="184"/>
      <c r="J63" s="104"/>
      <c r="K63" s="17"/>
      <c r="M63" s="149"/>
    </row>
    <row r="64" ht="15.75" customHeight="1">
      <c r="A64" s="21"/>
      <c r="B64" s="7"/>
      <c r="C64" s="7"/>
      <c r="D64" s="7"/>
      <c r="E64" s="17"/>
      <c r="F64" s="17"/>
      <c r="G64" s="170"/>
      <c r="H64" s="149"/>
      <c r="I64" s="184"/>
      <c r="J64" s="104"/>
      <c r="K64" s="17"/>
      <c r="M64" s="149"/>
    </row>
    <row r="65" ht="15.75" customHeight="1">
      <c r="A65" s="21"/>
      <c r="B65" s="7"/>
      <c r="C65" s="7"/>
      <c r="D65" s="7"/>
      <c r="E65" s="17"/>
      <c r="F65" s="17"/>
      <c r="G65" s="170"/>
      <c r="H65" s="149"/>
      <c r="I65" s="184"/>
      <c r="J65" s="104"/>
      <c r="K65" s="17"/>
      <c r="M65" s="149"/>
    </row>
    <row r="66" ht="15.75" customHeight="1">
      <c r="A66" s="21"/>
      <c r="B66" s="7"/>
      <c r="C66" s="7"/>
      <c r="D66" s="7"/>
      <c r="E66" s="17"/>
      <c r="F66" s="17"/>
      <c r="G66" s="170"/>
      <c r="H66" s="149"/>
      <c r="I66" s="184"/>
      <c r="J66" s="104"/>
      <c r="K66" s="17"/>
      <c r="M66" s="149"/>
    </row>
    <row r="67" ht="15.75" customHeight="1">
      <c r="A67" s="21"/>
      <c r="B67" s="7"/>
      <c r="C67" s="7"/>
      <c r="D67" s="7"/>
      <c r="E67" s="17"/>
      <c r="F67" s="17"/>
      <c r="G67" s="170"/>
      <c r="H67" s="149"/>
      <c r="I67" s="184"/>
      <c r="J67" s="104"/>
      <c r="K67" s="17"/>
      <c r="M67" s="149"/>
    </row>
    <row r="68" ht="15.75" customHeight="1">
      <c r="A68" s="21"/>
      <c r="B68" s="7"/>
      <c r="C68" s="7"/>
      <c r="D68" s="7"/>
      <c r="E68" s="17"/>
      <c r="F68" s="17"/>
      <c r="G68" s="170"/>
      <c r="H68" s="149"/>
      <c r="I68" s="184"/>
      <c r="J68" s="104"/>
      <c r="K68" s="17"/>
      <c r="M68" s="149"/>
    </row>
    <row r="69" ht="15.75" customHeight="1">
      <c r="A69" s="203"/>
    </row>
    <row r="70" ht="15.75" customHeight="1">
      <c r="A70" s="203"/>
    </row>
    <row r="71" ht="15.75" customHeight="1">
      <c r="A71" s="203"/>
    </row>
    <row r="72" ht="15.75" customHeight="1">
      <c r="A72" s="203"/>
    </row>
    <row r="73" ht="15.75" customHeight="1">
      <c r="A73" s="203"/>
    </row>
    <row r="74" ht="15.75" customHeight="1">
      <c r="A74" s="203"/>
    </row>
    <row r="75" ht="15.75" customHeight="1">
      <c r="A75" s="203"/>
    </row>
    <row r="76" ht="15.75" customHeight="1">
      <c r="A76" s="203"/>
    </row>
    <row r="77" ht="15.75" customHeight="1">
      <c r="A77" s="203"/>
    </row>
    <row r="78" ht="15.75" customHeight="1">
      <c r="A78" s="203"/>
    </row>
    <row r="79" ht="15.75" customHeight="1">
      <c r="A79" s="203"/>
    </row>
    <row r="80" ht="15.75" customHeight="1">
      <c r="A80" s="203"/>
    </row>
    <row r="81" ht="15.75" customHeight="1">
      <c r="A81" s="203"/>
    </row>
    <row r="82" ht="15.75" customHeight="1">
      <c r="A82" s="203"/>
    </row>
    <row r="83" ht="15.75" customHeight="1">
      <c r="A83" s="203"/>
    </row>
    <row r="84" ht="15.75" customHeight="1">
      <c r="A84" s="203"/>
    </row>
    <row r="85" ht="15.75" customHeight="1">
      <c r="A85" s="203"/>
    </row>
    <row r="86" ht="15.75" customHeight="1">
      <c r="A86" s="203"/>
    </row>
    <row r="87" ht="15.75" customHeight="1">
      <c r="A87" s="203"/>
    </row>
    <row r="88" ht="15.75" customHeight="1">
      <c r="A88" s="203"/>
    </row>
    <row r="89" ht="15.75" customHeight="1">
      <c r="A89" s="203"/>
    </row>
    <row r="90" ht="15.75" customHeight="1">
      <c r="A90" s="203"/>
    </row>
    <row r="91" ht="15.75" customHeight="1">
      <c r="A91" s="203"/>
    </row>
    <row r="92" ht="15.75" customHeight="1">
      <c r="A92" s="203"/>
    </row>
    <row r="93" ht="15.75" customHeight="1">
      <c r="A93" s="203"/>
    </row>
    <row r="94" ht="15.75" customHeight="1">
      <c r="A94" s="203"/>
    </row>
    <row r="95" ht="15.75" customHeight="1">
      <c r="A95" s="203"/>
    </row>
    <row r="96" ht="15.75" customHeight="1">
      <c r="A96" s="203"/>
    </row>
    <row r="97" ht="15.75" customHeight="1">
      <c r="A97" s="203"/>
    </row>
    <row r="98" ht="15.75" customHeight="1">
      <c r="A98" s="203"/>
    </row>
    <row r="99" ht="15.75" customHeight="1">
      <c r="A99" s="203"/>
    </row>
    <row r="100" ht="15.75" customHeight="1">
      <c r="A100" s="203"/>
    </row>
    <row r="101" ht="15.75" customHeight="1">
      <c r="A101" s="203"/>
    </row>
    <row r="102" ht="15.75" customHeight="1">
      <c r="A102" s="203"/>
    </row>
    <row r="103" ht="15.75" customHeight="1">
      <c r="A103" s="203"/>
    </row>
    <row r="104" ht="15.75" customHeight="1">
      <c r="A104" s="203"/>
    </row>
    <row r="105" ht="15.75" customHeight="1">
      <c r="A105" s="203"/>
    </row>
    <row r="106" ht="15.75" customHeight="1">
      <c r="A106" s="203"/>
    </row>
    <row r="107" ht="15.75" customHeight="1">
      <c r="A107" s="203"/>
    </row>
    <row r="108" ht="15.75" customHeight="1">
      <c r="A108" s="203"/>
    </row>
    <row r="109" ht="15.75" customHeight="1">
      <c r="A109" s="203"/>
    </row>
    <row r="110" ht="15.75" customHeight="1">
      <c r="A110" s="203"/>
    </row>
    <row r="111" ht="15.75" customHeight="1">
      <c r="A111" s="203"/>
    </row>
    <row r="112" ht="15.75" customHeight="1">
      <c r="A112" s="203"/>
    </row>
    <row r="113" ht="15.75" customHeight="1">
      <c r="A113" s="203"/>
    </row>
    <row r="114" ht="15.75" customHeight="1">
      <c r="A114" s="203"/>
    </row>
    <row r="115" ht="15.75" customHeight="1">
      <c r="A115" s="203"/>
    </row>
    <row r="116" ht="15.75" customHeight="1">
      <c r="A116" s="203"/>
    </row>
    <row r="117" ht="15.75" customHeight="1">
      <c r="A117" s="203"/>
    </row>
    <row r="118" ht="15.75" customHeight="1">
      <c r="A118" s="203"/>
    </row>
    <row r="119" ht="15.75" customHeight="1">
      <c r="A119" s="203"/>
    </row>
    <row r="120" ht="15.75" customHeight="1">
      <c r="A120" s="203"/>
    </row>
    <row r="121" ht="15.75" customHeight="1">
      <c r="A121" s="203"/>
    </row>
    <row r="122" ht="15.75" customHeight="1">
      <c r="A122" s="203"/>
    </row>
    <row r="123" ht="15.75" customHeight="1">
      <c r="A123" s="203"/>
    </row>
    <row r="124" ht="15.75" customHeight="1">
      <c r="A124" s="203"/>
    </row>
    <row r="125" ht="15.75" customHeight="1">
      <c r="A125" s="203"/>
    </row>
    <row r="126" ht="15.75" customHeight="1">
      <c r="A126" s="203"/>
    </row>
    <row r="127" ht="15.75" customHeight="1">
      <c r="A127" s="203"/>
    </row>
    <row r="128" ht="15.75" customHeight="1">
      <c r="A128" s="203"/>
    </row>
    <row r="129" ht="15.75" customHeight="1">
      <c r="A129" s="203"/>
    </row>
    <row r="130" ht="15.75" customHeight="1">
      <c r="A130" s="203"/>
    </row>
    <row r="131" ht="15.75" customHeight="1">
      <c r="A131" s="203"/>
    </row>
    <row r="132" ht="15.75" customHeight="1">
      <c r="A132" s="203"/>
    </row>
    <row r="133" ht="15.75" customHeight="1">
      <c r="A133" s="203"/>
    </row>
    <row r="134" ht="15.75" customHeight="1">
      <c r="A134" s="203"/>
    </row>
    <row r="135" ht="15.75" customHeight="1">
      <c r="A135" s="203"/>
    </row>
    <row r="136" ht="15.75" customHeight="1">
      <c r="A136" s="203"/>
    </row>
    <row r="137" ht="15.75" customHeight="1">
      <c r="A137" s="203"/>
    </row>
    <row r="138" ht="15.75" customHeight="1">
      <c r="A138" s="203"/>
    </row>
    <row r="139" ht="15.75" customHeight="1">
      <c r="A139" s="203"/>
    </row>
    <row r="140" ht="15.75" customHeight="1">
      <c r="A140" s="203"/>
    </row>
    <row r="141" ht="15.75" customHeight="1">
      <c r="A141" s="203"/>
    </row>
    <row r="142" ht="15.75" customHeight="1">
      <c r="A142" s="203"/>
    </row>
    <row r="143" ht="15.75" customHeight="1">
      <c r="A143" s="203"/>
    </row>
    <row r="144" ht="15.75" customHeight="1">
      <c r="A144" s="203"/>
    </row>
    <row r="145" ht="15.75" customHeight="1">
      <c r="A145" s="203"/>
    </row>
    <row r="146" ht="15.75" customHeight="1">
      <c r="A146" s="203"/>
    </row>
    <row r="147" ht="15.75" customHeight="1">
      <c r="A147" s="203"/>
    </row>
    <row r="148" ht="15.75" customHeight="1">
      <c r="A148" s="203"/>
    </row>
    <row r="149" ht="15.75" customHeight="1">
      <c r="A149" s="203"/>
    </row>
    <row r="150" ht="15.75" customHeight="1">
      <c r="A150" s="203"/>
    </row>
    <row r="151" ht="15.75" customHeight="1">
      <c r="A151" s="203"/>
    </row>
    <row r="152" ht="15.75" customHeight="1">
      <c r="A152" s="203"/>
    </row>
    <row r="153" ht="15.75" customHeight="1">
      <c r="A153" s="203"/>
    </row>
    <row r="154" ht="15.75" customHeight="1">
      <c r="A154" s="203"/>
    </row>
    <row r="155" ht="15.75" customHeight="1">
      <c r="A155" s="203"/>
    </row>
    <row r="156" ht="15.75" customHeight="1">
      <c r="A156" s="203"/>
    </row>
    <row r="157" ht="15.75" customHeight="1">
      <c r="A157" s="203"/>
    </row>
    <row r="158" ht="15.75" customHeight="1">
      <c r="A158" s="203"/>
    </row>
    <row r="159" ht="15.75" customHeight="1">
      <c r="A159" s="203"/>
    </row>
    <row r="160" ht="15.75" customHeight="1">
      <c r="A160" s="203"/>
    </row>
    <row r="161" ht="15.75" customHeight="1">
      <c r="A161" s="203"/>
    </row>
    <row r="162" ht="15.75" customHeight="1">
      <c r="A162" s="203"/>
    </row>
    <row r="163" ht="15.75" customHeight="1">
      <c r="A163" s="203"/>
    </row>
    <row r="164" ht="15.75" customHeight="1">
      <c r="A164" s="203"/>
    </row>
    <row r="165" ht="15.75" customHeight="1">
      <c r="A165" s="203"/>
    </row>
    <row r="166" ht="15.75" customHeight="1">
      <c r="A166" s="203"/>
    </row>
    <row r="167" ht="15.75" customHeight="1">
      <c r="A167" s="203"/>
    </row>
    <row r="168" ht="15.75" customHeight="1">
      <c r="A168" s="203"/>
    </row>
    <row r="169" ht="15.75" customHeight="1">
      <c r="A169" s="203"/>
    </row>
    <row r="170" ht="15.75" customHeight="1">
      <c r="A170" s="203"/>
    </row>
    <row r="171" ht="15.75" customHeight="1">
      <c r="A171" s="203"/>
    </row>
    <row r="172" ht="15.75" customHeight="1">
      <c r="A172" s="203"/>
    </row>
    <row r="173" ht="15.75" customHeight="1">
      <c r="A173" s="203"/>
    </row>
    <row r="174" ht="15.75" customHeight="1">
      <c r="A174" s="203"/>
    </row>
    <row r="175" ht="15.75" customHeight="1">
      <c r="A175" s="203"/>
    </row>
    <row r="176" ht="15.75" customHeight="1">
      <c r="A176" s="203"/>
    </row>
    <row r="177" ht="15.75" customHeight="1">
      <c r="A177" s="203"/>
    </row>
    <row r="178" ht="15.75" customHeight="1">
      <c r="A178" s="203"/>
    </row>
    <row r="179" ht="15.75" customHeight="1">
      <c r="A179" s="203"/>
    </row>
    <row r="180" ht="15.75" customHeight="1">
      <c r="A180" s="203"/>
    </row>
    <row r="181" ht="15.75" customHeight="1">
      <c r="A181" s="203"/>
    </row>
    <row r="182" ht="15.75" customHeight="1">
      <c r="A182" s="203"/>
    </row>
    <row r="183" ht="15.75" customHeight="1">
      <c r="A183" s="203"/>
    </row>
    <row r="184" ht="15.75" customHeight="1">
      <c r="A184" s="203"/>
    </row>
    <row r="185" ht="15.75" customHeight="1">
      <c r="A185" s="203"/>
    </row>
    <row r="186" ht="15.75" customHeight="1">
      <c r="A186" s="203"/>
    </row>
    <row r="187" ht="15.75" customHeight="1">
      <c r="A187" s="203"/>
    </row>
    <row r="188" ht="15.75" customHeight="1">
      <c r="A188" s="203"/>
    </row>
    <row r="189" ht="15.75" customHeight="1">
      <c r="A189" s="203"/>
    </row>
    <row r="190" ht="15.75" customHeight="1">
      <c r="A190" s="203"/>
    </row>
    <row r="191" ht="15.75" customHeight="1">
      <c r="A191" s="203"/>
    </row>
    <row r="192" ht="15.75" customHeight="1">
      <c r="A192" s="203"/>
    </row>
    <row r="193" ht="15.75" customHeight="1">
      <c r="A193" s="203"/>
    </row>
    <row r="194" ht="15.75" customHeight="1">
      <c r="A194" s="203"/>
    </row>
    <row r="195" ht="15.75" customHeight="1">
      <c r="A195" s="203"/>
    </row>
    <row r="196" ht="15.75" customHeight="1">
      <c r="A196" s="203"/>
    </row>
    <row r="197" ht="15.75" customHeight="1">
      <c r="A197" s="203"/>
    </row>
    <row r="198" ht="15.75" customHeight="1">
      <c r="A198" s="203"/>
    </row>
    <row r="199" ht="15.75" customHeight="1">
      <c r="A199" s="203"/>
    </row>
    <row r="200" ht="15.75" customHeight="1">
      <c r="A200" s="203"/>
    </row>
    <row r="201" ht="15.75" customHeight="1">
      <c r="A201" s="203"/>
    </row>
    <row r="202" ht="15.75" customHeight="1">
      <c r="A202" s="203"/>
    </row>
    <row r="203" ht="15.75" customHeight="1">
      <c r="A203" s="203"/>
    </row>
    <row r="204" ht="15.75" customHeight="1">
      <c r="A204" s="203"/>
    </row>
    <row r="205" ht="15.75" customHeight="1">
      <c r="A205" s="203"/>
    </row>
    <row r="206" ht="15.75" customHeight="1">
      <c r="A206" s="203"/>
    </row>
    <row r="207" ht="15.75" customHeight="1">
      <c r="A207" s="203"/>
    </row>
    <row r="208" ht="15.75" customHeight="1">
      <c r="A208" s="203"/>
    </row>
    <row r="209" ht="15.75" customHeight="1">
      <c r="A209" s="203"/>
    </row>
    <row r="210" ht="15.75" customHeight="1">
      <c r="A210" s="203"/>
    </row>
    <row r="211" ht="15.75" customHeight="1">
      <c r="A211" s="203"/>
    </row>
    <row r="212" ht="15.75" customHeight="1">
      <c r="A212" s="203"/>
    </row>
    <row r="213" ht="15.75" customHeight="1">
      <c r="A213" s="203"/>
    </row>
    <row r="214" ht="15.75" customHeight="1">
      <c r="A214" s="203"/>
    </row>
    <row r="215" ht="15.75" customHeight="1">
      <c r="A215" s="203"/>
    </row>
    <row r="216" ht="15.75" customHeight="1">
      <c r="A216" s="203"/>
    </row>
    <row r="217" ht="15.75" customHeight="1">
      <c r="A217" s="203"/>
    </row>
    <row r="218" ht="15.75" customHeight="1">
      <c r="A218" s="203"/>
    </row>
    <row r="219" ht="15.75" customHeight="1">
      <c r="A219" s="203"/>
    </row>
    <row r="220" ht="15.75" customHeight="1">
      <c r="A220" s="203"/>
    </row>
    <row r="221" ht="15.75" customHeight="1">
      <c r="A221" s="203"/>
    </row>
    <row r="222" ht="15.75" customHeight="1">
      <c r="A222" s="203"/>
    </row>
    <row r="223" ht="15.75" customHeight="1">
      <c r="A223" s="203"/>
    </row>
    <row r="224" ht="15.75" customHeight="1">
      <c r="A224" s="203"/>
    </row>
    <row r="225" ht="15.75" customHeight="1">
      <c r="A225" s="203"/>
    </row>
    <row r="226" ht="15.75" customHeight="1">
      <c r="A226" s="203"/>
    </row>
    <row r="227" ht="15.75" customHeight="1">
      <c r="A227" s="203"/>
    </row>
    <row r="228" ht="15.75" customHeight="1">
      <c r="A228" s="203"/>
    </row>
    <row r="229" ht="15.75" customHeight="1">
      <c r="A229" s="203"/>
    </row>
    <row r="230" ht="15.75" customHeight="1">
      <c r="A230" s="203"/>
    </row>
    <row r="231" ht="15.75" customHeight="1">
      <c r="A231" s="203"/>
    </row>
    <row r="232" ht="15.75" customHeight="1">
      <c r="A232" s="203"/>
    </row>
    <row r="233" ht="15.75" customHeight="1">
      <c r="A233" s="203"/>
    </row>
    <row r="234" ht="15.75" customHeight="1">
      <c r="A234" s="203"/>
    </row>
    <row r="235" ht="15.75" customHeight="1">
      <c r="A235" s="203"/>
    </row>
    <row r="236" ht="15.75" customHeight="1">
      <c r="A236" s="203"/>
    </row>
    <row r="237" ht="15.75" customHeight="1">
      <c r="A237" s="203"/>
    </row>
    <row r="238" ht="15.75" customHeight="1">
      <c r="A238" s="203"/>
    </row>
    <row r="239" ht="15.75" customHeight="1">
      <c r="A239" s="203"/>
    </row>
    <row r="240" ht="15.75" customHeight="1">
      <c r="A240" s="203"/>
    </row>
    <row r="241" ht="15.75" customHeight="1">
      <c r="A241" s="203"/>
    </row>
    <row r="242" ht="15.75" customHeight="1">
      <c r="A242" s="203"/>
    </row>
    <row r="243" ht="15.75" customHeight="1">
      <c r="A243" s="203"/>
    </row>
    <row r="244" ht="15.75" customHeight="1">
      <c r="A244" s="203"/>
    </row>
    <row r="245" ht="15.75" customHeight="1">
      <c r="A245" s="203"/>
    </row>
    <row r="246" ht="15.75" customHeight="1">
      <c r="A246" s="203"/>
    </row>
    <row r="247" ht="15.75" customHeight="1">
      <c r="A247" s="203"/>
    </row>
    <row r="248" ht="15.75" customHeight="1">
      <c r="A248" s="203"/>
    </row>
    <row r="249" ht="15.75" customHeight="1">
      <c r="A249" s="203"/>
    </row>
    <row r="250" ht="15.75" customHeight="1">
      <c r="A250" s="203"/>
    </row>
    <row r="251" ht="15.75" customHeight="1">
      <c r="A251" s="203"/>
    </row>
    <row r="252" ht="15.75" customHeight="1">
      <c r="A252" s="203"/>
    </row>
    <row r="253" ht="15.75" customHeight="1">
      <c r="A253" s="203"/>
    </row>
    <row r="254" ht="15.75" customHeight="1">
      <c r="A254" s="203"/>
    </row>
    <row r="255" ht="15.75" customHeight="1">
      <c r="A255" s="203"/>
    </row>
    <row r="256" ht="15.75" customHeight="1">
      <c r="A256" s="203"/>
    </row>
    <row r="257" ht="15.75" customHeight="1">
      <c r="A257" s="203"/>
    </row>
    <row r="258" ht="15.75" customHeight="1">
      <c r="A258" s="203"/>
    </row>
    <row r="259" ht="15.75" customHeight="1">
      <c r="A259" s="203"/>
    </row>
    <row r="260" ht="15.75" customHeight="1">
      <c r="A260" s="203"/>
    </row>
    <row r="261" ht="15.75" customHeight="1">
      <c r="A261" s="203"/>
    </row>
    <row r="262" ht="15.75" customHeight="1">
      <c r="A262" s="203"/>
    </row>
    <row r="263" ht="15.75" customHeight="1">
      <c r="A263" s="203"/>
    </row>
    <row r="264" ht="15.75" customHeight="1">
      <c r="A264" s="203"/>
    </row>
    <row r="265" ht="15.75" customHeight="1">
      <c r="A265" s="203"/>
    </row>
    <row r="266" ht="15.75" customHeight="1">
      <c r="A266" s="203"/>
    </row>
    <row r="267" ht="15.75" customHeight="1">
      <c r="A267" s="203"/>
    </row>
    <row r="268" ht="15.75" customHeight="1">
      <c r="A268" s="203"/>
    </row>
    <row r="269" ht="15.75" customHeight="1">
      <c r="A269" s="203"/>
    </row>
    <row r="270" ht="15.75" customHeight="1">
      <c r="A270" s="203"/>
    </row>
    <row r="271" ht="15.75" customHeight="1">
      <c r="A271" s="203"/>
    </row>
    <row r="272" ht="15.75" customHeight="1">
      <c r="A272" s="203"/>
    </row>
    <row r="273" ht="15.75" customHeight="1">
      <c r="A273" s="203"/>
    </row>
    <row r="274" ht="15.75" customHeight="1">
      <c r="A274" s="203"/>
    </row>
    <row r="275" ht="15.75" customHeight="1">
      <c r="A275" s="203"/>
    </row>
    <row r="276" ht="15.75" customHeight="1">
      <c r="A276" s="203"/>
    </row>
    <row r="277" ht="15.75" customHeight="1">
      <c r="A277" s="203"/>
    </row>
    <row r="278" ht="15.75" customHeight="1">
      <c r="A278" s="203"/>
    </row>
    <row r="279" ht="15.75" customHeight="1">
      <c r="A279" s="203"/>
    </row>
    <row r="280" ht="15.75" customHeight="1">
      <c r="A280" s="203"/>
    </row>
    <row r="281" ht="15.75" customHeight="1">
      <c r="A281" s="203"/>
    </row>
    <row r="282" ht="15.75" customHeight="1">
      <c r="A282" s="203"/>
    </row>
    <row r="283" ht="15.75" customHeight="1">
      <c r="A283" s="203"/>
    </row>
    <row r="284" ht="15.75" customHeight="1">
      <c r="A284" s="203"/>
    </row>
    <row r="285" ht="15.75" customHeight="1">
      <c r="A285" s="203"/>
    </row>
    <row r="286" ht="15.75" customHeight="1">
      <c r="A286" s="203"/>
    </row>
    <row r="287" ht="15.75" customHeight="1">
      <c r="A287" s="203"/>
    </row>
    <row r="288" ht="15.75" customHeight="1">
      <c r="A288" s="203"/>
    </row>
    <row r="289" ht="15.75" customHeight="1">
      <c r="A289" s="203"/>
    </row>
    <row r="290" ht="15.75" customHeight="1">
      <c r="A290" s="203"/>
    </row>
    <row r="291" ht="15.75" customHeight="1">
      <c r="A291" s="203"/>
    </row>
    <row r="292" ht="15.75" customHeight="1">
      <c r="A292" s="203"/>
    </row>
    <row r="293" ht="15.75" customHeight="1">
      <c r="A293" s="203"/>
    </row>
    <row r="294" ht="15.75" customHeight="1">
      <c r="A294" s="203"/>
    </row>
    <row r="295" ht="15.75" customHeight="1">
      <c r="A295" s="203"/>
    </row>
    <row r="296" ht="15.75" customHeight="1">
      <c r="A296" s="203"/>
    </row>
    <row r="297" ht="15.75" customHeight="1">
      <c r="A297" s="203"/>
    </row>
    <row r="298" ht="15.75" customHeight="1">
      <c r="A298" s="203"/>
    </row>
    <row r="299" ht="15.75" customHeight="1">
      <c r="A299" s="203"/>
    </row>
    <row r="300" ht="15.75" customHeight="1">
      <c r="A300" s="203"/>
    </row>
    <row r="301" ht="15.75" customHeight="1">
      <c r="A301" s="203"/>
    </row>
    <row r="302" ht="15.75" customHeight="1">
      <c r="A302" s="203"/>
    </row>
    <row r="303" ht="15.75" customHeight="1">
      <c r="A303" s="203"/>
    </row>
    <row r="304" ht="15.75" customHeight="1">
      <c r="A304" s="203"/>
    </row>
    <row r="305" ht="15.75" customHeight="1">
      <c r="A305" s="203"/>
    </row>
    <row r="306" ht="15.75" customHeight="1">
      <c r="A306" s="203"/>
    </row>
    <row r="307" ht="15.75" customHeight="1">
      <c r="A307" s="203"/>
    </row>
    <row r="308" ht="15.75" customHeight="1">
      <c r="A308" s="203"/>
    </row>
    <row r="309" ht="15.75" customHeight="1">
      <c r="A309" s="203"/>
    </row>
    <row r="310" ht="15.75" customHeight="1">
      <c r="A310" s="203"/>
    </row>
    <row r="311" ht="15.75" customHeight="1">
      <c r="A311" s="203"/>
    </row>
    <row r="312" ht="15.75" customHeight="1">
      <c r="A312" s="203"/>
    </row>
    <row r="313" ht="15.75" customHeight="1">
      <c r="A313" s="203"/>
    </row>
    <row r="314" ht="15.75" customHeight="1">
      <c r="A314" s="203"/>
    </row>
    <row r="315" ht="15.75" customHeight="1">
      <c r="A315" s="203"/>
    </row>
    <row r="316" ht="15.75" customHeight="1">
      <c r="A316" s="203"/>
    </row>
    <row r="317" ht="15.75" customHeight="1">
      <c r="A317" s="203"/>
    </row>
    <row r="318" ht="15.75" customHeight="1">
      <c r="A318" s="203"/>
    </row>
    <row r="319" ht="15.75" customHeight="1">
      <c r="A319" s="203"/>
    </row>
    <row r="320" ht="15.75" customHeight="1">
      <c r="A320" s="203"/>
    </row>
    <row r="321" ht="15.75" customHeight="1">
      <c r="A321" s="203"/>
    </row>
    <row r="322" ht="15.75" customHeight="1">
      <c r="A322" s="203"/>
    </row>
    <row r="323" ht="15.75" customHeight="1">
      <c r="A323" s="203"/>
    </row>
    <row r="324" ht="15.75" customHeight="1">
      <c r="A324" s="203"/>
    </row>
    <row r="325" ht="15.75" customHeight="1">
      <c r="A325" s="203"/>
    </row>
    <row r="326" ht="15.75" customHeight="1">
      <c r="A326" s="203"/>
    </row>
    <row r="327" ht="15.75" customHeight="1">
      <c r="A327" s="203"/>
    </row>
    <row r="328" ht="15.75" customHeight="1">
      <c r="A328" s="203"/>
    </row>
    <row r="329" ht="15.75" customHeight="1">
      <c r="A329" s="203"/>
    </row>
    <row r="330" ht="15.75" customHeight="1">
      <c r="A330" s="203"/>
    </row>
    <row r="331" ht="15.75" customHeight="1">
      <c r="A331" s="203"/>
    </row>
    <row r="332" ht="15.75" customHeight="1">
      <c r="A332" s="203"/>
    </row>
    <row r="333" ht="15.75" customHeight="1">
      <c r="A333" s="203"/>
    </row>
    <row r="334" ht="15.75" customHeight="1">
      <c r="A334" s="203"/>
    </row>
    <row r="335" ht="15.75" customHeight="1">
      <c r="A335" s="203"/>
    </row>
    <row r="336" ht="15.75" customHeight="1">
      <c r="A336" s="203"/>
    </row>
    <row r="337" ht="15.75" customHeight="1">
      <c r="A337" s="203"/>
    </row>
    <row r="338" ht="15.75" customHeight="1">
      <c r="A338" s="203"/>
    </row>
    <row r="339" ht="15.75" customHeight="1">
      <c r="A339" s="203"/>
    </row>
    <row r="340" ht="15.75" customHeight="1">
      <c r="A340" s="203"/>
    </row>
    <row r="341" ht="15.75" customHeight="1">
      <c r="A341" s="203"/>
    </row>
    <row r="342" ht="15.75" customHeight="1">
      <c r="A342" s="203"/>
    </row>
    <row r="343" ht="15.75" customHeight="1">
      <c r="A343" s="203"/>
    </row>
    <row r="344" ht="15.75" customHeight="1">
      <c r="A344" s="203"/>
    </row>
    <row r="345" ht="15.75" customHeight="1">
      <c r="A345" s="203"/>
    </row>
    <row r="346" ht="15.75" customHeight="1">
      <c r="A346" s="203"/>
    </row>
    <row r="347" ht="15.75" customHeight="1">
      <c r="A347" s="203"/>
    </row>
    <row r="348" ht="15.75" customHeight="1">
      <c r="A348" s="203"/>
    </row>
    <row r="349" ht="15.75" customHeight="1">
      <c r="A349" s="203"/>
    </row>
    <row r="350" ht="15.75" customHeight="1">
      <c r="A350" s="203"/>
    </row>
    <row r="351" ht="15.75" customHeight="1">
      <c r="A351" s="203"/>
    </row>
    <row r="352" ht="15.75" customHeight="1">
      <c r="A352" s="203"/>
    </row>
    <row r="353" ht="15.75" customHeight="1">
      <c r="A353" s="203"/>
    </row>
    <row r="354" ht="15.75" customHeight="1">
      <c r="A354" s="203"/>
    </row>
    <row r="355" ht="15.75" customHeight="1">
      <c r="A355" s="203"/>
    </row>
    <row r="356" ht="15.75" customHeight="1">
      <c r="A356" s="203"/>
    </row>
    <row r="357" ht="15.75" customHeight="1">
      <c r="A357" s="203"/>
    </row>
    <row r="358" ht="15.75" customHeight="1">
      <c r="A358" s="203"/>
    </row>
    <row r="359" ht="15.75" customHeight="1">
      <c r="A359" s="203"/>
    </row>
    <row r="360" ht="15.75" customHeight="1">
      <c r="A360" s="203"/>
    </row>
    <row r="361" ht="15.75" customHeight="1">
      <c r="A361" s="203"/>
    </row>
    <row r="362" ht="15.75" customHeight="1">
      <c r="A362" s="203"/>
    </row>
    <row r="363" ht="15.75" customHeight="1">
      <c r="A363" s="203"/>
    </row>
    <row r="364" ht="15.75" customHeight="1">
      <c r="A364" s="203"/>
    </row>
    <row r="365" ht="15.75" customHeight="1">
      <c r="A365" s="203"/>
    </row>
    <row r="366" ht="15.75" customHeight="1">
      <c r="A366" s="203"/>
    </row>
    <row r="367" ht="15.75" customHeight="1">
      <c r="A367" s="203"/>
    </row>
    <row r="368" ht="15.75" customHeight="1">
      <c r="A368" s="203"/>
    </row>
    <row r="369" ht="15.75" customHeight="1">
      <c r="A369" s="203"/>
    </row>
    <row r="370" ht="15.75" customHeight="1">
      <c r="A370" s="203"/>
    </row>
    <row r="371" ht="15.75" customHeight="1">
      <c r="A371" s="203"/>
    </row>
    <row r="372" ht="15.75" customHeight="1">
      <c r="A372" s="203"/>
    </row>
    <row r="373" ht="15.75" customHeight="1">
      <c r="A373" s="203"/>
    </row>
    <row r="374" ht="15.75" customHeight="1">
      <c r="A374" s="203"/>
    </row>
    <row r="375" ht="15.75" customHeight="1">
      <c r="A375" s="203"/>
    </row>
    <row r="376" ht="15.75" customHeight="1">
      <c r="A376" s="203"/>
    </row>
    <row r="377" ht="15.75" customHeight="1">
      <c r="A377" s="203"/>
    </row>
    <row r="378" ht="15.75" customHeight="1">
      <c r="A378" s="203"/>
    </row>
    <row r="379" ht="15.75" customHeight="1">
      <c r="A379" s="203"/>
    </row>
    <row r="380" ht="15.75" customHeight="1">
      <c r="A380" s="203"/>
    </row>
    <row r="381" ht="15.75" customHeight="1">
      <c r="A381" s="203"/>
    </row>
    <row r="382" ht="15.75" customHeight="1">
      <c r="A382" s="203"/>
    </row>
    <row r="383" ht="15.75" customHeight="1">
      <c r="A383" s="203"/>
    </row>
    <row r="384" ht="15.75" customHeight="1">
      <c r="A384" s="203"/>
    </row>
    <row r="385" ht="15.75" customHeight="1">
      <c r="A385" s="203"/>
    </row>
    <row r="386" ht="15.75" customHeight="1">
      <c r="A386" s="203"/>
    </row>
    <row r="387" ht="15.75" customHeight="1">
      <c r="A387" s="203"/>
    </row>
    <row r="388" ht="15.75" customHeight="1">
      <c r="A388" s="203"/>
    </row>
    <row r="389" ht="15.75" customHeight="1">
      <c r="A389" s="203"/>
    </row>
    <row r="390" ht="15.75" customHeight="1">
      <c r="A390" s="203"/>
    </row>
    <row r="391" ht="15.75" customHeight="1">
      <c r="A391" s="203"/>
    </row>
    <row r="392" ht="15.75" customHeight="1">
      <c r="A392" s="203"/>
    </row>
    <row r="393" ht="15.75" customHeight="1">
      <c r="A393" s="203"/>
    </row>
    <row r="394" ht="15.75" customHeight="1">
      <c r="A394" s="203"/>
    </row>
    <row r="395" ht="15.75" customHeight="1">
      <c r="A395" s="203"/>
    </row>
    <row r="396" ht="15.75" customHeight="1">
      <c r="A396" s="203"/>
    </row>
    <row r="397" ht="15.75" customHeight="1">
      <c r="A397" s="203"/>
    </row>
    <row r="398" ht="15.75" customHeight="1">
      <c r="A398" s="203"/>
    </row>
    <row r="399" ht="15.75" customHeight="1">
      <c r="A399" s="203"/>
    </row>
    <row r="400" ht="15.75" customHeight="1">
      <c r="A400" s="203"/>
    </row>
    <row r="401" ht="15.75" customHeight="1">
      <c r="A401" s="203"/>
    </row>
    <row r="402" ht="15.75" customHeight="1">
      <c r="A402" s="203"/>
    </row>
    <row r="403" ht="15.75" customHeight="1">
      <c r="A403" s="203"/>
    </row>
    <row r="404" ht="15.75" customHeight="1">
      <c r="A404" s="203"/>
    </row>
    <row r="405" ht="15.75" customHeight="1">
      <c r="A405" s="203"/>
    </row>
    <row r="406" ht="15.75" customHeight="1">
      <c r="A406" s="203"/>
    </row>
    <row r="407" ht="15.75" customHeight="1">
      <c r="A407" s="203"/>
    </row>
    <row r="408" ht="15.75" customHeight="1">
      <c r="A408" s="203"/>
    </row>
    <row r="409" ht="15.75" customHeight="1">
      <c r="A409" s="203"/>
    </row>
    <row r="410" ht="15.75" customHeight="1">
      <c r="A410" s="203"/>
    </row>
    <row r="411" ht="15.75" customHeight="1">
      <c r="A411" s="203"/>
    </row>
    <row r="412" ht="15.75" customHeight="1">
      <c r="A412" s="203"/>
    </row>
    <row r="413" ht="15.75" customHeight="1">
      <c r="A413" s="203"/>
    </row>
    <row r="414" ht="15.75" customHeight="1">
      <c r="A414" s="203"/>
    </row>
    <row r="415" ht="15.75" customHeight="1">
      <c r="A415" s="203"/>
    </row>
    <row r="416" ht="15.75" customHeight="1">
      <c r="A416" s="203"/>
    </row>
    <row r="417" ht="15.75" customHeight="1">
      <c r="A417" s="203"/>
    </row>
    <row r="418" ht="15.75" customHeight="1">
      <c r="A418" s="203"/>
    </row>
    <row r="419" ht="15.75" customHeight="1">
      <c r="A419" s="203"/>
    </row>
    <row r="420" ht="15.75" customHeight="1">
      <c r="A420" s="203"/>
    </row>
    <row r="421" ht="15.75" customHeight="1">
      <c r="A421" s="203"/>
    </row>
    <row r="422" ht="15.75" customHeight="1">
      <c r="A422" s="203"/>
    </row>
    <row r="423" ht="15.75" customHeight="1">
      <c r="A423" s="203"/>
    </row>
    <row r="424" ht="15.75" customHeight="1">
      <c r="A424" s="203"/>
    </row>
    <row r="425" ht="15.75" customHeight="1">
      <c r="A425" s="203"/>
    </row>
    <row r="426" ht="15.75" customHeight="1">
      <c r="A426" s="203"/>
    </row>
    <row r="427" ht="15.75" customHeight="1">
      <c r="A427" s="203"/>
    </row>
    <row r="428" ht="15.75" customHeight="1">
      <c r="A428" s="203"/>
    </row>
    <row r="429" ht="15.75" customHeight="1">
      <c r="A429" s="203"/>
    </row>
    <row r="430" ht="15.75" customHeight="1">
      <c r="A430" s="203"/>
    </row>
    <row r="431" ht="15.75" customHeight="1">
      <c r="A431" s="203"/>
    </row>
    <row r="432" ht="15.75" customHeight="1">
      <c r="A432" s="203"/>
    </row>
    <row r="433" ht="15.75" customHeight="1">
      <c r="A433" s="203"/>
    </row>
    <row r="434" ht="15.75" customHeight="1">
      <c r="A434" s="203"/>
    </row>
    <row r="435" ht="15.75" customHeight="1">
      <c r="A435" s="203"/>
    </row>
    <row r="436" ht="15.75" customHeight="1">
      <c r="A436" s="203"/>
    </row>
    <row r="437" ht="15.75" customHeight="1">
      <c r="A437" s="203"/>
    </row>
    <row r="438" ht="15.75" customHeight="1">
      <c r="A438" s="203"/>
    </row>
    <row r="439" ht="15.75" customHeight="1">
      <c r="A439" s="203"/>
    </row>
    <row r="440" ht="15.75" customHeight="1">
      <c r="A440" s="203"/>
    </row>
    <row r="441" ht="15.75" customHeight="1">
      <c r="A441" s="203"/>
    </row>
    <row r="442" ht="15.75" customHeight="1">
      <c r="A442" s="203"/>
    </row>
    <row r="443" ht="15.75" customHeight="1">
      <c r="A443" s="203"/>
    </row>
    <row r="444" ht="15.75" customHeight="1">
      <c r="A444" s="203"/>
    </row>
    <row r="445" ht="15.75" customHeight="1">
      <c r="A445" s="203"/>
    </row>
    <row r="446" ht="15.75" customHeight="1">
      <c r="A446" s="203"/>
    </row>
    <row r="447" ht="15.75" customHeight="1">
      <c r="A447" s="203"/>
    </row>
    <row r="448" ht="15.75" customHeight="1">
      <c r="A448" s="203"/>
    </row>
    <row r="449" ht="15.75" customHeight="1">
      <c r="A449" s="203"/>
    </row>
    <row r="450" ht="15.75" customHeight="1">
      <c r="A450" s="203"/>
    </row>
    <row r="451" ht="15.75" customHeight="1">
      <c r="A451" s="203"/>
    </row>
    <row r="452" ht="15.75" customHeight="1">
      <c r="A452" s="203"/>
    </row>
    <row r="453" ht="15.75" customHeight="1">
      <c r="A453" s="203"/>
    </row>
    <row r="454" ht="15.75" customHeight="1">
      <c r="A454" s="203"/>
    </row>
    <row r="455" ht="15.75" customHeight="1">
      <c r="A455" s="203"/>
    </row>
    <row r="456" ht="15.75" customHeight="1">
      <c r="A456" s="203"/>
    </row>
    <row r="457" ht="15.75" customHeight="1">
      <c r="A457" s="203"/>
    </row>
    <row r="458" ht="15.75" customHeight="1">
      <c r="A458" s="203"/>
    </row>
    <row r="459" ht="15.75" customHeight="1">
      <c r="A459" s="203"/>
    </row>
    <row r="460" ht="15.75" customHeight="1">
      <c r="A460" s="203"/>
    </row>
    <row r="461" ht="15.75" customHeight="1">
      <c r="A461" s="203"/>
    </row>
    <row r="462" ht="15.75" customHeight="1">
      <c r="A462" s="203"/>
    </row>
    <row r="463" ht="15.75" customHeight="1">
      <c r="A463" s="203"/>
    </row>
    <row r="464" ht="15.75" customHeight="1">
      <c r="A464" s="203"/>
    </row>
    <row r="465" ht="15.75" customHeight="1">
      <c r="A465" s="203"/>
    </row>
    <row r="466" ht="15.75" customHeight="1">
      <c r="A466" s="203"/>
    </row>
    <row r="467" ht="15.75" customHeight="1">
      <c r="A467" s="203"/>
    </row>
    <row r="468" ht="15.75" customHeight="1">
      <c r="A468" s="203"/>
    </row>
    <row r="469" ht="15.75" customHeight="1">
      <c r="A469" s="203"/>
    </row>
    <row r="470" ht="15.75" customHeight="1">
      <c r="A470" s="203"/>
    </row>
    <row r="471" ht="15.75" customHeight="1">
      <c r="A471" s="203"/>
    </row>
    <row r="472" ht="15.75" customHeight="1">
      <c r="A472" s="203"/>
    </row>
    <row r="473" ht="15.75" customHeight="1">
      <c r="A473" s="203"/>
    </row>
    <row r="474" ht="15.75" customHeight="1">
      <c r="A474" s="203"/>
    </row>
    <row r="475" ht="15.75" customHeight="1">
      <c r="A475" s="203"/>
    </row>
    <row r="476" ht="15.75" customHeight="1">
      <c r="A476" s="203"/>
    </row>
    <row r="477" ht="15.75" customHeight="1">
      <c r="A477" s="203"/>
    </row>
    <row r="478" ht="15.75" customHeight="1">
      <c r="A478" s="203"/>
    </row>
    <row r="479" ht="15.75" customHeight="1">
      <c r="A479" s="203"/>
    </row>
    <row r="480" ht="15.75" customHeight="1">
      <c r="A480" s="203"/>
    </row>
    <row r="481" ht="15.75" customHeight="1">
      <c r="A481" s="203"/>
    </row>
    <row r="482" ht="15.75" customHeight="1">
      <c r="A482" s="203"/>
    </row>
    <row r="483" ht="15.75" customHeight="1">
      <c r="A483" s="203"/>
    </row>
    <row r="484" ht="15.75" customHeight="1">
      <c r="A484" s="203"/>
    </row>
    <row r="485" ht="15.75" customHeight="1">
      <c r="A485" s="203"/>
    </row>
    <row r="486" ht="15.75" customHeight="1">
      <c r="A486" s="203"/>
    </row>
    <row r="487" ht="15.75" customHeight="1">
      <c r="A487" s="203"/>
    </row>
    <row r="488" ht="15.75" customHeight="1">
      <c r="A488" s="203"/>
    </row>
    <row r="489" ht="15.75" customHeight="1">
      <c r="A489" s="203"/>
    </row>
    <row r="490" ht="15.75" customHeight="1">
      <c r="A490" s="203"/>
    </row>
    <row r="491" ht="15.75" customHeight="1">
      <c r="A491" s="203"/>
    </row>
    <row r="492" ht="15.75" customHeight="1">
      <c r="A492" s="203"/>
    </row>
    <row r="493" ht="15.75" customHeight="1">
      <c r="A493" s="203"/>
    </row>
    <row r="494" ht="15.75" customHeight="1">
      <c r="A494" s="203"/>
    </row>
    <row r="495" ht="15.75" customHeight="1">
      <c r="A495" s="203"/>
    </row>
    <row r="496" ht="15.75" customHeight="1">
      <c r="A496" s="203"/>
    </row>
    <row r="497" ht="15.75" customHeight="1">
      <c r="A497" s="203"/>
    </row>
    <row r="498" ht="15.75" customHeight="1">
      <c r="A498" s="203"/>
    </row>
    <row r="499" ht="15.75" customHeight="1">
      <c r="A499" s="203"/>
    </row>
    <row r="500" ht="15.75" customHeight="1">
      <c r="A500" s="203"/>
    </row>
    <row r="501" ht="15.75" customHeight="1">
      <c r="A501" s="203"/>
    </row>
    <row r="502" ht="15.75" customHeight="1">
      <c r="A502" s="203"/>
    </row>
    <row r="503" ht="15.75" customHeight="1">
      <c r="A503" s="203"/>
    </row>
    <row r="504" ht="15.75" customHeight="1">
      <c r="A504" s="203"/>
    </row>
    <row r="505" ht="15.75" customHeight="1">
      <c r="A505" s="203"/>
    </row>
    <row r="506" ht="15.75" customHeight="1">
      <c r="A506" s="203"/>
    </row>
    <row r="507" ht="15.75" customHeight="1">
      <c r="A507" s="203"/>
    </row>
    <row r="508" ht="15.75" customHeight="1">
      <c r="A508" s="203"/>
    </row>
    <row r="509" ht="15.75" customHeight="1">
      <c r="A509" s="203"/>
    </row>
    <row r="510" ht="15.75" customHeight="1">
      <c r="A510" s="203"/>
    </row>
    <row r="511" ht="15.75" customHeight="1">
      <c r="A511" s="203"/>
    </row>
    <row r="512" ht="15.75" customHeight="1">
      <c r="A512" s="203"/>
    </row>
    <row r="513" ht="15.75" customHeight="1">
      <c r="A513" s="203"/>
    </row>
    <row r="514" ht="15.75" customHeight="1">
      <c r="A514" s="203"/>
    </row>
    <row r="515" ht="15.75" customHeight="1">
      <c r="A515" s="203"/>
    </row>
    <row r="516" ht="15.75" customHeight="1">
      <c r="A516" s="203"/>
    </row>
    <row r="517" ht="15.75" customHeight="1">
      <c r="A517" s="203"/>
    </row>
    <row r="518" ht="15.75" customHeight="1">
      <c r="A518" s="203"/>
    </row>
    <row r="519" ht="15.75" customHeight="1">
      <c r="A519" s="203"/>
    </row>
    <row r="520" ht="15.75" customHeight="1">
      <c r="A520" s="203"/>
    </row>
    <row r="521" ht="15.75" customHeight="1">
      <c r="A521" s="203"/>
    </row>
    <row r="522" ht="15.75" customHeight="1">
      <c r="A522" s="203"/>
    </row>
    <row r="523" ht="15.75" customHeight="1">
      <c r="A523" s="203"/>
    </row>
    <row r="524" ht="15.75" customHeight="1">
      <c r="A524" s="203"/>
    </row>
    <row r="525" ht="15.75" customHeight="1">
      <c r="A525" s="203"/>
    </row>
    <row r="526" ht="15.75" customHeight="1">
      <c r="A526" s="203"/>
    </row>
    <row r="527" ht="15.75" customHeight="1">
      <c r="A527" s="203"/>
    </row>
    <row r="528" ht="15.75" customHeight="1">
      <c r="A528" s="203"/>
    </row>
    <row r="529" ht="15.75" customHeight="1">
      <c r="A529" s="203"/>
    </row>
    <row r="530" ht="15.75" customHeight="1">
      <c r="A530" s="203"/>
    </row>
    <row r="531" ht="15.75" customHeight="1">
      <c r="A531" s="203"/>
    </row>
    <row r="532" ht="15.75" customHeight="1">
      <c r="A532" s="203"/>
    </row>
    <row r="533" ht="15.75" customHeight="1">
      <c r="A533" s="203"/>
    </row>
    <row r="534" ht="15.75" customHeight="1">
      <c r="A534" s="203"/>
    </row>
    <row r="535" ht="15.75" customHeight="1">
      <c r="A535" s="203"/>
    </row>
    <row r="536" ht="15.75" customHeight="1">
      <c r="A536" s="203"/>
    </row>
    <row r="537" ht="15.75" customHeight="1">
      <c r="A537" s="203"/>
    </row>
    <row r="538" ht="15.75" customHeight="1">
      <c r="A538" s="203"/>
    </row>
    <row r="539" ht="15.75" customHeight="1">
      <c r="A539" s="203"/>
    </row>
    <row r="540" ht="15.75" customHeight="1">
      <c r="A540" s="203"/>
    </row>
    <row r="541" ht="15.75" customHeight="1">
      <c r="A541" s="203"/>
    </row>
    <row r="542" ht="15.75" customHeight="1">
      <c r="A542" s="203"/>
    </row>
    <row r="543" ht="15.75" customHeight="1">
      <c r="A543" s="203"/>
    </row>
    <row r="544" ht="15.75" customHeight="1">
      <c r="A544" s="203"/>
    </row>
    <row r="545" ht="15.75" customHeight="1">
      <c r="A545" s="203"/>
    </row>
    <row r="546" ht="15.75" customHeight="1">
      <c r="A546" s="203"/>
    </row>
    <row r="547" ht="15.75" customHeight="1">
      <c r="A547" s="203"/>
    </row>
    <row r="548" ht="15.75" customHeight="1">
      <c r="A548" s="203"/>
    </row>
    <row r="549" ht="15.75" customHeight="1">
      <c r="A549" s="203"/>
    </row>
    <row r="550" ht="15.75" customHeight="1">
      <c r="A550" s="203"/>
    </row>
    <row r="551" ht="15.75" customHeight="1">
      <c r="A551" s="203"/>
    </row>
    <row r="552" ht="15.75" customHeight="1">
      <c r="A552" s="203"/>
    </row>
    <row r="553" ht="15.75" customHeight="1">
      <c r="A553" s="203"/>
    </row>
    <row r="554" ht="15.75" customHeight="1">
      <c r="A554" s="203"/>
    </row>
    <row r="555" ht="15.75" customHeight="1">
      <c r="A555" s="203"/>
    </row>
    <row r="556" ht="15.75" customHeight="1">
      <c r="A556" s="203"/>
    </row>
    <row r="557" ht="15.75" customHeight="1">
      <c r="A557" s="203"/>
    </row>
    <row r="558" ht="15.75" customHeight="1">
      <c r="A558" s="203"/>
    </row>
    <row r="559" ht="15.75" customHeight="1">
      <c r="A559" s="203"/>
    </row>
    <row r="560" ht="15.75" customHeight="1">
      <c r="A560" s="203"/>
    </row>
    <row r="561" ht="15.75" customHeight="1">
      <c r="A561" s="203"/>
    </row>
    <row r="562" ht="15.75" customHeight="1">
      <c r="A562" s="203"/>
    </row>
    <row r="563" ht="15.75" customHeight="1">
      <c r="A563" s="203"/>
    </row>
    <row r="564" ht="15.75" customHeight="1">
      <c r="A564" s="203"/>
    </row>
    <row r="565" ht="15.75" customHeight="1">
      <c r="A565" s="203"/>
    </row>
    <row r="566" ht="15.75" customHeight="1">
      <c r="A566" s="203"/>
    </row>
    <row r="567" ht="15.75" customHeight="1">
      <c r="A567" s="203"/>
    </row>
    <row r="568" ht="15.75" customHeight="1">
      <c r="A568" s="203"/>
    </row>
    <row r="569" ht="15.75" customHeight="1">
      <c r="A569" s="203"/>
    </row>
    <row r="570" ht="15.75" customHeight="1">
      <c r="A570" s="203"/>
    </row>
    <row r="571" ht="15.75" customHeight="1">
      <c r="A571" s="203"/>
    </row>
    <row r="572" ht="15.75" customHeight="1">
      <c r="A572" s="203"/>
    </row>
    <row r="573" ht="15.75" customHeight="1">
      <c r="A573" s="203"/>
    </row>
    <row r="574" ht="15.75" customHeight="1">
      <c r="A574" s="203"/>
    </row>
    <row r="575" ht="15.75" customHeight="1">
      <c r="A575" s="203"/>
    </row>
    <row r="576" ht="15.75" customHeight="1">
      <c r="A576" s="203"/>
    </row>
    <row r="577" ht="15.75" customHeight="1">
      <c r="A577" s="203"/>
    </row>
    <row r="578" ht="15.75" customHeight="1">
      <c r="A578" s="203"/>
    </row>
    <row r="579" ht="15.75" customHeight="1">
      <c r="A579" s="203"/>
    </row>
    <row r="580" ht="15.75" customHeight="1">
      <c r="A580" s="203"/>
    </row>
    <row r="581" ht="15.75" customHeight="1">
      <c r="A581" s="203"/>
    </row>
    <row r="582" ht="15.75" customHeight="1">
      <c r="A582" s="203"/>
    </row>
    <row r="583" ht="15.75" customHeight="1">
      <c r="A583" s="203"/>
    </row>
    <row r="584" ht="15.75" customHeight="1">
      <c r="A584" s="203"/>
    </row>
    <row r="585" ht="15.75" customHeight="1">
      <c r="A585" s="203"/>
    </row>
    <row r="586" ht="15.75" customHeight="1">
      <c r="A586" s="203"/>
    </row>
    <row r="587" ht="15.75" customHeight="1">
      <c r="A587" s="203"/>
    </row>
    <row r="588" ht="15.75" customHeight="1">
      <c r="A588" s="203"/>
    </row>
    <row r="589" ht="15.75" customHeight="1">
      <c r="A589" s="203"/>
    </row>
    <row r="590" ht="15.75" customHeight="1">
      <c r="A590" s="203"/>
    </row>
    <row r="591" ht="15.75" customHeight="1">
      <c r="A591" s="203"/>
    </row>
    <row r="592" ht="15.75" customHeight="1">
      <c r="A592" s="203"/>
    </row>
    <row r="593" ht="15.75" customHeight="1">
      <c r="A593" s="203"/>
    </row>
    <row r="594" ht="15.75" customHeight="1">
      <c r="A594" s="203"/>
    </row>
    <row r="595" ht="15.75" customHeight="1">
      <c r="A595" s="203"/>
    </row>
    <row r="596" ht="15.75" customHeight="1">
      <c r="A596" s="203"/>
    </row>
    <row r="597" ht="15.75" customHeight="1">
      <c r="A597" s="203"/>
    </row>
    <row r="598" ht="15.75" customHeight="1">
      <c r="A598" s="203"/>
    </row>
    <row r="599" ht="15.75" customHeight="1">
      <c r="A599" s="203"/>
    </row>
    <row r="600" ht="15.75" customHeight="1">
      <c r="A600" s="203"/>
    </row>
    <row r="601" ht="15.75" customHeight="1">
      <c r="A601" s="203"/>
    </row>
    <row r="602" ht="15.75" customHeight="1">
      <c r="A602" s="203"/>
    </row>
    <row r="603" ht="15.75" customHeight="1">
      <c r="A603" s="203"/>
    </row>
    <row r="604" ht="15.75" customHeight="1">
      <c r="A604" s="203"/>
    </row>
    <row r="605" ht="15.75" customHeight="1">
      <c r="A605" s="203"/>
    </row>
    <row r="606" ht="15.75" customHeight="1">
      <c r="A606" s="203"/>
    </row>
    <row r="607" ht="15.75" customHeight="1">
      <c r="A607" s="203"/>
    </row>
    <row r="608" ht="15.75" customHeight="1">
      <c r="A608" s="203"/>
    </row>
    <row r="609" ht="15.75" customHeight="1">
      <c r="A609" s="203"/>
    </row>
    <row r="610" ht="15.75" customHeight="1">
      <c r="A610" s="203"/>
    </row>
    <row r="611" ht="15.75" customHeight="1">
      <c r="A611" s="203"/>
    </row>
    <row r="612" ht="15.75" customHeight="1">
      <c r="A612" s="203"/>
    </row>
    <row r="613" ht="15.75" customHeight="1">
      <c r="A613" s="203"/>
    </row>
    <row r="614" ht="15.75" customHeight="1">
      <c r="A614" s="203"/>
    </row>
    <row r="615" ht="15.75" customHeight="1">
      <c r="A615" s="203"/>
    </row>
    <row r="616" ht="15.75" customHeight="1">
      <c r="A616" s="203"/>
    </row>
    <row r="617" ht="15.75" customHeight="1">
      <c r="A617" s="203"/>
    </row>
    <row r="618" ht="15.75" customHeight="1">
      <c r="A618" s="203"/>
    </row>
    <row r="619" ht="15.75" customHeight="1">
      <c r="A619" s="203"/>
    </row>
    <row r="620" ht="15.75" customHeight="1">
      <c r="A620" s="203"/>
    </row>
    <row r="621" ht="15.75" customHeight="1">
      <c r="A621" s="203"/>
    </row>
    <row r="622" ht="15.75" customHeight="1">
      <c r="A622" s="203"/>
    </row>
    <row r="623" ht="15.75" customHeight="1">
      <c r="A623" s="203"/>
    </row>
    <row r="624" ht="15.75" customHeight="1">
      <c r="A624" s="203"/>
    </row>
    <row r="625" ht="15.75" customHeight="1">
      <c r="A625" s="203"/>
    </row>
    <row r="626" ht="15.75" customHeight="1">
      <c r="A626" s="203"/>
    </row>
    <row r="627" ht="15.75" customHeight="1">
      <c r="A627" s="203"/>
    </row>
    <row r="628" ht="15.75" customHeight="1">
      <c r="A628" s="203"/>
    </row>
    <row r="629" ht="15.75" customHeight="1">
      <c r="A629" s="203"/>
    </row>
    <row r="630" ht="15.75" customHeight="1">
      <c r="A630" s="203"/>
    </row>
    <row r="631" ht="15.75" customHeight="1">
      <c r="A631" s="203"/>
    </row>
    <row r="632" ht="15.75" customHeight="1">
      <c r="A632" s="203"/>
    </row>
    <row r="633" ht="15.75" customHeight="1">
      <c r="A633" s="203"/>
    </row>
    <row r="634" ht="15.75" customHeight="1">
      <c r="A634" s="203"/>
    </row>
    <row r="635" ht="15.75" customHeight="1">
      <c r="A635" s="203"/>
    </row>
    <row r="636" ht="15.75" customHeight="1">
      <c r="A636" s="203"/>
    </row>
    <row r="637" ht="15.75" customHeight="1">
      <c r="A637" s="203"/>
    </row>
    <row r="638" ht="15.75" customHeight="1">
      <c r="A638" s="203"/>
    </row>
    <row r="639" ht="15.75" customHeight="1">
      <c r="A639" s="203"/>
    </row>
    <row r="640" ht="15.75" customHeight="1">
      <c r="A640" s="203"/>
    </row>
    <row r="641" ht="15.75" customHeight="1">
      <c r="A641" s="203"/>
    </row>
    <row r="642" ht="15.75" customHeight="1">
      <c r="A642" s="203"/>
    </row>
    <row r="643" ht="15.75" customHeight="1">
      <c r="A643" s="203"/>
    </row>
    <row r="644" ht="15.75" customHeight="1">
      <c r="A644" s="203"/>
    </row>
    <row r="645" ht="15.75" customHeight="1">
      <c r="A645" s="203"/>
    </row>
    <row r="646" ht="15.75" customHeight="1">
      <c r="A646" s="203"/>
    </row>
    <row r="647" ht="15.75" customHeight="1">
      <c r="A647" s="203"/>
    </row>
    <row r="648" ht="15.75" customHeight="1">
      <c r="A648" s="203"/>
    </row>
    <row r="649" ht="15.75" customHeight="1">
      <c r="A649" s="203"/>
    </row>
    <row r="650" ht="15.75" customHeight="1">
      <c r="A650" s="203"/>
    </row>
    <row r="651" ht="15.75" customHeight="1">
      <c r="A651" s="203"/>
    </row>
    <row r="652" ht="15.75" customHeight="1">
      <c r="A652" s="203"/>
    </row>
    <row r="653" ht="15.75" customHeight="1">
      <c r="A653" s="203"/>
    </row>
    <row r="654" ht="15.75" customHeight="1">
      <c r="A654" s="203"/>
    </row>
    <row r="655" ht="15.75" customHeight="1">
      <c r="A655" s="203"/>
    </row>
    <row r="656" ht="15.75" customHeight="1">
      <c r="A656" s="203"/>
    </row>
    <row r="657" ht="15.75" customHeight="1">
      <c r="A657" s="203"/>
    </row>
    <row r="658" ht="15.75" customHeight="1">
      <c r="A658" s="203"/>
    </row>
    <row r="659" ht="15.75" customHeight="1">
      <c r="A659" s="203"/>
    </row>
    <row r="660" ht="15.75" customHeight="1">
      <c r="A660" s="203"/>
    </row>
    <row r="661" ht="15.75" customHeight="1">
      <c r="A661" s="203"/>
    </row>
    <row r="662" ht="15.75" customHeight="1">
      <c r="A662" s="203"/>
    </row>
    <row r="663" ht="15.75" customHeight="1">
      <c r="A663" s="203"/>
    </row>
    <row r="664" ht="15.75" customHeight="1">
      <c r="A664" s="203"/>
    </row>
    <row r="665" ht="15.75" customHeight="1">
      <c r="A665" s="203"/>
    </row>
    <row r="666" ht="15.75" customHeight="1">
      <c r="A666" s="203"/>
    </row>
    <row r="667" ht="15.75" customHeight="1">
      <c r="A667" s="203"/>
    </row>
    <row r="668" ht="15.75" customHeight="1">
      <c r="A668" s="203"/>
    </row>
    <row r="669" ht="15.75" customHeight="1">
      <c r="A669" s="203"/>
    </row>
    <row r="670" ht="15.75" customHeight="1">
      <c r="A670" s="203"/>
    </row>
    <row r="671" ht="15.75" customHeight="1">
      <c r="A671" s="203"/>
    </row>
    <row r="672" ht="15.75" customHeight="1">
      <c r="A672" s="203"/>
    </row>
    <row r="673" ht="15.75" customHeight="1">
      <c r="A673" s="203"/>
    </row>
    <row r="674" ht="15.75" customHeight="1">
      <c r="A674" s="203"/>
    </row>
    <row r="675" ht="15.75" customHeight="1">
      <c r="A675" s="203"/>
    </row>
    <row r="676" ht="15.75" customHeight="1">
      <c r="A676" s="203"/>
    </row>
    <row r="677" ht="15.75" customHeight="1">
      <c r="A677" s="203"/>
    </row>
    <row r="678" ht="15.75" customHeight="1">
      <c r="A678" s="203"/>
    </row>
    <row r="679" ht="15.75" customHeight="1">
      <c r="A679" s="203"/>
    </row>
    <row r="680" ht="15.75" customHeight="1">
      <c r="A680" s="203"/>
    </row>
    <row r="681" ht="15.75" customHeight="1">
      <c r="A681" s="203"/>
    </row>
    <row r="682" ht="15.75" customHeight="1">
      <c r="A682" s="203"/>
    </row>
    <row r="683" ht="15.75" customHeight="1">
      <c r="A683" s="203"/>
    </row>
    <row r="684" ht="15.75" customHeight="1">
      <c r="A684" s="203"/>
    </row>
    <row r="685" ht="15.75" customHeight="1">
      <c r="A685" s="203"/>
    </row>
    <row r="686" ht="15.75" customHeight="1">
      <c r="A686" s="203"/>
    </row>
    <row r="687" ht="15.75" customHeight="1">
      <c r="A687" s="203"/>
    </row>
    <row r="688" ht="15.75" customHeight="1">
      <c r="A688" s="203"/>
    </row>
    <row r="689" ht="15.75" customHeight="1">
      <c r="A689" s="203"/>
    </row>
    <row r="690" ht="15.75" customHeight="1">
      <c r="A690" s="203"/>
    </row>
    <row r="691" ht="15.75" customHeight="1">
      <c r="A691" s="203"/>
    </row>
    <row r="692" ht="15.75" customHeight="1">
      <c r="A692" s="203"/>
    </row>
    <row r="693" ht="15.75" customHeight="1">
      <c r="A693" s="203"/>
    </row>
    <row r="694" ht="15.75" customHeight="1">
      <c r="A694" s="203"/>
    </row>
    <row r="695" ht="15.75" customHeight="1">
      <c r="A695" s="203"/>
    </row>
    <row r="696" ht="15.75" customHeight="1">
      <c r="A696" s="203"/>
    </row>
    <row r="697" ht="15.75" customHeight="1">
      <c r="A697" s="203"/>
    </row>
    <row r="698" ht="15.75" customHeight="1">
      <c r="A698" s="203"/>
    </row>
    <row r="699" ht="15.75" customHeight="1">
      <c r="A699" s="203"/>
    </row>
    <row r="700" ht="15.75" customHeight="1">
      <c r="A700" s="203"/>
    </row>
    <row r="701" ht="15.75" customHeight="1">
      <c r="A701" s="203"/>
    </row>
    <row r="702" ht="15.75" customHeight="1">
      <c r="A702" s="203"/>
    </row>
    <row r="703" ht="15.75" customHeight="1">
      <c r="A703" s="203"/>
    </row>
    <row r="704" ht="15.75" customHeight="1">
      <c r="A704" s="203"/>
    </row>
    <row r="705" ht="15.75" customHeight="1">
      <c r="A705" s="203"/>
    </row>
    <row r="706" ht="15.75" customHeight="1">
      <c r="A706" s="203"/>
    </row>
    <row r="707" ht="15.75" customHeight="1">
      <c r="A707" s="203"/>
    </row>
    <row r="708" ht="15.75" customHeight="1">
      <c r="A708" s="203"/>
    </row>
    <row r="709" ht="15.75" customHeight="1">
      <c r="A709" s="203"/>
    </row>
    <row r="710" ht="15.75" customHeight="1">
      <c r="A710" s="203"/>
    </row>
    <row r="711" ht="15.75" customHeight="1">
      <c r="A711" s="203"/>
    </row>
    <row r="712" ht="15.75" customHeight="1">
      <c r="A712" s="203"/>
    </row>
    <row r="713" ht="15.75" customHeight="1">
      <c r="A713" s="203"/>
    </row>
    <row r="714" ht="15.75" customHeight="1">
      <c r="A714" s="203"/>
    </row>
    <row r="715" ht="15.75" customHeight="1">
      <c r="A715" s="203"/>
    </row>
    <row r="716" ht="15.75" customHeight="1">
      <c r="A716" s="203"/>
    </row>
    <row r="717" ht="15.75" customHeight="1">
      <c r="A717" s="203"/>
    </row>
    <row r="718" ht="15.75" customHeight="1">
      <c r="A718" s="203"/>
    </row>
    <row r="719" ht="15.75" customHeight="1">
      <c r="A719" s="203"/>
    </row>
    <row r="720" ht="15.75" customHeight="1">
      <c r="A720" s="203"/>
    </row>
    <row r="721" ht="15.75" customHeight="1">
      <c r="A721" s="203"/>
    </row>
    <row r="722" ht="15.75" customHeight="1">
      <c r="A722" s="203"/>
    </row>
    <row r="723" ht="15.75" customHeight="1">
      <c r="A723" s="203"/>
    </row>
    <row r="724" ht="15.75" customHeight="1">
      <c r="A724" s="203"/>
    </row>
    <row r="725" ht="15.75" customHeight="1">
      <c r="A725" s="203"/>
    </row>
    <row r="726" ht="15.75" customHeight="1">
      <c r="A726" s="203"/>
    </row>
    <row r="727" ht="15.75" customHeight="1">
      <c r="A727" s="203"/>
    </row>
    <row r="728" ht="15.75" customHeight="1">
      <c r="A728" s="203"/>
    </row>
    <row r="729" ht="15.75" customHeight="1">
      <c r="A729" s="203"/>
    </row>
    <row r="730" ht="15.75" customHeight="1">
      <c r="A730" s="203"/>
    </row>
    <row r="731" ht="15.75" customHeight="1">
      <c r="A731" s="203"/>
    </row>
    <row r="732" ht="15.75" customHeight="1">
      <c r="A732" s="203"/>
    </row>
    <row r="733" ht="15.75" customHeight="1">
      <c r="A733" s="203"/>
    </row>
    <row r="734" ht="15.75" customHeight="1">
      <c r="A734" s="203"/>
    </row>
    <row r="735" ht="15.75" customHeight="1">
      <c r="A735" s="203"/>
    </row>
    <row r="736" ht="15.75" customHeight="1">
      <c r="A736" s="203"/>
    </row>
    <row r="737" ht="15.75" customHeight="1">
      <c r="A737" s="203"/>
    </row>
    <row r="738" ht="15.75" customHeight="1">
      <c r="A738" s="203"/>
    </row>
    <row r="739" ht="15.75" customHeight="1">
      <c r="A739" s="203"/>
    </row>
    <row r="740" ht="15.75" customHeight="1">
      <c r="A740" s="203"/>
    </row>
    <row r="741" ht="15.75" customHeight="1">
      <c r="A741" s="203"/>
    </row>
    <row r="742" ht="15.75" customHeight="1">
      <c r="A742" s="203"/>
    </row>
    <row r="743" ht="15.75" customHeight="1">
      <c r="A743" s="203"/>
    </row>
    <row r="744" ht="15.75" customHeight="1">
      <c r="A744" s="203"/>
    </row>
    <row r="745" ht="15.75" customHeight="1">
      <c r="A745" s="203"/>
    </row>
    <row r="746" ht="15.75" customHeight="1">
      <c r="A746" s="203"/>
    </row>
    <row r="747" ht="15.75" customHeight="1">
      <c r="A747" s="203"/>
    </row>
    <row r="748" ht="15.75" customHeight="1">
      <c r="A748" s="203"/>
    </row>
    <row r="749" ht="15.75" customHeight="1">
      <c r="A749" s="203"/>
    </row>
    <row r="750" ht="15.75" customHeight="1">
      <c r="A750" s="203"/>
    </row>
    <row r="751" ht="15.75" customHeight="1">
      <c r="A751" s="203"/>
    </row>
    <row r="752" ht="15.75" customHeight="1">
      <c r="A752" s="203"/>
    </row>
    <row r="753" ht="15.75" customHeight="1">
      <c r="A753" s="203"/>
    </row>
    <row r="754" ht="15.75" customHeight="1">
      <c r="A754" s="203"/>
    </row>
    <row r="755" ht="15.75" customHeight="1">
      <c r="A755" s="203"/>
    </row>
    <row r="756" ht="15.75" customHeight="1">
      <c r="A756" s="203"/>
    </row>
    <row r="757" ht="15.75" customHeight="1">
      <c r="A757" s="203"/>
    </row>
    <row r="758" ht="15.75" customHeight="1">
      <c r="A758" s="203"/>
    </row>
    <row r="759" ht="15.75" customHeight="1">
      <c r="A759" s="203"/>
    </row>
    <row r="760" ht="15.75" customHeight="1">
      <c r="A760" s="203"/>
    </row>
    <row r="761" ht="15.75" customHeight="1">
      <c r="A761" s="203"/>
    </row>
    <row r="762" ht="15.75" customHeight="1">
      <c r="A762" s="203"/>
    </row>
    <row r="763" ht="15.75" customHeight="1">
      <c r="A763" s="203"/>
    </row>
    <row r="764" ht="15.75" customHeight="1">
      <c r="A764" s="203"/>
    </row>
    <row r="765" ht="15.75" customHeight="1">
      <c r="A765" s="203"/>
    </row>
    <row r="766" ht="15.75" customHeight="1">
      <c r="A766" s="203"/>
    </row>
    <row r="767" ht="15.75" customHeight="1">
      <c r="A767" s="203"/>
    </row>
    <row r="768" ht="15.75" customHeight="1">
      <c r="A768" s="203"/>
    </row>
    <row r="769" ht="15.75" customHeight="1">
      <c r="A769" s="203"/>
    </row>
    <row r="770" ht="15.75" customHeight="1">
      <c r="A770" s="203"/>
    </row>
    <row r="771" ht="15.75" customHeight="1">
      <c r="A771" s="203"/>
    </row>
    <row r="772" ht="15.75" customHeight="1">
      <c r="A772" s="203"/>
    </row>
    <row r="773" ht="15.75" customHeight="1">
      <c r="A773" s="203"/>
    </row>
    <row r="774" ht="15.75" customHeight="1">
      <c r="A774" s="203"/>
    </row>
    <row r="775" ht="15.75" customHeight="1">
      <c r="A775" s="203"/>
    </row>
    <row r="776" ht="15.75" customHeight="1">
      <c r="A776" s="203"/>
    </row>
    <row r="777" ht="15.75" customHeight="1">
      <c r="A777" s="203"/>
    </row>
    <row r="778" ht="15.75" customHeight="1">
      <c r="A778" s="203"/>
    </row>
    <row r="779" ht="15.75" customHeight="1">
      <c r="A779" s="203"/>
    </row>
    <row r="780" ht="15.75" customHeight="1">
      <c r="A780" s="203"/>
    </row>
    <row r="781" ht="15.75" customHeight="1">
      <c r="A781" s="203"/>
    </row>
    <row r="782" ht="15.75" customHeight="1">
      <c r="A782" s="203"/>
    </row>
    <row r="783" ht="15.75" customHeight="1">
      <c r="A783" s="203"/>
    </row>
    <row r="784" ht="15.75" customHeight="1">
      <c r="A784" s="203"/>
    </row>
    <row r="785" ht="15.75" customHeight="1">
      <c r="A785" s="203"/>
    </row>
    <row r="786" ht="15.75" customHeight="1">
      <c r="A786" s="203"/>
    </row>
    <row r="787" ht="15.75" customHeight="1">
      <c r="A787" s="203"/>
    </row>
    <row r="788" ht="15.75" customHeight="1">
      <c r="A788" s="203"/>
    </row>
    <row r="789" ht="15.75" customHeight="1">
      <c r="A789" s="203"/>
    </row>
    <row r="790" ht="15.75" customHeight="1">
      <c r="A790" s="203"/>
    </row>
    <row r="791" ht="15.75" customHeight="1">
      <c r="A791" s="203"/>
    </row>
    <row r="792" ht="15.75" customHeight="1">
      <c r="A792" s="203"/>
    </row>
    <row r="793" ht="15.75" customHeight="1">
      <c r="A793" s="203"/>
    </row>
    <row r="794" ht="15.75" customHeight="1">
      <c r="A794" s="203"/>
    </row>
    <row r="795" ht="15.75" customHeight="1">
      <c r="A795" s="203"/>
    </row>
    <row r="796" ht="15.75" customHeight="1">
      <c r="A796" s="203"/>
    </row>
    <row r="797" ht="15.75" customHeight="1">
      <c r="A797" s="203"/>
    </row>
    <row r="798" ht="15.75" customHeight="1">
      <c r="A798" s="203"/>
    </row>
    <row r="799" ht="15.75" customHeight="1">
      <c r="A799" s="203"/>
    </row>
    <row r="800" ht="15.75" customHeight="1">
      <c r="A800" s="203"/>
    </row>
    <row r="801" ht="15.75" customHeight="1">
      <c r="A801" s="203"/>
    </row>
    <row r="802" ht="15.75" customHeight="1">
      <c r="A802" s="203"/>
    </row>
    <row r="803" ht="15.75" customHeight="1">
      <c r="A803" s="203"/>
    </row>
    <row r="804" ht="15.75" customHeight="1">
      <c r="A804" s="203"/>
    </row>
    <row r="805" ht="15.75" customHeight="1">
      <c r="A805" s="203"/>
    </row>
    <row r="806" ht="15.75" customHeight="1">
      <c r="A806" s="203"/>
    </row>
    <row r="807" ht="15.75" customHeight="1">
      <c r="A807" s="203"/>
    </row>
    <row r="808" ht="15.75" customHeight="1">
      <c r="A808" s="203"/>
    </row>
    <row r="809" ht="15.75" customHeight="1">
      <c r="A809" s="20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16.29"/>
    <col customWidth="1" min="4" max="4" width="12.43"/>
    <col customWidth="1" min="5" max="5" width="26.29"/>
    <col customWidth="1" min="6" max="6" width="31.0"/>
    <col customWidth="1" min="7" max="7" width="15.43"/>
    <col customWidth="1" min="8" max="8" width="17.29"/>
    <col customWidth="1" min="9" max="9" width="8.71"/>
    <col customWidth="1" min="10" max="10" width="17.29"/>
    <col customWidth="1" min="11" max="11" width="11.14"/>
    <col customWidth="1" min="12" max="12" width="16.71"/>
    <col customWidth="1" min="13" max="13" width="15.43"/>
    <col customWidth="1" min="14" max="14" width="16.71"/>
    <col customWidth="1" min="15" max="27" width="8.71"/>
  </cols>
  <sheetData>
    <row r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2" t="s">
        <v>39</v>
      </c>
      <c r="J1" s="120" t="s">
        <v>7</v>
      </c>
      <c r="K1" s="91" t="s">
        <v>39</v>
      </c>
      <c r="L1" s="92" t="s">
        <v>8</v>
      </c>
      <c r="M1" s="120" t="s">
        <v>9</v>
      </c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</row>
    <row r="2">
      <c r="A2" s="86"/>
      <c r="B2" s="86">
        <v>45593.0</v>
      </c>
      <c r="C2" s="17" t="s">
        <v>390</v>
      </c>
      <c r="D2" s="17" t="s">
        <v>932</v>
      </c>
      <c r="E2" s="17" t="s">
        <v>30</v>
      </c>
      <c r="F2" s="169" t="s">
        <v>474</v>
      </c>
      <c r="G2" s="170">
        <v>10000.0</v>
      </c>
      <c r="H2" s="149">
        <v>750000.0</v>
      </c>
      <c r="I2" s="103" t="s">
        <v>42</v>
      </c>
      <c r="J2" s="149">
        <v>100000.0</v>
      </c>
      <c r="K2" s="169" t="s">
        <v>42</v>
      </c>
      <c r="L2" s="58">
        <f>H2-J2</f>
        <v>650000</v>
      </c>
      <c r="M2" s="339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</row>
    <row r="3">
      <c r="A3" s="247"/>
      <c r="B3" s="247"/>
      <c r="C3" s="247"/>
      <c r="D3" s="247"/>
      <c r="E3" s="340"/>
      <c r="F3" s="247"/>
      <c r="G3" s="341"/>
      <c r="H3" s="339"/>
      <c r="I3" s="342"/>
      <c r="J3" s="339"/>
      <c r="K3" s="341"/>
      <c r="L3" s="52">
        <f t="shared" ref="L3:M3" si="1">SUM(L2)</f>
        <v>650000</v>
      </c>
      <c r="M3" s="194">
        <f t="shared" si="1"/>
        <v>0</v>
      </c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</row>
    <row r="4">
      <c r="A4" s="247"/>
      <c r="B4" s="247"/>
      <c r="C4" s="247"/>
      <c r="D4" s="247"/>
      <c r="E4" s="340"/>
      <c r="F4" s="247"/>
      <c r="G4" s="341"/>
      <c r="H4" s="339"/>
      <c r="I4" s="342"/>
      <c r="J4" s="339"/>
      <c r="K4" s="341"/>
      <c r="L4" s="226">
        <f>L3-M3</f>
        <v>650000</v>
      </c>
      <c r="M4" s="339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</row>
    <row r="5">
      <c r="A5" s="247"/>
      <c r="B5" s="247"/>
      <c r="C5" s="247"/>
      <c r="D5" s="247"/>
      <c r="E5" s="340"/>
      <c r="F5" s="247"/>
      <c r="G5" s="341"/>
      <c r="H5" s="339"/>
      <c r="I5" s="342"/>
      <c r="J5" s="339"/>
      <c r="K5" s="341"/>
      <c r="L5" s="343"/>
      <c r="M5" s="339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</row>
    <row r="6">
      <c r="A6" s="89" t="s">
        <v>209</v>
      </c>
      <c r="B6" s="89" t="s">
        <v>0</v>
      </c>
      <c r="C6" s="89" t="s">
        <v>1</v>
      </c>
      <c r="D6" s="89" t="s">
        <v>2</v>
      </c>
      <c r="E6" s="90" t="s">
        <v>3</v>
      </c>
      <c r="F6" s="89" t="s">
        <v>4</v>
      </c>
      <c r="G6" s="91" t="s">
        <v>5</v>
      </c>
      <c r="H6" s="120" t="s">
        <v>6</v>
      </c>
      <c r="I6" s="92" t="s">
        <v>39</v>
      </c>
      <c r="J6" s="120" t="s">
        <v>7</v>
      </c>
      <c r="K6" s="91" t="s">
        <v>39</v>
      </c>
      <c r="L6" s="92" t="s">
        <v>8</v>
      </c>
      <c r="M6" s="120" t="s">
        <v>9</v>
      </c>
    </row>
    <row r="7">
      <c r="A7" s="17">
        <v>1.0</v>
      </c>
      <c r="B7" s="86">
        <v>45607.0</v>
      </c>
      <c r="C7" s="17" t="s">
        <v>390</v>
      </c>
      <c r="D7" s="17" t="s">
        <v>575</v>
      </c>
      <c r="E7" s="169" t="s">
        <v>37</v>
      </c>
      <c r="F7" s="169" t="s">
        <v>648</v>
      </c>
      <c r="G7" s="170">
        <v>8000.0</v>
      </c>
      <c r="H7" s="202">
        <v>1200000.0</v>
      </c>
      <c r="I7" s="97" t="s">
        <v>44</v>
      </c>
      <c r="J7" s="202">
        <v>640000.0</v>
      </c>
      <c r="K7" s="17" t="s">
        <v>212</v>
      </c>
      <c r="L7" s="58">
        <f t="shared" ref="L7:L19" si="2">H7-J7</f>
        <v>560000</v>
      </c>
      <c r="M7" s="104">
        <v>1405000.0</v>
      </c>
    </row>
    <row r="8">
      <c r="A8" s="17">
        <v>2.0</v>
      </c>
      <c r="B8" s="86">
        <v>45608.0</v>
      </c>
      <c r="C8" s="17" t="s">
        <v>390</v>
      </c>
      <c r="D8" s="17" t="s">
        <v>575</v>
      </c>
      <c r="E8" s="17" t="s">
        <v>40</v>
      </c>
      <c r="F8" s="17" t="s">
        <v>933</v>
      </c>
      <c r="G8" s="87">
        <v>9000.0</v>
      </c>
      <c r="H8" s="104">
        <v>1125000.0</v>
      </c>
      <c r="I8" s="97" t="s">
        <v>42</v>
      </c>
      <c r="J8" s="104">
        <v>640000.0</v>
      </c>
      <c r="K8" s="17" t="s">
        <v>212</v>
      </c>
      <c r="L8" s="58">
        <f t="shared" si="2"/>
        <v>485000</v>
      </c>
      <c r="M8" s="104">
        <v>32000.0</v>
      </c>
    </row>
    <row r="9">
      <c r="A9" s="17">
        <v>3.0</v>
      </c>
      <c r="B9" s="86">
        <v>45609.0</v>
      </c>
      <c r="C9" s="17" t="s">
        <v>390</v>
      </c>
      <c r="D9" s="17" t="s">
        <v>575</v>
      </c>
      <c r="E9" s="17" t="s">
        <v>45</v>
      </c>
      <c r="F9" s="17" t="s">
        <v>551</v>
      </c>
      <c r="G9" s="87">
        <v>8500.0</v>
      </c>
      <c r="H9" s="104">
        <v>1200000.0</v>
      </c>
      <c r="I9" s="97" t="s">
        <v>42</v>
      </c>
      <c r="J9" s="104">
        <v>640000.0</v>
      </c>
      <c r="K9" s="17" t="s">
        <v>212</v>
      </c>
      <c r="L9" s="58">
        <f t="shared" si="2"/>
        <v>560000</v>
      </c>
      <c r="M9" s="104">
        <v>95000.0</v>
      </c>
    </row>
    <row r="10">
      <c r="A10" s="17">
        <v>4.0</v>
      </c>
      <c r="B10" s="86">
        <v>45611.0</v>
      </c>
      <c r="C10" s="17" t="s">
        <v>390</v>
      </c>
      <c r="D10" s="17" t="s">
        <v>575</v>
      </c>
      <c r="E10" s="17" t="s">
        <v>37</v>
      </c>
      <c r="F10" s="169" t="s">
        <v>934</v>
      </c>
      <c r="G10" s="170">
        <v>10000.0</v>
      </c>
      <c r="H10" s="149">
        <v>1500000.0</v>
      </c>
      <c r="I10" s="97" t="s">
        <v>44</v>
      </c>
      <c r="J10" s="104">
        <v>850000.0</v>
      </c>
      <c r="K10" s="17" t="s">
        <v>212</v>
      </c>
      <c r="L10" s="58">
        <f t="shared" si="2"/>
        <v>650000</v>
      </c>
      <c r="M10" s="104"/>
    </row>
    <row r="11">
      <c r="A11" s="17">
        <v>5.0</v>
      </c>
      <c r="B11" s="86">
        <v>45614.0</v>
      </c>
      <c r="C11" s="17" t="s">
        <v>390</v>
      </c>
      <c r="D11" s="17" t="s">
        <v>575</v>
      </c>
      <c r="E11" s="17" t="s">
        <v>37</v>
      </c>
      <c r="F11" s="169" t="s">
        <v>934</v>
      </c>
      <c r="G11" s="170">
        <v>10000.0</v>
      </c>
      <c r="H11" s="149">
        <v>1500000.0</v>
      </c>
      <c r="I11" s="59" t="s">
        <v>44</v>
      </c>
      <c r="J11" s="104">
        <v>850000.0</v>
      </c>
      <c r="K11" s="17" t="s">
        <v>212</v>
      </c>
      <c r="L11" s="58">
        <f t="shared" si="2"/>
        <v>650000</v>
      </c>
      <c r="M11" s="149"/>
    </row>
    <row r="12">
      <c r="A12" s="17">
        <v>6.0</v>
      </c>
      <c r="B12" s="86">
        <v>45615.0</v>
      </c>
      <c r="C12" s="17" t="s">
        <v>390</v>
      </c>
      <c r="D12" s="17" t="s">
        <v>575</v>
      </c>
      <c r="E12" s="17" t="s">
        <v>40</v>
      </c>
      <c r="F12" s="17" t="s">
        <v>935</v>
      </c>
      <c r="G12" s="87">
        <v>9000.0</v>
      </c>
      <c r="H12" s="101">
        <v>1170000.0</v>
      </c>
      <c r="I12" s="103" t="s">
        <v>42</v>
      </c>
      <c r="J12" s="101">
        <v>640000.0</v>
      </c>
      <c r="K12" s="17" t="s">
        <v>44</v>
      </c>
      <c r="L12" s="58">
        <f t="shared" si="2"/>
        <v>530000</v>
      </c>
      <c r="M12" s="149"/>
      <c r="N12" s="240"/>
    </row>
    <row r="13">
      <c r="A13" s="17">
        <v>7.0</v>
      </c>
      <c r="B13" s="86">
        <v>45617.0</v>
      </c>
      <c r="C13" s="17" t="s">
        <v>390</v>
      </c>
      <c r="D13" s="17" t="s">
        <v>575</v>
      </c>
      <c r="E13" s="169" t="s">
        <v>30</v>
      </c>
      <c r="F13" s="169" t="s">
        <v>549</v>
      </c>
      <c r="G13" s="170">
        <v>9000.0</v>
      </c>
      <c r="H13" s="202">
        <v>1305000.0</v>
      </c>
      <c r="I13" s="97" t="s">
        <v>44</v>
      </c>
      <c r="J13" s="202">
        <v>725000.0</v>
      </c>
      <c r="K13" s="17" t="s">
        <v>212</v>
      </c>
      <c r="L13" s="58">
        <f t="shared" si="2"/>
        <v>580000</v>
      </c>
      <c r="M13" s="104"/>
    </row>
    <row r="14">
      <c r="A14" s="17">
        <v>8.0</v>
      </c>
      <c r="B14" s="86">
        <v>45618.0</v>
      </c>
      <c r="C14" s="17" t="s">
        <v>390</v>
      </c>
      <c r="D14" s="17" t="s">
        <v>575</v>
      </c>
      <c r="E14" s="17" t="s">
        <v>40</v>
      </c>
      <c r="F14" s="17" t="s">
        <v>933</v>
      </c>
      <c r="G14" s="87">
        <v>9000.0</v>
      </c>
      <c r="H14" s="104">
        <v>1125000.0</v>
      </c>
      <c r="I14" s="97" t="s">
        <v>42</v>
      </c>
      <c r="J14" s="104">
        <v>640000.0</v>
      </c>
      <c r="K14" s="17" t="s">
        <v>44</v>
      </c>
      <c r="L14" s="58">
        <f t="shared" si="2"/>
        <v>485000</v>
      </c>
      <c r="M14" s="149"/>
    </row>
    <row r="15">
      <c r="A15" s="17">
        <v>9.0</v>
      </c>
      <c r="B15" s="86">
        <v>45619.0</v>
      </c>
      <c r="C15" s="17" t="s">
        <v>390</v>
      </c>
      <c r="D15" s="17" t="s">
        <v>575</v>
      </c>
      <c r="E15" s="17" t="s">
        <v>40</v>
      </c>
      <c r="F15" s="17" t="s">
        <v>194</v>
      </c>
      <c r="G15" s="170">
        <v>9000.0</v>
      </c>
      <c r="H15" s="58">
        <v>1400000.0</v>
      </c>
      <c r="I15" s="103" t="s">
        <v>44</v>
      </c>
      <c r="J15" s="149">
        <v>850000.0</v>
      </c>
      <c r="K15" s="169" t="s">
        <v>212</v>
      </c>
      <c r="L15" s="58">
        <f t="shared" si="2"/>
        <v>550000</v>
      </c>
      <c r="M15" s="149"/>
    </row>
    <row r="16">
      <c r="A16" s="17">
        <v>10.0</v>
      </c>
      <c r="B16" s="86">
        <v>45621.0</v>
      </c>
      <c r="C16" s="17" t="s">
        <v>390</v>
      </c>
      <c r="D16" s="17" t="s">
        <v>575</v>
      </c>
      <c r="E16" s="169" t="s">
        <v>45</v>
      </c>
      <c r="F16" s="169" t="s">
        <v>207</v>
      </c>
      <c r="G16" s="170">
        <v>10000.0</v>
      </c>
      <c r="H16" s="58">
        <v>1600000.0</v>
      </c>
      <c r="I16" s="93" t="s">
        <v>44</v>
      </c>
      <c r="J16" s="60">
        <v>975000.0</v>
      </c>
      <c r="K16" s="169" t="s">
        <v>212</v>
      </c>
      <c r="L16" s="58">
        <f t="shared" si="2"/>
        <v>625000</v>
      </c>
      <c r="M16" s="149"/>
    </row>
    <row r="17">
      <c r="A17" s="17">
        <v>11.0</v>
      </c>
      <c r="B17" s="86">
        <v>45622.0</v>
      </c>
      <c r="C17" s="17" t="s">
        <v>390</v>
      </c>
      <c r="D17" s="17" t="s">
        <v>575</v>
      </c>
      <c r="E17" s="169" t="s">
        <v>37</v>
      </c>
      <c r="F17" s="169" t="s">
        <v>105</v>
      </c>
      <c r="G17" s="170">
        <v>10000.0</v>
      </c>
      <c r="H17" s="173">
        <v>750000.0</v>
      </c>
      <c r="I17" s="171" t="s">
        <v>42</v>
      </c>
      <c r="J17" s="193">
        <v>375000.0</v>
      </c>
      <c r="K17" s="169" t="s">
        <v>44</v>
      </c>
      <c r="L17" s="58">
        <f t="shared" si="2"/>
        <v>375000</v>
      </c>
      <c r="M17" s="149">
        <v>100000.0</v>
      </c>
    </row>
    <row r="18">
      <c r="A18" s="17">
        <v>12.0</v>
      </c>
      <c r="B18" s="86">
        <v>45624.0</v>
      </c>
      <c r="C18" s="17" t="s">
        <v>390</v>
      </c>
      <c r="D18" s="17" t="s">
        <v>575</v>
      </c>
      <c r="E18" s="17" t="s">
        <v>40</v>
      </c>
      <c r="F18" s="17" t="s">
        <v>194</v>
      </c>
      <c r="G18" s="87">
        <v>9000.0</v>
      </c>
      <c r="H18" s="104">
        <v>1400000.0</v>
      </c>
      <c r="I18" s="115" t="s">
        <v>44</v>
      </c>
      <c r="J18" s="149">
        <v>850000.0</v>
      </c>
      <c r="K18" s="169" t="s">
        <v>44</v>
      </c>
      <c r="L18" s="58">
        <f t="shared" si="2"/>
        <v>550000</v>
      </c>
      <c r="M18" s="149"/>
    </row>
    <row r="19">
      <c r="A19" s="169">
        <v>13.0</v>
      </c>
      <c r="B19" s="86">
        <v>45625.0</v>
      </c>
      <c r="C19" s="17" t="s">
        <v>390</v>
      </c>
      <c r="D19" s="17" t="s">
        <v>575</v>
      </c>
      <c r="E19" s="169" t="s">
        <v>30</v>
      </c>
      <c r="F19" s="17" t="s">
        <v>76</v>
      </c>
      <c r="G19" s="87">
        <v>9000.0</v>
      </c>
      <c r="H19" s="101">
        <v>1350000.0</v>
      </c>
      <c r="I19" s="103" t="s">
        <v>42</v>
      </c>
      <c r="J19" s="104">
        <v>875000.0</v>
      </c>
      <c r="K19" s="169" t="s">
        <v>212</v>
      </c>
      <c r="L19" s="58">
        <f t="shared" si="2"/>
        <v>475000</v>
      </c>
      <c r="M19" s="149"/>
    </row>
    <row r="20">
      <c r="A20" s="169"/>
      <c r="E20" s="169"/>
      <c r="F20" s="169"/>
      <c r="G20" s="170"/>
      <c r="H20" s="149"/>
      <c r="I20" s="97"/>
      <c r="J20" s="149"/>
      <c r="K20" s="169"/>
      <c r="L20" s="52">
        <f t="shared" ref="L20:M20" si="3">SUM(L7:L19)</f>
        <v>7075000</v>
      </c>
      <c r="M20" s="194">
        <f t="shared" si="3"/>
        <v>1632000</v>
      </c>
    </row>
    <row r="21" ht="15.75" customHeight="1">
      <c r="A21" s="169"/>
      <c r="E21" s="169"/>
      <c r="F21" s="169"/>
      <c r="G21" s="170"/>
      <c r="H21" s="149"/>
      <c r="I21" s="97"/>
      <c r="J21" s="149"/>
      <c r="K21" s="169"/>
      <c r="L21" s="226">
        <f>L20-M20</f>
        <v>5443000</v>
      </c>
      <c r="M21" s="104"/>
    </row>
    <row r="22" ht="15.75" customHeight="1">
      <c r="A22" s="169"/>
      <c r="E22" s="169"/>
      <c r="F22" s="169"/>
      <c r="G22" s="170"/>
      <c r="H22" s="149"/>
      <c r="I22" s="97"/>
      <c r="J22" s="149"/>
      <c r="K22" s="169"/>
      <c r="M22" s="149"/>
    </row>
    <row r="23" ht="15.75" customHeight="1">
      <c r="A23" s="89" t="s">
        <v>209</v>
      </c>
      <c r="B23" s="89" t="s">
        <v>0</v>
      </c>
      <c r="C23" s="89" t="s">
        <v>1</v>
      </c>
      <c r="D23" s="89" t="s">
        <v>2</v>
      </c>
      <c r="E23" s="90" t="s">
        <v>3</v>
      </c>
      <c r="F23" s="89" t="s">
        <v>4</v>
      </c>
      <c r="G23" s="91" t="s">
        <v>5</v>
      </c>
      <c r="H23" s="120" t="s">
        <v>6</v>
      </c>
      <c r="I23" s="92" t="s">
        <v>39</v>
      </c>
      <c r="J23" s="120" t="s">
        <v>7</v>
      </c>
      <c r="K23" s="91" t="s">
        <v>39</v>
      </c>
      <c r="L23" s="92" t="s">
        <v>8</v>
      </c>
      <c r="M23" s="120" t="s">
        <v>9</v>
      </c>
      <c r="N23" s="240"/>
      <c r="O23" s="240"/>
      <c r="P23" s="240"/>
    </row>
    <row r="24" ht="15.75" customHeight="1">
      <c r="A24" s="17">
        <v>1.0</v>
      </c>
      <c r="B24" s="86">
        <v>45628.0</v>
      </c>
      <c r="C24" s="17" t="s">
        <v>390</v>
      </c>
      <c r="D24" s="17" t="s">
        <v>575</v>
      </c>
      <c r="E24" s="169" t="s">
        <v>273</v>
      </c>
      <c r="F24" s="169" t="s">
        <v>161</v>
      </c>
      <c r="G24" s="87">
        <v>9000.0</v>
      </c>
      <c r="H24" s="58">
        <v>1215000.0</v>
      </c>
      <c r="I24" s="96" t="s">
        <v>44</v>
      </c>
      <c r="J24" s="149">
        <v>725000.0</v>
      </c>
      <c r="K24" s="169" t="s">
        <v>42</v>
      </c>
      <c r="L24" s="100">
        <f t="shared" ref="L24:L50" si="4">H24-J24</f>
        <v>490000</v>
      </c>
      <c r="M24" s="339"/>
      <c r="N24" s="102"/>
      <c r="O24" s="240"/>
      <c r="P24" s="240"/>
    </row>
    <row r="25" ht="15.75" customHeight="1">
      <c r="A25" s="17">
        <v>2.0</v>
      </c>
      <c r="B25" s="86">
        <v>45629.0</v>
      </c>
      <c r="C25" s="17" t="s">
        <v>390</v>
      </c>
      <c r="D25" s="17" t="s">
        <v>575</v>
      </c>
      <c r="E25" s="17" t="s">
        <v>37</v>
      </c>
      <c r="F25" s="17" t="s">
        <v>59</v>
      </c>
      <c r="G25" s="87">
        <v>9000.0</v>
      </c>
      <c r="H25" s="149">
        <v>900000.0</v>
      </c>
      <c r="I25" s="97" t="s">
        <v>44</v>
      </c>
      <c r="J25" s="172">
        <v>350000.0</v>
      </c>
      <c r="K25" s="169" t="s">
        <v>42</v>
      </c>
      <c r="L25" s="100">
        <f t="shared" si="4"/>
        <v>550000</v>
      </c>
      <c r="M25" s="149"/>
      <c r="N25" s="184"/>
      <c r="O25" s="240"/>
      <c r="P25" s="240"/>
    </row>
    <row r="26" ht="15.75" customHeight="1">
      <c r="A26" s="17">
        <v>3.0</v>
      </c>
      <c r="B26" s="86">
        <v>45630.0</v>
      </c>
      <c r="C26" s="17" t="s">
        <v>390</v>
      </c>
      <c r="D26" s="17" t="s">
        <v>575</v>
      </c>
      <c r="E26" s="169" t="s">
        <v>37</v>
      </c>
      <c r="F26" s="169" t="s">
        <v>36</v>
      </c>
      <c r="G26" s="170">
        <v>10000.0</v>
      </c>
      <c r="H26" s="149">
        <v>1500000.0</v>
      </c>
      <c r="I26" s="97" t="s">
        <v>44</v>
      </c>
      <c r="J26" s="149">
        <v>850000.0</v>
      </c>
      <c r="K26" s="169" t="s">
        <v>936</v>
      </c>
      <c r="L26" s="100">
        <f t="shared" si="4"/>
        <v>650000</v>
      </c>
      <c r="M26" s="149"/>
      <c r="N26" s="184"/>
      <c r="O26" s="240"/>
      <c r="P26" s="240"/>
    </row>
    <row r="27" ht="15.75" customHeight="1">
      <c r="A27" s="17">
        <v>4.0</v>
      </c>
      <c r="B27" s="86">
        <v>45631.0</v>
      </c>
      <c r="C27" s="17" t="s">
        <v>390</v>
      </c>
      <c r="D27" s="17" t="s">
        <v>575</v>
      </c>
      <c r="E27" s="169" t="s">
        <v>40</v>
      </c>
      <c r="F27" s="98" t="s">
        <v>244</v>
      </c>
      <c r="G27" s="170">
        <v>9000.0</v>
      </c>
      <c r="H27" s="61">
        <v>800000.0</v>
      </c>
      <c r="I27" s="184" t="s">
        <v>42</v>
      </c>
      <c r="J27" s="104">
        <v>400000.0</v>
      </c>
      <c r="K27" s="17" t="s">
        <v>44</v>
      </c>
      <c r="L27" s="100">
        <f t="shared" si="4"/>
        <v>400000</v>
      </c>
      <c r="M27" s="149"/>
      <c r="N27" s="184" t="s">
        <v>212</v>
      </c>
      <c r="O27" s="240"/>
      <c r="P27" s="240"/>
    </row>
    <row r="28" ht="15.75" customHeight="1">
      <c r="A28" s="17">
        <v>5.0</v>
      </c>
      <c r="B28" s="86">
        <v>45632.0</v>
      </c>
      <c r="C28" s="17" t="s">
        <v>390</v>
      </c>
      <c r="D28" s="17" t="s">
        <v>575</v>
      </c>
      <c r="E28" s="169" t="s">
        <v>30</v>
      </c>
      <c r="F28" s="169" t="s">
        <v>495</v>
      </c>
      <c r="G28" s="170">
        <v>9000.0</v>
      </c>
      <c r="H28" s="101">
        <v>1215000.0</v>
      </c>
      <c r="I28" s="97" t="s">
        <v>44</v>
      </c>
      <c r="J28" s="101">
        <v>700000.0</v>
      </c>
      <c r="K28" s="17" t="s">
        <v>42</v>
      </c>
      <c r="L28" s="100">
        <f t="shared" si="4"/>
        <v>515000</v>
      </c>
      <c r="M28" s="149">
        <v>1340000.0</v>
      </c>
      <c r="N28" s="184" t="s">
        <v>937</v>
      </c>
      <c r="O28" s="240"/>
      <c r="P28" s="240"/>
    </row>
    <row r="29" ht="15.75" customHeight="1">
      <c r="A29" s="17">
        <v>6.0</v>
      </c>
      <c r="B29" s="86">
        <v>45633.0</v>
      </c>
      <c r="C29" s="17" t="s">
        <v>390</v>
      </c>
      <c r="D29" s="17" t="s">
        <v>575</v>
      </c>
      <c r="E29" s="169" t="s">
        <v>30</v>
      </c>
      <c r="F29" s="169" t="s">
        <v>491</v>
      </c>
      <c r="G29" s="170">
        <v>9000.0</v>
      </c>
      <c r="H29" s="149">
        <v>765000.0</v>
      </c>
      <c r="I29" s="227" t="s">
        <v>44</v>
      </c>
      <c r="J29" s="149">
        <v>450000.0</v>
      </c>
      <c r="K29" s="17" t="s">
        <v>240</v>
      </c>
      <c r="L29" s="100">
        <f t="shared" si="4"/>
        <v>315000</v>
      </c>
      <c r="M29" s="149"/>
      <c r="N29" s="184"/>
      <c r="O29" s="240"/>
      <c r="P29" s="240"/>
    </row>
    <row r="30" ht="15.75" customHeight="1">
      <c r="A30" s="17">
        <v>7.0</v>
      </c>
      <c r="B30" s="86">
        <v>45635.0</v>
      </c>
      <c r="C30" s="17" t="s">
        <v>390</v>
      </c>
      <c r="D30" s="17" t="s">
        <v>575</v>
      </c>
      <c r="E30" s="169" t="s">
        <v>40</v>
      </c>
      <c r="F30" s="169" t="s">
        <v>36</v>
      </c>
      <c r="G30" s="170">
        <v>10000.0</v>
      </c>
      <c r="H30" s="149">
        <v>1500000.0</v>
      </c>
      <c r="I30" s="227" t="s">
        <v>44</v>
      </c>
      <c r="J30" s="149">
        <v>850000.0</v>
      </c>
      <c r="K30" s="17" t="s">
        <v>42</v>
      </c>
      <c r="L30" s="100">
        <f t="shared" si="4"/>
        <v>650000</v>
      </c>
      <c r="M30" s="149"/>
      <c r="N30" s="184"/>
      <c r="O30" s="240"/>
      <c r="P30" s="240"/>
    </row>
    <row r="31" ht="15.75" customHeight="1">
      <c r="A31" s="17">
        <v>8.0</v>
      </c>
      <c r="B31" s="86">
        <v>45636.0</v>
      </c>
      <c r="C31" s="17" t="s">
        <v>390</v>
      </c>
      <c r="D31" s="17" t="s">
        <v>575</v>
      </c>
      <c r="E31" s="169" t="s">
        <v>938</v>
      </c>
      <c r="F31" s="169" t="s">
        <v>890</v>
      </c>
      <c r="G31" s="170">
        <v>9500.0</v>
      </c>
      <c r="H31" s="150">
        <v>1500000.0</v>
      </c>
      <c r="I31" s="115" t="s">
        <v>238</v>
      </c>
      <c r="J31" s="149">
        <v>665000.0</v>
      </c>
      <c r="K31" s="17" t="s">
        <v>44</v>
      </c>
      <c r="L31" s="100">
        <f t="shared" si="4"/>
        <v>835000</v>
      </c>
      <c r="M31" s="149"/>
      <c r="N31" s="184"/>
      <c r="O31" s="240"/>
      <c r="P31" s="240"/>
    </row>
    <row r="32" ht="15.75" customHeight="1">
      <c r="A32" s="17">
        <v>9.0</v>
      </c>
      <c r="B32" s="86">
        <v>45637.0</v>
      </c>
      <c r="C32" s="17" t="s">
        <v>390</v>
      </c>
      <c r="D32" s="17" t="s">
        <v>575</v>
      </c>
      <c r="E32" s="169" t="s">
        <v>40</v>
      </c>
      <c r="F32" s="169" t="s">
        <v>939</v>
      </c>
      <c r="G32" s="170">
        <v>9000.0</v>
      </c>
      <c r="H32" s="149">
        <v>1035000.0</v>
      </c>
      <c r="I32" s="115" t="s">
        <v>212</v>
      </c>
      <c r="J32" s="149">
        <v>600000.0</v>
      </c>
      <c r="K32" s="17" t="s">
        <v>44</v>
      </c>
      <c r="L32" s="100">
        <f t="shared" si="4"/>
        <v>435000</v>
      </c>
      <c r="M32" s="149"/>
      <c r="N32" s="184"/>
      <c r="O32" s="240"/>
      <c r="P32" s="240"/>
    </row>
    <row r="33" ht="15.75" customHeight="1">
      <c r="A33" s="17">
        <v>10.0</v>
      </c>
      <c r="B33" s="86">
        <v>45638.0</v>
      </c>
      <c r="C33" s="17" t="s">
        <v>390</v>
      </c>
      <c r="D33" s="17" t="s">
        <v>575</v>
      </c>
      <c r="E33" s="204" t="s">
        <v>30</v>
      </c>
      <c r="F33" s="204" t="s">
        <v>840</v>
      </c>
      <c r="G33" s="151">
        <v>9000.0</v>
      </c>
      <c r="H33" s="106">
        <v>900000.0</v>
      </c>
      <c r="I33" s="115" t="s">
        <v>44</v>
      </c>
      <c r="J33" s="106">
        <v>350000.0</v>
      </c>
      <c r="K33" s="344" t="s">
        <v>212</v>
      </c>
      <c r="L33" s="100">
        <f t="shared" si="4"/>
        <v>550000</v>
      </c>
      <c r="M33" s="149"/>
      <c r="N33" s="184"/>
      <c r="O33" s="240"/>
      <c r="P33" s="240"/>
    </row>
    <row r="34" ht="15.75" customHeight="1">
      <c r="A34" s="17">
        <v>11.0</v>
      </c>
      <c r="B34" s="86">
        <v>45639.0</v>
      </c>
      <c r="C34" s="17" t="s">
        <v>390</v>
      </c>
      <c r="D34" s="17" t="s">
        <v>575</v>
      </c>
      <c r="E34" s="204" t="s">
        <v>940</v>
      </c>
      <c r="F34" s="204" t="s">
        <v>543</v>
      </c>
      <c r="G34" s="151">
        <v>9000.0</v>
      </c>
      <c r="H34" s="150">
        <v>720000.0</v>
      </c>
      <c r="I34" s="122" t="s">
        <v>212</v>
      </c>
      <c r="J34" s="150">
        <v>350000.0</v>
      </c>
      <c r="K34" s="204" t="s">
        <v>212</v>
      </c>
      <c r="L34" s="100">
        <f t="shared" si="4"/>
        <v>370000</v>
      </c>
      <c r="M34" s="149"/>
      <c r="N34" s="184"/>
      <c r="O34" s="240"/>
      <c r="P34" s="240"/>
    </row>
    <row r="35" ht="15.75" customHeight="1">
      <c r="A35" s="17">
        <v>12.0</v>
      </c>
      <c r="B35" s="112">
        <v>45639.0</v>
      </c>
      <c r="C35" s="17" t="s">
        <v>390</v>
      </c>
      <c r="D35" s="17" t="s">
        <v>575</v>
      </c>
      <c r="E35" s="204" t="s">
        <v>30</v>
      </c>
      <c r="F35" s="98" t="s">
        <v>491</v>
      </c>
      <c r="G35" s="151">
        <v>9000.0</v>
      </c>
      <c r="H35" s="107">
        <v>765000.0</v>
      </c>
      <c r="I35" s="108" t="s">
        <v>44</v>
      </c>
      <c r="J35" s="109">
        <v>450000.0</v>
      </c>
      <c r="K35" s="204" t="s">
        <v>212</v>
      </c>
      <c r="L35" s="100">
        <f t="shared" si="4"/>
        <v>315000</v>
      </c>
      <c r="M35" s="149"/>
      <c r="N35" s="184"/>
      <c r="O35" s="240"/>
      <c r="P35" s="240"/>
    </row>
    <row r="36" ht="15.75" customHeight="1">
      <c r="A36" s="17">
        <v>13.0</v>
      </c>
      <c r="B36" s="112">
        <v>45639.0</v>
      </c>
      <c r="C36" s="17" t="s">
        <v>390</v>
      </c>
      <c r="D36" s="17" t="s">
        <v>575</v>
      </c>
      <c r="E36" s="204" t="s">
        <v>941</v>
      </c>
      <c r="F36" s="204" t="s">
        <v>825</v>
      </c>
      <c r="G36" s="151">
        <v>10000.0</v>
      </c>
      <c r="H36" s="128">
        <v>1400000.0</v>
      </c>
      <c r="I36" s="108" t="s">
        <v>44</v>
      </c>
      <c r="J36" s="128">
        <v>900000.0</v>
      </c>
      <c r="K36" s="204" t="s">
        <v>523</v>
      </c>
      <c r="L36" s="100">
        <f t="shared" si="4"/>
        <v>500000</v>
      </c>
      <c r="M36" s="149"/>
      <c r="N36" s="184"/>
      <c r="O36" s="240"/>
      <c r="P36" s="240"/>
    </row>
    <row r="37" ht="15.75" customHeight="1">
      <c r="A37" s="17">
        <v>14.0</v>
      </c>
      <c r="B37" s="112">
        <v>45642.0</v>
      </c>
      <c r="C37" s="17" t="s">
        <v>390</v>
      </c>
      <c r="D37" s="17" t="s">
        <v>575</v>
      </c>
      <c r="E37" s="204" t="s">
        <v>45</v>
      </c>
      <c r="F37" s="204" t="s">
        <v>495</v>
      </c>
      <c r="G37" s="151">
        <v>9000.0</v>
      </c>
      <c r="H37" s="128">
        <v>1215000.0</v>
      </c>
      <c r="I37" s="108" t="s">
        <v>238</v>
      </c>
      <c r="J37" s="128">
        <f>700000+25000</f>
        <v>725000</v>
      </c>
      <c r="K37" s="204" t="s">
        <v>212</v>
      </c>
      <c r="L37" s="100">
        <f t="shared" si="4"/>
        <v>490000</v>
      </c>
      <c r="M37" s="149">
        <f>90000+35000</f>
        <v>125000</v>
      </c>
      <c r="N37" s="152"/>
      <c r="O37" s="240"/>
      <c r="P37" s="240"/>
    </row>
    <row r="38" ht="15.75" customHeight="1">
      <c r="A38" s="17">
        <v>15.0</v>
      </c>
      <c r="B38" s="112">
        <v>45643.0</v>
      </c>
      <c r="C38" s="17" t="s">
        <v>390</v>
      </c>
      <c r="D38" s="17" t="s">
        <v>575</v>
      </c>
      <c r="E38" s="204" t="s">
        <v>273</v>
      </c>
      <c r="F38" s="204" t="s">
        <v>689</v>
      </c>
      <c r="G38" s="151">
        <v>10000.0</v>
      </c>
      <c r="H38" s="202">
        <v>1300000.0</v>
      </c>
      <c r="I38" s="115" t="s">
        <v>238</v>
      </c>
      <c r="J38" s="202">
        <f>640000+25000+25000</f>
        <v>690000</v>
      </c>
      <c r="K38" s="204" t="s">
        <v>238</v>
      </c>
      <c r="L38" s="100">
        <f t="shared" si="4"/>
        <v>610000</v>
      </c>
      <c r="M38" s="149"/>
      <c r="N38" s="184"/>
      <c r="O38" s="240"/>
      <c r="P38" s="240"/>
    </row>
    <row r="39" ht="15.75" customHeight="1">
      <c r="A39" s="17">
        <v>16.0</v>
      </c>
      <c r="B39" s="112">
        <v>45644.0</v>
      </c>
      <c r="C39" s="17" t="s">
        <v>390</v>
      </c>
      <c r="D39" s="17" t="s">
        <v>575</v>
      </c>
      <c r="E39" s="204" t="s">
        <v>273</v>
      </c>
      <c r="F39" s="204" t="s">
        <v>840</v>
      </c>
      <c r="G39" s="151">
        <v>9000.0</v>
      </c>
      <c r="H39" s="149">
        <v>900000.0</v>
      </c>
      <c r="I39" s="115" t="s">
        <v>238</v>
      </c>
      <c r="J39" s="172">
        <f>350000+25000</f>
        <v>375000</v>
      </c>
      <c r="K39" s="204" t="s">
        <v>238</v>
      </c>
      <c r="L39" s="100">
        <f t="shared" si="4"/>
        <v>525000</v>
      </c>
      <c r="M39" s="149"/>
      <c r="N39" s="184"/>
      <c r="O39" s="240"/>
      <c r="P39" s="240"/>
    </row>
    <row r="40" ht="15.75" customHeight="1">
      <c r="A40" s="17">
        <v>17.0</v>
      </c>
      <c r="B40" s="112">
        <v>45645.0</v>
      </c>
      <c r="C40" s="17" t="s">
        <v>390</v>
      </c>
      <c r="D40" s="17" t="s">
        <v>575</v>
      </c>
      <c r="E40" s="204" t="s">
        <v>242</v>
      </c>
      <c r="F40" s="204" t="s">
        <v>942</v>
      </c>
      <c r="G40" s="151">
        <v>9000.0</v>
      </c>
      <c r="H40" s="150">
        <v>675000.0</v>
      </c>
      <c r="I40" s="115" t="s">
        <v>212</v>
      </c>
      <c r="J40" s="150">
        <v>375000.0</v>
      </c>
      <c r="K40" s="204" t="s">
        <v>238</v>
      </c>
      <c r="L40" s="100">
        <f t="shared" si="4"/>
        <v>300000</v>
      </c>
      <c r="M40" s="149"/>
      <c r="N40" s="184"/>
      <c r="O40" s="240"/>
      <c r="P40" s="240"/>
    </row>
    <row r="41" ht="15.75" customHeight="1">
      <c r="A41" s="17">
        <v>18.0</v>
      </c>
      <c r="B41" s="112">
        <v>45645.0</v>
      </c>
      <c r="C41" s="17" t="s">
        <v>390</v>
      </c>
      <c r="D41" s="17" t="s">
        <v>575</v>
      </c>
      <c r="E41" s="204" t="s">
        <v>80</v>
      </c>
      <c r="F41" s="204" t="s">
        <v>943</v>
      </c>
      <c r="G41" s="302">
        <v>9000.0</v>
      </c>
      <c r="H41" s="58">
        <v>1400000.0</v>
      </c>
      <c r="I41" s="108" t="s">
        <v>212</v>
      </c>
      <c r="J41" s="60">
        <v>900000.0</v>
      </c>
      <c r="K41" s="204" t="s">
        <v>212</v>
      </c>
      <c r="L41" s="100">
        <f t="shared" si="4"/>
        <v>500000</v>
      </c>
      <c r="N41" s="240"/>
      <c r="O41" s="240"/>
      <c r="P41" s="240"/>
    </row>
    <row r="42" ht="15.75" customHeight="1">
      <c r="A42" s="17">
        <v>19.0</v>
      </c>
      <c r="B42" s="112">
        <v>45646.0</v>
      </c>
      <c r="C42" s="17" t="s">
        <v>390</v>
      </c>
      <c r="D42" s="17" t="s">
        <v>575</v>
      </c>
      <c r="E42" s="204" t="s">
        <v>944</v>
      </c>
      <c r="F42" s="98" t="s">
        <v>945</v>
      </c>
      <c r="G42" s="302">
        <v>9000.0</v>
      </c>
      <c r="H42" s="208">
        <v>1000000.0</v>
      </c>
      <c r="I42" s="152" t="s">
        <v>238</v>
      </c>
      <c r="J42" s="121">
        <v>550000.0</v>
      </c>
      <c r="K42" s="204" t="s">
        <v>212</v>
      </c>
      <c r="L42" s="100">
        <f t="shared" si="4"/>
        <v>450000</v>
      </c>
      <c r="N42" s="240"/>
      <c r="O42" s="240"/>
      <c r="P42" s="240"/>
    </row>
    <row r="43" ht="15.75" customHeight="1">
      <c r="A43" s="17">
        <v>20.0</v>
      </c>
      <c r="B43" s="112">
        <v>45647.0</v>
      </c>
      <c r="C43" s="17" t="s">
        <v>390</v>
      </c>
      <c r="D43" s="17" t="s">
        <v>575</v>
      </c>
      <c r="E43" s="204" t="s">
        <v>254</v>
      </c>
      <c r="F43" s="98" t="s">
        <v>234</v>
      </c>
      <c r="G43" s="151">
        <v>10000.0</v>
      </c>
      <c r="H43" s="107">
        <v>1500000.0</v>
      </c>
      <c r="I43" s="108" t="s">
        <v>238</v>
      </c>
      <c r="J43" s="109">
        <v>950000.0</v>
      </c>
      <c r="K43" s="204" t="s">
        <v>212</v>
      </c>
      <c r="L43" s="100">
        <f t="shared" si="4"/>
        <v>550000</v>
      </c>
      <c r="M43" s="149"/>
      <c r="N43" s="240"/>
      <c r="O43" s="240"/>
      <c r="P43" s="240"/>
    </row>
    <row r="44" ht="15.75" customHeight="1">
      <c r="A44" s="17">
        <v>21.0</v>
      </c>
      <c r="B44" s="112">
        <v>45649.0</v>
      </c>
      <c r="C44" s="17" t="s">
        <v>390</v>
      </c>
      <c r="D44" s="17" t="s">
        <v>575</v>
      </c>
      <c r="E44" s="204" t="s">
        <v>242</v>
      </c>
      <c r="F44" s="98" t="s">
        <v>239</v>
      </c>
      <c r="G44" s="302">
        <v>10000.0</v>
      </c>
      <c r="H44" s="25">
        <v>1200000.0</v>
      </c>
      <c r="I44" s="108" t="s">
        <v>212</v>
      </c>
      <c r="J44" s="27">
        <v>640000.0</v>
      </c>
      <c r="K44" s="204" t="s">
        <v>238</v>
      </c>
      <c r="L44" s="100">
        <f t="shared" si="4"/>
        <v>560000</v>
      </c>
      <c r="M44" s="150">
        <v>150000.0</v>
      </c>
      <c r="N44" s="240"/>
      <c r="O44" s="240"/>
      <c r="P44" s="240"/>
    </row>
    <row r="45" ht="15.75" customHeight="1">
      <c r="A45" s="17">
        <v>22.0</v>
      </c>
      <c r="B45" s="112">
        <v>45650.0</v>
      </c>
      <c r="C45" s="17" t="s">
        <v>390</v>
      </c>
      <c r="D45" s="17" t="s">
        <v>575</v>
      </c>
      <c r="E45" s="98" t="s">
        <v>123</v>
      </c>
      <c r="F45" s="204" t="s">
        <v>543</v>
      </c>
      <c r="G45" s="151">
        <v>9000.0</v>
      </c>
      <c r="H45" s="150">
        <v>720000.0</v>
      </c>
      <c r="I45" s="108" t="s">
        <v>212</v>
      </c>
      <c r="J45" s="150">
        <v>350000.0</v>
      </c>
      <c r="K45" s="204" t="s">
        <v>238</v>
      </c>
      <c r="L45" s="100">
        <f t="shared" si="4"/>
        <v>370000</v>
      </c>
      <c r="M45" s="149"/>
      <c r="N45" s="240"/>
      <c r="O45" s="240"/>
      <c r="P45" s="240"/>
    </row>
    <row r="46" ht="15.75" customHeight="1">
      <c r="A46" s="17">
        <v>23.0</v>
      </c>
      <c r="B46" s="112">
        <v>45652.0</v>
      </c>
      <c r="C46" s="17" t="s">
        <v>390</v>
      </c>
      <c r="D46" s="17" t="s">
        <v>575</v>
      </c>
      <c r="E46" s="98" t="s">
        <v>383</v>
      </c>
      <c r="F46" s="204" t="s">
        <v>946</v>
      </c>
      <c r="G46" s="151">
        <v>10000.0</v>
      </c>
      <c r="H46" s="149">
        <v>1200000.0</v>
      </c>
      <c r="I46" s="323" t="s">
        <v>212</v>
      </c>
      <c r="J46" s="207">
        <v>690000.0</v>
      </c>
      <c r="K46" s="204" t="s">
        <v>212</v>
      </c>
      <c r="L46" s="100">
        <f t="shared" si="4"/>
        <v>510000</v>
      </c>
      <c r="M46" s="149"/>
      <c r="N46" s="240"/>
      <c r="O46" s="240"/>
      <c r="P46" s="240"/>
    </row>
    <row r="47" ht="15.75" customHeight="1">
      <c r="A47" s="17">
        <v>24.0</v>
      </c>
      <c r="B47" s="112">
        <v>45653.0</v>
      </c>
      <c r="C47" s="17" t="s">
        <v>390</v>
      </c>
      <c r="D47" s="17" t="s">
        <v>575</v>
      </c>
      <c r="E47" s="98" t="s">
        <v>279</v>
      </c>
      <c r="F47" s="98" t="s">
        <v>549</v>
      </c>
      <c r="G47" s="110">
        <v>9000.0</v>
      </c>
      <c r="H47" s="61">
        <v>1305000.0</v>
      </c>
      <c r="I47" s="115" t="s">
        <v>238</v>
      </c>
      <c r="J47" s="61">
        <v>725000.0</v>
      </c>
      <c r="K47" s="204" t="s">
        <v>212</v>
      </c>
      <c r="L47" s="100">
        <f t="shared" si="4"/>
        <v>580000</v>
      </c>
      <c r="M47" s="150">
        <v>165000.0</v>
      </c>
      <c r="N47" s="240"/>
      <c r="O47" s="240"/>
      <c r="P47" s="240"/>
    </row>
    <row r="48" ht="15.75" customHeight="1">
      <c r="A48" s="17">
        <v>25.0</v>
      </c>
      <c r="B48" s="112">
        <v>45654.0</v>
      </c>
      <c r="C48" s="17" t="s">
        <v>390</v>
      </c>
      <c r="D48" s="17" t="s">
        <v>575</v>
      </c>
      <c r="E48" s="204" t="s">
        <v>254</v>
      </c>
      <c r="F48" s="204" t="s">
        <v>585</v>
      </c>
      <c r="G48" s="151">
        <v>9000.0</v>
      </c>
      <c r="H48" s="121">
        <v>1300000.0</v>
      </c>
      <c r="I48" s="323" t="s">
        <v>212</v>
      </c>
      <c r="J48" s="104">
        <f>850000+25000</f>
        <v>875000</v>
      </c>
      <c r="K48" s="204" t="s">
        <v>238</v>
      </c>
      <c r="L48" s="100">
        <f t="shared" si="4"/>
        <v>425000</v>
      </c>
      <c r="M48" s="150"/>
      <c r="N48" s="240"/>
      <c r="O48" s="240"/>
      <c r="P48" s="240"/>
    </row>
    <row r="49" ht="15.75" customHeight="1">
      <c r="A49" s="17">
        <v>26.0</v>
      </c>
      <c r="B49" s="112">
        <v>45656.0</v>
      </c>
      <c r="C49" s="17" t="s">
        <v>390</v>
      </c>
      <c r="D49" s="17" t="s">
        <v>575</v>
      </c>
      <c r="E49" s="204" t="s">
        <v>243</v>
      </c>
      <c r="F49" s="204" t="s">
        <v>321</v>
      </c>
      <c r="G49" s="151">
        <v>9000.0</v>
      </c>
      <c r="H49" s="202">
        <v>800000.0</v>
      </c>
      <c r="I49" s="323" t="s">
        <v>212</v>
      </c>
      <c r="J49" s="149">
        <v>400000.0</v>
      </c>
      <c r="K49" s="204" t="s">
        <v>238</v>
      </c>
      <c r="L49" s="100">
        <f t="shared" si="4"/>
        <v>400000</v>
      </c>
      <c r="M49" s="159"/>
      <c r="N49" s="240"/>
      <c r="O49" s="240"/>
      <c r="P49" s="240"/>
    </row>
    <row r="50" ht="15.75" customHeight="1">
      <c r="A50" s="98">
        <v>27.0</v>
      </c>
      <c r="B50" s="112">
        <v>45657.0</v>
      </c>
      <c r="C50" s="17" t="s">
        <v>390</v>
      </c>
      <c r="D50" s="17" t="s">
        <v>575</v>
      </c>
      <c r="E50" s="204" t="s">
        <v>242</v>
      </c>
      <c r="F50" s="204" t="s">
        <v>36</v>
      </c>
      <c r="G50" s="151">
        <v>10000.0</v>
      </c>
      <c r="H50" s="104">
        <v>1500000.0</v>
      </c>
      <c r="I50" s="115" t="s">
        <v>238</v>
      </c>
      <c r="J50" s="104">
        <v>850000.0</v>
      </c>
      <c r="K50" s="204" t="s">
        <v>238</v>
      </c>
      <c r="L50" s="100">
        <f t="shared" si="4"/>
        <v>650000</v>
      </c>
      <c r="M50" s="149"/>
      <c r="N50" s="240"/>
      <c r="O50" s="240"/>
      <c r="P50" s="240"/>
    </row>
    <row r="51" ht="15.75" customHeight="1">
      <c r="A51" s="169"/>
      <c r="B51" s="240"/>
      <c r="C51" s="240"/>
      <c r="D51" s="240"/>
      <c r="E51" s="169"/>
      <c r="F51" s="169"/>
      <c r="G51" s="170"/>
      <c r="H51" s="149"/>
      <c r="I51" s="97"/>
      <c r="J51" s="149"/>
      <c r="K51" s="169"/>
      <c r="L51" s="52">
        <f t="shared" ref="L51:M51" si="5">SUM(L24:L50)</f>
        <v>13495000</v>
      </c>
      <c r="M51" s="194">
        <f t="shared" si="5"/>
        <v>1780000</v>
      </c>
      <c r="N51" s="240"/>
      <c r="O51" s="240"/>
      <c r="P51" s="240"/>
    </row>
    <row r="52" ht="15.75" customHeight="1">
      <c r="A52" s="247"/>
      <c r="B52" s="247"/>
      <c r="C52" s="247"/>
      <c r="D52" s="247"/>
      <c r="E52" s="340"/>
      <c r="F52" s="247"/>
      <c r="G52" s="341"/>
      <c r="H52" s="339"/>
      <c r="I52" s="342"/>
      <c r="J52" s="339"/>
      <c r="K52" s="341"/>
      <c r="L52" s="231">
        <f>L51-M51</f>
        <v>11715000</v>
      </c>
      <c r="M52" s="104"/>
      <c r="N52" s="102"/>
      <c r="O52" s="240"/>
      <c r="P52" s="240"/>
    </row>
    <row r="53" ht="15.75" customHeight="1">
      <c r="A53" s="86"/>
      <c r="B53" s="86"/>
      <c r="C53" s="17"/>
      <c r="D53" s="17"/>
      <c r="E53" s="169"/>
      <c r="F53" s="169"/>
      <c r="G53" s="170"/>
      <c r="H53" s="149"/>
      <c r="I53" s="96"/>
      <c r="J53" s="149"/>
      <c r="K53" s="169"/>
      <c r="L53" s="58"/>
      <c r="M53" s="149"/>
      <c r="N53" s="240"/>
      <c r="O53" s="240"/>
      <c r="P53" s="240"/>
    </row>
    <row r="54" ht="15.75" customHeight="1">
      <c r="A54" s="89" t="s">
        <v>209</v>
      </c>
      <c r="B54" s="89" t="s">
        <v>0</v>
      </c>
      <c r="C54" s="89" t="s">
        <v>1</v>
      </c>
      <c r="D54" s="89" t="s">
        <v>2</v>
      </c>
      <c r="E54" s="90" t="s">
        <v>3</v>
      </c>
      <c r="F54" s="89" t="s">
        <v>4</v>
      </c>
      <c r="G54" s="91" t="s">
        <v>5</v>
      </c>
      <c r="H54" s="119" t="s">
        <v>6</v>
      </c>
      <c r="I54" s="92" t="s">
        <v>39</v>
      </c>
      <c r="J54" s="119" t="s">
        <v>7</v>
      </c>
      <c r="K54" s="91" t="s">
        <v>39</v>
      </c>
      <c r="L54" s="92" t="s">
        <v>8</v>
      </c>
      <c r="M54" s="120" t="s">
        <v>9</v>
      </c>
      <c r="N54" s="240"/>
      <c r="O54" s="240"/>
      <c r="P54" s="240"/>
    </row>
    <row r="55" ht="15.75" customHeight="1">
      <c r="A55" s="203">
        <v>1.0</v>
      </c>
      <c r="B55" s="112">
        <v>45659.0</v>
      </c>
      <c r="C55" s="17" t="s">
        <v>390</v>
      </c>
      <c r="D55" s="17" t="s">
        <v>575</v>
      </c>
      <c r="E55" s="204" t="s">
        <v>279</v>
      </c>
      <c r="F55" s="204" t="s">
        <v>264</v>
      </c>
      <c r="G55" s="151">
        <v>10000.0</v>
      </c>
      <c r="H55" s="107">
        <v>1500000.0</v>
      </c>
      <c r="I55" s="108" t="s">
        <v>238</v>
      </c>
      <c r="J55" s="109">
        <v>950000.0</v>
      </c>
      <c r="K55" s="204" t="s">
        <v>238</v>
      </c>
      <c r="L55" s="58">
        <f t="shared" ref="L55:L61" si="6">H55-J55</f>
        <v>550000</v>
      </c>
      <c r="M55" s="149"/>
      <c r="N55" s="243"/>
      <c r="O55" s="240"/>
      <c r="P55" s="240"/>
    </row>
    <row r="56" ht="15.75" customHeight="1">
      <c r="A56" s="204">
        <v>2.0</v>
      </c>
      <c r="B56" s="112">
        <v>45660.0</v>
      </c>
      <c r="C56" s="17" t="s">
        <v>390</v>
      </c>
      <c r="D56" s="17" t="s">
        <v>575</v>
      </c>
      <c r="E56" s="204" t="s">
        <v>243</v>
      </c>
      <c r="F56" s="17" t="s">
        <v>66</v>
      </c>
      <c r="G56" s="170">
        <v>10000.0</v>
      </c>
      <c r="H56" s="173">
        <v>750000.0</v>
      </c>
      <c r="I56" s="211" t="s">
        <v>212</v>
      </c>
      <c r="J56" s="193">
        <v>375000.0</v>
      </c>
      <c r="K56" s="204" t="s">
        <v>238</v>
      </c>
      <c r="L56" s="58">
        <f t="shared" si="6"/>
        <v>375000</v>
      </c>
      <c r="M56" s="149"/>
      <c r="N56" s="240"/>
      <c r="O56" s="240"/>
      <c r="P56" s="240"/>
    </row>
    <row r="57" ht="15.75" customHeight="1">
      <c r="A57" s="204">
        <v>3.0</v>
      </c>
      <c r="B57" s="112">
        <v>45661.0</v>
      </c>
      <c r="C57" s="17" t="s">
        <v>390</v>
      </c>
      <c r="D57" s="17" t="s">
        <v>575</v>
      </c>
      <c r="E57" s="204" t="s">
        <v>243</v>
      </c>
      <c r="F57" s="204" t="s">
        <v>849</v>
      </c>
      <c r="G57" s="151">
        <v>9000.0</v>
      </c>
      <c r="H57" s="173">
        <v>1400000.0</v>
      </c>
      <c r="I57" s="211" t="s">
        <v>238</v>
      </c>
      <c r="J57" s="193">
        <v>850000.0</v>
      </c>
      <c r="K57" s="204" t="s">
        <v>238</v>
      </c>
      <c r="L57" s="58">
        <f t="shared" si="6"/>
        <v>550000</v>
      </c>
      <c r="M57" s="149"/>
      <c r="N57" s="243"/>
      <c r="O57" s="240"/>
      <c r="P57" s="240"/>
    </row>
    <row r="58" ht="15.75" customHeight="1">
      <c r="A58" s="204">
        <v>4.0</v>
      </c>
      <c r="B58" s="112">
        <v>45663.0</v>
      </c>
      <c r="C58" s="17" t="s">
        <v>390</v>
      </c>
      <c r="D58" s="17" t="s">
        <v>575</v>
      </c>
      <c r="E58" s="204" t="s">
        <v>30</v>
      </c>
      <c r="F58" s="204" t="s">
        <v>207</v>
      </c>
      <c r="G58" s="151">
        <v>10000.0</v>
      </c>
      <c r="H58" s="58">
        <v>1600000.0</v>
      </c>
      <c r="I58" s="125" t="s">
        <v>238</v>
      </c>
      <c r="J58" s="60">
        <v>975000.0</v>
      </c>
      <c r="K58" s="204" t="s">
        <v>42</v>
      </c>
      <c r="L58" s="58">
        <f t="shared" si="6"/>
        <v>625000</v>
      </c>
      <c r="M58" s="150">
        <v>683000.0</v>
      </c>
      <c r="N58" s="240"/>
      <c r="O58" s="240"/>
      <c r="P58" s="240"/>
    </row>
    <row r="59" ht="15.75" customHeight="1">
      <c r="A59" s="204">
        <v>5.0</v>
      </c>
      <c r="B59" s="112">
        <v>45664.0</v>
      </c>
      <c r="C59" s="17" t="s">
        <v>390</v>
      </c>
      <c r="D59" s="17" t="s">
        <v>575</v>
      </c>
      <c r="E59" s="204" t="s">
        <v>279</v>
      </c>
      <c r="F59" s="17" t="s">
        <v>66</v>
      </c>
      <c r="G59" s="151">
        <v>9000.0</v>
      </c>
      <c r="H59" s="104">
        <v>675000.0</v>
      </c>
      <c r="I59" s="211" t="s">
        <v>212</v>
      </c>
      <c r="J59" s="104">
        <v>350000.0</v>
      </c>
      <c r="K59" s="204" t="s">
        <v>238</v>
      </c>
      <c r="L59" s="58">
        <f t="shared" si="6"/>
        <v>325000</v>
      </c>
      <c r="M59" s="149"/>
      <c r="N59" s="240"/>
      <c r="O59" s="240"/>
      <c r="P59" s="240"/>
    </row>
    <row r="60" ht="15.75" customHeight="1">
      <c r="A60" s="204">
        <v>6.0</v>
      </c>
      <c r="B60" s="112">
        <v>45665.0</v>
      </c>
      <c r="C60" s="17" t="s">
        <v>390</v>
      </c>
      <c r="D60" s="17" t="s">
        <v>575</v>
      </c>
      <c r="E60" s="204" t="s">
        <v>243</v>
      </c>
      <c r="F60" s="204" t="s">
        <v>572</v>
      </c>
      <c r="G60" s="151">
        <v>9000.0</v>
      </c>
      <c r="H60" s="149">
        <v>1035000.0</v>
      </c>
      <c r="I60" s="211" t="s">
        <v>212</v>
      </c>
      <c r="J60" s="149">
        <v>600000.0</v>
      </c>
      <c r="K60" s="204" t="s">
        <v>238</v>
      </c>
      <c r="L60" s="58">
        <f t="shared" si="6"/>
        <v>435000</v>
      </c>
      <c r="M60" s="149"/>
      <c r="N60" s="240"/>
      <c r="O60" s="240"/>
      <c r="P60" s="240"/>
    </row>
    <row r="61" ht="15.75" customHeight="1">
      <c r="A61" s="204">
        <v>7.0</v>
      </c>
      <c r="B61" s="112">
        <v>45666.0</v>
      </c>
      <c r="C61" s="17" t="s">
        <v>390</v>
      </c>
      <c r="D61" s="17" t="s">
        <v>575</v>
      </c>
      <c r="E61" s="204" t="s">
        <v>243</v>
      </c>
      <c r="F61" s="204" t="s">
        <v>510</v>
      </c>
      <c r="G61" s="151">
        <v>9000.0</v>
      </c>
      <c r="H61" s="208">
        <v>1125000.0</v>
      </c>
      <c r="I61" s="206" t="s">
        <v>212</v>
      </c>
      <c r="J61" s="121">
        <v>640000.0</v>
      </c>
      <c r="K61" s="204" t="s">
        <v>42</v>
      </c>
      <c r="L61" s="58">
        <f t="shared" si="6"/>
        <v>485000</v>
      </c>
      <c r="M61" s="149"/>
      <c r="N61" s="240"/>
      <c r="O61" s="240"/>
      <c r="P61" s="240"/>
    </row>
    <row r="62" ht="15.75" customHeight="1">
      <c r="A62" s="204">
        <v>8.0</v>
      </c>
      <c r="B62" s="112">
        <v>45667.0</v>
      </c>
      <c r="C62" s="17" t="s">
        <v>390</v>
      </c>
      <c r="D62" s="17" t="s">
        <v>575</v>
      </c>
      <c r="E62" s="204" t="s">
        <v>273</v>
      </c>
      <c r="F62" s="204" t="s">
        <v>303</v>
      </c>
      <c r="G62" s="151">
        <v>9000.0</v>
      </c>
      <c r="H62" s="101">
        <v>1215000.0</v>
      </c>
      <c r="I62" s="115" t="s">
        <v>238</v>
      </c>
      <c r="J62" s="128">
        <v>725000.0</v>
      </c>
      <c r="K62" s="204" t="s">
        <v>42</v>
      </c>
      <c r="L62" s="58">
        <f>'P ZAENAL (P9611GA)'!H107-'P ZAENAL (P9611GA)'!J107</f>
        <v>435000</v>
      </c>
      <c r="M62" s="104"/>
      <c r="O62" s="240"/>
      <c r="P62" s="240"/>
    </row>
    <row r="63" ht="15.75" customHeight="1">
      <c r="A63" s="204">
        <v>9.0</v>
      </c>
      <c r="B63" s="112">
        <v>45670.0</v>
      </c>
      <c r="C63" s="17" t="s">
        <v>390</v>
      </c>
      <c r="D63" s="17" t="s">
        <v>575</v>
      </c>
      <c r="E63" s="204" t="s">
        <v>273</v>
      </c>
      <c r="F63" s="204" t="s">
        <v>511</v>
      </c>
      <c r="G63" s="151">
        <v>10000.0</v>
      </c>
      <c r="H63" s="121">
        <v>1500000.0</v>
      </c>
      <c r="I63" s="115" t="s">
        <v>238</v>
      </c>
      <c r="J63" s="121">
        <v>325000.0</v>
      </c>
      <c r="K63" s="204" t="s">
        <v>42</v>
      </c>
      <c r="L63" s="58">
        <f>'P ZAENAL (P9611GA)'!H108-'P ZAENAL (P9611GA)'!J108</f>
        <v>650000</v>
      </c>
      <c r="M63" s="149"/>
      <c r="O63" s="240"/>
      <c r="P63" s="240"/>
    </row>
    <row r="64" ht="15.75" customHeight="1">
      <c r="A64" s="204">
        <v>10.0</v>
      </c>
      <c r="B64" s="112">
        <v>45670.0</v>
      </c>
      <c r="C64" s="17" t="s">
        <v>390</v>
      </c>
      <c r="D64" s="17" t="s">
        <v>575</v>
      </c>
      <c r="E64" s="98" t="s">
        <v>279</v>
      </c>
      <c r="F64" s="98" t="s">
        <v>324</v>
      </c>
      <c r="G64" s="110">
        <v>9000.0</v>
      </c>
      <c r="H64" s="104">
        <v>675000.0</v>
      </c>
      <c r="I64" s="211" t="s">
        <v>212</v>
      </c>
      <c r="J64" s="232">
        <v>350000.0</v>
      </c>
      <c r="K64" s="204" t="s">
        <v>42</v>
      </c>
      <c r="L64" s="58">
        <f t="shared" ref="L64:L76" si="7">H64-J64</f>
        <v>325000</v>
      </c>
      <c r="M64" s="149"/>
      <c r="O64" s="240"/>
      <c r="P64" s="240"/>
    </row>
    <row r="65" ht="15.75" customHeight="1">
      <c r="A65" s="204">
        <v>11.0</v>
      </c>
      <c r="B65" s="112">
        <v>45671.0</v>
      </c>
      <c r="C65" s="17" t="s">
        <v>390</v>
      </c>
      <c r="D65" s="17" t="s">
        <v>575</v>
      </c>
      <c r="E65" s="204" t="s">
        <v>242</v>
      </c>
      <c r="F65" s="204" t="s">
        <v>942</v>
      </c>
      <c r="G65" s="151">
        <v>9000.0</v>
      </c>
      <c r="H65" s="150">
        <v>675000.0</v>
      </c>
      <c r="I65" s="152" t="s">
        <v>212</v>
      </c>
      <c r="J65" s="150">
        <v>375000.0</v>
      </c>
      <c r="K65" s="204" t="s">
        <v>42</v>
      </c>
      <c r="L65" s="58">
        <f t="shared" si="7"/>
        <v>300000</v>
      </c>
      <c r="M65" s="149"/>
      <c r="N65" s="240"/>
      <c r="O65" s="240"/>
      <c r="P65" s="240"/>
    </row>
    <row r="66" ht="15.75" customHeight="1">
      <c r="A66" s="204">
        <v>12.0</v>
      </c>
      <c r="B66" s="112">
        <v>45672.0</v>
      </c>
      <c r="C66" s="17" t="s">
        <v>390</v>
      </c>
      <c r="D66" s="17" t="s">
        <v>575</v>
      </c>
      <c r="E66" s="204" t="s">
        <v>279</v>
      </c>
      <c r="F66" s="204" t="s">
        <v>264</v>
      </c>
      <c r="G66" s="151">
        <v>9000.0</v>
      </c>
      <c r="H66" s="107">
        <v>1350000.0</v>
      </c>
      <c r="I66" s="108" t="s">
        <v>238</v>
      </c>
      <c r="J66" s="109">
        <v>855000.0</v>
      </c>
      <c r="K66" s="204" t="s">
        <v>42</v>
      </c>
      <c r="L66" s="58">
        <f t="shared" si="7"/>
        <v>495000</v>
      </c>
      <c r="M66" s="149"/>
    </row>
    <row r="67" ht="15.75" customHeight="1">
      <c r="A67" s="204">
        <v>13.0</v>
      </c>
      <c r="B67" s="112">
        <v>45673.0</v>
      </c>
      <c r="C67" s="17" t="s">
        <v>390</v>
      </c>
      <c r="D67" s="17" t="s">
        <v>575</v>
      </c>
      <c r="E67" s="204" t="s">
        <v>947</v>
      </c>
      <c r="F67" s="204" t="s">
        <v>948</v>
      </c>
      <c r="G67" s="151">
        <v>9000.0</v>
      </c>
      <c r="H67" s="345">
        <v>800000.0</v>
      </c>
      <c r="I67" s="152" t="s">
        <v>212</v>
      </c>
      <c r="J67" s="202">
        <v>400000.0</v>
      </c>
      <c r="K67" s="204" t="s">
        <v>42</v>
      </c>
      <c r="L67" s="58">
        <f t="shared" si="7"/>
        <v>400000</v>
      </c>
      <c r="M67" s="149"/>
    </row>
    <row r="68" ht="15.75" customHeight="1">
      <c r="A68" s="204">
        <v>14.0</v>
      </c>
      <c r="B68" s="112">
        <v>45674.0</v>
      </c>
      <c r="C68" s="17" t="s">
        <v>390</v>
      </c>
      <c r="D68" s="17" t="s">
        <v>575</v>
      </c>
      <c r="E68" s="204" t="s">
        <v>254</v>
      </c>
      <c r="F68" s="204" t="s">
        <v>512</v>
      </c>
      <c r="G68" s="151">
        <v>10000.0</v>
      </c>
      <c r="H68" s="150">
        <v>1000000.0</v>
      </c>
      <c r="I68" s="115" t="s">
        <v>238</v>
      </c>
      <c r="J68" s="150">
        <v>500000.0</v>
      </c>
      <c r="K68" s="204" t="s">
        <v>238</v>
      </c>
      <c r="L68" s="58">
        <f t="shared" si="7"/>
        <v>500000</v>
      </c>
      <c r="M68" s="150">
        <v>1045000.0</v>
      </c>
    </row>
    <row r="69" ht="15.75" customHeight="1">
      <c r="A69" s="204">
        <v>15.0</v>
      </c>
      <c r="B69" s="112">
        <v>45675.0</v>
      </c>
      <c r="C69" s="17" t="s">
        <v>390</v>
      </c>
      <c r="D69" s="17" t="s">
        <v>575</v>
      </c>
      <c r="E69" s="204" t="s">
        <v>279</v>
      </c>
      <c r="F69" s="204" t="s">
        <v>302</v>
      </c>
      <c r="G69" s="151">
        <v>9000.0</v>
      </c>
      <c r="H69" s="135">
        <v>720000.0</v>
      </c>
      <c r="I69" s="299" t="s">
        <v>238</v>
      </c>
      <c r="J69" s="121">
        <v>350000.0</v>
      </c>
      <c r="K69" s="204" t="s">
        <v>238</v>
      </c>
      <c r="L69" s="58">
        <f t="shared" si="7"/>
        <v>370000</v>
      </c>
      <c r="M69" s="149"/>
    </row>
    <row r="70" ht="15.75" customHeight="1">
      <c r="A70" s="204">
        <v>16.0</v>
      </c>
      <c r="B70" s="112">
        <v>45677.0</v>
      </c>
      <c r="C70" s="17" t="s">
        <v>390</v>
      </c>
      <c r="D70" s="17" t="s">
        <v>575</v>
      </c>
      <c r="E70" s="204" t="s">
        <v>80</v>
      </c>
      <c r="F70" s="204" t="s">
        <v>271</v>
      </c>
      <c r="G70" s="151">
        <v>9000.0</v>
      </c>
      <c r="H70" s="58">
        <v>675000.0</v>
      </c>
      <c r="I70" s="122" t="s">
        <v>238</v>
      </c>
      <c r="J70" s="60">
        <v>375000.0</v>
      </c>
      <c r="K70" s="204" t="s">
        <v>212</v>
      </c>
      <c r="L70" s="58">
        <f t="shared" si="7"/>
        <v>300000</v>
      </c>
      <c r="M70" s="149"/>
    </row>
    <row r="71" ht="15.75" customHeight="1">
      <c r="A71" s="204">
        <v>17.0</v>
      </c>
      <c r="B71" s="112">
        <v>45678.0</v>
      </c>
      <c r="C71" s="17" t="s">
        <v>390</v>
      </c>
      <c r="D71" s="17" t="s">
        <v>575</v>
      </c>
      <c r="E71" s="204" t="s">
        <v>273</v>
      </c>
      <c r="F71" s="204" t="s">
        <v>511</v>
      </c>
      <c r="G71" s="151">
        <v>10000.0</v>
      </c>
      <c r="H71" s="121">
        <v>1500000.0</v>
      </c>
      <c r="I71" s="115" t="s">
        <v>238</v>
      </c>
      <c r="J71" s="121">
        <v>325000.0</v>
      </c>
      <c r="K71" s="204" t="s">
        <v>238</v>
      </c>
      <c r="L71" s="58">
        <f t="shared" si="7"/>
        <v>1175000</v>
      </c>
      <c r="M71" s="149"/>
    </row>
    <row r="72" ht="15.75" customHeight="1">
      <c r="A72" s="204">
        <v>18.0</v>
      </c>
      <c r="B72" s="112">
        <v>45678.0</v>
      </c>
      <c r="C72" s="17" t="s">
        <v>390</v>
      </c>
      <c r="D72" s="17" t="s">
        <v>575</v>
      </c>
      <c r="E72" s="204" t="s">
        <v>279</v>
      </c>
      <c r="F72" s="204" t="s">
        <v>303</v>
      </c>
      <c r="G72" s="151">
        <v>9000.0</v>
      </c>
      <c r="H72" s="101">
        <v>1215000.0</v>
      </c>
      <c r="I72" s="115" t="s">
        <v>238</v>
      </c>
      <c r="J72" s="128">
        <v>700000.0</v>
      </c>
      <c r="K72" s="204" t="s">
        <v>238</v>
      </c>
      <c r="L72" s="58">
        <f t="shared" si="7"/>
        <v>515000</v>
      </c>
      <c r="M72" s="149"/>
    </row>
    <row r="73" ht="15.75" customHeight="1">
      <c r="A73" s="204">
        <v>19.0</v>
      </c>
      <c r="B73" s="112">
        <v>45679.0</v>
      </c>
      <c r="C73" s="17" t="s">
        <v>390</v>
      </c>
      <c r="D73" s="17" t="s">
        <v>575</v>
      </c>
      <c r="E73" s="204" t="s">
        <v>242</v>
      </c>
      <c r="F73" s="204" t="s">
        <v>849</v>
      </c>
      <c r="G73" s="151">
        <v>9000.0</v>
      </c>
      <c r="H73" s="173">
        <v>1400000.0</v>
      </c>
      <c r="I73" s="115" t="s">
        <v>238</v>
      </c>
      <c r="J73" s="193">
        <v>850000.0</v>
      </c>
      <c r="K73" s="204" t="s">
        <v>238</v>
      </c>
      <c r="L73" s="58">
        <f t="shared" si="7"/>
        <v>550000</v>
      </c>
      <c r="M73" s="149"/>
    </row>
    <row r="74" ht="15.75" customHeight="1">
      <c r="A74" s="204">
        <v>20.0</v>
      </c>
      <c r="B74" s="112">
        <v>45680.0</v>
      </c>
      <c r="C74" s="17" t="s">
        <v>390</v>
      </c>
      <c r="D74" s="17" t="s">
        <v>575</v>
      </c>
      <c r="E74" s="204" t="s">
        <v>242</v>
      </c>
      <c r="F74" s="204" t="s">
        <v>949</v>
      </c>
      <c r="G74" s="110">
        <v>9000.0</v>
      </c>
      <c r="H74" s="149">
        <v>765000.0</v>
      </c>
      <c r="I74" s="152" t="s">
        <v>238</v>
      </c>
      <c r="J74" s="104">
        <v>450000.0</v>
      </c>
      <c r="K74" s="204" t="s">
        <v>238</v>
      </c>
      <c r="L74" s="58">
        <f t="shared" si="7"/>
        <v>315000</v>
      </c>
      <c r="M74" s="106">
        <v>40000.0</v>
      </c>
    </row>
    <row r="75" ht="15.75" customHeight="1">
      <c r="A75" s="204">
        <v>21.0</v>
      </c>
      <c r="B75" s="112">
        <v>45681.0</v>
      </c>
      <c r="C75" s="17" t="s">
        <v>390</v>
      </c>
      <c r="D75" s="98" t="s">
        <v>577</v>
      </c>
      <c r="E75" s="204" t="s">
        <v>514</v>
      </c>
      <c r="F75" s="98" t="s">
        <v>311</v>
      </c>
      <c r="G75" s="110">
        <v>9000.0</v>
      </c>
      <c r="H75" s="150">
        <v>720000.0</v>
      </c>
      <c r="I75" s="152" t="s">
        <v>238</v>
      </c>
      <c r="J75" s="150">
        <v>350000.0</v>
      </c>
      <c r="K75" s="98" t="s">
        <v>212</v>
      </c>
      <c r="L75" s="58">
        <f t="shared" si="7"/>
        <v>370000</v>
      </c>
      <c r="M75" s="149"/>
    </row>
    <row r="76" ht="15.75" customHeight="1">
      <c r="A76" s="213">
        <v>22.0</v>
      </c>
      <c r="B76" s="112">
        <v>45682.0</v>
      </c>
      <c r="C76" s="17" t="s">
        <v>390</v>
      </c>
      <c r="D76" s="98" t="s">
        <v>577</v>
      </c>
      <c r="E76" s="213" t="s">
        <v>280</v>
      </c>
      <c r="F76" s="204" t="s">
        <v>281</v>
      </c>
      <c r="G76" s="151">
        <v>9000.0</v>
      </c>
      <c r="H76" s="104">
        <v>1440000.0</v>
      </c>
      <c r="I76" s="152" t="s">
        <v>238</v>
      </c>
      <c r="J76" s="121">
        <v>925000.0</v>
      </c>
      <c r="K76" s="204" t="s">
        <v>238</v>
      </c>
      <c r="L76" s="58">
        <f t="shared" si="7"/>
        <v>515000</v>
      </c>
      <c r="M76" s="149"/>
    </row>
    <row r="77" ht="15.75" customHeight="1">
      <c r="A77" s="169"/>
      <c r="E77" s="169"/>
      <c r="F77" s="169"/>
      <c r="G77" s="170"/>
      <c r="H77" s="149"/>
      <c r="I77" s="97"/>
      <c r="J77" s="149"/>
      <c r="K77" s="169"/>
      <c r="M77" s="149"/>
    </row>
    <row r="78" ht="15.75" customHeight="1">
      <c r="A78" s="169"/>
      <c r="E78" s="169"/>
      <c r="F78" s="169"/>
      <c r="G78" s="170"/>
      <c r="H78" s="149"/>
      <c r="I78" s="97"/>
      <c r="J78" s="149"/>
      <c r="K78" s="169"/>
      <c r="L78" s="52">
        <f t="shared" ref="L78:M78" si="8">SUM(L55:L77)</f>
        <v>10560000</v>
      </c>
      <c r="M78" s="30">
        <f t="shared" si="8"/>
        <v>1768000</v>
      </c>
    </row>
    <row r="79" ht="15.75" customHeight="1">
      <c r="A79" s="169"/>
      <c r="E79" s="169"/>
      <c r="F79" s="169"/>
      <c r="G79" s="170"/>
      <c r="H79" s="149"/>
      <c r="I79" s="97"/>
      <c r="J79" s="149"/>
      <c r="K79" s="169"/>
      <c r="L79" s="33">
        <f>L78-M78</f>
        <v>8792000</v>
      </c>
      <c r="M79" s="26"/>
    </row>
    <row r="80" ht="15.75" customHeight="1">
      <c r="A80" s="169"/>
      <c r="E80" s="169"/>
      <c r="F80" s="169"/>
      <c r="G80" s="170"/>
      <c r="H80" s="149"/>
      <c r="I80" s="97"/>
      <c r="J80" s="149"/>
      <c r="K80" s="169"/>
      <c r="M80" s="149"/>
    </row>
    <row r="81" ht="15.75" customHeight="1">
      <c r="A81" s="136" t="s">
        <v>209</v>
      </c>
      <c r="B81" s="327" t="s">
        <v>0</v>
      </c>
      <c r="C81" s="327" t="s">
        <v>1</v>
      </c>
      <c r="D81" s="327" t="s">
        <v>2</v>
      </c>
      <c r="E81" s="137" t="s">
        <v>3</v>
      </c>
      <c r="F81" s="136" t="s">
        <v>4</v>
      </c>
      <c r="G81" s="138" t="s">
        <v>5</v>
      </c>
      <c r="H81" s="139" t="s">
        <v>6</v>
      </c>
      <c r="I81" s="140" t="s">
        <v>39</v>
      </c>
      <c r="J81" s="139" t="s">
        <v>7</v>
      </c>
      <c r="K81" s="138" t="s">
        <v>39</v>
      </c>
      <c r="L81" s="140" t="s">
        <v>8</v>
      </c>
      <c r="M81" s="141" t="s">
        <v>9</v>
      </c>
    </row>
    <row r="82" ht="15.75" customHeight="1">
      <c r="A82" s="213">
        <v>1.0</v>
      </c>
      <c r="B82" s="112">
        <v>45713.0</v>
      </c>
      <c r="C82" s="17" t="s">
        <v>390</v>
      </c>
      <c r="D82" s="98" t="s">
        <v>575</v>
      </c>
      <c r="E82" s="213" t="s">
        <v>256</v>
      </c>
      <c r="F82" s="204" t="s">
        <v>271</v>
      </c>
      <c r="G82" s="151">
        <v>9000.0</v>
      </c>
      <c r="H82" s="121">
        <v>675000.0</v>
      </c>
      <c r="I82" s="152" t="s">
        <v>238</v>
      </c>
      <c r="J82" s="121">
        <v>375000.0</v>
      </c>
      <c r="K82" s="98" t="s">
        <v>212</v>
      </c>
      <c r="L82" s="58">
        <f t="shared" ref="L82:L83" si="9">H82-J82</f>
        <v>300000</v>
      </c>
      <c r="M82" s="147">
        <v>3500000.0</v>
      </c>
      <c r="N82" s="205" t="s">
        <v>950</v>
      </c>
    </row>
    <row r="83" ht="15.75" customHeight="1">
      <c r="A83" s="213">
        <v>2.0</v>
      </c>
      <c r="B83" s="112">
        <v>45715.0</v>
      </c>
      <c r="C83" s="17" t="s">
        <v>390</v>
      </c>
      <c r="D83" s="98" t="s">
        <v>575</v>
      </c>
      <c r="E83" s="213" t="s">
        <v>243</v>
      </c>
      <c r="F83" s="204" t="s">
        <v>271</v>
      </c>
      <c r="G83" s="151">
        <v>9000.0</v>
      </c>
      <c r="H83" s="121">
        <v>675000.0</v>
      </c>
      <c r="I83" s="152" t="s">
        <v>238</v>
      </c>
      <c r="J83" s="121">
        <v>375000.0</v>
      </c>
      <c r="K83" s="98" t="s">
        <v>212</v>
      </c>
      <c r="L83" s="58">
        <f t="shared" si="9"/>
        <v>300000</v>
      </c>
      <c r="M83" s="150">
        <v>58000.0</v>
      </c>
    </row>
    <row r="84" ht="15.75" customHeight="1">
      <c r="A84" s="169"/>
      <c r="E84" s="169"/>
      <c r="F84" s="169"/>
      <c r="G84" s="170"/>
      <c r="H84" s="149"/>
      <c r="I84" s="97"/>
      <c r="J84" s="149"/>
      <c r="K84" s="169"/>
      <c r="M84" s="150">
        <v>67000.0</v>
      </c>
    </row>
    <row r="85" ht="15.75" customHeight="1">
      <c r="A85" s="169"/>
      <c r="E85" s="169"/>
      <c r="F85" s="169"/>
      <c r="G85" s="170"/>
      <c r="H85" s="149"/>
      <c r="I85" s="97"/>
      <c r="J85" s="149"/>
      <c r="K85" s="169"/>
      <c r="M85" s="150">
        <v>900000.0</v>
      </c>
      <c r="N85" s="205" t="s">
        <v>951</v>
      </c>
    </row>
    <row r="86" ht="15.75" customHeight="1">
      <c r="A86" s="169"/>
      <c r="E86" s="169"/>
      <c r="F86" s="169"/>
      <c r="G86" s="170"/>
      <c r="H86" s="149"/>
      <c r="I86" s="97"/>
      <c r="J86" s="149"/>
      <c r="K86" s="169"/>
      <c r="L86" s="216">
        <f t="shared" ref="L86:M86" si="10">SUM(L82:L85)</f>
        <v>600000</v>
      </c>
      <c r="M86" s="217">
        <f t="shared" si="10"/>
        <v>4525000</v>
      </c>
    </row>
    <row r="87" ht="15.75" customHeight="1">
      <c r="A87" s="169"/>
      <c r="E87" s="169"/>
      <c r="F87" s="169"/>
      <c r="G87" s="170"/>
      <c r="H87" s="149"/>
      <c r="I87" s="97"/>
      <c r="J87" s="149"/>
      <c r="K87" s="169"/>
      <c r="L87" s="218">
        <f>L86-M86</f>
        <v>-3925000</v>
      </c>
      <c r="M87" s="219"/>
    </row>
    <row r="88" ht="15.75" customHeight="1">
      <c r="A88" s="169"/>
      <c r="E88" s="169"/>
      <c r="F88" s="169"/>
      <c r="G88" s="170"/>
      <c r="H88" s="149"/>
      <c r="I88" s="97"/>
      <c r="J88" s="149"/>
      <c r="K88" s="169"/>
      <c r="M88" s="149"/>
    </row>
    <row r="89" ht="15.75" customHeight="1">
      <c r="A89" s="136" t="s">
        <v>209</v>
      </c>
      <c r="B89" s="327" t="s">
        <v>0</v>
      </c>
      <c r="C89" s="327" t="s">
        <v>1</v>
      </c>
      <c r="D89" s="327" t="s">
        <v>2</v>
      </c>
      <c r="E89" s="137" t="s">
        <v>3</v>
      </c>
      <c r="F89" s="136" t="s">
        <v>4</v>
      </c>
      <c r="G89" s="138" t="s">
        <v>5</v>
      </c>
      <c r="H89" s="139" t="s">
        <v>6</v>
      </c>
      <c r="I89" s="140" t="s">
        <v>39</v>
      </c>
      <c r="J89" s="139" t="s">
        <v>7</v>
      </c>
      <c r="K89" s="138" t="s">
        <v>39</v>
      </c>
      <c r="L89" s="140" t="s">
        <v>8</v>
      </c>
      <c r="M89" s="141" t="s">
        <v>9</v>
      </c>
    </row>
    <row r="90" ht="15.75" customHeight="1">
      <c r="A90" s="213">
        <v>1.0</v>
      </c>
      <c r="B90" s="112">
        <v>45719.0</v>
      </c>
      <c r="C90" s="17" t="s">
        <v>390</v>
      </c>
      <c r="D90" s="98" t="s">
        <v>575</v>
      </c>
      <c r="E90" s="213" t="s">
        <v>243</v>
      </c>
      <c r="F90" s="204" t="s">
        <v>952</v>
      </c>
      <c r="G90" s="151">
        <v>10000.0</v>
      </c>
      <c r="H90" s="121">
        <v>750000.0</v>
      </c>
      <c r="I90" s="152" t="s">
        <v>238</v>
      </c>
      <c r="J90" s="121">
        <v>425000.0</v>
      </c>
      <c r="K90" s="98" t="s">
        <v>212</v>
      </c>
      <c r="L90" s="58">
        <f t="shared" ref="L90:L95" si="11">H90-J90</f>
        <v>325000</v>
      </c>
      <c r="M90" s="147"/>
    </row>
    <row r="91" ht="15.75" customHeight="1">
      <c r="A91" s="204">
        <v>2.0</v>
      </c>
      <c r="B91" s="112">
        <v>45720.0</v>
      </c>
      <c r="C91" s="17" t="s">
        <v>390</v>
      </c>
      <c r="D91" s="98" t="s">
        <v>575</v>
      </c>
      <c r="E91" s="204" t="s">
        <v>242</v>
      </c>
      <c r="F91" s="204" t="s">
        <v>259</v>
      </c>
      <c r="G91" s="151">
        <v>10000.0</v>
      </c>
      <c r="H91" s="150">
        <v>1500000.0</v>
      </c>
      <c r="I91" s="152" t="s">
        <v>238</v>
      </c>
      <c r="J91" s="150">
        <v>875000.0</v>
      </c>
      <c r="K91" s="98" t="s">
        <v>212</v>
      </c>
      <c r="L91" s="58">
        <f t="shared" si="11"/>
        <v>625000</v>
      </c>
      <c r="M91" s="149"/>
    </row>
    <row r="92" ht="15.75" customHeight="1">
      <c r="A92" s="204">
        <v>3.0</v>
      </c>
      <c r="B92" s="112">
        <v>45721.0</v>
      </c>
      <c r="C92" s="17" t="s">
        <v>390</v>
      </c>
      <c r="D92" s="98" t="s">
        <v>575</v>
      </c>
      <c r="E92" s="204" t="s">
        <v>273</v>
      </c>
      <c r="F92" s="204" t="s">
        <v>214</v>
      </c>
      <c r="G92" s="151">
        <v>9000.0</v>
      </c>
      <c r="H92" s="150">
        <v>1350000.0</v>
      </c>
      <c r="I92" s="115" t="s">
        <v>238</v>
      </c>
      <c r="J92" s="150">
        <v>925000.0</v>
      </c>
      <c r="K92" s="98" t="s">
        <v>212</v>
      </c>
      <c r="L92" s="58">
        <f t="shared" si="11"/>
        <v>425000</v>
      </c>
      <c r="M92" s="149"/>
    </row>
    <row r="93" ht="15.75" customHeight="1">
      <c r="A93" s="204">
        <v>4.0</v>
      </c>
      <c r="B93" s="112">
        <v>45726.0</v>
      </c>
      <c r="C93" s="17" t="s">
        <v>390</v>
      </c>
      <c r="D93" s="98" t="s">
        <v>575</v>
      </c>
      <c r="E93" s="204" t="s">
        <v>273</v>
      </c>
      <c r="F93" s="204" t="s">
        <v>249</v>
      </c>
      <c r="G93" s="151">
        <v>9000.0</v>
      </c>
      <c r="H93" s="150">
        <v>1450000.0</v>
      </c>
      <c r="I93" s="211" t="s">
        <v>212</v>
      </c>
      <c r="J93" s="150">
        <v>925000.0</v>
      </c>
      <c r="K93" s="98" t="s">
        <v>212</v>
      </c>
      <c r="L93" s="58">
        <f t="shared" si="11"/>
        <v>525000</v>
      </c>
      <c r="M93" s="150">
        <v>741500.0</v>
      </c>
    </row>
    <row r="94" ht="15.75" customHeight="1">
      <c r="A94" s="204">
        <v>5.0</v>
      </c>
      <c r="B94" s="112">
        <v>45731.0</v>
      </c>
      <c r="C94" s="17" t="s">
        <v>390</v>
      </c>
      <c r="D94" s="98" t="s">
        <v>575</v>
      </c>
      <c r="E94" s="98" t="s">
        <v>256</v>
      </c>
      <c r="F94" s="98" t="s">
        <v>271</v>
      </c>
      <c r="G94" s="110">
        <v>10000.0</v>
      </c>
      <c r="H94" s="121">
        <v>750000.0</v>
      </c>
      <c r="I94" s="108" t="s">
        <v>238</v>
      </c>
      <c r="J94" s="121">
        <v>400000.0</v>
      </c>
      <c r="K94" s="98" t="s">
        <v>212</v>
      </c>
      <c r="L94" s="124">
        <f t="shared" si="11"/>
        <v>350000</v>
      </c>
      <c r="M94" s="150">
        <v>120000.0</v>
      </c>
    </row>
    <row r="95" ht="15.75" customHeight="1">
      <c r="A95" s="204">
        <v>5.0</v>
      </c>
      <c r="B95" s="112">
        <v>45737.0</v>
      </c>
      <c r="C95" s="17" t="s">
        <v>390</v>
      </c>
      <c r="D95" s="98" t="s">
        <v>851</v>
      </c>
      <c r="E95" s="98" t="s">
        <v>279</v>
      </c>
      <c r="F95" s="98" t="s">
        <v>509</v>
      </c>
      <c r="G95" s="110">
        <v>9000.0</v>
      </c>
      <c r="H95" s="121">
        <v>1200000.0</v>
      </c>
      <c r="I95" s="115" t="s">
        <v>212</v>
      </c>
      <c r="J95" s="121">
        <v>640000.0</v>
      </c>
      <c r="K95" s="98" t="s">
        <v>212</v>
      </c>
      <c r="L95" s="58">
        <f t="shared" si="11"/>
        <v>560000</v>
      </c>
      <c r="M95" s="104"/>
    </row>
    <row r="96" ht="15.75" customHeight="1">
      <c r="A96" s="204"/>
      <c r="E96" s="169"/>
      <c r="F96" s="169"/>
      <c r="G96" s="170"/>
      <c r="H96" s="149"/>
      <c r="I96" s="97"/>
      <c r="J96" s="150"/>
      <c r="K96" s="169"/>
      <c r="M96" s="149"/>
    </row>
    <row r="97" ht="15.75" customHeight="1">
      <c r="A97" s="169"/>
      <c r="E97" s="169"/>
      <c r="F97" s="169"/>
      <c r="G97" s="170"/>
      <c r="H97" s="149"/>
      <c r="I97" s="97"/>
      <c r="J97" s="149"/>
      <c r="K97" s="169"/>
      <c r="L97" s="216">
        <f t="shared" ref="L97:M97" si="12">SUM(L90:L96)</f>
        <v>2810000</v>
      </c>
      <c r="M97" s="217">
        <f t="shared" si="12"/>
        <v>861500</v>
      </c>
    </row>
    <row r="98" ht="15.75" customHeight="1">
      <c r="A98" s="169"/>
      <c r="E98" s="169"/>
      <c r="F98" s="169"/>
      <c r="G98" s="170"/>
      <c r="H98" s="149"/>
      <c r="I98" s="97"/>
      <c r="J98" s="149"/>
      <c r="K98" s="169"/>
      <c r="L98" s="218">
        <f>L97-M97</f>
        <v>1948500</v>
      </c>
      <c r="M98" s="219"/>
    </row>
    <row r="99" ht="15.75" customHeight="1">
      <c r="A99" s="169"/>
      <c r="E99" s="169"/>
      <c r="F99" s="169"/>
      <c r="G99" s="170"/>
      <c r="H99" s="149"/>
      <c r="I99" s="97"/>
      <c r="J99" s="149"/>
      <c r="K99" s="169"/>
      <c r="M99" s="149"/>
    </row>
    <row r="100" ht="15.75" customHeight="1">
      <c r="A100" s="136" t="s">
        <v>209</v>
      </c>
      <c r="B100" s="327" t="s">
        <v>0</v>
      </c>
      <c r="C100" s="327" t="s">
        <v>1</v>
      </c>
      <c r="D100" s="327" t="s">
        <v>2</v>
      </c>
      <c r="E100" s="137" t="s">
        <v>3</v>
      </c>
      <c r="F100" s="136" t="s">
        <v>4</v>
      </c>
      <c r="G100" s="138" t="s">
        <v>5</v>
      </c>
      <c r="H100" s="139" t="s">
        <v>6</v>
      </c>
      <c r="I100" s="140" t="s">
        <v>39</v>
      </c>
      <c r="J100" s="139" t="s">
        <v>7</v>
      </c>
      <c r="K100" s="138" t="s">
        <v>39</v>
      </c>
      <c r="L100" s="140" t="s">
        <v>8</v>
      </c>
      <c r="M100" s="141" t="s">
        <v>9</v>
      </c>
    </row>
    <row r="101" ht="15.75" customHeight="1">
      <c r="A101" s="213">
        <v>1.0</v>
      </c>
      <c r="B101" s="112">
        <v>45761.0</v>
      </c>
      <c r="C101" s="17" t="s">
        <v>390</v>
      </c>
      <c r="D101" s="98" t="s">
        <v>953</v>
      </c>
      <c r="E101" s="213" t="s">
        <v>123</v>
      </c>
      <c r="F101" s="204" t="s">
        <v>311</v>
      </c>
      <c r="G101" s="151">
        <v>9000.0</v>
      </c>
      <c r="H101" s="121">
        <v>720000.0</v>
      </c>
      <c r="I101" s="115" t="s">
        <v>212</v>
      </c>
      <c r="J101" s="121">
        <v>350000.0</v>
      </c>
      <c r="K101" s="98" t="s">
        <v>212</v>
      </c>
      <c r="L101" s="58">
        <f t="shared" ref="L101:L115" si="13">H101-J101</f>
        <v>370000</v>
      </c>
      <c r="M101" s="147">
        <v>500000.0</v>
      </c>
    </row>
    <row r="102" ht="15.75" customHeight="1">
      <c r="A102" s="204">
        <v>2.0</v>
      </c>
      <c r="B102" s="112">
        <v>45764.0</v>
      </c>
      <c r="C102" s="17" t="s">
        <v>390</v>
      </c>
      <c r="D102" s="98" t="s">
        <v>588</v>
      </c>
      <c r="E102" s="204" t="s">
        <v>279</v>
      </c>
      <c r="F102" s="204" t="s">
        <v>324</v>
      </c>
      <c r="G102" s="151">
        <v>9000.0</v>
      </c>
      <c r="H102" s="150">
        <v>675000.0</v>
      </c>
      <c r="I102" s="152" t="s">
        <v>212</v>
      </c>
      <c r="J102" s="150">
        <v>350000.0</v>
      </c>
      <c r="K102" s="98" t="s">
        <v>212</v>
      </c>
      <c r="L102" s="58">
        <f t="shared" si="13"/>
        <v>325000</v>
      </c>
      <c r="M102" s="150">
        <v>220000.0</v>
      </c>
    </row>
    <row r="103" ht="15.75" customHeight="1">
      <c r="A103" s="204">
        <v>3.0</v>
      </c>
      <c r="B103" s="112">
        <v>45764.0</v>
      </c>
      <c r="C103" s="17" t="s">
        <v>390</v>
      </c>
      <c r="D103" s="98" t="s">
        <v>858</v>
      </c>
      <c r="E103" s="204" t="s">
        <v>514</v>
      </c>
      <c r="F103" s="204" t="s">
        <v>316</v>
      </c>
      <c r="G103" s="151">
        <v>9000.0</v>
      </c>
      <c r="H103" s="150">
        <v>720000.0</v>
      </c>
      <c r="I103" s="152" t="s">
        <v>212</v>
      </c>
      <c r="J103" s="150">
        <v>350000.0</v>
      </c>
      <c r="K103" s="98" t="s">
        <v>212</v>
      </c>
      <c r="L103" s="58">
        <f t="shared" si="13"/>
        <v>370000</v>
      </c>
      <c r="M103" s="150"/>
    </row>
    <row r="104" ht="15.75" customHeight="1">
      <c r="A104" s="204">
        <v>4.0</v>
      </c>
      <c r="B104" s="112">
        <v>45765.0</v>
      </c>
      <c r="C104" s="17" t="s">
        <v>390</v>
      </c>
      <c r="D104" s="98" t="s">
        <v>858</v>
      </c>
      <c r="E104" s="204" t="s">
        <v>280</v>
      </c>
      <c r="F104" s="204" t="s">
        <v>346</v>
      </c>
      <c r="G104" s="151">
        <v>9000.0</v>
      </c>
      <c r="H104" s="150">
        <v>1000000.0</v>
      </c>
      <c r="I104" s="152" t="s">
        <v>212</v>
      </c>
      <c r="J104" s="150">
        <v>550000.0</v>
      </c>
      <c r="K104" s="98" t="s">
        <v>212</v>
      </c>
      <c r="L104" s="58">
        <f t="shared" si="13"/>
        <v>450000</v>
      </c>
      <c r="M104" s="150"/>
    </row>
    <row r="105" ht="15.75" customHeight="1">
      <c r="A105" s="204">
        <v>5.0</v>
      </c>
      <c r="B105" s="112">
        <v>45766.0</v>
      </c>
      <c r="C105" s="17" t="s">
        <v>390</v>
      </c>
      <c r="D105" s="98" t="s">
        <v>858</v>
      </c>
      <c r="E105" s="98" t="s">
        <v>81</v>
      </c>
      <c r="F105" s="98" t="s">
        <v>295</v>
      </c>
      <c r="G105" s="110">
        <v>9000.0</v>
      </c>
      <c r="H105" s="121">
        <v>1125000.0</v>
      </c>
      <c r="I105" s="152" t="s">
        <v>212</v>
      </c>
      <c r="J105" s="121">
        <v>640000.0</v>
      </c>
      <c r="K105" s="98" t="s">
        <v>212</v>
      </c>
      <c r="L105" s="124">
        <f t="shared" si="13"/>
        <v>485000</v>
      </c>
      <c r="M105" s="150"/>
    </row>
    <row r="106" ht="15.75" customHeight="1">
      <c r="A106" s="204">
        <v>6.0</v>
      </c>
      <c r="B106" s="112">
        <v>45768.0</v>
      </c>
      <c r="C106" s="17" t="s">
        <v>390</v>
      </c>
      <c r="D106" s="98" t="s">
        <v>858</v>
      </c>
      <c r="E106" s="98" t="s">
        <v>299</v>
      </c>
      <c r="F106" s="98" t="s">
        <v>311</v>
      </c>
      <c r="G106" s="110">
        <v>9000.0</v>
      </c>
      <c r="H106" s="121">
        <v>720000.0</v>
      </c>
      <c r="I106" s="152" t="s">
        <v>212</v>
      </c>
      <c r="J106" s="121">
        <v>350000.0</v>
      </c>
      <c r="K106" s="98" t="s">
        <v>212</v>
      </c>
      <c r="L106" s="58">
        <f t="shared" si="13"/>
        <v>370000</v>
      </c>
      <c r="M106" s="150">
        <v>118000.0</v>
      </c>
    </row>
    <row r="107" ht="15.75" customHeight="1">
      <c r="A107" s="204">
        <v>7.0</v>
      </c>
      <c r="B107" s="112">
        <v>45769.0</v>
      </c>
      <c r="C107" s="17" t="s">
        <v>390</v>
      </c>
      <c r="D107" s="98" t="s">
        <v>858</v>
      </c>
      <c r="E107" s="204" t="s">
        <v>243</v>
      </c>
      <c r="F107" s="204" t="s">
        <v>295</v>
      </c>
      <c r="G107" s="151">
        <v>9000.0</v>
      </c>
      <c r="H107" s="150">
        <v>1125000.0</v>
      </c>
      <c r="I107" s="152" t="s">
        <v>212</v>
      </c>
      <c r="J107" s="150">
        <v>640000.0</v>
      </c>
      <c r="K107" s="98" t="s">
        <v>212</v>
      </c>
      <c r="L107" s="58">
        <f t="shared" si="13"/>
        <v>485000</v>
      </c>
      <c r="M107" s="150">
        <v>80000.0</v>
      </c>
    </row>
    <row r="108" ht="15.75" customHeight="1">
      <c r="A108" s="204">
        <v>8.0</v>
      </c>
      <c r="B108" s="112">
        <v>45770.0</v>
      </c>
      <c r="C108" s="17" t="s">
        <v>390</v>
      </c>
      <c r="D108" s="98" t="s">
        <v>858</v>
      </c>
      <c r="E108" s="204" t="s">
        <v>256</v>
      </c>
      <c r="F108" s="204" t="s">
        <v>348</v>
      </c>
      <c r="G108" s="151">
        <v>9000.0</v>
      </c>
      <c r="H108" s="150">
        <v>900000.0</v>
      </c>
      <c r="I108" s="115" t="s">
        <v>238</v>
      </c>
      <c r="J108" s="150">
        <v>450000.0</v>
      </c>
      <c r="K108" s="98" t="s">
        <v>212</v>
      </c>
      <c r="L108" s="58">
        <f t="shared" si="13"/>
        <v>450000</v>
      </c>
    </row>
    <row r="109" ht="15.75" customHeight="1">
      <c r="A109" s="204">
        <v>9.0</v>
      </c>
      <c r="B109" s="112">
        <v>45771.0</v>
      </c>
      <c r="C109" s="17" t="s">
        <v>390</v>
      </c>
      <c r="D109" s="98" t="s">
        <v>858</v>
      </c>
      <c r="E109" s="204" t="s">
        <v>280</v>
      </c>
      <c r="F109" s="204" t="s">
        <v>311</v>
      </c>
      <c r="G109" s="151">
        <v>9000.0</v>
      </c>
      <c r="H109" s="150">
        <v>720000.0</v>
      </c>
      <c r="I109" s="152" t="s">
        <v>212</v>
      </c>
      <c r="J109" s="150">
        <v>350000.0</v>
      </c>
      <c r="K109" s="98" t="s">
        <v>212</v>
      </c>
      <c r="L109" s="58">
        <f t="shared" si="13"/>
        <v>370000</v>
      </c>
    </row>
    <row r="110" ht="15.75" customHeight="1">
      <c r="A110" s="204">
        <v>10.0</v>
      </c>
      <c r="B110" s="112">
        <v>45772.0</v>
      </c>
      <c r="C110" s="17" t="s">
        <v>390</v>
      </c>
      <c r="D110" s="98" t="s">
        <v>858</v>
      </c>
      <c r="E110" s="204" t="s">
        <v>243</v>
      </c>
      <c r="F110" s="204" t="s">
        <v>271</v>
      </c>
      <c r="G110" s="151">
        <v>9000.0</v>
      </c>
      <c r="H110" s="150">
        <v>675000.0</v>
      </c>
      <c r="I110" s="115" t="s">
        <v>238</v>
      </c>
      <c r="J110" s="150">
        <v>375000.0</v>
      </c>
      <c r="K110" s="98" t="s">
        <v>212</v>
      </c>
      <c r="L110" s="58">
        <f t="shared" si="13"/>
        <v>300000</v>
      </c>
      <c r="M110" s="149"/>
    </row>
    <row r="111" ht="15.75" customHeight="1">
      <c r="A111" s="204">
        <v>11.0</v>
      </c>
      <c r="B111" s="112">
        <v>45773.0</v>
      </c>
      <c r="C111" s="17" t="s">
        <v>390</v>
      </c>
      <c r="D111" s="98" t="s">
        <v>858</v>
      </c>
      <c r="E111" s="204" t="s">
        <v>242</v>
      </c>
      <c r="F111" s="204" t="s">
        <v>302</v>
      </c>
      <c r="G111" s="151">
        <v>9000.0</v>
      </c>
      <c r="H111" s="150">
        <v>720000.0</v>
      </c>
      <c r="I111" s="115" t="s">
        <v>238</v>
      </c>
      <c r="J111" s="150">
        <v>350000.0</v>
      </c>
      <c r="K111" s="98" t="s">
        <v>212</v>
      </c>
      <c r="L111" s="58">
        <f t="shared" si="13"/>
        <v>370000</v>
      </c>
      <c r="M111" s="149"/>
    </row>
    <row r="112" ht="15.75" customHeight="1">
      <c r="A112" s="204">
        <v>12.0</v>
      </c>
      <c r="B112" s="112">
        <v>45775.0</v>
      </c>
      <c r="C112" s="17" t="s">
        <v>390</v>
      </c>
      <c r="D112" s="98" t="s">
        <v>858</v>
      </c>
      <c r="E112" s="204" t="s">
        <v>280</v>
      </c>
      <c r="F112" s="204" t="s">
        <v>316</v>
      </c>
      <c r="G112" s="151">
        <v>9000.0</v>
      </c>
      <c r="H112" s="150">
        <v>720000.0</v>
      </c>
      <c r="I112" s="152" t="s">
        <v>212</v>
      </c>
      <c r="J112" s="150">
        <v>350000.0</v>
      </c>
      <c r="K112" s="98" t="s">
        <v>238</v>
      </c>
      <c r="L112" s="58">
        <f t="shared" si="13"/>
        <v>370000</v>
      </c>
      <c r="M112" s="149"/>
    </row>
    <row r="113" ht="15.75" customHeight="1">
      <c r="A113" s="204">
        <v>13.0</v>
      </c>
      <c r="B113" s="112">
        <v>45775.0</v>
      </c>
      <c r="C113" s="17" t="s">
        <v>390</v>
      </c>
      <c r="D113" s="98" t="s">
        <v>858</v>
      </c>
      <c r="E113" s="204" t="s">
        <v>243</v>
      </c>
      <c r="F113" s="204" t="s">
        <v>323</v>
      </c>
      <c r="G113" s="151">
        <v>9000.0</v>
      </c>
      <c r="H113" s="121">
        <v>1350000.0</v>
      </c>
      <c r="I113" s="115" t="s">
        <v>238</v>
      </c>
      <c r="J113" s="121">
        <v>780000.0</v>
      </c>
      <c r="K113" s="98" t="s">
        <v>238</v>
      </c>
      <c r="L113" s="58">
        <f t="shared" si="13"/>
        <v>570000</v>
      </c>
      <c r="M113" s="150">
        <v>60000.0</v>
      </c>
    </row>
    <row r="114" ht="15.75" customHeight="1">
      <c r="A114" s="204">
        <v>14.0</v>
      </c>
      <c r="B114" s="112">
        <v>45776.0</v>
      </c>
      <c r="C114" s="17" t="s">
        <v>390</v>
      </c>
      <c r="D114" s="98" t="s">
        <v>858</v>
      </c>
      <c r="E114" s="204" t="s">
        <v>243</v>
      </c>
      <c r="F114" s="204" t="s">
        <v>321</v>
      </c>
      <c r="G114" s="151">
        <v>9000.0</v>
      </c>
      <c r="H114" s="150">
        <v>800000.0</v>
      </c>
      <c r="I114" s="152" t="s">
        <v>212</v>
      </c>
      <c r="J114" s="150">
        <v>400000.0</v>
      </c>
      <c r="K114" s="98" t="s">
        <v>238</v>
      </c>
      <c r="L114" s="58">
        <f t="shared" si="13"/>
        <v>400000</v>
      </c>
      <c r="M114" s="150">
        <v>960000.0</v>
      </c>
    </row>
    <row r="115" ht="15.75" customHeight="1">
      <c r="A115" s="204">
        <v>15.0</v>
      </c>
      <c r="B115" s="112">
        <v>45777.0</v>
      </c>
      <c r="C115" s="17" t="s">
        <v>390</v>
      </c>
      <c r="D115" s="98" t="s">
        <v>858</v>
      </c>
      <c r="E115" s="204" t="s">
        <v>242</v>
      </c>
      <c r="F115" s="204" t="s">
        <v>339</v>
      </c>
      <c r="G115" s="151">
        <v>9000.0</v>
      </c>
      <c r="H115" s="150">
        <v>975000.0</v>
      </c>
      <c r="I115" s="152" t="s">
        <v>212</v>
      </c>
      <c r="J115" s="150">
        <v>500000.0</v>
      </c>
      <c r="K115" s="98" t="s">
        <v>212</v>
      </c>
      <c r="L115" s="58">
        <f t="shared" si="13"/>
        <v>475000</v>
      </c>
      <c r="M115" s="150">
        <v>63000.0</v>
      </c>
    </row>
    <row r="116" ht="15.75" customHeight="1">
      <c r="A116" s="169"/>
      <c r="E116" s="169"/>
      <c r="F116" s="169"/>
      <c r="G116" s="170"/>
      <c r="H116" s="149"/>
      <c r="I116" s="97"/>
      <c r="J116" s="149"/>
      <c r="K116" s="169"/>
      <c r="L116" s="216">
        <f t="shared" ref="L116:M116" si="14">SUM(L101:L115)</f>
        <v>6160000</v>
      </c>
      <c r="M116" s="217">
        <f t="shared" si="14"/>
        <v>2001000</v>
      </c>
    </row>
    <row r="117" ht="15.75" customHeight="1">
      <c r="A117" s="169"/>
      <c r="E117" s="169"/>
      <c r="F117" s="169"/>
      <c r="G117" s="170"/>
      <c r="H117" s="149"/>
      <c r="I117" s="97"/>
      <c r="J117" s="149"/>
      <c r="K117" s="169"/>
      <c r="L117" s="218">
        <f>L116-M116</f>
        <v>4159000</v>
      </c>
      <c r="M117" s="346"/>
    </row>
    <row r="118" ht="15.75" customHeight="1">
      <c r="A118" s="169"/>
      <c r="E118" s="169"/>
      <c r="F118" s="169"/>
      <c r="G118" s="170"/>
      <c r="H118" s="149"/>
      <c r="I118" s="97"/>
      <c r="J118" s="149"/>
      <c r="K118" s="169"/>
      <c r="M118" s="149"/>
    </row>
    <row r="119" ht="15.75" customHeight="1">
      <c r="A119" s="347"/>
      <c r="B119" s="347"/>
      <c r="C119" s="347"/>
      <c r="D119" s="347"/>
      <c r="E119" s="348"/>
      <c r="F119" s="347"/>
      <c r="G119" s="349"/>
      <c r="H119" s="350"/>
      <c r="I119" s="351"/>
      <c r="J119" s="350"/>
      <c r="K119" s="349"/>
      <c r="L119" s="351"/>
      <c r="M119" s="352"/>
    </row>
    <row r="120" ht="15.75" customHeight="1">
      <c r="A120" s="21"/>
      <c r="B120" s="112"/>
      <c r="C120" s="17"/>
      <c r="D120" s="98"/>
      <c r="E120" s="98"/>
      <c r="F120" s="98"/>
      <c r="G120" s="110"/>
      <c r="H120" s="121"/>
      <c r="I120" s="108"/>
      <c r="J120" s="121"/>
      <c r="K120" s="109"/>
      <c r="L120" s="58"/>
      <c r="M120" s="121"/>
    </row>
    <row r="121" ht="15.75" customHeight="1">
      <c r="A121" s="136" t="s">
        <v>209</v>
      </c>
      <c r="B121" s="327" t="s">
        <v>0</v>
      </c>
      <c r="C121" s="327" t="s">
        <v>1</v>
      </c>
      <c r="D121" s="327" t="s">
        <v>2</v>
      </c>
      <c r="E121" s="137" t="s">
        <v>3</v>
      </c>
      <c r="F121" s="136" t="s">
        <v>4</v>
      </c>
      <c r="G121" s="138" t="s">
        <v>5</v>
      </c>
      <c r="H121" s="139" t="s">
        <v>6</v>
      </c>
      <c r="I121" s="140" t="s">
        <v>39</v>
      </c>
      <c r="J121" s="139" t="s">
        <v>7</v>
      </c>
      <c r="K121" s="138" t="s">
        <v>39</v>
      </c>
      <c r="L121" s="140" t="s">
        <v>8</v>
      </c>
      <c r="M121" s="141" t="s">
        <v>9</v>
      </c>
    </row>
    <row r="122" ht="15.75" customHeight="1">
      <c r="A122" s="213">
        <v>1.0</v>
      </c>
      <c r="B122" s="112">
        <v>45784.0</v>
      </c>
      <c r="C122" s="98" t="s">
        <v>954</v>
      </c>
      <c r="D122" s="98" t="s">
        <v>314</v>
      </c>
      <c r="E122" s="213" t="s">
        <v>279</v>
      </c>
      <c r="F122" s="204" t="s">
        <v>329</v>
      </c>
      <c r="G122" s="151">
        <v>10000.0</v>
      </c>
      <c r="H122" s="107">
        <v>1100000.0</v>
      </c>
      <c r="I122" s="108" t="s">
        <v>238</v>
      </c>
      <c r="J122" s="121">
        <v>600000.0</v>
      </c>
      <c r="K122" s="98" t="s">
        <v>238</v>
      </c>
      <c r="L122" s="58">
        <f t="shared" ref="L122:L127" si="15">H122-J122</f>
        <v>500000</v>
      </c>
      <c r="M122" s="147">
        <v>225000.0</v>
      </c>
    </row>
    <row r="123" ht="15.75" customHeight="1">
      <c r="A123" s="204">
        <v>2.0</v>
      </c>
      <c r="B123" s="112">
        <v>45786.0</v>
      </c>
      <c r="C123" s="98" t="s">
        <v>954</v>
      </c>
      <c r="D123" s="98" t="s">
        <v>314</v>
      </c>
      <c r="E123" s="204" t="s">
        <v>256</v>
      </c>
      <c r="F123" s="204" t="s">
        <v>329</v>
      </c>
      <c r="G123" s="151">
        <v>10000.0</v>
      </c>
      <c r="H123" s="107">
        <v>1100000.0</v>
      </c>
      <c r="I123" s="108" t="s">
        <v>238</v>
      </c>
      <c r="J123" s="121">
        <v>600000.0</v>
      </c>
      <c r="K123" s="98" t="s">
        <v>212</v>
      </c>
      <c r="L123" s="58">
        <f t="shared" si="15"/>
        <v>500000</v>
      </c>
      <c r="M123" s="150"/>
    </row>
    <row r="124" ht="15.75" customHeight="1">
      <c r="A124" s="204">
        <v>3.0</v>
      </c>
      <c r="B124" s="112">
        <v>45787.0</v>
      </c>
      <c r="C124" s="98" t="s">
        <v>954</v>
      </c>
      <c r="D124" s="98" t="s">
        <v>314</v>
      </c>
      <c r="E124" s="204" t="s">
        <v>279</v>
      </c>
      <c r="F124" s="204" t="s">
        <v>329</v>
      </c>
      <c r="G124" s="151">
        <v>10000.0</v>
      </c>
      <c r="H124" s="107">
        <v>1100000.0</v>
      </c>
      <c r="I124" s="108" t="s">
        <v>238</v>
      </c>
      <c r="J124" s="121">
        <v>600000.0</v>
      </c>
      <c r="K124" s="98" t="s">
        <v>212</v>
      </c>
      <c r="L124" s="58">
        <f t="shared" si="15"/>
        <v>500000</v>
      </c>
      <c r="M124" s="150"/>
    </row>
    <row r="125" ht="15.75" customHeight="1">
      <c r="A125" s="204">
        <v>4.0</v>
      </c>
      <c r="B125" s="112">
        <v>45790.0</v>
      </c>
      <c r="C125" s="98" t="s">
        <v>954</v>
      </c>
      <c r="D125" s="98" t="s">
        <v>314</v>
      </c>
      <c r="E125" s="204" t="s">
        <v>279</v>
      </c>
      <c r="F125" s="204" t="s">
        <v>329</v>
      </c>
      <c r="G125" s="151">
        <v>10000.0</v>
      </c>
      <c r="H125" s="107">
        <v>1100000.0</v>
      </c>
      <c r="I125" s="108" t="s">
        <v>238</v>
      </c>
      <c r="J125" s="121">
        <v>600000.0</v>
      </c>
      <c r="K125" s="98" t="s">
        <v>212</v>
      </c>
      <c r="L125" s="58">
        <f t="shared" si="15"/>
        <v>500000</v>
      </c>
      <c r="M125" s="150"/>
    </row>
    <row r="126" ht="15.75" customHeight="1">
      <c r="A126" s="204">
        <v>5.0</v>
      </c>
      <c r="B126" s="112">
        <v>45791.0</v>
      </c>
      <c r="C126" s="98" t="s">
        <v>954</v>
      </c>
      <c r="D126" s="98" t="s">
        <v>314</v>
      </c>
      <c r="E126" s="98" t="s">
        <v>243</v>
      </c>
      <c r="F126" s="204" t="s">
        <v>329</v>
      </c>
      <c r="G126" s="151">
        <v>10000.0</v>
      </c>
      <c r="H126" s="107">
        <v>1100000.0</v>
      </c>
      <c r="I126" s="108" t="s">
        <v>238</v>
      </c>
      <c r="J126" s="121">
        <v>600000.0</v>
      </c>
      <c r="K126" s="98" t="s">
        <v>238</v>
      </c>
      <c r="L126" s="353">
        <f t="shared" si="15"/>
        <v>500000</v>
      </c>
      <c r="M126" s="150"/>
    </row>
    <row r="127" ht="15.75" customHeight="1">
      <c r="A127" s="204">
        <v>6.0</v>
      </c>
      <c r="B127" s="112">
        <v>45792.0</v>
      </c>
      <c r="C127" s="98" t="s">
        <v>954</v>
      </c>
      <c r="D127" s="98" t="s">
        <v>314</v>
      </c>
      <c r="E127" s="98" t="s">
        <v>279</v>
      </c>
      <c r="F127" s="98" t="s">
        <v>249</v>
      </c>
      <c r="G127" s="151">
        <v>9000.0</v>
      </c>
      <c r="H127" s="150">
        <v>1450000.0</v>
      </c>
      <c r="I127" s="152" t="s">
        <v>212</v>
      </c>
      <c r="J127" s="121">
        <v>900000.0</v>
      </c>
      <c r="K127" s="98" t="s">
        <v>212</v>
      </c>
      <c r="L127" s="124">
        <f t="shared" si="15"/>
        <v>550000</v>
      </c>
      <c r="M127" s="147">
        <v>700000.0</v>
      </c>
    </row>
    <row r="128" ht="15.75" customHeight="1">
      <c r="A128" s="204">
        <v>7.0</v>
      </c>
      <c r="B128" s="112">
        <v>45793.0</v>
      </c>
      <c r="C128" s="98" t="s">
        <v>954</v>
      </c>
      <c r="D128" s="98" t="s">
        <v>314</v>
      </c>
      <c r="E128" s="204" t="s">
        <v>527</v>
      </c>
      <c r="F128" s="204" t="s">
        <v>319</v>
      </c>
      <c r="G128" s="151">
        <v>10000.0</v>
      </c>
      <c r="H128" s="121">
        <v>1488477.0</v>
      </c>
      <c r="I128" s="108" t="s">
        <v>238</v>
      </c>
      <c r="J128" s="121">
        <v>1000000.0</v>
      </c>
      <c r="K128" s="98" t="s">
        <v>238</v>
      </c>
      <c r="L128" s="58">
        <f>H127-J128</f>
        <v>450000</v>
      </c>
      <c r="M128" s="147"/>
    </row>
    <row r="129" ht="15.75" customHeight="1">
      <c r="A129" s="204">
        <v>8.0</v>
      </c>
      <c r="B129" s="112">
        <v>45794.0</v>
      </c>
      <c r="C129" s="98" t="s">
        <v>954</v>
      </c>
      <c r="D129" s="98" t="s">
        <v>314</v>
      </c>
      <c r="E129" s="204" t="s">
        <v>243</v>
      </c>
      <c r="F129" s="204" t="s">
        <v>329</v>
      </c>
      <c r="G129" s="151">
        <v>10000.0</v>
      </c>
      <c r="H129" s="107">
        <v>1100000.0</v>
      </c>
      <c r="I129" s="108" t="s">
        <v>238</v>
      </c>
      <c r="J129" s="121">
        <v>600000.0</v>
      </c>
      <c r="K129" s="98" t="s">
        <v>238</v>
      </c>
      <c r="L129" s="58">
        <f t="shared" ref="L129:L140" si="16">H129-J129</f>
        <v>500000</v>
      </c>
      <c r="M129" s="147">
        <v>1625000.0</v>
      </c>
    </row>
    <row r="130" ht="15.75" customHeight="1">
      <c r="A130" s="204">
        <v>9.0</v>
      </c>
      <c r="B130" s="112">
        <v>45796.0</v>
      </c>
      <c r="C130" s="98" t="s">
        <v>954</v>
      </c>
      <c r="D130" s="98" t="s">
        <v>314</v>
      </c>
      <c r="E130" s="204" t="s">
        <v>322</v>
      </c>
      <c r="F130" s="204" t="s">
        <v>303</v>
      </c>
      <c r="G130" s="151">
        <v>9000.0</v>
      </c>
      <c r="H130" s="107">
        <v>1215000.0</v>
      </c>
      <c r="I130" s="152" t="s">
        <v>238</v>
      </c>
      <c r="J130" s="121">
        <v>725000.0</v>
      </c>
      <c r="K130" s="98" t="s">
        <v>238</v>
      </c>
      <c r="L130" s="58">
        <f t="shared" si="16"/>
        <v>490000</v>
      </c>
      <c r="M130" s="147">
        <v>3285000.0</v>
      </c>
    </row>
    <row r="131" ht="15.75" customHeight="1">
      <c r="A131" s="204">
        <v>10.0</v>
      </c>
      <c r="B131" s="112">
        <v>45797.0</v>
      </c>
      <c r="C131" s="98" t="s">
        <v>954</v>
      </c>
      <c r="D131" s="98" t="s">
        <v>314</v>
      </c>
      <c r="E131" s="204" t="s">
        <v>320</v>
      </c>
      <c r="F131" s="204" t="s">
        <v>328</v>
      </c>
      <c r="G131" s="151">
        <v>10000.0</v>
      </c>
      <c r="H131" s="107">
        <v>1600000.0</v>
      </c>
      <c r="I131" s="115" t="s">
        <v>238</v>
      </c>
      <c r="J131" s="121">
        <v>950000.0</v>
      </c>
      <c r="K131" s="98" t="s">
        <v>238</v>
      </c>
      <c r="L131" s="58">
        <f t="shared" si="16"/>
        <v>650000</v>
      </c>
      <c r="M131" s="147"/>
    </row>
    <row r="132" ht="15.75" customHeight="1">
      <c r="A132" s="204">
        <v>11.0</v>
      </c>
      <c r="B132" s="112">
        <v>45798.0</v>
      </c>
      <c r="C132" s="98" t="s">
        <v>954</v>
      </c>
      <c r="D132" s="98" t="s">
        <v>314</v>
      </c>
      <c r="E132" s="204" t="s">
        <v>256</v>
      </c>
      <c r="F132" s="204" t="s">
        <v>329</v>
      </c>
      <c r="G132" s="151">
        <v>10000.0</v>
      </c>
      <c r="H132" s="107">
        <v>1100000.0</v>
      </c>
      <c r="I132" s="115" t="s">
        <v>212</v>
      </c>
      <c r="J132" s="121">
        <v>600000.0</v>
      </c>
      <c r="K132" s="98" t="s">
        <v>238</v>
      </c>
      <c r="L132" s="58">
        <f t="shared" si="16"/>
        <v>500000</v>
      </c>
      <c r="M132" s="147"/>
    </row>
    <row r="133" ht="15.75" customHeight="1">
      <c r="A133" s="204">
        <v>12.0</v>
      </c>
      <c r="B133" s="112">
        <v>45799.0</v>
      </c>
      <c r="C133" s="98" t="s">
        <v>954</v>
      </c>
      <c r="D133" s="98" t="s">
        <v>314</v>
      </c>
      <c r="E133" s="204" t="s">
        <v>243</v>
      </c>
      <c r="F133" s="204" t="s">
        <v>329</v>
      </c>
      <c r="G133" s="151">
        <v>10000.0</v>
      </c>
      <c r="H133" s="107">
        <v>1100000.0</v>
      </c>
      <c r="I133" s="115" t="s">
        <v>238</v>
      </c>
      <c r="J133" s="121">
        <v>600000.0</v>
      </c>
      <c r="K133" s="98" t="s">
        <v>212</v>
      </c>
      <c r="L133" s="58">
        <f t="shared" si="16"/>
        <v>500000</v>
      </c>
      <c r="M133" s="147"/>
    </row>
    <row r="134" ht="15.75" customHeight="1">
      <c r="A134" s="204">
        <v>13.0</v>
      </c>
      <c r="B134" s="112">
        <v>45800.0</v>
      </c>
      <c r="C134" s="98" t="s">
        <v>954</v>
      </c>
      <c r="D134" s="98" t="s">
        <v>314</v>
      </c>
      <c r="E134" s="204" t="s">
        <v>243</v>
      </c>
      <c r="F134" s="204" t="s">
        <v>329</v>
      </c>
      <c r="G134" s="151">
        <v>10000.0</v>
      </c>
      <c r="H134" s="107">
        <v>1100000.0</v>
      </c>
      <c r="I134" s="115" t="s">
        <v>238</v>
      </c>
      <c r="J134" s="121">
        <v>600000.0</v>
      </c>
      <c r="K134" s="98" t="s">
        <v>238</v>
      </c>
      <c r="L134" s="58">
        <f t="shared" si="16"/>
        <v>500000</v>
      </c>
      <c r="M134" s="147"/>
    </row>
    <row r="135" ht="15.75" customHeight="1">
      <c r="A135" s="204">
        <v>14.0</v>
      </c>
      <c r="B135" s="112">
        <v>45801.0</v>
      </c>
      <c r="C135" s="98" t="s">
        <v>954</v>
      </c>
      <c r="D135" s="98" t="s">
        <v>314</v>
      </c>
      <c r="E135" s="204" t="s">
        <v>242</v>
      </c>
      <c r="F135" s="204" t="s">
        <v>259</v>
      </c>
      <c r="G135" s="151">
        <v>10000.0</v>
      </c>
      <c r="H135" s="107">
        <v>1500000.0</v>
      </c>
      <c r="I135" s="152" t="s">
        <v>238</v>
      </c>
      <c r="J135" s="121">
        <v>850000.0</v>
      </c>
      <c r="K135" s="98" t="s">
        <v>238</v>
      </c>
      <c r="L135" s="58">
        <f t="shared" si="16"/>
        <v>650000</v>
      </c>
      <c r="M135" s="147"/>
    </row>
    <row r="136" ht="15.75" customHeight="1">
      <c r="A136" s="204">
        <v>15.0</v>
      </c>
      <c r="B136" s="112">
        <v>45803.0</v>
      </c>
      <c r="C136" s="98" t="s">
        <v>954</v>
      </c>
      <c r="D136" s="98" t="s">
        <v>314</v>
      </c>
      <c r="E136" s="204" t="s">
        <v>243</v>
      </c>
      <c r="F136" s="204" t="s">
        <v>329</v>
      </c>
      <c r="G136" s="151">
        <v>10000.0</v>
      </c>
      <c r="H136" s="107">
        <v>1100000.0</v>
      </c>
      <c r="I136" s="115" t="s">
        <v>238</v>
      </c>
      <c r="J136" s="121">
        <v>600000.0</v>
      </c>
      <c r="K136" s="98" t="s">
        <v>238</v>
      </c>
      <c r="L136" s="58">
        <f t="shared" si="16"/>
        <v>500000</v>
      </c>
      <c r="M136" s="147"/>
    </row>
    <row r="137" ht="15.75" customHeight="1">
      <c r="A137" s="204">
        <v>16.0</v>
      </c>
      <c r="B137" s="112">
        <v>45804.0</v>
      </c>
      <c r="C137" s="98" t="s">
        <v>954</v>
      </c>
      <c r="D137" s="98" t="s">
        <v>314</v>
      </c>
      <c r="E137" s="204" t="s">
        <v>322</v>
      </c>
      <c r="F137" s="204" t="s">
        <v>287</v>
      </c>
      <c r="G137" s="151">
        <v>9000.0</v>
      </c>
      <c r="H137" s="107">
        <v>1200000.0</v>
      </c>
      <c r="I137" s="115" t="s">
        <v>212</v>
      </c>
      <c r="J137" s="121">
        <v>715000.0</v>
      </c>
      <c r="K137" s="98" t="s">
        <v>238</v>
      </c>
      <c r="L137" s="58">
        <f t="shared" si="16"/>
        <v>485000</v>
      </c>
    </row>
    <row r="138" ht="15.75" customHeight="1">
      <c r="A138" s="204">
        <v>17.0</v>
      </c>
      <c r="B138" s="112">
        <v>45805.0</v>
      </c>
      <c r="C138" s="98" t="s">
        <v>954</v>
      </c>
      <c r="D138" s="98" t="s">
        <v>314</v>
      </c>
      <c r="E138" s="204" t="s">
        <v>243</v>
      </c>
      <c r="F138" s="204" t="s">
        <v>329</v>
      </c>
      <c r="G138" s="151">
        <v>10000.0</v>
      </c>
      <c r="H138" s="107">
        <v>1100000.0</v>
      </c>
      <c r="I138" s="115" t="s">
        <v>238</v>
      </c>
      <c r="J138" s="121">
        <v>600000.0</v>
      </c>
      <c r="K138" s="98" t="s">
        <v>238</v>
      </c>
      <c r="L138" s="58">
        <f t="shared" si="16"/>
        <v>500000</v>
      </c>
    </row>
    <row r="139" ht="15.75" customHeight="1">
      <c r="A139" s="118">
        <v>18.0</v>
      </c>
      <c r="B139" s="112">
        <v>45807.0</v>
      </c>
      <c r="C139" s="98" t="s">
        <v>954</v>
      </c>
      <c r="D139" s="98" t="s">
        <v>314</v>
      </c>
      <c r="E139" s="98" t="s">
        <v>322</v>
      </c>
      <c r="F139" s="98" t="s">
        <v>328</v>
      </c>
      <c r="G139" s="110">
        <v>10000.0</v>
      </c>
      <c r="H139" s="121">
        <v>1600000.0</v>
      </c>
      <c r="I139" s="115" t="s">
        <v>238</v>
      </c>
      <c r="J139" s="109">
        <v>975000.0</v>
      </c>
      <c r="K139" s="98" t="s">
        <v>238</v>
      </c>
      <c r="L139" s="58">
        <f t="shared" si="16"/>
        <v>625000</v>
      </c>
      <c r="M139" s="106"/>
    </row>
    <row r="140" ht="15.75" customHeight="1">
      <c r="A140" s="118">
        <v>19.0</v>
      </c>
      <c r="B140" s="112">
        <v>45808.0</v>
      </c>
      <c r="C140" s="98" t="s">
        <v>954</v>
      </c>
      <c r="D140" s="98" t="s">
        <v>314</v>
      </c>
      <c r="E140" s="98" t="s">
        <v>243</v>
      </c>
      <c r="F140" s="98" t="s">
        <v>255</v>
      </c>
      <c r="G140" s="110">
        <v>10000.0</v>
      </c>
      <c r="H140" s="107">
        <v>1500000.0</v>
      </c>
      <c r="I140" s="108" t="s">
        <v>238</v>
      </c>
      <c r="J140" s="121">
        <v>950000.0</v>
      </c>
      <c r="K140" s="98" t="s">
        <v>238</v>
      </c>
      <c r="L140" s="58">
        <f t="shared" si="16"/>
        <v>550000</v>
      </c>
      <c r="M140" s="106"/>
    </row>
    <row r="141" ht="15.75" customHeight="1">
      <c r="A141" s="118"/>
      <c r="B141" s="112"/>
      <c r="C141" s="17"/>
      <c r="D141" s="98"/>
      <c r="E141" s="98"/>
      <c r="F141" s="98"/>
      <c r="G141" s="110"/>
      <c r="H141" s="107"/>
      <c r="I141" s="59"/>
      <c r="J141" s="121"/>
      <c r="K141" s="60"/>
      <c r="L141" s="216">
        <f>SUM(L122:L140)</f>
        <v>9950000</v>
      </c>
      <c r="M141" s="217">
        <f>SUM(M122:M136)</f>
        <v>5835000</v>
      </c>
    </row>
    <row r="142" ht="15.75" customHeight="1">
      <c r="A142" s="21"/>
      <c r="B142" s="7"/>
      <c r="C142" s="17"/>
      <c r="D142" s="17"/>
      <c r="E142" s="98"/>
      <c r="F142" s="17"/>
      <c r="G142" s="110"/>
      <c r="H142" s="58"/>
      <c r="I142" s="59"/>
      <c r="J142" s="121"/>
      <c r="K142" s="60"/>
      <c r="L142" s="218">
        <f>L141-M141</f>
        <v>4115000</v>
      </c>
      <c r="M142" s="346"/>
    </row>
    <row r="143" ht="15.75" customHeight="1">
      <c r="A143" s="21"/>
      <c r="B143" s="7"/>
      <c r="C143" s="17"/>
      <c r="D143" s="17"/>
      <c r="E143" s="17"/>
      <c r="F143" s="17"/>
      <c r="G143" s="57"/>
      <c r="H143" s="58"/>
      <c r="I143" s="59"/>
      <c r="K143" s="60"/>
      <c r="L143" s="220"/>
      <c r="M143" s="26"/>
    </row>
    <row r="144" ht="15.75" customHeight="1">
      <c r="A144" s="169"/>
      <c r="E144" s="169"/>
      <c r="F144" s="169"/>
      <c r="G144" s="170"/>
      <c r="H144" s="149"/>
      <c r="I144" s="97"/>
      <c r="J144" s="149"/>
      <c r="K144" s="169"/>
      <c r="M144" s="149"/>
    </row>
    <row r="145" ht="15.75" customHeight="1">
      <c r="A145" s="136" t="s">
        <v>209</v>
      </c>
      <c r="B145" s="136" t="s">
        <v>0</v>
      </c>
      <c r="C145" s="136" t="s">
        <v>1</v>
      </c>
      <c r="D145" s="136" t="s">
        <v>2</v>
      </c>
      <c r="E145" s="137" t="s">
        <v>3</v>
      </c>
      <c r="F145" s="136" t="s">
        <v>4</v>
      </c>
      <c r="G145" s="138" t="s">
        <v>5</v>
      </c>
      <c r="H145" s="139" t="s">
        <v>6</v>
      </c>
      <c r="I145" s="140" t="s">
        <v>39</v>
      </c>
      <c r="J145" s="139" t="s">
        <v>7</v>
      </c>
      <c r="K145" s="138" t="s">
        <v>39</v>
      </c>
      <c r="L145" s="140" t="s">
        <v>8</v>
      </c>
      <c r="M145" s="141" t="s">
        <v>9</v>
      </c>
    </row>
    <row r="146" ht="15.75" customHeight="1">
      <c r="A146" s="17">
        <v>1.0</v>
      </c>
      <c r="B146" s="142">
        <v>45810.0</v>
      </c>
      <c r="C146" s="98" t="s">
        <v>954</v>
      </c>
      <c r="D146" s="98" t="s">
        <v>314</v>
      </c>
      <c r="E146" s="144" t="s">
        <v>243</v>
      </c>
      <c r="F146" s="144" t="s">
        <v>329</v>
      </c>
      <c r="G146" s="148">
        <v>10000.0</v>
      </c>
      <c r="H146" s="134">
        <v>1100000.0</v>
      </c>
      <c r="I146" s="145" t="s">
        <v>238</v>
      </c>
      <c r="J146" s="134">
        <v>600000.0</v>
      </c>
      <c r="K146" s="98" t="s">
        <v>238</v>
      </c>
      <c r="L146" s="146">
        <f t="shared" ref="L146:L165" si="17">H146-J146</f>
        <v>500000</v>
      </c>
      <c r="M146" s="147">
        <v>50000.0</v>
      </c>
    </row>
    <row r="147" ht="15.75" customHeight="1">
      <c r="A147" s="118">
        <v>2.0</v>
      </c>
      <c r="B147" s="142">
        <v>45812.0</v>
      </c>
      <c r="C147" s="98" t="s">
        <v>954</v>
      </c>
      <c r="D147" s="98" t="s">
        <v>314</v>
      </c>
      <c r="E147" s="204" t="s">
        <v>279</v>
      </c>
      <c r="F147" s="144" t="s">
        <v>287</v>
      </c>
      <c r="G147" s="151">
        <v>9000.0</v>
      </c>
      <c r="H147" s="107">
        <v>1200000.0</v>
      </c>
      <c r="I147" s="115" t="s">
        <v>212</v>
      </c>
      <c r="J147" s="121">
        <v>690000.0</v>
      </c>
      <c r="K147" s="98" t="s">
        <v>238</v>
      </c>
      <c r="L147" s="146">
        <f t="shared" si="17"/>
        <v>510000</v>
      </c>
      <c r="M147" s="150">
        <v>4735000.0</v>
      </c>
    </row>
    <row r="148" ht="15.75" customHeight="1">
      <c r="A148" s="118">
        <v>3.0</v>
      </c>
      <c r="B148" s="142">
        <v>45813.0</v>
      </c>
      <c r="C148" s="98" t="s">
        <v>954</v>
      </c>
      <c r="D148" s="98" t="s">
        <v>314</v>
      </c>
      <c r="E148" s="204" t="s">
        <v>320</v>
      </c>
      <c r="F148" s="144" t="s">
        <v>249</v>
      </c>
      <c r="G148" s="151">
        <v>10000.0</v>
      </c>
      <c r="H148" s="150">
        <v>1550000.0</v>
      </c>
      <c r="I148" s="115" t="s">
        <v>212</v>
      </c>
      <c r="J148" s="150">
        <v>1000000.0</v>
      </c>
      <c r="K148" s="98" t="s">
        <v>212</v>
      </c>
      <c r="L148" s="146">
        <f t="shared" si="17"/>
        <v>550000</v>
      </c>
      <c r="M148" s="149"/>
    </row>
    <row r="149" ht="15.75" customHeight="1">
      <c r="A149" s="118">
        <v>4.0</v>
      </c>
      <c r="B149" s="142">
        <v>45815.0</v>
      </c>
      <c r="C149" s="98" t="s">
        <v>954</v>
      </c>
      <c r="D149" s="98" t="s">
        <v>314</v>
      </c>
      <c r="E149" s="204" t="s">
        <v>242</v>
      </c>
      <c r="F149" s="144" t="s">
        <v>259</v>
      </c>
      <c r="G149" s="151">
        <v>10000.0</v>
      </c>
      <c r="H149" s="150">
        <v>1500000.0</v>
      </c>
      <c r="I149" s="115" t="s">
        <v>238</v>
      </c>
      <c r="J149" s="150">
        <v>850000.0</v>
      </c>
      <c r="K149" s="98" t="s">
        <v>212</v>
      </c>
      <c r="L149" s="146">
        <f t="shared" si="17"/>
        <v>650000</v>
      </c>
      <c r="M149" s="149"/>
    </row>
    <row r="150" ht="15.75" customHeight="1">
      <c r="A150" s="118">
        <v>5.0</v>
      </c>
      <c r="B150" s="142">
        <v>45817.0</v>
      </c>
      <c r="C150" s="98" t="s">
        <v>954</v>
      </c>
      <c r="D150" s="98" t="s">
        <v>314</v>
      </c>
      <c r="E150" s="144" t="s">
        <v>243</v>
      </c>
      <c r="F150" s="144" t="s">
        <v>329</v>
      </c>
      <c r="G150" s="148">
        <v>10000.0</v>
      </c>
      <c r="H150" s="134">
        <v>1100000.0</v>
      </c>
      <c r="I150" s="145" t="s">
        <v>238</v>
      </c>
      <c r="J150" s="134">
        <v>600000.0</v>
      </c>
      <c r="K150" s="98" t="s">
        <v>212</v>
      </c>
      <c r="L150" s="146">
        <f t="shared" si="17"/>
        <v>500000</v>
      </c>
      <c r="M150" s="149"/>
    </row>
    <row r="151" ht="15.75" customHeight="1">
      <c r="A151" s="118">
        <v>6.0</v>
      </c>
      <c r="B151" s="142">
        <v>45818.0</v>
      </c>
      <c r="C151" s="98" t="s">
        <v>954</v>
      </c>
      <c r="D151" s="98" t="s">
        <v>314</v>
      </c>
      <c r="E151" s="204" t="s">
        <v>242</v>
      </c>
      <c r="F151" s="144" t="s">
        <v>259</v>
      </c>
      <c r="G151" s="151">
        <v>10000.0</v>
      </c>
      <c r="H151" s="150">
        <v>1500000.0</v>
      </c>
      <c r="I151" s="145" t="s">
        <v>238</v>
      </c>
      <c r="J151" s="150">
        <v>850000.0</v>
      </c>
      <c r="K151" s="98" t="s">
        <v>238</v>
      </c>
      <c r="L151" s="146">
        <f t="shared" si="17"/>
        <v>650000</v>
      </c>
      <c r="M151" s="149"/>
    </row>
    <row r="152" ht="15.75" customHeight="1">
      <c r="A152" s="118">
        <v>7.0</v>
      </c>
      <c r="B152" s="142">
        <v>45819.0</v>
      </c>
      <c r="C152" s="98" t="s">
        <v>954</v>
      </c>
      <c r="D152" s="98" t="s">
        <v>314</v>
      </c>
      <c r="E152" s="204" t="s">
        <v>243</v>
      </c>
      <c r="F152" s="144" t="s">
        <v>268</v>
      </c>
      <c r="G152" s="151">
        <v>9000.0</v>
      </c>
      <c r="H152" s="121">
        <v>1400000.0</v>
      </c>
      <c r="I152" s="115" t="s">
        <v>238</v>
      </c>
      <c r="J152" s="121">
        <v>850000.0</v>
      </c>
      <c r="K152" s="98" t="s">
        <v>238</v>
      </c>
      <c r="L152" s="146">
        <f t="shared" si="17"/>
        <v>550000</v>
      </c>
      <c r="M152" s="150">
        <v>800000.0</v>
      </c>
    </row>
    <row r="153" ht="15.75" customHeight="1">
      <c r="A153" s="118">
        <v>8.0</v>
      </c>
      <c r="B153" s="142">
        <v>45820.0</v>
      </c>
      <c r="C153" s="98" t="s">
        <v>954</v>
      </c>
      <c r="D153" s="98" t="s">
        <v>314</v>
      </c>
      <c r="E153" s="204" t="s">
        <v>322</v>
      </c>
      <c r="F153" s="144" t="s">
        <v>287</v>
      </c>
      <c r="G153" s="151">
        <v>10000.0</v>
      </c>
      <c r="H153" s="107">
        <v>1300000.0</v>
      </c>
      <c r="I153" s="115" t="s">
        <v>212</v>
      </c>
      <c r="J153" s="121">
        <v>765000.0</v>
      </c>
      <c r="K153" s="98" t="s">
        <v>238</v>
      </c>
      <c r="L153" s="146">
        <f t="shared" si="17"/>
        <v>535000</v>
      </c>
      <c r="M153" s="149"/>
    </row>
    <row r="154" ht="15.75" customHeight="1">
      <c r="A154" s="118">
        <v>9.0</v>
      </c>
      <c r="B154" s="142">
        <v>45821.0</v>
      </c>
      <c r="C154" s="98" t="s">
        <v>954</v>
      </c>
      <c r="D154" s="98" t="s">
        <v>314</v>
      </c>
      <c r="E154" s="204" t="s">
        <v>327</v>
      </c>
      <c r="F154" s="144" t="s">
        <v>259</v>
      </c>
      <c r="G154" s="151">
        <v>10000.0</v>
      </c>
      <c r="H154" s="150">
        <v>1500000.0</v>
      </c>
      <c r="I154" s="145" t="s">
        <v>238</v>
      </c>
      <c r="J154" s="150">
        <v>850000.0</v>
      </c>
      <c r="K154" s="98" t="s">
        <v>238</v>
      </c>
      <c r="L154" s="146">
        <f t="shared" si="17"/>
        <v>650000</v>
      </c>
      <c r="M154" s="149"/>
    </row>
    <row r="155" ht="15.75" customHeight="1">
      <c r="A155" s="118">
        <v>10.0</v>
      </c>
      <c r="B155" s="142">
        <v>45822.0</v>
      </c>
      <c r="C155" s="98" t="s">
        <v>954</v>
      </c>
      <c r="D155" s="98" t="s">
        <v>314</v>
      </c>
      <c r="E155" s="204" t="s">
        <v>243</v>
      </c>
      <c r="F155" s="144" t="s">
        <v>329</v>
      </c>
      <c r="G155" s="151">
        <v>10000.0</v>
      </c>
      <c r="H155" s="150">
        <v>1100000.0</v>
      </c>
      <c r="I155" s="115" t="s">
        <v>238</v>
      </c>
      <c r="J155" s="150">
        <v>600000.0</v>
      </c>
      <c r="K155" s="98" t="s">
        <v>238</v>
      </c>
      <c r="L155" s="146">
        <f t="shared" si="17"/>
        <v>500000</v>
      </c>
      <c r="M155" s="149"/>
    </row>
    <row r="156" ht="15.75" customHeight="1">
      <c r="A156" s="118">
        <v>11.0</v>
      </c>
      <c r="B156" s="142">
        <v>45824.0</v>
      </c>
      <c r="C156" s="98" t="s">
        <v>954</v>
      </c>
      <c r="D156" s="98" t="s">
        <v>314</v>
      </c>
      <c r="E156" s="204" t="s">
        <v>242</v>
      </c>
      <c r="F156" s="144" t="s">
        <v>259</v>
      </c>
      <c r="G156" s="151">
        <v>10000.0</v>
      </c>
      <c r="H156" s="150">
        <v>1500000.0</v>
      </c>
      <c r="I156" s="145" t="s">
        <v>238</v>
      </c>
      <c r="J156" s="150">
        <v>850000.0</v>
      </c>
      <c r="K156" s="98" t="s">
        <v>238</v>
      </c>
      <c r="L156" s="146">
        <f t="shared" si="17"/>
        <v>650000</v>
      </c>
      <c r="M156" s="149"/>
    </row>
    <row r="157" ht="15.75" customHeight="1">
      <c r="A157" s="118">
        <v>12.0</v>
      </c>
      <c r="B157" s="142">
        <v>45825.0</v>
      </c>
      <c r="C157" s="98" t="s">
        <v>954</v>
      </c>
      <c r="D157" s="98" t="s">
        <v>314</v>
      </c>
      <c r="E157" s="204" t="s">
        <v>322</v>
      </c>
      <c r="F157" s="144" t="s">
        <v>214</v>
      </c>
      <c r="G157" s="151">
        <v>9000.0</v>
      </c>
      <c r="H157" s="150">
        <v>1350000.0</v>
      </c>
      <c r="I157" s="115" t="s">
        <v>238</v>
      </c>
      <c r="J157" s="150">
        <v>925000.0</v>
      </c>
      <c r="K157" s="98" t="s">
        <v>238</v>
      </c>
      <c r="L157" s="146">
        <f t="shared" si="17"/>
        <v>425000</v>
      </c>
      <c r="M157" s="149"/>
    </row>
    <row r="158" ht="15.75" customHeight="1">
      <c r="A158" s="118">
        <v>13.0</v>
      </c>
      <c r="B158" s="142">
        <v>45826.0</v>
      </c>
      <c r="C158" s="98" t="s">
        <v>954</v>
      </c>
      <c r="D158" s="98" t="s">
        <v>314</v>
      </c>
      <c r="E158" s="204" t="s">
        <v>320</v>
      </c>
      <c r="F158" s="144" t="s">
        <v>346</v>
      </c>
      <c r="G158" s="151">
        <v>9000.0</v>
      </c>
      <c r="H158" s="150">
        <v>990000.0</v>
      </c>
      <c r="I158" s="115" t="s">
        <v>212</v>
      </c>
      <c r="J158" s="150">
        <v>600000.0</v>
      </c>
      <c r="K158" s="98" t="s">
        <v>238</v>
      </c>
      <c r="L158" s="146">
        <f t="shared" si="17"/>
        <v>390000</v>
      </c>
      <c r="M158" s="149"/>
    </row>
    <row r="159" ht="15.75" customHeight="1">
      <c r="A159" s="118">
        <v>14.0</v>
      </c>
      <c r="B159" s="142">
        <v>45831.0</v>
      </c>
      <c r="C159" s="98" t="s">
        <v>954</v>
      </c>
      <c r="D159" s="98" t="s">
        <v>314</v>
      </c>
      <c r="E159" s="204" t="s">
        <v>243</v>
      </c>
      <c r="F159" s="144" t="s">
        <v>255</v>
      </c>
      <c r="G159" s="110">
        <v>10000.0</v>
      </c>
      <c r="H159" s="107">
        <v>1500000.0</v>
      </c>
      <c r="I159" s="145" t="s">
        <v>238</v>
      </c>
      <c r="J159" s="121">
        <v>950000.0</v>
      </c>
      <c r="K159" s="98" t="s">
        <v>238</v>
      </c>
      <c r="L159" s="146">
        <f t="shared" si="17"/>
        <v>550000</v>
      </c>
      <c r="M159" s="149"/>
    </row>
    <row r="160" ht="15.75" customHeight="1">
      <c r="A160" s="118">
        <v>15.0</v>
      </c>
      <c r="B160" s="142">
        <v>45832.0</v>
      </c>
      <c r="C160" s="98" t="s">
        <v>954</v>
      </c>
      <c r="D160" s="98" t="s">
        <v>314</v>
      </c>
      <c r="E160" s="204" t="s">
        <v>243</v>
      </c>
      <c r="F160" s="144" t="s">
        <v>329</v>
      </c>
      <c r="G160" s="151">
        <v>10000.0</v>
      </c>
      <c r="H160" s="150">
        <v>1100000.0</v>
      </c>
      <c r="I160" s="115" t="s">
        <v>238</v>
      </c>
      <c r="J160" s="150">
        <v>600000.0</v>
      </c>
      <c r="K160" s="204" t="s">
        <v>238</v>
      </c>
      <c r="L160" s="146">
        <f t="shared" si="17"/>
        <v>500000</v>
      </c>
      <c r="M160" s="149"/>
    </row>
    <row r="161" ht="15.75" customHeight="1">
      <c r="A161" s="118">
        <v>16.0</v>
      </c>
      <c r="B161" s="142">
        <v>45833.0</v>
      </c>
      <c r="C161" s="98" t="s">
        <v>954</v>
      </c>
      <c r="D161" s="98" t="s">
        <v>314</v>
      </c>
      <c r="E161" s="204" t="s">
        <v>327</v>
      </c>
      <c r="F161" s="144" t="s">
        <v>292</v>
      </c>
      <c r="G161" s="151">
        <v>9000.0</v>
      </c>
      <c r="H161" s="150">
        <v>1100000.0</v>
      </c>
      <c r="I161" s="115" t="s">
        <v>212</v>
      </c>
      <c r="J161" s="150">
        <v>650000.0</v>
      </c>
      <c r="K161" s="204" t="s">
        <v>238</v>
      </c>
      <c r="L161" s="146">
        <f t="shared" si="17"/>
        <v>450000</v>
      </c>
      <c r="M161" s="149"/>
    </row>
    <row r="162" ht="15.75" customHeight="1">
      <c r="A162" s="118">
        <v>17.0</v>
      </c>
      <c r="B162" s="142">
        <v>45834.0</v>
      </c>
      <c r="C162" s="98" t="s">
        <v>954</v>
      </c>
      <c r="D162" s="98" t="s">
        <v>314</v>
      </c>
      <c r="E162" s="204" t="s">
        <v>123</v>
      </c>
      <c r="F162" s="144" t="s">
        <v>316</v>
      </c>
      <c r="G162" s="151">
        <v>9000.0</v>
      </c>
      <c r="H162" s="150">
        <v>720000.0</v>
      </c>
      <c r="I162" s="115" t="s">
        <v>212</v>
      </c>
      <c r="J162" s="150">
        <v>350000.0</v>
      </c>
      <c r="K162" s="204" t="s">
        <v>238</v>
      </c>
      <c r="L162" s="146">
        <f t="shared" si="17"/>
        <v>370000</v>
      </c>
      <c r="M162" s="149"/>
    </row>
    <row r="163" ht="15.75" customHeight="1">
      <c r="A163" s="204">
        <v>18.0</v>
      </c>
      <c r="B163" s="142">
        <v>45834.0</v>
      </c>
      <c r="C163" s="98" t="s">
        <v>954</v>
      </c>
      <c r="D163" s="98" t="s">
        <v>314</v>
      </c>
      <c r="E163" s="204" t="s">
        <v>327</v>
      </c>
      <c r="F163" s="144" t="s">
        <v>301</v>
      </c>
      <c r="G163" s="151">
        <v>9000.0</v>
      </c>
      <c r="H163" s="150">
        <v>900000.0</v>
      </c>
      <c r="I163" s="115" t="s">
        <v>212</v>
      </c>
      <c r="J163" s="150">
        <v>500000.0</v>
      </c>
      <c r="K163" s="204" t="s">
        <v>238</v>
      </c>
      <c r="L163" s="146">
        <f t="shared" si="17"/>
        <v>400000</v>
      </c>
      <c r="M163" s="149"/>
    </row>
    <row r="164" ht="15.75" customHeight="1">
      <c r="A164" s="204">
        <v>19.0</v>
      </c>
      <c r="B164" s="142">
        <v>45836.0</v>
      </c>
      <c r="C164" s="98" t="s">
        <v>954</v>
      </c>
      <c r="D164" s="98" t="s">
        <v>314</v>
      </c>
      <c r="E164" s="204" t="s">
        <v>243</v>
      </c>
      <c r="F164" s="204" t="s">
        <v>348</v>
      </c>
      <c r="G164" s="151">
        <v>10000.0</v>
      </c>
      <c r="H164" s="150">
        <v>1000000.0</v>
      </c>
      <c r="I164" s="115" t="s">
        <v>238</v>
      </c>
      <c r="J164" s="150">
        <v>475000.0</v>
      </c>
      <c r="K164" s="204" t="s">
        <v>238</v>
      </c>
      <c r="L164" s="146">
        <f t="shared" si="17"/>
        <v>525000</v>
      </c>
      <c r="M164" s="150">
        <v>370000.0</v>
      </c>
    </row>
    <row r="165" ht="15.75" customHeight="1">
      <c r="A165" s="204">
        <v>20.0</v>
      </c>
      <c r="B165" s="142">
        <v>45838.0</v>
      </c>
      <c r="C165" s="98" t="s">
        <v>954</v>
      </c>
      <c r="D165" s="98" t="s">
        <v>314</v>
      </c>
      <c r="E165" s="204" t="s">
        <v>243</v>
      </c>
      <c r="F165" s="204" t="s">
        <v>331</v>
      </c>
      <c r="G165" s="151">
        <v>9000.0</v>
      </c>
      <c r="H165" s="107">
        <v>1305000.0</v>
      </c>
      <c r="I165" s="108" t="s">
        <v>238</v>
      </c>
      <c r="J165" s="109">
        <v>725000.0</v>
      </c>
      <c r="K165" s="204" t="s">
        <v>238</v>
      </c>
      <c r="L165" s="146">
        <f t="shared" si="17"/>
        <v>580000</v>
      </c>
      <c r="M165" s="149"/>
    </row>
    <row r="166" ht="15.75" customHeight="1">
      <c r="A166" s="169"/>
      <c r="E166" s="169"/>
      <c r="G166" s="170"/>
      <c r="H166" s="149"/>
      <c r="I166" s="97"/>
      <c r="J166" s="149"/>
      <c r="K166" s="169"/>
      <c r="L166" s="52">
        <f t="shared" ref="L166:M166" si="18">SUM(L146:L165)</f>
        <v>10435000</v>
      </c>
      <c r="M166" s="30">
        <f t="shared" si="18"/>
        <v>5955000</v>
      </c>
    </row>
    <row r="167" ht="15.75" customHeight="1">
      <c r="A167" s="169"/>
      <c r="E167" s="169"/>
      <c r="F167" s="169"/>
      <c r="G167" s="170"/>
      <c r="H167" s="149"/>
      <c r="I167" s="97"/>
      <c r="J167" s="149"/>
      <c r="K167" s="169"/>
      <c r="L167" s="33">
        <f>L166-M166</f>
        <v>4480000</v>
      </c>
      <c r="M167" s="26"/>
    </row>
    <row r="168" ht="15.75" customHeight="1">
      <c r="A168" s="169"/>
      <c r="E168" s="169"/>
      <c r="G168" s="170"/>
      <c r="H168" s="149"/>
      <c r="I168" s="97"/>
      <c r="J168" s="149"/>
      <c r="K168" s="169"/>
      <c r="M168" s="149"/>
    </row>
    <row r="169" ht="15.75" customHeight="1">
      <c r="A169" s="136" t="s">
        <v>209</v>
      </c>
      <c r="B169" s="136" t="s">
        <v>0</v>
      </c>
      <c r="C169" s="136" t="s">
        <v>1</v>
      </c>
      <c r="D169" s="136" t="s">
        <v>2</v>
      </c>
      <c r="E169" s="137" t="s">
        <v>3</v>
      </c>
      <c r="F169" s="136" t="s">
        <v>4</v>
      </c>
      <c r="G169" s="138" t="s">
        <v>5</v>
      </c>
      <c r="H169" s="139" t="s">
        <v>6</v>
      </c>
      <c r="I169" s="140" t="s">
        <v>39</v>
      </c>
      <c r="J169" s="139" t="s">
        <v>7</v>
      </c>
      <c r="K169" s="138" t="s">
        <v>39</v>
      </c>
      <c r="L169" s="140" t="s">
        <v>8</v>
      </c>
      <c r="M169" s="141" t="s">
        <v>9</v>
      </c>
    </row>
    <row r="170" ht="15.75" customHeight="1">
      <c r="A170" s="17">
        <v>1.0</v>
      </c>
      <c r="B170" s="142">
        <v>45839.0</v>
      </c>
      <c r="C170" s="98" t="s">
        <v>954</v>
      </c>
      <c r="D170" s="98" t="s">
        <v>314</v>
      </c>
      <c r="E170" s="144" t="s">
        <v>955</v>
      </c>
      <c r="F170" s="144" t="s">
        <v>956</v>
      </c>
      <c r="G170" s="148">
        <v>8000.0</v>
      </c>
      <c r="H170" s="134">
        <v>1200000.0</v>
      </c>
      <c r="I170" s="145" t="s">
        <v>238</v>
      </c>
      <c r="J170" s="134">
        <v>640000.0</v>
      </c>
      <c r="K170" s="204" t="s">
        <v>238</v>
      </c>
      <c r="L170" s="146">
        <f t="shared" ref="L170:L174" si="19">H170-J170</f>
        <v>560000</v>
      </c>
      <c r="M170" s="147"/>
    </row>
    <row r="171" ht="15.75" customHeight="1">
      <c r="A171" s="118">
        <v>2.0</v>
      </c>
      <c r="B171" s="142">
        <v>45840.0</v>
      </c>
      <c r="C171" s="98" t="s">
        <v>954</v>
      </c>
      <c r="D171" s="98" t="s">
        <v>314</v>
      </c>
      <c r="E171" s="98" t="s">
        <v>243</v>
      </c>
      <c r="F171" s="144" t="s">
        <v>321</v>
      </c>
      <c r="G171" s="110">
        <v>10000.0</v>
      </c>
      <c r="H171" s="107">
        <v>800000.0</v>
      </c>
      <c r="I171" s="115" t="s">
        <v>212</v>
      </c>
      <c r="J171" s="109">
        <v>425000.0</v>
      </c>
      <c r="K171" s="109" t="s">
        <v>238</v>
      </c>
      <c r="L171" s="146">
        <f t="shared" si="19"/>
        <v>375000</v>
      </c>
      <c r="M171" s="106"/>
    </row>
    <row r="172" ht="15.75" customHeight="1">
      <c r="A172" s="118">
        <v>3.0</v>
      </c>
      <c r="B172" s="142">
        <v>45841.0</v>
      </c>
      <c r="C172" s="98" t="s">
        <v>954</v>
      </c>
      <c r="D172" s="98" t="s">
        <v>314</v>
      </c>
      <c r="E172" s="98" t="s">
        <v>322</v>
      </c>
      <c r="F172" s="144" t="s">
        <v>303</v>
      </c>
      <c r="G172" s="110">
        <v>9000.0</v>
      </c>
      <c r="H172" s="107">
        <v>1215000.0</v>
      </c>
      <c r="I172" s="108" t="s">
        <v>238</v>
      </c>
      <c r="J172" s="109">
        <v>725000.0</v>
      </c>
      <c r="K172" s="109" t="s">
        <v>238</v>
      </c>
      <c r="L172" s="146">
        <f t="shared" si="19"/>
        <v>490000</v>
      </c>
      <c r="M172" s="61"/>
    </row>
    <row r="173" ht="15.75" customHeight="1">
      <c r="A173" s="118">
        <v>4.0</v>
      </c>
      <c r="B173" s="142">
        <v>45842.0</v>
      </c>
      <c r="C173" s="98" t="s">
        <v>954</v>
      </c>
      <c r="D173" s="98" t="s">
        <v>314</v>
      </c>
      <c r="E173" s="98" t="s">
        <v>322</v>
      </c>
      <c r="F173" s="144" t="s">
        <v>287</v>
      </c>
      <c r="G173" s="110">
        <v>9000.0</v>
      </c>
      <c r="H173" s="107">
        <v>1200000.0</v>
      </c>
      <c r="I173" s="115" t="s">
        <v>212</v>
      </c>
      <c r="J173" s="121">
        <v>690000.0</v>
      </c>
      <c r="K173" s="109" t="s">
        <v>238</v>
      </c>
      <c r="L173" s="146">
        <f t="shared" si="19"/>
        <v>510000</v>
      </c>
      <c r="M173" s="61"/>
    </row>
    <row r="174" ht="15.75" customHeight="1">
      <c r="A174" s="118">
        <v>5.0</v>
      </c>
      <c r="B174" s="142">
        <v>45843.0</v>
      </c>
      <c r="C174" s="98" t="s">
        <v>954</v>
      </c>
      <c r="D174" s="98" t="s">
        <v>314</v>
      </c>
      <c r="E174" s="98" t="s">
        <v>243</v>
      </c>
      <c r="F174" s="144" t="s">
        <v>329</v>
      </c>
      <c r="G174" s="110">
        <v>10000.0</v>
      </c>
      <c r="H174" s="107">
        <v>1100000.0</v>
      </c>
      <c r="I174" s="115" t="s">
        <v>238</v>
      </c>
      <c r="J174" s="109">
        <v>600000.0</v>
      </c>
      <c r="K174" s="109" t="s">
        <v>238</v>
      </c>
      <c r="L174" s="146">
        <f t="shared" si="19"/>
        <v>500000</v>
      </c>
      <c r="M174" s="106">
        <v>80000.0</v>
      </c>
    </row>
    <row r="175" ht="15.75" customHeight="1">
      <c r="A175" s="118"/>
      <c r="B175" s="142"/>
      <c r="C175" s="143"/>
      <c r="D175" s="143"/>
      <c r="E175" s="98"/>
      <c r="F175" s="144"/>
      <c r="G175" s="110"/>
      <c r="H175" s="107"/>
      <c r="I175" s="115"/>
      <c r="J175" s="109"/>
      <c r="K175" s="109"/>
      <c r="L175" s="52">
        <f t="shared" ref="L175:M175" si="20">SUM(L170:L174)</f>
        <v>2435000</v>
      </c>
      <c r="M175" s="30">
        <f t="shared" si="20"/>
        <v>80000</v>
      </c>
    </row>
    <row r="176" ht="15.75" customHeight="1">
      <c r="A176" s="118"/>
      <c r="B176" s="142"/>
      <c r="C176" s="143"/>
      <c r="D176" s="143"/>
      <c r="E176" s="98"/>
      <c r="F176" s="144"/>
      <c r="G176" s="110"/>
      <c r="H176" s="107"/>
      <c r="I176" s="108"/>
      <c r="J176" s="109"/>
      <c r="K176" s="109"/>
      <c r="L176" s="33">
        <f>L175-M175</f>
        <v>2355000</v>
      </c>
      <c r="M176" s="26"/>
    </row>
    <row r="177" ht="15.75" customHeight="1">
      <c r="A177" s="118"/>
      <c r="B177" s="142"/>
      <c r="C177" s="143"/>
      <c r="D177" s="143"/>
      <c r="E177" s="98"/>
      <c r="F177" s="144"/>
      <c r="G177" s="110"/>
      <c r="H177" s="107"/>
      <c r="I177" s="108"/>
      <c r="J177" s="109"/>
      <c r="K177" s="109"/>
      <c r="L177" s="146"/>
      <c r="M177" s="106"/>
    </row>
    <row r="178" ht="15.75" customHeight="1">
      <c r="A178" s="136" t="s">
        <v>209</v>
      </c>
      <c r="B178" s="136" t="s">
        <v>0</v>
      </c>
      <c r="C178" s="136" t="s">
        <v>1</v>
      </c>
      <c r="D178" s="136" t="s">
        <v>2</v>
      </c>
      <c r="E178" s="137" t="s">
        <v>3</v>
      </c>
      <c r="F178" s="136" t="s">
        <v>4</v>
      </c>
      <c r="G178" s="138" t="s">
        <v>5</v>
      </c>
      <c r="H178" s="139" t="s">
        <v>6</v>
      </c>
      <c r="I178" s="140" t="s">
        <v>39</v>
      </c>
      <c r="J178" s="139" t="s">
        <v>7</v>
      </c>
      <c r="K178" s="138" t="s">
        <v>39</v>
      </c>
      <c r="L178" s="140" t="s">
        <v>8</v>
      </c>
      <c r="M178" s="141" t="s">
        <v>9</v>
      </c>
    </row>
    <row r="179" ht="15.75" customHeight="1">
      <c r="A179" s="17">
        <v>1.0</v>
      </c>
      <c r="B179" s="142">
        <v>45855.0</v>
      </c>
      <c r="C179" s="98" t="s">
        <v>957</v>
      </c>
      <c r="D179" s="98" t="s">
        <v>314</v>
      </c>
      <c r="E179" s="144" t="s">
        <v>242</v>
      </c>
      <c r="F179" s="144" t="s">
        <v>259</v>
      </c>
      <c r="G179" s="148">
        <v>10000.0</v>
      </c>
      <c r="H179" s="134">
        <v>1500000.0</v>
      </c>
      <c r="I179" s="145" t="s">
        <v>238</v>
      </c>
      <c r="J179" s="134">
        <v>850000.0</v>
      </c>
      <c r="K179" s="204" t="s">
        <v>238</v>
      </c>
      <c r="L179" s="146">
        <f t="shared" ref="L179:L186" si="21">H179-J179</f>
        <v>650000</v>
      </c>
      <c r="M179" s="147"/>
    </row>
    <row r="180" ht="15.75" customHeight="1">
      <c r="A180" s="118">
        <v>2.0</v>
      </c>
      <c r="B180" s="142">
        <v>45856.0</v>
      </c>
      <c r="C180" s="98" t="s">
        <v>957</v>
      </c>
      <c r="D180" s="98" t="s">
        <v>314</v>
      </c>
      <c r="E180" s="98" t="s">
        <v>242</v>
      </c>
      <c r="F180" s="144" t="s">
        <v>342</v>
      </c>
      <c r="G180" s="110">
        <v>10000.0</v>
      </c>
      <c r="H180" s="107">
        <v>1500000.0</v>
      </c>
      <c r="I180" s="108" t="s">
        <v>238</v>
      </c>
      <c r="J180" s="109">
        <v>950000.0</v>
      </c>
      <c r="K180" s="204" t="s">
        <v>238</v>
      </c>
      <c r="L180" s="146">
        <f t="shared" si="21"/>
        <v>550000</v>
      </c>
      <c r="M180" s="106"/>
    </row>
    <row r="181" ht="15.75" customHeight="1">
      <c r="A181" s="118">
        <v>3.0</v>
      </c>
      <c r="B181" s="142">
        <v>45859.0</v>
      </c>
      <c r="C181" s="98" t="s">
        <v>957</v>
      </c>
      <c r="D181" s="98" t="s">
        <v>314</v>
      </c>
      <c r="E181" s="98" t="s">
        <v>335</v>
      </c>
      <c r="F181" s="144" t="s">
        <v>340</v>
      </c>
      <c r="G181" s="110">
        <v>8000.0</v>
      </c>
      <c r="H181" s="107">
        <v>1771432.0</v>
      </c>
      <c r="I181" s="108" t="s">
        <v>238</v>
      </c>
      <c r="J181" s="109">
        <v>850000.0</v>
      </c>
      <c r="K181" s="109" t="s">
        <v>238</v>
      </c>
      <c r="L181" s="146">
        <f t="shared" si="21"/>
        <v>921432</v>
      </c>
      <c r="M181" s="61"/>
    </row>
    <row r="182" ht="15.75" customHeight="1">
      <c r="A182" s="118">
        <v>4.0</v>
      </c>
      <c r="B182" s="142">
        <v>45860.0</v>
      </c>
      <c r="C182" s="98" t="s">
        <v>957</v>
      </c>
      <c r="D182" s="98" t="s">
        <v>314</v>
      </c>
      <c r="E182" s="98" t="s">
        <v>335</v>
      </c>
      <c r="F182" s="98" t="s">
        <v>341</v>
      </c>
      <c r="G182" s="110">
        <v>7000.0</v>
      </c>
      <c r="H182" s="107">
        <v>1550003.0</v>
      </c>
      <c r="I182" s="108" t="s">
        <v>238</v>
      </c>
      <c r="J182" s="109">
        <v>700000.0</v>
      </c>
      <c r="K182" s="109" t="s">
        <v>212</v>
      </c>
      <c r="L182" s="146">
        <f t="shared" si="21"/>
        <v>850003</v>
      </c>
      <c r="M182" s="61"/>
    </row>
    <row r="183" ht="15.75" customHeight="1">
      <c r="A183" s="118">
        <v>5.0</v>
      </c>
      <c r="B183" s="142">
        <v>45861.0</v>
      </c>
      <c r="C183" s="98" t="s">
        <v>957</v>
      </c>
      <c r="D183" s="98" t="s">
        <v>314</v>
      </c>
      <c r="E183" s="98" t="s">
        <v>243</v>
      </c>
      <c r="F183" s="144" t="s">
        <v>323</v>
      </c>
      <c r="G183" s="110">
        <v>7870.0</v>
      </c>
      <c r="H183" s="107">
        <v>1180000.0</v>
      </c>
      <c r="I183" s="115" t="s">
        <v>212</v>
      </c>
      <c r="J183" s="109">
        <v>780000.0</v>
      </c>
      <c r="K183" s="109" t="s">
        <v>238</v>
      </c>
      <c r="L183" s="146">
        <f t="shared" si="21"/>
        <v>400000</v>
      </c>
      <c r="M183" s="106"/>
    </row>
    <row r="184" ht="15.75" customHeight="1">
      <c r="A184" s="118">
        <v>6.0</v>
      </c>
      <c r="B184" s="142">
        <v>45862.0</v>
      </c>
      <c r="C184" s="98" t="s">
        <v>957</v>
      </c>
      <c r="D184" s="98" t="s">
        <v>314</v>
      </c>
      <c r="E184" s="98" t="s">
        <v>322</v>
      </c>
      <c r="F184" s="98" t="s">
        <v>287</v>
      </c>
      <c r="G184" s="151">
        <v>9000.0</v>
      </c>
      <c r="H184" s="150">
        <v>1200000.0</v>
      </c>
      <c r="I184" s="115" t="s">
        <v>212</v>
      </c>
      <c r="J184" s="121">
        <v>690000.0</v>
      </c>
      <c r="K184" s="109" t="s">
        <v>238</v>
      </c>
      <c r="L184" s="146">
        <f t="shared" si="21"/>
        <v>510000</v>
      </c>
      <c r="M184" s="106">
        <v>800000.0</v>
      </c>
    </row>
    <row r="185" ht="15.75" customHeight="1">
      <c r="A185" s="118">
        <v>7.0</v>
      </c>
      <c r="B185" s="142">
        <v>45868.0</v>
      </c>
      <c r="C185" s="98" t="s">
        <v>957</v>
      </c>
      <c r="D185" s="98" t="s">
        <v>314</v>
      </c>
      <c r="E185" s="98" t="s">
        <v>327</v>
      </c>
      <c r="F185" s="98" t="s">
        <v>328</v>
      </c>
      <c r="G185" s="110">
        <v>9000.0</v>
      </c>
      <c r="H185" s="107">
        <v>1440000.0</v>
      </c>
      <c r="I185" s="108" t="s">
        <v>238</v>
      </c>
      <c r="J185" s="109">
        <v>900000.0</v>
      </c>
      <c r="K185" s="109" t="s">
        <v>238</v>
      </c>
      <c r="L185" s="146">
        <f t="shared" si="21"/>
        <v>540000</v>
      </c>
      <c r="M185" s="106">
        <v>200000.0</v>
      </c>
    </row>
    <row r="186" ht="15.75" customHeight="1">
      <c r="A186" s="118">
        <v>8.0</v>
      </c>
      <c r="B186" s="142">
        <v>45869.0</v>
      </c>
      <c r="C186" s="98" t="s">
        <v>957</v>
      </c>
      <c r="D186" s="98" t="s">
        <v>314</v>
      </c>
      <c r="E186" s="98" t="s">
        <v>327</v>
      </c>
      <c r="F186" s="144" t="s">
        <v>259</v>
      </c>
      <c r="G186" s="148">
        <v>10000.0</v>
      </c>
      <c r="H186" s="134">
        <v>1500000.0</v>
      </c>
      <c r="I186" s="145" t="s">
        <v>238</v>
      </c>
      <c r="J186" s="134">
        <v>850000.0</v>
      </c>
      <c r="K186" s="109" t="s">
        <v>238</v>
      </c>
      <c r="L186" s="146">
        <f t="shared" si="21"/>
        <v>650000</v>
      </c>
      <c r="M186" s="61"/>
    </row>
    <row r="187" ht="15.75" customHeight="1">
      <c r="A187" s="118"/>
      <c r="B187" s="142"/>
      <c r="C187" s="143"/>
      <c r="D187" s="143"/>
      <c r="E187" s="98"/>
      <c r="F187" s="98"/>
      <c r="G187" s="110"/>
      <c r="H187" s="107"/>
      <c r="I187" s="60"/>
      <c r="J187" s="109"/>
      <c r="K187" s="60"/>
      <c r="L187" s="52">
        <f>SUM(L179:L186)</f>
        <v>5071435</v>
      </c>
      <c r="M187" s="30">
        <f>SUM(M182:M186)</f>
        <v>1000000</v>
      </c>
    </row>
    <row r="188" ht="15.75" customHeight="1">
      <c r="A188" s="118"/>
      <c r="B188" s="142"/>
      <c r="C188" s="143"/>
      <c r="D188" s="143"/>
      <c r="E188" s="98"/>
      <c r="F188" s="98"/>
      <c r="G188" s="110"/>
      <c r="H188" s="107"/>
      <c r="I188" s="60"/>
      <c r="J188" s="109"/>
      <c r="K188" s="60"/>
      <c r="L188" s="33">
        <f>L187-M187</f>
        <v>4071435</v>
      </c>
      <c r="M188" s="26"/>
    </row>
    <row r="189" ht="15.75" customHeight="1">
      <c r="A189" s="21"/>
      <c r="B189" s="7"/>
      <c r="C189" s="17"/>
      <c r="D189" s="17"/>
      <c r="E189" s="17"/>
      <c r="F189" s="17"/>
      <c r="G189" s="57"/>
      <c r="H189" s="58"/>
      <c r="I189" s="59"/>
      <c r="J189" s="60"/>
      <c r="K189" s="60"/>
    </row>
    <row r="190" ht="15.75" customHeight="1">
      <c r="A190" s="136" t="s">
        <v>209</v>
      </c>
      <c r="B190" s="136" t="s">
        <v>0</v>
      </c>
      <c r="C190" s="136" t="s">
        <v>1</v>
      </c>
      <c r="D190" s="136" t="s">
        <v>2</v>
      </c>
      <c r="E190" s="137" t="s">
        <v>3</v>
      </c>
      <c r="F190" s="136" t="s">
        <v>4</v>
      </c>
      <c r="G190" s="138" t="s">
        <v>5</v>
      </c>
      <c r="H190" s="139" t="s">
        <v>6</v>
      </c>
      <c r="I190" s="140" t="s">
        <v>39</v>
      </c>
      <c r="J190" s="139" t="s">
        <v>7</v>
      </c>
      <c r="K190" s="138" t="s">
        <v>39</v>
      </c>
      <c r="L190" s="140" t="s">
        <v>8</v>
      </c>
      <c r="M190" s="141" t="s">
        <v>9</v>
      </c>
    </row>
    <row r="191" ht="15.75" customHeight="1">
      <c r="A191" s="17">
        <v>1.0</v>
      </c>
      <c r="B191" s="142">
        <v>45870.0</v>
      </c>
      <c r="C191" s="98" t="s">
        <v>957</v>
      </c>
      <c r="D191" s="98" t="s">
        <v>314</v>
      </c>
      <c r="E191" s="144" t="s">
        <v>327</v>
      </c>
      <c r="F191" s="144" t="s">
        <v>329</v>
      </c>
      <c r="G191" s="148">
        <v>10000.0</v>
      </c>
      <c r="H191" s="134">
        <v>1100000.0</v>
      </c>
      <c r="I191" s="145" t="s">
        <v>238</v>
      </c>
      <c r="J191" s="134">
        <v>600000.0</v>
      </c>
      <c r="K191" s="109" t="s">
        <v>238</v>
      </c>
      <c r="L191" s="58">
        <f t="shared" ref="L191:L208" si="22">H191-J191</f>
        <v>500000</v>
      </c>
      <c r="M191" s="147"/>
    </row>
    <row r="192" ht="15.75" customHeight="1">
      <c r="A192" s="118">
        <v>2.0</v>
      </c>
      <c r="B192" s="142">
        <v>45871.0</v>
      </c>
      <c r="C192" s="98" t="s">
        <v>957</v>
      </c>
      <c r="D192" s="98" t="s">
        <v>314</v>
      </c>
      <c r="E192" s="144" t="s">
        <v>327</v>
      </c>
      <c r="F192" s="144" t="s">
        <v>329</v>
      </c>
      <c r="G192" s="148">
        <v>10000.0</v>
      </c>
      <c r="H192" s="134">
        <v>1100000.0</v>
      </c>
      <c r="I192" s="145" t="s">
        <v>238</v>
      </c>
      <c r="J192" s="134">
        <v>600000.0</v>
      </c>
      <c r="K192" s="109" t="s">
        <v>238</v>
      </c>
      <c r="L192" s="58">
        <f t="shared" si="22"/>
        <v>500000</v>
      </c>
      <c r="M192" s="150">
        <v>980000.0</v>
      </c>
    </row>
    <row r="193" ht="15.75" customHeight="1">
      <c r="A193" s="118">
        <v>3.0</v>
      </c>
      <c r="B193" s="142">
        <v>45873.0</v>
      </c>
      <c r="C193" s="98" t="s">
        <v>957</v>
      </c>
      <c r="D193" s="98" t="s">
        <v>314</v>
      </c>
      <c r="E193" s="98" t="s">
        <v>322</v>
      </c>
      <c r="F193" s="144" t="s">
        <v>295</v>
      </c>
      <c r="G193" s="110">
        <v>9000.0</v>
      </c>
      <c r="H193" s="134">
        <v>1125000.0</v>
      </c>
      <c r="I193" s="145" t="s">
        <v>238</v>
      </c>
      <c r="J193" s="134">
        <v>665000.0</v>
      </c>
      <c r="K193" s="109" t="s">
        <v>238</v>
      </c>
      <c r="L193" s="58">
        <f t="shared" si="22"/>
        <v>460000</v>
      </c>
      <c r="M193" s="149"/>
    </row>
    <row r="194" ht="15.75" customHeight="1">
      <c r="A194" s="118">
        <v>4.0</v>
      </c>
      <c r="B194" s="142">
        <v>45874.0</v>
      </c>
      <c r="C194" s="98" t="s">
        <v>957</v>
      </c>
      <c r="D194" s="98" t="s">
        <v>314</v>
      </c>
      <c r="E194" s="144" t="s">
        <v>327</v>
      </c>
      <c r="F194" s="144" t="s">
        <v>328</v>
      </c>
      <c r="G194" s="151">
        <v>9000.0</v>
      </c>
      <c r="H194" s="134">
        <v>1440000.0</v>
      </c>
      <c r="I194" s="115" t="s">
        <v>238</v>
      </c>
      <c r="J194" s="134">
        <v>900000.0</v>
      </c>
      <c r="K194" s="109" t="s">
        <v>238</v>
      </c>
      <c r="L194" s="58">
        <f t="shared" si="22"/>
        <v>540000</v>
      </c>
      <c r="M194" s="149"/>
    </row>
    <row r="195" ht="15.75" customHeight="1">
      <c r="A195" s="118">
        <v>5.0</v>
      </c>
      <c r="B195" s="142">
        <v>45876.0</v>
      </c>
      <c r="C195" s="98" t="s">
        <v>957</v>
      </c>
      <c r="D195" s="98" t="s">
        <v>314</v>
      </c>
      <c r="E195" s="98" t="s">
        <v>322</v>
      </c>
      <c r="F195" s="144" t="s">
        <v>287</v>
      </c>
      <c r="G195" s="151">
        <v>9000.0</v>
      </c>
      <c r="H195" s="134">
        <v>1200000.0</v>
      </c>
      <c r="I195" s="115" t="s">
        <v>212</v>
      </c>
      <c r="J195" s="134">
        <v>690000.0</v>
      </c>
      <c r="K195" s="109" t="s">
        <v>238</v>
      </c>
      <c r="L195" s="58">
        <f t="shared" si="22"/>
        <v>510000</v>
      </c>
      <c r="M195" s="149"/>
    </row>
    <row r="196" ht="15.75" customHeight="1">
      <c r="A196" s="118">
        <v>6.0</v>
      </c>
      <c r="B196" s="142">
        <v>45878.0</v>
      </c>
      <c r="C196" s="98" t="s">
        <v>957</v>
      </c>
      <c r="D196" s="98" t="s">
        <v>314</v>
      </c>
      <c r="E196" s="98" t="s">
        <v>242</v>
      </c>
      <c r="F196" s="98" t="s">
        <v>292</v>
      </c>
      <c r="G196" s="151">
        <v>10000.0</v>
      </c>
      <c r="H196" s="134">
        <v>1100000.0</v>
      </c>
      <c r="I196" s="115" t="s">
        <v>212</v>
      </c>
      <c r="J196" s="134">
        <v>700000.0</v>
      </c>
      <c r="K196" s="109" t="s">
        <v>238</v>
      </c>
      <c r="L196" s="58">
        <f t="shared" si="22"/>
        <v>400000</v>
      </c>
      <c r="M196" s="149"/>
    </row>
    <row r="197" ht="15.75" customHeight="1">
      <c r="A197" s="118">
        <v>7.0</v>
      </c>
      <c r="B197" s="142">
        <v>45882.0</v>
      </c>
      <c r="C197" s="98" t="s">
        <v>957</v>
      </c>
      <c r="D197" s="98" t="s">
        <v>314</v>
      </c>
      <c r="E197" s="98" t="s">
        <v>242</v>
      </c>
      <c r="F197" s="98" t="s">
        <v>259</v>
      </c>
      <c r="G197" s="151">
        <v>10000.0</v>
      </c>
      <c r="H197" s="134">
        <v>1500000.0</v>
      </c>
      <c r="I197" s="152" t="s">
        <v>238</v>
      </c>
      <c r="J197" s="134">
        <v>850000.0</v>
      </c>
      <c r="K197" s="109" t="s">
        <v>238</v>
      </c>
      <c r="L197" s="58">
        <f t="shared" si="22"/>
        <v>650000</v>
      </c>
      <c r="M197" s="150">
        <v>75000.0</v>
      </c>
    </row>
    <row r="198" ht="15.75" customHeight="1">
      <c r="A198" s="118">
        <v>8.0</v>
      </c>
      <c r="B198" s="142">
        <v>45883.0</v>
      </c>
      <c r="C198" s="98" t="s">
        <v>957</v>
      </c>
      <c r="D198" s="98" t="s">
        <v>314</v>
      </c>
      <c r="E198" s="98" t="s">
        <v>243</v>
      </c>
      <c r="F198" s="98" t="s">
        <v>249</v>
      </c>
      <c r="G198" s="151">
        <v>9000.0</v>
      </c>
      <c r="H198" s="134">
        <v>1450000.0</v>
      </c>
      <c r="I198" s="115" t="s">
        <v>212</v>
      </c>
      <c r="J198" s="134">
        <v>900000.0</v>
      </c>
      <c r="K198" s="109" t="s">
        <v>238</v>
      </c>
      <c r="L198" s="58">
        <f t="shared" si="22"/>
        <v>550000</v>
      </c>
      <c r="M198" s="150">
        <v>330000.0</v>
      </c>
    </row>
    <row r="199" ht="15.75" customHeight="1">
      <c r="A199" s="118">
        <v>9.0</v>
      </c>
      <c r="B199" s="142">
        <v>45884.0</v>
      </c>
      <c r="C199" s="98" t="s">
        <v>957</v>
      </c>
      <c r="D199" s="98" t="s">
        <v>314</v>
      </c>
      <c r="E199" s="98" t="s">
        <v>534</v>
      </c>
      <c r="F199" s="98" t="s">
        <v>340</v>
      </c>
      <c r="G199" s="151">
        <v>8000.0</v>
      </c>
      <c r="H199" s="150">
        <v>1771432.0</v>
      </c>
      <c r="I199" s="152"/>
      <c r="J199" s="134">
        <v>850000.0</v>
      </c>
      <c r="K199" s="109" t="s">
        <v>238</v>
      </c>
      <c r="L199" s="58">
        <f t="shared" si="22"/>
        <v>921432</v>
      </c>
      <c r="M199" s="149"/>
    </row>
    <row r="200" ht="15.75" customHeight="1">
      <c r="A200" s="118">
        <v>10.0</v>
      </c>
      <c r="B200" s="142">
        <v>45887.0</v>
      </c>
      <c r="C200" s="98" t="s">
        <v>957</v>
      </c>
      <c r="D200" s="98" t="s">
        <v>314</v>
      </c>
      <c r="E200" s="98" t="s">
        <v>322</v>
      </c>
      <c r="F200" s="98" t="s">
        <v>306</v>
      </c>
      <c r="G200" s="110">
        <v>9000.0</v>
      </c>
      <c r="H200" s="134">
        <v>1035000.0</v>
      </c>
      <c r="I200" s="115" t="s">
        <v>212</v>
      </c>
      <c r="J200" s="109">
        <v>625000.0</v>
      </c>
      <c r="K200" s="109" t="s">
        <v>238</v>
      </c>
      <c r="L200" s="58">
        <f t="shared" si="22"/>
        <v>410000</v>
      </c>
      <c r="M200" s="150"/>
    </row>
    <row r="201" ht="15.75" customHeight="1">
      <c r="A201" s="118">
        <v>11.0</v>
      </c>
      <c r="B201" s="142">
        <v>45888.0</v>
      </c>
      <c r="C201" s="98" t="s">
        <v>957</v>
      </c>
      <c r="D201" s="98" t="s">
        <v>314</v>
      </c>
      <c r="E201" s="98" t="s">
        <v>534</v>
      </c>
      <c r="F201" s="98" t="s">
        <v>340</v>
      </c>
      <c r="G201" s="151">
        <v>7500.0</v>
      </c>
      <c r="H201" s="150">
        <v>1660717.0</v>
      </c>
      <c r="I201" s="152"/>
      <c r="J201" s="121">
        <v>850000.0</v>
      </c>
      <c r="K201" s="109" t="s">
        <v>238</v>
      </c>
      <c r="L201" s="58">
        <f t="shared" si="22"/>
        <v>810717</v>
      </c>
      <c r="M201" s="150">
        <v>350000.0</v>
      </c>
    </row>
    <row r="202" ht="15.75" customHeight="1">
      <c r="A202" s="118">
        <v>12.0</v>
      </c>
      <c r="B202" s="142">
        <v>45890.0</v>
      </c>
      <c r="C202" s="98" t="s">
        <v>957</v>
      </c>
      <c r="D202" s="98" t="s">
        <v>314</v>
      </c>
      <c r="E202" s="98" t="s">
        <v>327</v>
      </c>
      <c r="F202" s="144" t="s">
        <v>329</v>
      </c>
      <c r="G202" s="148">
        <v>10000.0</v>
      </c>
      <c r="H202" s="134">
        <v>1100000.0</v>
      </c>
      <c r="I202" s="145" t="s">
        <v>238</v>
      </c>
      <c r="J202" s="134">
        <v>600000.0</v>
      </c>
      <c r="K202" s="109" t="s">
        <v>238</v>
      </c>
      <c r="L202" s="58">
        <f t="shared" si="22"/>
        <v>500000</v>
      </c>
      <c r="M202" s="149"/>
    </row>
    <row r="203" ht="15.75" customHeight="1">
      <c r="A203" s="118">
        <v>13.0</v>
      </c>
      <c r="B203" s="142">
        <v>45892.0</v>
      </c>
      <c r="C203" s="98" t="s">
        <v>957</v>
      </c>
      <c r="D203" s="98" t="s">
        <v>314</v>
      </c>
      <c r="E203" s="98" t="s">
        <v>322</v>
      </c>
      <c r="F203" s="98" t="s">
        <v>214</v>
      </c>
      <c r="G203" s="151">
        <v>9000.0</v>
      </c>
      <c r="H203" s="150">
        <v>1350000.0</v>
      </c>
      <c r="I203" s="152" t="s">
        <v>238</v>
      </c>
      <c r="J203" s="121">
        <v>925000.0</v>
      </c>
      <c r="K203" s="109" t="s">
        <v>238</v>
      </c>
      <c r="L203" s="58">
        <f t="shared" si="22"/>
        <v>425000</v>
      </c>
      <c r="M203" s="149"/>
    </row>
    <row r="204" ht="15.75" customHeight="1">
      <c r="A204" s="118">
        <v>14.0</v>
      </c>
      <c r="B204" s="142">
        <v>45894.0</v>
      </c>
      <c r="C204" s="98" t="s">
        <v>957</v>
      </c>
      <c r="D204" s="98" t="s">
        <v>314</v>
      </c>
      <c r="E204" s="98" t="s">
        <v>322</v>
      </c>
      <c r="F204" s="98" t="s">
        <v>522</v>
      </c>
      <c r="G204" s="151">
        <v>9000.0</v>
      </c>
      <c r="H204" s="150">
        <v>1170000.0</v>
      </c>
      <c r="I204" s="115" t="s">
        <v>533</v>
      </c>
      <c r="J204" s="121">
        <v>665000.0</v>
      </c>
      <c r="K204" s="109" t="s">
        <v>238</v>
      </c>
      <c r="L204" s="58">
        <f t="shared" si="22"/>
        <v>505000</v>
      </c>
      <c r="M204" s="149"/>
    </row>
    <row r="205" ht="15.75" customHeight="1">
      <c r="A205" s="118">
        <v>15.0</v>
      </c>
      <c r="B205" s="142">
        <v>45895.0</v>
      </c>
      <c r="C205" s="98" t="s">
        <v>957</v>
      </c>
      <c r="D205" s="98" t="s">
        <v>314</v>
      </c>
      <c r="E205" s="98" t="s">
        <v>536</v>
      </c>
      <c r="F205" s="144" t="s">
        <v>341</v>
      </c>
      <c r="G205" s="151">
        <v>7250.0</v>
      </c>
      <c r="H205" s="150">
        <v>1605360.0</v>
      </c>
      <c r="I205" s="152"/>
      <c r="J205" s="121">
        <v>700000.0</v>
      </c>
      <c r="K205" s="109" t="s">
        <v>212</v>
      </c>
      <c r="L205" s="58">
        <f t="shared" si="22"/>
        <v>905360</v>
      </c>
      <c r="M205" s="149"/>
    </row>
    <row r="206" ht="15.75" customHeight="1">
      <c r="A206" s="118">
        <v>16.0</v>
      </c>
      <c r="B206" s="142">
        <v>45896.0</v>
      </c>
      <c r="C206" s="98" t="s">
        <v>957</v>
      </c>
      <c r="D206" s="98" t="s">
        <v>314</v>
      </c>
      <c r="E206" s="98" t="s">
        <v>536</v>
      </c>
      <c r="F206" s="98" t="s">
        <v>336</v>
      </c>
      <c r="G206" s="151">
        <v>6250.0</v>
      </c>
      <c r="H206" s="150">
        <v>1550003.0</v>
      </c>
      <c r="I206" s="152"/>
      <c r="J206" s="121">
        <v>750000.0</v>
      </c>
      <c r="K206" s="109" t="s">
        <v>212</v>
      </c>
      <c r="L206" s="58">
        <f t="shared" si="22"/>
        <v>800003</v>
      </c>
      <c r="M206" s="150">
        <v>2050000.0</v>
      </c>
    </row>
    <row r="207" ht="15.75" customHeight="1">
      <c r="A207" s="118">
        <v>17.0</v>
      </c>
      <c r="B207" s="142">
        <v>45898.0</v>
      </c>
      <c r="C207" s="98" t="s">
        <v>957</v>
      </c>
      <c r="D207" s="98" t="s">
        <v>314</v>
      </c>
      <c r="E207" s="98" t="s">
        <v>322</v>
      </c>
      <c r="F207" s="98" t="s">
        <v>303</v>
      </c>
      <c r="G207" s="151">
        <v>9000.0</v>
      </c>
      <c r="H207" s="150">
        <v>1215000.0</v>
      </c>
      <c r="I207" s="152"/>
      <c r="J207" s="121">
        <v>725000.0</v>
      </c>
      <c r="K207" s="109" t="s">
        <v>212</v>
      </c>
      <c r="L207" s="58">
        <f t="shared" si="22"/>
        <v>490000</v>
      </c>
      <c r="M207" s="149"/>
    </row>
    <row r="208" ht="15.75" customHeight="1">
      <c r="A208" s="118">
        <v>18.0</v>
      </c>
      <c r="B208" s="142">
        <v>45899.0</v>
      </c>
      <c r="C208" s="98" t="s">
        <v>957</v>
      </c>
      <c r="D208" s="98" t="s">
        <v>314</v>
      </c>
      <c r="E208" s="98" t="s">
        <v>679</v>
      </c>
      <c r="F208" s="98" t="s">
        <v>319</v>
      </c>
      <c r="G208" s="110">
        <v>10000.0</v>
      </c>
      <c r="H208" s="150">
        <v>1900000.0</v>
      </c>
      <c r="I208" s="184"/>
      <c r="J208" s="121">
        <v>1000000.0</v>
      </c>
      <c r="K208" s="109" t="s">
        <v>238</v>
      </c>
      <c r="L208" s="58">
        <f t="shared" si="22"/>
        <v>900000</v>
      </c>
      <c r="M208" s="150"/>
    </row>
    <row r="209" ht="15.75" customHeight="1">
      <c r="A209" s="118"/>
      <c r="B209" s="7"/>
      <c r="C209" s="7"/>
      <c r="D209" s="7"/>
      <c r="E209" s="17"/>
      <c r="F209" s="17"/>
      <c r="G209" s="170"/>
      <c r="H209" s="149"/>
      <c r="I209" s="184"/>
      <c r="J209" s="121"/>
      <c r="K209" s="17"/>
      <c r="L209" s="52">
        <f t="shared" ref="L209:M209" si="23">SUM(L191:L208)</f>
        <v>10777512</v>
      </c>
      <c r="M209" s="30">
        <f t="shared" si="23"/>
        <v>3785000</v>
      </c>
    </row>
    <row r="210" ht="15.75" customHeight="1">
      <c r="A210" s="21"/>
      <c r="B210" s="7"/>
      <c r="C210" s="7"/>
      <c r="D210" s="7"/>
      <c r="E210" s="17"/>
      <c r="F210" s="17"/>
      <c r="G210" s="170"/>
      <c r="H210" s="149"/>
      <c r="I210" s="184"/>
      <c r="J210" s="121"/>
      <c r="K210" s="17"/>
      <c r="L210" s="33">
        <f>L209-M209</f>
        <v>6992512</v>
      </c>
      <c r="M210" s="26"/>
    </row>
    <row r="211" ht="15.75" customHeight="1">
      <c r="A211" s="169"/>
      <c r="E211" s="169"/>
      <c r="F211" s="169"/>
      <c r="G211" s="170"/>
      <c r="H211" s="149"/>
      <c r="I211" s="97"/>
      <c r="J211" s="149"/>
      <c r="K211" s="169"/>
      <c r="M211" s="149"/>
    </row>
    <row r="212" ht="15.75" customHeight="1">
      <c r="A212" s="136" t="s">
        <v>209</v>
      </c>
      <c r="B212" s="136" t="s">
        <v>0</v>
      </c>
      <c r="C212" s="136" t="s">
        <v>1</v>
      </c>
      <c r="D212" s="136" t="s">
        <v>2</v>
      </c>
      <c r="E212" s="137" t="s">
        <v>3</v>
      </c>
      <c r="F212" s="136" t="s">
        <v>4</v>
      </c>
      <c r="G212" s="138" t="s">
        <v>5</v>
      </c>
      <c r="H212" s="139" t="s">
        <v>6</v>
      </c>
      <c r="I212" s="140" t="s">
        <v>39</v>
      </c>
      <c r="J212" s="139" t="s">
        <v>7</v>
      </c>
      <c r="K212" s="138" t="s">
        <v>39</v>
      </c>
      <c r="L212" s="140" t="s">
        <v>8</v>
      </c>
      <c r="M212" s="141" t="s">
        <v>9</v>
      </c>
    </row>
    <row r="213" ht="15.75" customHeight="1">
      <c r="A213" s="17">
        <v>1.0</v>
      </c>
      <c r="B213" s="142">
        <v>45901.0</v>
      </c>
      <c r="C213" s="98" t="s">
        <v>957</v>
      </c>
      <c r="D213" s="98" t="s">
        <v>314</v>
      </c>
      <c r="E213" s="144" t="s">
        <v>242</v>
      </c>
      <c r="F213" s="144" t="s">
        <v>264</v>
      </c>
      <c r="G213" s="148">
        <v>10000.0</v>
      </c>
      <c r="H213" s="107">
        <v>1500000.0</v>
      </c>
      <c r="I213" s="108"/>
      <c r="J213" s="109">
        <v>950000.0</v>
      </c>
      <c r="K213" s="109" t="s">
        <v>238</v>
      </c>
      <c r="L213" s="58">
        <f>H213-J213</f>
        <v>550000</v>
      </c>
      <c r="M213" s="147"/>
    </row>
    <row r="214" ht="15.75" customHeight="1">
      <c r="A214" s="169"/>
      <c r="E214" s="169"/>
      <c r="F214" s="169"/>
      <c r="G214" s="170"/>
      <c r="H214" s="149"/>
      <c r="I214" s="97"/>
      <c r="J214" s="149"/>
      <c r="K214" s="169"/>
      <c r="M214" s="149"/>
    </row>
    <row r="215" ht="15.75" customHeight="1">
      <c r="A215" s="169"/>
      <c r="E215" s="169"/>
      <c r="F215" s="169"/>
      <c r="G215" s="170"/>
      <c r="H215" s="149"/>
      <c r="I215" s="97"/>
      <c r="J215" s="149"/>
      <c r="K215" s="169"/>
      <c r="M215" s="149"/>
    </row>
    <row r="216" ht="15.75" customHeight="1">
      <c r="A216" s="169"/>
      <c r="E216" s="169"/>
      <c r="F216" s="169"/>
      <c r="G216" s="170"/>
      <c r="H216" s="149"/>
      <c r="I216" s="97"/>
      <c r="J216" s="149"/>
      <c r="K216" s="169"/>
      <c r="M216" s="149"/>
    </row>
    <row r="217" ht="15.75" customHeight="1">
      <c r="A217" s="169"/>
      <c r="E217" s="169"/>
      <c r="F217" s="169"/>
      <c r="G217" s="170"/>
      <c r="H217" s="149"/>
      <c r="I217" s="97"/>
      <c r="J217" s="149"/>
      <c r="K217" s="169"/>
      <c r="M217" s="149"/>
    </row>
    <row r="218" ht="15.75" customHeight="1">
      <c r="A218" s="169"/>
      <c r="E218" s="169"/>
      <c r="F218" s="169"/>
      <c r="G218" s="170"/>
      <c r="H218" s="149"/>
      <c r="I218" s="97"/>
      <c r="J218" s="149"/>
      <c r="K218" s="169"/>
      <c r="M218" s="149"/>
    </row>
    <row r="219" ht="15.75" customHeight="1">
      <c r="A219" s="169"/>
      <c r="E219" s="169"/>
      <c r="F219" s="169"/>
      <c r="G219" s="170"/>
      <c r="H219" s="150" t="s">
        <v>24</v>
      </c>
      <c r="I219" s="97"/>
      <c r="J219" s="149"/>
      <c r="K219" s="169"/>
      <c r="M219" s="149"/>
    </row>
    <row r="220" ht="15.75" customHeight="1">
      <c r="A220" s="169"/>
      <c r="E220" s="169"/>
      <c r="F220" s="169"/>
      <c r="G220" s="170"/>
      <c r="H220" s="149"/>
      <c r="I220" s="97"/>
      <c r="J220" s="149"/>
      <c r="K220" s="169"/>
      <c r="M220" s="149"/>
    </row>
    <row r="221" ht="15.75" customHeight="1">
      <c r="A221" s="169"/>
      <c r="E221" s="169"/>
      <c r="F221" s="169"/>
      <c r="G221" s="170"/>
      <c r="H221" s="149"/>
      <c r="I221" s="97"/>
      <c r="J221" s="149"/>
      <c r="K221" s="169"/>
      <c r="M221" s="149"/>
    </row>
    <row r="222" ht="15.75" customHeight="1">
      <c r="A222" s="169"/>
      <c r="E222" s="169"/>
      <c r="F222" s="169"/>
      <c r="G222" s="170"/>
      <c r="H222" s="149"/>
      <c r="I222" s="97"/>
      <c r="J222" s="149"/>
      <c r="K222" s="169"/>
      <c r="M222" s="149"/>
    </row>
    <row r="223" ht="15.75" customHeight="1">
      <c r="A223" s="169"/>
      <c r="E223" s="169"/>
      <c r="F223" s="169"/>
      <c r="G223" s="170"/>
      <c r="H223" s="149"/>
      <c r="I223" s="97"/>
      <c r="J223" s="149"/>
      <c r="K223" s="169"/>
      <c r="M223" s="149"/>
    </row>
    <row r="224" ht="15.75" customHeight="1">
      <c r="A224" s="169"/>
      <c r="E224" s="169"/>
      <c r="F224" s="169"/>
      <c r="G224" s="170"/>
      <c r="H224" s="149"/>
      <c r="I224" s="97"/>
      <c r="J224" s="149"/>
      <c r="K224" s="169"/>
      <c r="M224" s="149"/>
    </row>
    <row r="225" ht="15.75" customHeight="1">
      <c r="A225" s="169"/>
      <c r="E225" s="169"/>
      <c r="F225" s="169"/>
      <c r="G225" s="170"/>
      <c r="H225" s="149"/>
      <c r="I225" s="97"/>
      <c r="J225" s="149"/>
      <c r="K225" s="169"/>
      <c r="M225" s="149"/>
    </row>
    <row r="226" ht="15.75" customHeight="1">
      <c r="A226" s="169"/>
      <c r="E226" s="169"/>
      <c r="F226" s="169"/>
      <c r="G226" s="170"/>
      <c r="H226" s="149"/>
      <c r="I226" s="97"/>
      <c r="J226" s="149"/>
      <c r="K226" s="169"/>
      <c r="M226" s="149"/>
    </row>
    <row r="227" ht="15.75" customHeight="1">
      <c r="A227" s="169"/>
      <c r="E227" s="169"/>
      <c r="F227" s="169"/>
      <c r="G227" s="170"/>
      <c r="H227" s="149"/>
      <c r="I227" s="97"/>
      <c r="J227" s="149"/>
      <c r="K227" s="169"/>
      <c r="M227" s="149"/>
    </row>
    <row r="228" ht="15.75" customHeight="1">
      <c r="A228" s="169"/>
      <c r="E228" s="169"/>
      <c r="F228" s="169"/>
      <c r="G228" s="170"/>
      <c r="H228" s="149"/>
      <c r="I228" s="97"/>
      <c r="J228" s="149"/>
      <c r="K228" s="169"/>
      <c r="M228" s="149"/>
    </row>
    <row r="229" ht="15.75" customHeight="1">
      <c r="A229" s="169"/>
      <c r="E229" s="169"/>
      <c r="F229" s="169"/>
      <c r="G229" s="170"/>
      <c r="H229" s="149"/>
      <c r="I229" s="97"/>
      <c r="J229" s="149"/>
      <c r="K229" s="169"/>
      <c r="M229" s="149"/>
    </row>
    <row r="230" ht="15.75" customHeight="1">
      <c r="A230" s="169"/>
      <c r="E230" s="169"/>
      <c r="F230" s="169"/>
      <c r="G230" s="170"/>
      <c r="H230" s="149"/>
      <c r="I230" s="97"/>
      <c r="J230" s="149"/>
      <c r="K230" s="169"/>
      <c r="M230" s="149"/>
    </row>
    <row r="231" ht="15.75" customHeight="1">
      <c r="A231" s="169"/>
      <c r="E231" s="169"/>
      <c r="F231" s="169"/>
      <c r="G231" s="170"/>
      <c r="H231" s="149"/>
      <c r="I231" s="97"/>
      <c r="J231" s="149"/>
      <c r="K231" s="169"/>
      <c r="M231" s="149"/>
    </row>
    <row r="232" ht="15.75" customHeight="1">
      <c r="A232" s="169"/>
      <c r="E232" s="169"/>
      <c r="F232" s="169"/>
      <c r="G232" s="170"/>
      <c r="H232" s="149"/>
      <c r="I232" s="97"/>
      <c r="J232" s="149"/>
      <c r="K232" s="169"/>
      <c r="M232" s="149"/>
    </row>
    <row r="233" ht="15.75" customHeight="1">
      <c r="A233" s="169"/>
      <c r="E233" s="169"/>
      <c r="F233" s="169"/>
      <c r="G233" s="170"/>
      <c r="H233" s="149"/>
      <c r="I233" s="97"/>
      <c r="J233" s="149"/>
      <c r="K233" s="169"/>
      <c r="M233" s="149"/>
    </row>
    <row r="234" ht="15.75" customHeight="1">
      <c r="A234" s="169"/>
      <c r="E234" s="169"/>
      <c r="F234" s="169"/>
      <c r="G234" s="170"/>
      <c r="H234" s="149"/>
      <c r="I234" s="97"/>
      <c r="J234" s="149"/>
      <c r="K234" s="169"/>
      <c r="M234" s="149"/>
    </row>
    <row r="235" ht="15.75" customHeight="1">
      <c r="A235" s="169"/>
      <c r="E235" s="169"/>
      <c r="F235" s="169"/>
      <c r="G235" s="170"/>
      <c r="H235" s="149"/>
      <c r="I235" s="97"/>
      <c r="J235" s="149"/>
      <c r="K235" s="169"/>
      <c r="M235" s="149"/>
    </row>
    <row r="236" ht="15.75" customHeight="1">
      <c r="A236" s="169"/>
      <c r="E236" s="169"/>
      <c r="F236" s="169"/>
      <c r="G236" s="170"/>
      <c r="H236" s="149"/>
      <c r="I236" s="97"/>
      <c r="J236" s="149"/>
      <c r="K236" s="169"/>
      <c r="M236" s="149"/>
    </row>
    <row r="237" ht="15.75" customHeight="1">
      <c r="A237" s="169"/>
      <c r="E237" s="169"/>
      <c r="F237" s="169"/>
      <c r="G237" s="170"/>
      <c r="H237" s="149"/>
      <c r="I237" s="97"/>
      <c r="J237" s="149"/>
      <c r="K237" s="169"/>
      <c r="M237" s="149"/>
    </row>
    <row r="238" ht="15.75" customHeight="1">
      <c r="A238" s="169"/>
      <c r="E238" s="169"/>
      <c r="F238" s="169"/>
      <c r="G238" s="170"/>
      <c r="H238" s="149"/>
      <c r="I238" s="97"/>
      <c r="J238" s="149"/>
      <c r="K238" s="169"/>
      <c r="M238" s="149"/>
    </row>
    <row r="239" ht="15.75" customHeight="1">
      <c r="A239" s="169"/>
      <c r="E239" s="169"/>
      <c r="F239" s="169"/>
      <c r="G239" s="170"/>
      <c r="H239" s="149"/>
      <c r="I239" s="97"/>
      <c r="J239" s="149"/>
      <c r="K239" s="169"/>
      <c r="M239" s="149"/>
    </row>
    <row r="240" ht="15.75" customHeight="1">
      <c r="A240" s="169"/>
      <c r="E240" s="169"/>
      <c r="F240" s="169"/>
      <c r="G240" s="170"/>
      <c r="H240" s="149"/>
      <c r="I240" s="97"/>
      <c r="J240" s="149"/>
      <c r="K240" s="169"/>
      <c r="M240" s="14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14.43"/>
    <col customWidth="1" min="4" max="4" width="16.43"/>
    <col customWidth="1" min="5" max="5" width="20.0"/>
    <col customWidth="1" min="6" max="6" width="29.14"/>
    <col customWidth="1" min="7" max="7" width="17.29"/>
    <col customWidth="1" min="8" max="8" width="22.14"/>
    <col customWidth="1" min="9" max="9" width="16.0"/>
    <col customWidth="1" min="10" max="10" width="20.0"/>
    <col customWidth="1" min="11" max="11" width="8.71"/>
    <col customWidth="1" min="12" max="12" width="22.43"/>
    <col customWidth="1" min="13" max="13" width="15.57"/>
    <col customWidth="1" min="14" max="14" width="8.71"/>
  </cols>
  <sheetData>
    <row r="1" ht="21.75" customHeight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2" t="s">
        <v>39</v>
      </c>
      <c r="J1" s="120" t="s">
        <v>7</v>
      </c>
      <c r="K1" s="91" t="s">
        <v>39</v>
      </c>
      <c r="L1" s="92" t="s">
        <v>8</v>
      </c>
      <c r="M1" s="120" t="s">
        <v>9</v>
      </c>
    </row>
    <row r="2">
      <c r="A2" s="85"/>
      <c r="B2" s="86">
        <v>45545.0</v>
      </c>
      <c r="C2" s="17" t="s">
        <v>844</v>
      </c>
      <c r="D2" s="17" t="s">
        <v>958</v>
      </c>
      <c r="E2" s="17" t="s">
        <v>40</v>
      </c>
      <c r="F2" s="17" t="s">
        <v>835</v>
      </c>
      <c r="G2" s="87">
        <v>9000.0</v>
      </c>
      <c r="H2" s="104">
        <v>1350000.0</v>
      </c>
      <c r="I2" s="59" t="s">
        <v>42</v>
      </c>
      <c r="J2" s="104">
        <v>875000.0</v>
      </c>
      <c r="K2" s="58" t="s">
        <v>42</v>
      </c>
      <c r="L2" s="100">
        <f t="shared" ref="L2:L3" si="1">H2-J2</f>
        <v>475000</v>
      </c>
      <c r="M2" s="104">
        <v>250000.0</v>
      </c>
    </row>
    <row r="3">
      <c r="A3" s="85"/>
      <c r="B3" s="86">
        <v>45553.0</v>
      </c>
      <c r="C3" s="17" t="s">
        <v>844</v>
      </c>
      <c r="D3" s="17" t="s">
        <v>958</v>
      </c>
      <c r="E3" s="17" t="s">
        <v>30</v>
      </c>
      <c r="F3" s="17" t="s">
        <v>959</v>
      </c>
      <c r="G3" s="87">
        <v>9000.0</v>
      </c>
      <c r="H3" s="104">
        <v>720000.0</v>
      </c>
      <c r="I3" s="59" t="s">
        <v>42</v>
      </c>
      <c r="J3" s="104">
        <v>350000.0</v>
      </c>
      <c r="K3" s="58" t="s">
        <v>42</v>
      </c>
      <c r="L3" s="100">
        <f t="shared" si="1"/>
        <v>370000</v>
      </c>
      <c r="M3" s="104">
        <v>0.0</v>
      </c>
    </row>
    <row r="4">
      <c r="A4" s="21"/>
      <c r="B4" s="7"/>
      <c r="C4" s="7"/>
      <c r="D4" s="7"/>
      <c r="E4" s="17"/>
      <c r="F4" s="17"/>
      <c r="G4" s="57"/>
      <c r="H4" s="104"/>
      <c r="I4" s="227"/>
      <c r="J4" s="104"/>
      <c r="K4" s="199"/>
      <c r="L4" s="52">
        <f t="shared" ref="L4:M4" si="2">SUM(L2:L3)</f>
        <v>845000</v>
      </c>
      <c r="M4" s="194">
        <f t="shared" si="2"/>
        <v>250000</v>
      </c>
    </row>
    <row r="5">
      <c r="A5" s="21"/>
      <c r="B5" s="7"/>
      <c r="C5" s="7"/>
      <c r="D5" s="7"/>
      <c r="E5" s="17"/>
      <c r="F5" s="17"/>
      <c r="G5" s="57"/>
      <c r="H5" s="104"/>
      <c r="I5" s="227"/>
      <c r="J5" s="104"/>
      <c r="K5" s="199"/>
      <c r="L5" s="33">
        <f>L4-M4</f>
        <v>595000</v>
      </c>
      <c r="M5" s="149"/>
    </row>
    <row r="6">
      <c r="A6" s="21"/>
      <c r="B6" s="7"/>
      <c r="C6" s="7"/>
      <c r="D6" s="7"/>
      <c r="E6" s="17"/>
      <c r="F6" s="17"/>
      <c r="G6" s="170"/>
      <c r="H6" s="149"/>
      <c r="I6" s="184"/>
      <c r="J6" s="104"/>
      <c r="K6" s="17"/>
      <c r="M6" s="149"/>
    </row>
    <row r="7">
      <c r="A7" s="89"/>
      <c r="B7" s="89" t="s">
        <v>0</v>
      </c>
      <c r="C7" s="89" t="s">
        <v>1</v>
      </c>
      <c r="D7" s="89" t="s">
        <v>2</v>
      </c>
      <c r="E7" s="90" t="s">
        <v>3</v>
      </c>
      <c r="F7" s="89" t="s">
        <v>4</v>
      </c>
      <c r="G7" s="91" t="s">
        <v>5</v>
      </c>
      <c r="H7" s="120" t="s">
        <v>6</v>
      </c>
      <c r="I7" s="92" t="s">
        <v>39</v>
      </c>
      <c r="J7" s="120" t="s">
        <v>7</v>
      </c>
      <c r="K7" s="91" t="s">
        <v>39</v>
      </c>
      <c r="L7" s="92" t="s">
        <v>8</v>
      </c>
      <c r="M7" s="120" t="s">
        <v>9</v>
      </c>
    </row>
    <row r="8">
      <c r="A8" s="85"/>
      <c r="B8" s="86">
        <v>45568.0</v>
      </c>
      <c r="C8" s="17" t="s">
        <v>844</v>
      </c>
      <c r="D8" s="17" t="s">
        <v>958</v>
      </c>
      <c r="E8" s="17" t="s">
        <v>37</v>
      </c>
      <c r="F8" s="17" t="s">
        <v>474</v>
      </c>
      <c r="G8" s="87">
        <v>9000.0</v>
      </c>
      <c r="H8" s="104">
        <v>675000.0</v>
      </c>
      <c r="I8" s="184" t="s">
        <v>42</v>
      </c>
      <c r="J8" s="104">
        <v>350000.0</v>
      </c>
      <c r="K8" s="60" t="s">
        <v>42</v>
      </c>
      <c r="L8" s="61">
        <f t="shared" ref="L8:L18" si="3">H8-J8</f>
        <v>325000</v>
      </c>
      <c r="M8" s="149">
        <v>650000.0</v>
      </c>
    </row>
    <row r="9">
      <c r="A9" s="85"/>
      <c r="B9" s="86">
        <v>45569.0</v>
      </c>
      <c r="C9" s="17" t="s">
        <v>844</v>
      </c>
      <c r="D9" s="17" t="s">
        <v>958</v>
      </c>
      <c r="E9" s="17" t="s">
        <v>123</v>
      </c>
      <c r="F9" s="17" t="s">
        <v>109</v>
      </c>
      <c r="G9" s="87">
        <v>9000.0</v>
      </c>
      <c r="H9" s="101">
        <v>720000.0</v>
      </c>
      <c r="I9" s="184" t="s">
        <v>42</v>
      </c>
      <c r="J9" s="101">
        <v>350000.0</v>
      </c>
      <c r="K9" s="60" t="s">
        <v>42</v>
      </c>
      <c r="L9" s="58">
        <f t="shared" si="3"/>
        <v>370000</v>
      </c>
      <c r="M9" s="149">
        <v>450000.0</v>
      </c>
    </row>
    <row r="10">
      <c r="A10" s="85"/>
      <c r="B10" s="86">
        <v>45570.0</v>
      </c>
      <c r="C10" s="17" t="s">
        <v>844</v>
      </c>
      <c r="D10" s="17" t="s">
        <v>958</v>
      </c>
      <c r="E10" s="17" t="s">
        <v>40</v>
      </c>
      <c r="F10" s="17" t="s">
        <v>474</v>
      </c>
      <c r="G10" s="87">
        <v>9000.0</v>
      </c>
      <c r="H10" s="149">
        <v>635000.0</v>
      </c>
      <c r="I10" s="184" t="s">
        <v>42</v>
      </c>
      <c r="J10" s="101">
        <v>350000.0</v>
      </c>
      <c r="K10" s="60" t="s">
        <v>42</v>
      </c>
      <c r="L10" s="58">
        <f t="shared" si="3"/>
        <v>285000</v>
      </c>
      <c r="M10" s="149"/>
    </row>
    <row r="11">
      <c r="A11" s="85"/>
      <c r="B11" s="86">
        <v>45584.0</v>
      </c>
      <c r="C11" s="7"/>
      <c r="D11" s="7"/>
      <c r="E11" s="17"/>
      <c r="F11" s="17"/>
      <c r="G11" s="170"/>
      <c r="H11" s="149"/>
      <c r="I11" s="184"/>
      <c r="J11" s="104"/>
      <c r="K11" s="17"/>
      <c r="L11" s="58">
        <f t="shared" si="3"/>
        <v>0</v>
      </c>
      <c r="M11" s="149">
        <v>3400000.0</v>
      </c>
    </row>
    <row r="12">
      <c r="A12" s="85"/>
      <c r="B12" s="86">
        <v>45589.0</v>
      </c>
      <c r="C12" s="7"/>
      <c r="D12" s="7"/>
      <c r="E12" s="17"/>
      <c r="F12" s="17"/>
      <c r="G12" s="170"/>
      <c r="H12" s="149"/>
      <c r="I12" s="184"/>
      <c r="J12" s="104"/>
      <c r="K12" s="17"/>
      <c r="L12" s="58">
        <f t="shared" si="3"/>
        <v>0</v>
      </c>
      <c r="M12" s="149">
        <v>5450000.0</v>
      </c>
    </row>
    <row r="13">
      <c r="A13" s="21"/>
      <c r="B13" s="7"/>
      <c r="C13" s="7"/>
      <c r="D13" s="7"/>
      <c r="E13" s="17"/>
      <c r="F13" s="17"/>
      <c r="G13" s="170"/>
      <c r="H13" s="149"/>
      <c r="I13" s="184"/>
      <c r="J13" s="104"/>
      <c r="K13" s="17"/>
      <c r="L13" s="58">
        <f t="shared" si="3"/>
        <v>0</v>
      </c>
      <c r="M13" s="149">
        <v>60000.0</v>
      </c>
    </row>
    <row r="14">
      <c r="A14" s="85"/>
      <c r="B14" s="86">
        <v>45590.0</v>
      </c>
      <c r="C14" s="7"/>
      <c r="D14" s="7"/>
      <c r="E14" s="17"/>
      <c r="F14" s="17"/>
      <c r="G14" s="170"/>
      <c r="H14" s="149"/>
      <c r="I14" s="184"/>
      <c r="J14" s="104"/>
      <c r="K14" s="17"/>
      <c r="L14" s="58">
        <f t="shared" si="3"/>
        <v>0</v>
      </c>
      <c r="M14" s="149">
        <v>225000.0</v>
      </c>
    </row>
    <row r="15">
      <c r="A15" s="85"/>
      <c r="B15" s="86">
        <v>45593.0</v>
      </c>
      <c r="C15" s="17" t="s">
        <v>844</v>
      </c>
      <c r="D15" s="17" t="s">
        <v>960</v>
      </c>
      <c r="E15" s="17" t="s">
        <v>40</v>
      </c>
      <c r="F15" s="17" t="s">
        <v>474</v>
      </c>
      <c r="G15" s="87">
        <v>9000.0</v>
      </c>
      <c r="H15" s="104">
        <v>675000.0</v>
      </c>
      <c r="I15" s="97" t="s">
        <v>42</v>
      </c>
      <c r="J15" s="104">
        <v>350000.0</v>
      </c>
      <c r="K15" s="17" t="s">
        <v>42</v>
      </c>
      <c r="L15" s="58">
        <f t="shared" si="3"/>
        <v>325000</v>
      </c>
      <c r="M15" s="149">
        <v>120000.0</v>
      </c>
    </row>
    <row r="16">
      <c r="A16" s="85"/>
      <c r="B16" s="86">
        <v>45593.0</v>
      </c>
      <c r="C16" s="17" t="s">
        <v>844</v>
      </c>
      <c r="D16" s="17" t="s">
        <v>960</v>
      </c>
      <c r="E16" s="17" t="s">
        <v>40</v>
      </c>
      <c r="F16" s="17" t="s">
        <v>411</v>
      </c>
      <c r="G16" s="87">
        <v>9000.0</v>
      </c>
      <c r="H16" s="104">
        <v>1125000.0</v>
      </c>
      <c r="I16" s="97" t="s">
        <v>42</v>
      </c>
      <c r="J16" s="104">
        <v>640000.0</v>
      </c>
      <c r="K16" s="17" t="s">
        <v>42</v>
      </c>
      <c r="L16" s="58">
        <f t="shared" si="3"/>
        <v>485000</v>
      </c>
      <c r="M16" s="149"/>
    </row>
    <row r="17">
      <c r="A17" s="85"/>
      <c r="B17" s="86">
        <v>45595.0</v>
      </c>
      <c r="C17" s="17" t="s">
        <v>844</v>
      </c>
      <c r="D17" s="17" t="s">
        <v>960</v>
      </c>
      <c r="E17" s="169" t="s">
        <v>37</v>
      </c>
      <c r="F17" s="17" t="s">
        <v>491</v>
      </c>
      <c r="G17" s="87">
        <v>10000.0</v>
      </c>
      <c r="H17" s="58">
        <v>750000.0</v>
      </c>
      <c r="I17" s="93" t="s">
        <v>44</v>
      </c>
      <c r="J17" s="101">
        <v>450000.0</v>
      </c>
      <c r="K17" s="17" t="s">
        <v>42</v>
      </c>
      <c r="L17" s="58">
        <f t="shared" si="3"/>
        <v>300000</v>
      </c>
      <c r="M17" s="149">
        <v>1228000.0</v>
      </c>
    </row>
    <row r="18">
      <c r="A18" s="85"/>
      <c r="B18" s="86">
        <v>45596.0</v>
      </c>
      <c r="C18" s="17" t="s">
        <v>844</v>
      </c>
      <c r="D18" s="17" t="s">
        <v>960</v>
      </c>
      <c r="E18" s="17" t="s">
        <v>30</v>
      </c>
      <c r="F18" s="17" t="s">
        <v>474</v>
      </c>
      <c r="G18" s="170">
        <v>9000.0</v>
      </c>
      <c r="H18" s="149">
        <v>675000.0</v>
      </c>
      <c r="I18" s="184" t="s">
        <v>42</v>
      </c>
      <c r="J18" s="104">
        <v>350000.0</v>
      </c>
      <c r="K18" s="17" t="s">
        <v>42</v>
      </c>
      <c r="L18" s="58">
        <f t="shared" si="3"/>
        <v>325000</v>
      </c>
      <c r="M18" s="149">
        <v>155000.0</v>
      </c>
    </row>
    <row r="19">
      <c r="A19" s="203"/>
      <c r="C19" s="7"/>
      <c r="D19" s="7"/>
      <c r="E19" s="17"/>
      <c r="F19" s="17"/>
      <c r="G19" s="170"/>
      <c r="H19" s="149"/>
      <c r="I19" s="184"/>
      <c r="J19" s="104"/>
      <c r="K19" s="17"/>
      <c r="L19" s="52">
        <f t="shared" ref="L19:M19" si="4">SUM(L8:L18)</f>
        <v>2415000</v>
      </c>
      <c r="M19" s="194">
        <f t="shared" si="4"/>
        <v>11738000</v>
      </c>
    </row>
    <row r="20">
      <c r="A20" s="21"/>
      <c r="B20" s="7"/>
      <c r="C20" s="7"/>
      <c r="D20" s="7"/>
      <c r="E20" s="17"/>
      <c r="F20" s="17"/>
      <c r="G20" s="170"/>
      <c r="H20" s="149"/>
      <c r="I20" s="184"/>
      <c r="J20" s="104"/>
      <c r="K20" s="17"/>
      <c r="L20" s="33">
        <f>L19-M19</f>
        <v>-9323000</v>
      </c>
      <c r="M20" s="149"/>
    </row>
    <row r="21" ht="15.75" customHeight="1">
      <c r="A21" s="21"/>
      <c r="B21" s="7"/>
      <c r="C21" s="7"/>
      <c r="D21" s="7"/>
      <c r="E21" s="17"/>
      <c r="F21" s="17"/>
      <c r="G21" s="170"/>
      <c r="H21" s="149"/>
      <c r="I21" s="184"/>
      <c r="J21" s="104"/>
      <c r="K21" s="17"/>
      <c r="M21" s="149"/>
    </row>
    <row r="22" ht="15.75" customHeight="1">
      <c r="A22" s="89" t="s">
        <v>209</v>
      </c>
      <c r="B22" s="89" t="s">
        <v>0</v>
      </c>
      <c r="C22" s="89" t="s">
        <v>1</v>
      </c>
      <c r="D22" s="89" t="s">
        <v>2</v>
      </c>
      <c r="E22" s="90" t="s">
        <v>3</v>
      </c>
      <c r="F22" s="89" t="s">
        <v>4</v>
      </c>
      <c r="G22" s="91" t="s">
        <v>5</v>
      </c>
      <c r="H22" s="119" t="s">
        <v>6</v>
      </c>
      <c r="I22" s="92" t="s">
        <v>39</v>
      </c>
      <c r="J22" s="120" t="s">
        <v>7</v>
      </c>
      <c r="K22" s="293" t="s">
        <v>39</v>
      </c>
      <c r="L22" s="92" t="s">
        <v>8</v>
      </c>
      <c r="M22" s="119" t="s">
        <v>9</v>
      </c>
    </row>
    <row r="23" ht="15.75" customHeight="1">
      <c r="A23" s="21">
        <v>1.0</v>
      </c>
      <c r="B23" s="86">
        <v>45597.0</v>
      </c>
      <c r="C23" s="17" t="s">
        <v>844</v>
      </c>
      <c r="D23" s="17" t="s">
        <v>960</v>
      </c>
      <c r="E23" s="169" t="s">
        <v>30</v>
      </c>
      <c r="F23" s="17" t="s">
        <v>477</v>
      </c>
      <c r="G23" s="170">
        <v>9000.0</v>
      </c>
      <c r="H23" s="201">
        <v>820000.0</v>
      </c>
      <c r="I23" s="93" t="s">
        <v>44</v>
      </c>
      <c r="J23" s="58">
        <v>350000.0</v>
      </c>
      <c r="K23" s="17" t="s">
        <v>42</v>
      </c>
      <c r="L23" s="61">
        <f t="shared" ref="L23:L42" si="5">H23-J23</f>
        <v>470000</v>
      </c>
      <c r="M23" s="149"/>
    </row>
    <row r="24" ht="15.75" customHeight="1">
      <c r="A24" s="21">
        <v>2.0</v>
      </c>
      <c r="B24" s="86">
        <v>45598.0</v>
      </c>
      <c r="C24" s="17" t="s">
        <v>844</v>
      </c>
      <c r="D24" s="17" t="s">
        <v>960</v>
      </c>
      <c r="E24" s="17" t="s">
        <v>96</v>
      </c>
      <c r="F24" s="17" t="s">
        <v>544</v>
      </c>
      <c r="G24" s="170">
        <v>6000.0</v>
      </c>
      <c r="H24" s="149">
        <v>600000.0</v>
      </c>
      <c r="I24" s="93" t="s">
        <v>44</v>
      </c>
      <c r="J24" s="149">
        <v>400000.0</v>
      </c>
      <c r="K24" s="17" t="s">
        <v>42</v>
      </c>
      <c r="L24" s="61">
        <f t="shared" si="5"/>
        <v>200000</v>
      </c>
      <c r="M24" s="149"/>
    </row>
    <row r="25" ht="15.75" customHeight="1">
      <c r="A25" s="21">
        <v>3.0</v>
      </c>
      <c r="B25" s="86">
        <v>45600.0</v>
      </c>
      <c r="C25" s="17" t="s">
        <v>844</v>
      </c>
      <c r="D25" s="17" t="s">
        <v>960</v>
      </c>
      <c r="E25" s="169" t="s">
        <v>37</v>
      </c>
      <c r="F25" s="169" t="s">
        <v>542</v>
      </c>
      <c r="G25" s="170">
        <v>10000.0</v>
      </c>
      <c r="H25" s="104">
        <v>900000.0</v>
      </c>
      <c r="I25" s="93" t="s">
        <v>44</v>
      </c>
      <c r="J25" s="104">
        <v>500000.0</v>
      </c>
      <c r="K25" s="17" t="s">
        <v>42</v>
      </c>
      <c r="L25" s="61">
        <f t="shared" si="5"/>
        <v>400000</v>
      </c>
      <c r="M25" s="149"/>
    </row>
    <row r="26" ht="15.75" customHeight="1">
      <c r="A26" s="21">
        <v>4.0</v>
      </c>
      <c r="B26" s="86">
        <v>45602.0</v>
      </c>
      <c r="C26" s="17" t="s">
        <v>844</v>
      </c>
      <c r="D26" s="17" t="s">
        <v>960</v>
      </c>
      <c r="E26" s="17" t="s">
        <v>204</v>
      </c>
      <c r="F26" s="17" t="s">
        <v>205</v>
      </c>
      <c r="G26" s="87">
        <v>9000.0</v>
      </c>
      <c r="H26" s="58">
        <v>1125000.0</v>
      </c>
      <c r="I26" s="59" t="s">
        <v>42</v>
      </c>
      <c r="J26" s="60">
        <v>640000.0</v>
      </c>
      <c r="K26" s="17" t="s">
        <v>42</v>
      </c>
      <c r="L26" s="61">
        <f t="shared" si="5"/>
        <v>485000</v>
      </c>
      <c r="M26" s="149">
        <v>3305000.0</v>
      </c>
    </row>
    <row r="27" ht="15.75" customHeight="1">
      <c r="A27" s="21">
        <v>5.0</v>
      </c>
      <c r="B27" s="86">
        <v>45603.0</v>
      </c>
      <c r="C27" s="17" t="s">
        <v>844</v>
      </c>
      <c r="D27" s="17" t="s">
        <v>960</v>
      </c>
      <c r="E27" s="17" t="s">
        <v>96</v>
      </c>
      <c r="F27" s="17" t="s">
        <v>961</v>
      </c>
      <c r="G27" s="87">
        <v>9000.0</v>
      </c>
      <c r="H27" s="104">
        <v>1125000.0</v>
      </c>
      <c r="I27" s="59" t="s">
        <v>42</v>
      </c>
      <c r="J27" s="60">
        <v>640000.0</v>
      </c>
      <c r="K27" s="17" t="s">
        <v>42</v>
      </c>
      <c r="L27" s="61">
        <f t="shared" si="5"/>
        <v>485000</v>
      </c>
      <c r="M27" s="149"/>
    </row>
    <row r="28" ht="15.75" customHeight="1">
      <c r="A28" s="21">
        <v>6.0</v>
      </c>
      <c r="B28" s="86">
        <v>45604.0</v>
      </c>
      <c r="C28" s="17" t="s">
        <v>844</v>
      </c>
      <c r="D28" s="17" t="s">
        <v>960</v>
      </c>
      <c r="E28" s="17" t="s">
        <v>96</v>
      </c>
      <c r="F28" s="17" t="s">
        <v>961</v>
      </c>
      <c r="G28" s="87">
        <v>9000.0</v>
      </c>
      <c r="H28" s="104">
        <v>1125000.0</v>
      </c>
      <c r="I28" s="59" t="s">
        <v>42</v>
      </c>
      <c r="J28" s="60">
        <v>640000.0</v>
      </c>
      <c r="K28" s="17" t="s">
        <v>42</v>
      </c>
      <c r="L28" s="61">
        <f t="shared" si="5"/>
        <v>485000</v>
      </c>
      <c r="M28" s="149"/>
    </row>
    <row r="29" ht="15.75" customHeight="1">
      <c r="A29" s="21">
        <v>7.0</v>
      </c>
      <c r="B29" s="86">
        <v>45605.0</v>
      </c>
      <c r="C29" s="17" t="s">
        <v>844</v>
      </c>
      <c r="D29" s="17" t="s">
        <v>960</v>
      </c>
      <c r="E29" s="17" t="s">
        <v>30</v>
      </c>
      <c r="F29" s="17" t="s">
        <v>959</v>
      </c>
      <c r="G29" s="170">
        <v>9000.0</v>
      </c>
      <c r="H29" s="101">
        <v>720000.0</v>
      </c>
      <c r="I29" s="59" t="s">
        <v>42</v>
      </c>
      <c r="J29" s="172">
        <v>350000.0</v>
      </c>
      <c r="K29" s="17" t="s">
        <v>42</v>
      </c>
      <c r="L29" s="61">
        <f t="shared" si="5"/>
        <v>370000</v>
      </c>
      <c r="M29" s="149">
        <v>55000.0</v>
      </c>
    </row>
    <row r="30" ht="15.75" customHeight="1">
      <c r="A30" s="21">
        <v>8.0</v>
      </c>
      <c r="B30" s="86">
        <v>45608.0</v>
      </c>
      <c r="C30" s="17" t="s">
        <v>844</v>
      </c>
      <c r="D30" s="17" t="s">
        <v>960</v>
      </c>
      <c r="E30" s="17" t="s">
        <v>37</v>
      </c>
      <c r="F30" s="169" t="s">
        <v>542</v>
      </c>
      <c r="G30" s="170">
        <v>10000.0</v>
      </c>
      <c r="H30" s="104">
        <v>1000000.0</v>
      </c>
      <c r="I30" s="184" t="s">
        <v>44</v>
      </c>
      <c r="J30" s="104">
        <v>500000.0</v>
      </c>
      <c r="K30" s="17" t="s">
        <v>42</v>
      </c>
      <c r="L30" s="61">
        <f t="shared" si="5"/>
        <v>500000</v>
      </c>
      <c r="M30" s="149">
        <v>95000.0</v>
      </c>
    </row>
    <row r="31" ht="15.75" customHeight="1">
      <c r="A31" s="21">
        <v>9.0</v>
      </c>
      <c r="B31" s="86">
        <v>45609.0</v>
      </c>
      <c r="C31" s="17" t="s">
        <v>844</v>
      </c>
      <c r="D31" s="17" t="s">
        <v>960</v>
      </c>
      <c r="E31" s="17" t="s">
        <v>962</v>
      </c>
      <c r="F31" s="17" t="s">
        <v>959</v>
      </c>
      <c r="G31" s="170">
        <v>9000.0</v>
      </c>
      <c r="H31" s="149">
        <v>720000.0</v>
      </c>
      <c r="I31" s="184" t="s">
        <v>44</v>
      </c>
      <c r="J31" s="104">
        <v>350000.0</v>
      </c>
      <c r="K31" s="17" t="s">
        <v>42</v>
      </c>
      <c r="L31" s="61">
        <f t="shared" si="5"/>
        <v>370000</v>
      </c>
      <c r="M31" s="149">
        <v>100000.0</v>
      </c>
    </row>
    <row r="32" ht="15.75" customHeight="1">
      <c r="A32" s="21">
        <v>10.0</v>
      </c>
      <c r="B32" s="86">
        <v>45611.0</v>
      </c>
      <c r="C32" s="17" t="s">
        <v>844</v>
      </c>
      <c r="D32" s="17" t="s">
        <v>960</v>
      </c>
      <c r="E32" s="169" t="s">
        <v>30</v>
      </c>
      <c r="F32" s="17" t="s">
        <v>477</v>
      </c>
      <c r="G32" s="170">
        <v>9000.0</v>
      </c>
      <c r="H32" s="149">
        <v>900000.0</v>
      </c>
      <c r="I32" s="184" t="s">
        <v>44</v>
      </c>
      <c r="J32" s="104">
        <v>350000.0</v>
      </c>
      <c r="K32" s="17" t="s">
        <v>42</v>
      </c>
      <c r="L32" s="61">
        <f t="shared" si="5"/>
        <v>550000</v>
      </c>
      <c r="M32" s="149">
        <v>125000.0</v>
      </c>
    </row>
    <row r="33" ht="15.75" customHeight="1">
      <c r="A33" s="21">
        <v>11.0</v>
      </c>
      <c r="B33" s="86">
        <v>45614.0</v>
      </c>
      <c r="C33" s="17" t="s">
        <v>844</v>
      </c>
      <c r="D33" s="17" t="s">
        <v>960</v>
      </c>
      <c r="E33" s="169" t="s">
        <v>40</v>
      </c>
      <c r="F33" s="17" t="s">
        <v>880</v>
      </c>
      <c r="G33" s="170">
        <v>9000.0</v>
      </c>
      <c r="H33" s="61">
        <v>800000.0</v>
      </c>
      <c r="I33" s="184" t="s">
        <v>42</v>
      </c>
      <c r="J33" s="104">
        <v>400000.0</v>
      </c>
      <c r="K33" s="17" t="s">
        <v>42</v>
      </c>
      <c r="L33" s="61">
        <f t="shared" si="5"/>
        <v>400000</v>
      </c>
      <c r="M33" s="149"/>
    </row>
    <row r="34" ht="15.75" customHeight="1">
      <c r="A34" s="21">
        <v>12.0</v>
      </c>
      <c r="B34" s="86">
        <v>45615.0</v>
      </c>
      <c r="C34" s="17" t="s">
        <v>844</v>
      </c>
      <c r="D34" s="17" t="s">
        <v>960</v>
      </c>
      <c r="E34" s="169" t="s">
        <v>265</v>
      </c>
      <c r="F34" s="17" t="s">
        <v>266</v>
      </c>
      <c r="G34" s="170">
        <v>9000.0</v>
      </c>
      <c r="H34" s="149">
        <v>720000.0</v>
      </c>
      <c r="I34" s="59" t="s">
        <v>42</v>
      </c>
      <c r="J34" s="149">
        <v>400000.0</v>
      </c>
      <c r="K34" s="17" t="s">
        <v>42</v>
      </c>
      <c r="L34" s="61">
        <f t="shared" si="5"/>
        <v>320000</v>
      </c>
      <c r="M34" s="149"/>
    </row>
    <row r="35" ht="15.75" customHeight="1">
      <c r="A35" s="21">
        <v>13.0</v>
      </c>
      <c r="B35" s="86">
        <v>45616.0</v>
      </c>
      <c r="C35" s="17" t="s">
        <v>844</v>
      </c>
      <c r="D35" s="17" t="s">
        <v>960</v>
      </c>
      <c r="E35" s="17" t="s">
        <v>243</v>
      </c>
      <c r="F35" s="169" t="s">
        <v>490</v>
      </c>
      <c r="G35" s="170">
        <v>9000.0</v>
      </c>
      <c r="H35" s="173">
        <v>1125000.0</v>
      </c>
      <c r="I35" s="171" t="s">
        <v>42</v>
      </c>
      <c r="J35" s="193">
        <v>640000.0</v>
      </c>
      <c r="K35" s="17" t="s">
        <v>42</v>
      </c>
      <c r="L35" s="61">
        <f t="shared" si="5"/>
        <v>485000</v>
      </c>
      <c r="M35" s="149">
        <v>132500.0</v>
      </c>
    </row>
    <row r="36" ht="15.75" customHeight="1">
      <c r="A36" s="21">
        <v>14.0</v>
      </c>
      <c r="B36" s="86">
        <v>45618.0</v>
      </c>
      <c r="C36" s="17" t="s">
        <v>844</v>
      </c>
      <c r="D36" s="17" t="s">
        <v>960</v>
      </c>
      <c r="E36" s="17" t="s">
        <v>204</v>
      </c>
      <c r="F36" s="17" t="s">
        <v>961</v>
      </c>
      <c r="G36" s="170">
        <v>9000.0</v>
      </c>
      <c r="H36" s="149">
        <v>1125000.0</v>
      </c>
      <c r="I36" s="184" t="s">
        <v>42</v>
      </c>
      <c r="J36" s="104">
        <v>640000.0</v>
      </c>
      <c r="K36" s="17" t="s">
        <v>42</v>
      </c>
      <c r="L36" s="61">
        <f t="shared" si="5"/>
        <v>485000</v>
      </c>
      <c r="M36" s="149"/>
    </row>
    <row r="37" ht="15.75" customHeight="1">
      <c r="A37" s="21">
        <v>15.0</v>
      </c>
      <c r="B37" s="86">
        <v>45619.0</v>
      </c>
      <c r="C37" s="17" t="s">
        <v>844</v>
      </c>
      <c r="D37" s="17" t="s">
        <v>960</v>
      </c>
      <c r="E37" s="17" t="s">
        <v>30</v>
      </c>
      <c r="F37" s="17" t="s">
        <v>103</v>
      </c>
      <c r="G37" s="170">
        <v>9000.0</v>
      </c>
      <c r="H37" s="202">
        <v>675000.0</v>
      </c>
      <c r="I37" s="241" t="s">
        <v>44</v>
      </c>
      <c r="J37" s="172">
        <v>375000.0</v>
      </c>
      <c r="K37" s="17" t="s">
        <v>42</v>
      </c>
      <c r="L37" s="61">
        <f t="shared" si="5"/>
        <v>300000</v>
      </c>
      <c r="M37" s="149"/>
    </row>
    <row r="38" ht="15.75" customHeight="1">
      <c r="A38" s="21">
        <v>16.0</v>
      </c>
      <c r="B38" s="86">
        <v>45621.0</v>
      </c>
      <c r="C38" s="17" t="s">
        <v>844</v>
      </c>
      <c r="D38" s="17" t="s">
        <v>960</v>
      </c>
      <c r="E38" s="17" t="s">
        <v>243</v>
      </c>
      <c r="F38" s="17" t="s">
        <v>103</v>
      </c>
      <c r="G38" s="170">
        <v>9000.0</v>
      </c>
      <c r="H38" s="202">
        <v>675000.0</v>
      </c>
      <c r="I38" s="184" t="s">
        <v>44</v>
      </c>
      <c r="J38" s="172">
        <v>375000.0</v>
      </c>
      <c r="K38" s="17" t="s">
        <v>42</v>
      </c>
      <c r="L38" s="61">
        <f t="shared" si="5"/>
        <v>300000</v>
      </c>
      <c r="M38" s="149"/>
    </row>
    <row r="39" ht="15.75" customHeight="1">
      <c r="A39" s="21">
        <v>17.0</v>
      </c>
      <c r="B39" s="86">
        <v>45622.0</v>
      </c>
      <c r="C39" s="17" t="s">
        <v>844</v>
      </c>
      <c r="D39" s="17" t="s">
        <v>960</v>
      </c>
      <c r="E39" s="17" t="s">
        <v>123</v>
      </c>
      <c r="F39" s="17" t="s">
        <v>959</v>
      </c>
      <c r="G39" s="170">
        <v>9000.0</v>
      </c>
      <c r="H39" s="149">
        <v>720000.0</v>
      </c>
      <c r="I39" s="184" t="s">
        <v>42</v>
      </c>
      <c r="J39" s="104">
        <v>350000.0</v>
      </c>
      <c r="K39" s="17" t="s">
        <v>42</v>
      </c>
      <c r="L39" s="61">
        <f t="shared" si="5"/>
        <v>370000</v>
      </c>
      <c r="M39" s="149"/>
    </row>
    <row r="40" ht="15.75" customHeight="1">
      <c r="A40" s="21">
        <v>18.0</v>
      </c>
      <c r="B40" s="86">
        <v>45624.0</v>
      </c>
      <c r="C40" s="17" t="s">
        <v>844</v>
      </c>
      <c r="D40" s="17" t="s">
        <v>960</v>
      </c>
      <c r="E40" s="17" t="s">
        <v>30</v>
      </c>
      <c r="F40" s="17" t="s">
        <v>103</v>
      </c>
      <c r="G40" s="170">
        <v>9000.0</v>
      </c>
      <c r="H40" s="149">
        <v>675000.0</v>
      </c>
      <c r="I40" s="184" t="s">
        <v>44</v>
      </c>
      <c r="J40" s="104">
        <v>375000.0</v>
      </c>
      <c r="K40" s="17" t="s">
        <v>42</v>
      </c>
      <c r="L40" s="61">
        <f t="shared" si="5"/>
        <v>300000</v>
      </c>
      <c r="M40" s="149"/>
    </row>
    <row r="41" ht="15.75" customHeight="1">
      <c r="A41" s="21">
        <v>19.0</v>
      </c>
      <c r="B41" s="86">
        <v>45625.0</v>
      </c>
      <c r="C41" s="17" t="s">
        <v>844</v>
      </c>
      <c r="D41" s="17" t="s">
        <v>960</v>
      </c>
      <c r="E41" s="169" t="s">
        <v>30</v>
      </c>
      <c r="F41" s="169" t="s">
        <v>198</v>
      </c>
      <c r="G41" s="170">
        <v>9000.0</v>
      </c>
      <c r="H41" s="149">
        <v>1215000.0</v>
      </c>
      <c r="I41" s="97" t="s">
        <v>44</v>
      </c>
      <c r="J41" s="149">
        <v>700000.0</v>
      </c>
      <c r="K41" s="17" t="s">
        <v>42</v>
      </c>
      <c r="L41" s="61">
        <f t="shared" si="5"/>
        <v>515000</v>
      </c>
      <c r="M41" s="149"/>
    </row>
    <row r="42" ht="15.75" customHeight="1">
      <c r="A42" s="21">
        <v>20.0</v>
      </c>
      <c r="B42" s="86">
        <v>45626.0</v>
      </c>
      <c r="C42" s="17" t="s">
        <v>844</v>
      </c>
      <c r="D42" s="17" t="s">
        <v>960</v>
      </c>
      <c r="E42" s="17"/>
      <c r="F42" s="17"/>
      <c r="G42" s="87"/>
      <c r="H42" s="104"/>
      <c r="I42" s="97"/>
      <c r="J42" s="104"/>
      <c r="K42" s="17" t="s">
        <v>42</v>
      </c>
      <c r="L42" s="61">
        <f t="shared" si="5"/>
        <v>0</v>
      </c>
      <c r="M42" s="149">
        <v>80000.0</v>
      </c>
    </row>
    <row r="43" ht="15.75" customHeight="1">
      <c r="A43" s="21"/>
      <c r="B43" s="7"/>
      <c r="C43" s="7"/>
      <c r="D43" s="7"/>
      <c r="E43" s="17"/>
      <c r="F43" s="17"/>
      <c r="G43" s="170"/>
      <c r="H43" s="149"/>
      <c r="I43" s="184"/>
      <c r="J43" s="104"/>
      <c r="K43" s="17"/>
      <c r="L43" s="52">
        <f t="shared" ref="L43:M43" si="6">SUM(L23:L42)</f>
        <v>7790000</v>
      </c>
      <c r="M43" s="194">
        <f t="shared" si="6"/>
        <v>3892500</v>
      </c>
    </row>
    <row r="44" ht="15.75" customHeight="1">
      <c r="A44" s="21"/>
      <c r="B44" s="7"/>
      <c r="C44" s="7"/>
      <c r="D44" s="7"/>
      <c r="E44" s="17"/>
      <c r="F44" s="17"/>
      <c r="G44" s="170"/>
      <c r="H44" s="149"/>
      <c r="I44" s="184"/>
      <c r="J44" s="104"/>
      <c r="K44" s="17"/>
      <c r="L44" s="33">
        <f>L43-M43</f>
        <v>3897500</v>
      </c>
      <c r="M44" s="149"/>
    </row>
    <row r="45" ht="15.75" customHeight="1">
      <c r="A45" s="21"/>
      <c r="B45" s="7"/>
      <c r="C45" s="7"/>
      <c r="D45" s="7"/>
      <c r="E45" s="17"/>
      <c r="F45" s="17"/>
      <c r="G45" s="170"/>
      <c r="H45" s="149"/>
      <c r="I45" s="184"/>
      <c r="J45" s="104"/>
      <c r="K45" s="17"/>
      <c r="M45" s="149"/>
    </row>
    <row r="46" ht="15.75" customHeight="1">
      <c r="A46" s="89" t="s">
        <v>209</v>
      </c>
      <c r="B46" s="89" t="s">
        <v>0</v>
      </c>
      <c r="C46" s="89" t="s">
        <v>1</v>
      </c>
      <c r="D46" s="89" t="s">
        <v>2</v>
      </c>
      <c r="E46" s="90" t="s">
        <v>3</v>
      </c>
      <c r="F46" s="89" t="s">
        <v>4</v>
      </c>
      <c r="G46" s="91" t="s">
        <v>5</v>
      </c>
      <c r="H46" s="119" t="s">
        <v>6</v>
      </c>
      <c r="I46" s="92" t="s">
        <v>39</v>
      </c>
      <c r="J46" s="120" t="s">
        <v>7</v>
      </c>
      <c r="K46" s="293" t="s">
        <v>39</v>
      </c>
      <c r="L46" s="92" t="s">
        <v>8</v>
      </c>
      <c r="M46" s="119" t="s">
        <v>9</v>
      </c>
    </row>
    <row r="47" ht="15.75" customHeight="1">
      <c r="A47" s="21">
        <v>1.0</v>
      </c>
      <c r="B47" s="86">
        <v>45631.0</v>
      </c>
      <c r="C47" s="17" t="s">
        <v>844</v>
      </c>
      <c r="D47" s="17" t="s">
        <v>860</v>
      </c>
      <c r="E47" s="17" t="s">
        <v>40</v>
      </c>
      <c r="F47" s="17" t="s">
        <v>963</v>
      </c>
      <c r="G47" s="170">
        <v>9000.0</v>
      </c>
      <c r="H47" s="149">
        <v>1035000.0</v>
      </c>
      <c r="I47" s="184" t="s">
        <v>42</v>
      </c>
      <c r="J47" s="104">
        <v>600000.0</v>
      </c>
      <c r="K47" s="17" t="s">
        <v>42</v>
      </c>
      <c r="L47" s="61">
        <f t="shared" ref="L47:L54" si="7">H47-J47</f>
        <v>435000</v>
      </c>
      <c r="M47" s="149"/>
    </row>
    <row r="48" ht="15.75" customHeight="1">
      <c r="A48" s="21">
        <v>2.0</v>
      </c>
      <c r="B48" s="86">
        <v>45632.0</v>
      </c>
      <c r="C48" s="17" t="s">
        <v>844</v>
      </c>
      <c r="D48" s="17" t="s">
        <v>860</v>
      </c>
      <c r="E48" s="17" t="s">
        <v>40</v>
      </c>
      <c r="F48" s="17" t="s">
        <v>964</v>
      </c>
      <c r="G48" s="170">
        <v>9000.0</v>
      </c>
      <c r="H48" s="149">
        <v>1170000.0</v>
      </c>
      <c r="I48" s="184" t="s">
        <v>42</v>
      </c>
      <c r="J48" s="104">
        <v>640000.0</v>
      </c>
      <c r="K48" s="17" t="s">
        <v>42</v>
      </c>
      <c r="L48" s="61">
        <f t="shared" si="7"/>
        <v>530000</v>
      </c>
      <c r="M48" s="149"/>
    </row>
    <row r="49" ht="15.75" customHeight="1">
      <c r="A49" s="21">
        <v>3.0</v>
      </c>
      <c r="B49" s="86">
        <v>45633.0</v>
      </c>
      <c r="C49" s="17" t="s">
        <v>844</v>
      </c>
      <c r="D49" s="17" t="s">
        <v>860</v>
      </c>
      <c r="E49" s="17" t="s">
        <v>30</v>
      </c>
      <c r="F49" s="17" t="s">
        <v>474</v>
      </c>
      <c r="G49" s="170">
        <v>9000.0</v>
      </c>
      <c r="H49" s="149">
        <v>675000.0</v>
      </c>
      <c r="I49" s="184" t="s">
        <v>42</v>
      </c>
      <c r="J49" s="104">
        <v>350000.0</v>
      </c>
      <c r="K49" s="17" t="s">
        <v>42</v>
      </c>
      <c r="L49" s="61">
        <f t="shared" si="7"/>
        <v>325000</v>
      </c>
      <c r="M49" s="149"/>
    </row>
    <row r="50" ht="15.75" customHeight="1">
      <c r="A50" s="21">
        <v>4.0</v>
      </c>
      <c r="B50" s="86">
        <v>45635.0</v>
      </c>
      <c r="C50" s="17" t="s">
        <v>844</v>
      </c>
      <c r="D50" s="17" t="s">
        <v>860</v>
      </c>
      <c r="E50" s="17" t="s">
        <v>273</v>
      </c>
      <c r="F50" s="17" t="s">
        <v>965</v>
      </c>
      <c r="G50" s="170">
        <v>9000.0</v>
      </c>
      <c r="H50" s="100">
        <v>750000.0</v>
      </c>
      <c r="I50" s="324" t="s">
        <v>238</v>
      </c>
      <c r="J50" s="100">
        <v>425000.0</v>
      </c>
      <c r="K50" s="17" t="s">
        <v>42</v>
      </c>
      <c r="L50" s="61">
        <f t="shared" si="7"/>
        <v>325000</v>
      </c>
      <c r="M50" s="149">
        <f>150000+370000+479000+1346000</f>
        <v>2345000</v>
      </c>
    </row>
    <row r="51" ht="15.75" customHeight="1">
      <c r="A51" s="21">
        <v>5.0</v>
      </c>
      <c r="B51" s="86">
        <v>45636.0</v>
      </c>
      <c r="C51" s="17" t="s">
        <v>844</v>
      </c>
      <c r="D51" s="17" t="s">
        <v>860</v>
      </c>
      <c r="E51" s="17" t="s">
        <v>37</v>
      </c>
      <c r="F51" s="17" t="s">
        <v>491</v>
      </c>
      <c r="G51" s="170">
        <v>9000.0</v>
      </c>
      <c r="H51" s="149">
        <v>765000.0</v>
      </c>
      <c r="I51" s="184" t="s">
        <v>44</v>
      </c>
      <c r="J51" s="104">
        <v>450000.0</v>
      </c>
      <c r="K51" s="17" t="s">
        <v>42</v>
      </c>
      <c r="L51" s="61">
        <f t="shared" si="7"/>
        <v>315000</v>
      </c>
      <c r="M51" s="149"/>
    </row>
    <row r="52" ht="15.75" customHeight="1">
      <c r="A52" s="21">
        <v>6.0</v>
      </c>
      <c r="B52" s="86">
        <v>45637.0</v>
      </c>
      <c r="C52" s="17" t="s">
        <v>844</v>
      </c>
      <c r="D52" s="17" t="s">
        <v>860</v>
      </c>
      <c r="E52" s="17" t="s">
        <v>966</v>
      </c>
      <c r="F52" s="17" t="s">
        <v>959</v>
      </c>
      <c r="G52" s="170">
        <v>9000.0</v>
      </c>
      <c r="H52" s="149">
        <v>720000.0</v>
      </c>
      <c r="I52" s="152" t="s">
        <v>212</v>
      </c>
      <c r="J52" s="104">
        <v>350000.0</v>
      </c>
      <c r="K52" s="17" t="s">
        <v>42</v>
      </c>
      <c r="L52" s="61">
        <f t="shared" si="7"/>
        <v>370000</v>
      </c>
      <c r="M52" s="149"/>
    </row>
    <row r="53" ht="15.75" customHeight="1">
      <c r="A53" s="21">
        <v>7.0</v>
      </c>
      <c r="B53" s="86">
        <v>45638.0</v>
      </c>
      <c r="C53" s="17" t="s">
        <v>844</v>
      </c>
      <c r="D53" s="17" t="s">
        <v>860</v>
      </c>
      <c r="E53" s="98" t="s">
        <v>273</v>
      </c>
      <c r="F53" s="98" t="s">
        <v>495</v>
      </c>
      <c r="G53" s="151">
        <v>9000.0</v>
      </c>
      <c r="H53" s="150">
        <v>1215000.0</v>
      </c>
      <c r="I53" s="152" t="s">
        <v>44</v>
      </c>
      <c r="J53" s="104">
        <f>700000+25000</f>
        <v>725000</v>
      </c>
      <c r="K53" s="17" t="s">
        <v>42</v>
      </c>
      <c r="L53" s="61">
        <f t="shared" si="7"/>
        <v>490000</v>
      </c>
      <c r="M53" s="149"/>
    </row>
    <row r="54" ht="15.75" customHeight="1">
      <c r="A54" s="21">
        <v>8.0</v>
      </c>
      <c r="B54" s="86">
        <v>45639.0</v>
      </c>
      <c r="C54" s="17" t="s">
        <v>844</v>
      </c>
      <c r="D54" s="17" t="s">
        <v>860</v>
      </c>
      <c r="E54" s="98" t="s">
        <v>273</v>
      </c>
      <c r="F54" s="98" t="s">
        <v>783</v>
      </c>
      <c r="G54" s="151">
        <v>9000.0</v>
      </c>
      <c r="H54" s="150">
        <v>1000000.0</v>
      </c>
      <c r="I54" s="152" t="s">
        <v>212</v>
      </c>
      <c r="J54" s="121">
        <v>550000.0</v>
      </c>
      <c r="K54" s="17" t="s">
        <v>42</v>
      </c>
      <c r="L54" s="61">
        <f t="shared" si="7"/>
        <v>450000</v>
      </c>
      <c r="M54" s="149"/>
    </row>
    <row r="55" ht="15.75" customHeight="1">
      <c r="A55" s="21">
        <v>9.0</v>
      </c>
      <c r="B55" s="86">
        <v>45640.0</v>
      </c>
      <c r="C55" s="17" t="s">
        <v>844</v>
      </c>
      <c r="D55" s="17" t="s">
        <v>860</v>
      </c>
      <c r="E55" s="98" t="s">
        <v>40</v>
      </c>
      <c r="F55" s="98" t="s">
        <v>967</v>
      </c>
      <c r="G55" s="151">
        <v>9000.0</v>
      </c>
      <c r="H55" s="150">
        <v>990000.0</v>
      </c>
      <c r="I55" s="152" t="s">
        <v>212</v>
      </c>
      <c r="J55" s="121">
        <v>550000.0</v>
      </c>
      <c r="K55" s="17" t="s">
        <v>42</v>
      </c>
      <c r="L55" s="61">
        <f>H55-J54</f>
        <v>440000</v>
      </c>
      <c r="M55" s="149"/>
    </row>
    <row r="56" ht="15.75" customHeight="1">
      <c r="A56" s="21">
        <v>10.0</v>
      </c>
      <c r="B56" s="112">
        <v>45642.0</v>
      </c>
      <c r="C56" s="17" t="s">
        <v>844</v>
      </c>
      <c r="D56" s="17" t="s">
        <v>860</v>
      </c>
      <c r="E56" s="98" t="s">
        <v>273</v>
      </c>
      <c r="F56" s="98" t="s">
        <v>796</v>
      </c>
      <c r="G56" s="151">
        <v>9000.0</v>
      </c>
      <c r="H56" s="150">
        <v>975000.0</v>
      </c>
      <c r="I56" s="152" t="s">
        <v>212</v>
      </c>
      <c r="J56" s="104">
        <f>500000+25000</f>
        <v>525000</v>
      </c>
      <c r="K56" s="17" t="s">
        <v>42</v>
      </c>
      <c r="L56" s="61">
        <f t="shared" ref="L56:L73" si="8">H56-J56</f>
        <v>450000</v>
      </c>
      <c r="M56" s="149"/>
    </row>
    <row r="57" ht="15.75" customHeight="1">
      <c r="A57" s="21">
        <v>11.0</v>
      </c>
      <c r="B57" s="112">
        <v>45643.0</v>
      </c>
      <c r="C57" s="17" t="s">
        <v>844</v>
      </c>
      <c r="D57" s="17" t="s">
        <v>860</v>
      </c>
      <c r="E57" s="98" t="s">
        <v>50</v>
      </c>
      <c r="F57" s="98" t="s">
        <v>968</v>
      </c>
      <c r="G57" s="151">
        <v>9000.0</v>
      </c>
      <c r="H57" s="150">
        <v>1125000.0</v>
      </c>
      <c r="I57" s="152" t="s">
        <v>212</v>
      </c>
      <c r="J57" s="150">
        <v>640000.0</v>
      </c>
      <c r="K57" s="17" t="s">
        <v>42</v>
      </c>
      <c r="L57" s="61">
        <f t="shared" si="8"/>
        <v>485000</v>
      </c>
      <c r="M57" s="149"/>
    </row>
    <row r="58" ht="15.75" customHeight="1">
      <c r="A58" s="21">
        <v>12.0</v>
      </c>
      <c r="B58" s="112">
        <v>45644.0</v>
      </c>
      <c r="C58" s="17" t="s">
        <v>844</v>
      </c>
      <c r="D58" s="17" t="s">
        <v>860</v>
      </c>
      <c r="E58" s="98" t="s">
        <v>50</v>
      </c>
      <c r="F58" s="98" t="s">
        <v>543</v>
      </c>
      <c r="G58" s="151">
        <v>9000.0</v>
      </c>
      <c r="H58" s="150">
        <v>720000.0</v>
      </c>
      <c r="I58" s="122" t="s">
        <v>212</v>
      </c>
      <c r="J58" s="150">
        <v>350000.0</v>
      </c>
      <c r="K58" s="17" t="s">
        <v>42</v>
      </c>
      <c r="L58" s="61">
        <f t="shared" si="8"/>
        <v>370000</v>
      </c>
      <c r="M58" s="149"/>
    </row>
    <row r="59" ht="15.75" customHeight="1">
      <c r="A59" s="21">
        <v>13.0</v>
      </c>
      <c r="B59" s="112">
        <v>45644.0</v>
      </c>
      <c r="C59" s="17" t="s">
        <v>844</v>
      </c>
      <c r="D59" s="17" t="s">
        <v>860</v>
      </c>
      <c r="E59" s="98" t="s">
        <v>279</v>
      </c>
      <c r="F59" s="98" t="s">
        <v>969</v>
      </c>
      <c r="G59" s="151">
        <v>9000.0</v>
      </c>
      <c r="H59" s="149">
        <v>765000.0</v>
      </c>
      <c r="I59" s="152" t="s">
        <v>238</v>
      </c>
      <c r="J59" s="104">
        <v>450000.0</v>
      </c>
      <c r="K59" s="17" t="s">
        <v>42</v>
      </c>
      <c r="L59" s="61">
        <f t="shared" si="8"/>
        <v>315000</v>
      </c>
      <c r="M59" s="149"/>
    </row>
    <row r="60" ht="15.75" customHeight="1">
      <c r="A60" s="21">
        <v>14.0</v>
      </c>
      <c r="B60" s="112">
        <v>45645.0</v>
      </c>
      <c r="C60" s="17" t="s">
        <v>844</v>
      </c>
      <c r="D60" s="17" t="s">
        <v>860</v>
      </c>
      <c r="E60" s="98" t="s">
        <v>256</v>
      </c>
      <c r="F60" s="98" t="s">
        <v>783</v>
      </c>
      <c r="G60" s="151">
        <v>9000.0</v>
      </c>
      <c r="H60" s="150">
        <v>1000000.0</v>
      </c>
      <c r="I60" s="152" t="s">
        <v>212</v>
      </c>
      <c r="J60" s="121">
        <v>550000.0</v>
      </c>
      <c r="K60" s="17" t="s">
        <v>42</v>
      </c>
      <c r="L60" s="61">
        <f t="shared" si="8"/>
        <v>450000</v>
      </c>
      <c r="M60" s="149"/>
    </row>
    <row r="61" ht="15.75" customHeight="1">
      <c r="A61" s="21">
        <v>15.0</v>
      </c>
      <c r="B61" s="112">
        <v>45646.0</v>
      </c>
      <c r="C61" s="17" t="s">
        <v>844</v>
      </c>
      <c r="D61" s="17" t="s">
        <v>860</v>
      </c>
      <c r="E61" s="98" t="s">
        <v>970</v>
      </c>
      <c r="F61" s="98" t="s">
        <v>495</v>
      </c>
      <c r="G61" s="151">
        <v>9000.0</v>
      </c>
      <c r="H61" s="208">
        <v>1215000.0</v>
      </c>
      <c r="I61" s="152" t="s">
        <v>238</v>
      </c>
      <c r="J61" s="121">
        <v>700000.0</v>
      </c>
      <c r="K61" s="98" t="s">
        <v>212</v>
      </c>
      <c r="L61" s="61">
        <f t="shared" si="8"/>
        <v>515000</v>
      </c>
      <c r="M61" s="150">
        <v>1008000.0</v>
      </c>
    </row>
    <row r="62" ht="15.75" customHeight="1">
      <c r="A62" s="21">
        <v>16.0</v>
      </c>
      <c r="B62" s="112">
        <v>45647.0</v>
      </c>
      <c r="C62" s="17" t="s">
        <v>844</v>
      </c>
      <c r="D62" s="17" t="s">
        <v>860</v>
      </c>
      <c r="E62" s="98" t="s">
        <v>404</v>
      </c>
      <c r="F62" s="98" t="s">
        <v>543</v>
      </c>
      <c r="G62" s="151">
        <v>9000.0</v>
      </c>
      <c r="H62" s="208">
        <v>720000.0</v>
      </c>
      <c r="I62" s="122" t="s">
        <v>212</v>
      </c>
      <c r="J62" s="150">
        <v>350000.0</v>
      </c>
      <c r="K62" s="98" t="s">
        <v>212</v>
      </c>
      <c r="L62" s="61">
        <f t="shared" si="8"/>
        <v>370000</v>
      </c>
      <c r="M62" s="150">
        <v>1523000.0</v>
      </c>
      <c r="N62" s="205" t="s">
        <v>971</v>
      </c>
    </row>
    <row r="63" ht="15.75" customHeight="1">
      <c r="A63" s="21">
        <v>17.0</v>
      </c>
      <c r="B63" s="112">
        <v>45647.0</v>
      </c>
      <c r="C63" s="17" t="s">
        <v>844</v>
      </c>
      <c r="D63" s="17" t="s">
        <v>860</v>
      </c>
      <c r="E63" s="98" t="s">
        <v>243</v>
      </c>
      <c r="F63" s="98" t="s">
        <v>510</v>
      </c>
      <c r="G63" s="151">
        <v>9000.0</v>
      </c>
      <c r="H63" s="313">
        <v>1125000.0</v>
      </c>
      <c r="I63" s="206" t="s">
        <v>212</v>
      </c>
      <c r="J63" s="104">
        <v>600000.0</v>
      </c>
      <c r="K63" s="98" t="s">
        <v>212</v>
      </c>
      <c r="L63" s="61">
        <f t="shared" si="8"/>
        <v>525000</v>
      </c>
      <c r="M63" s="149"/>
    </row>
    <row r="64" ht="15.75" customHeight="1">
      <c r="A64" s="21">
        <v>18.0</v>
      </c>
      <c r="B64" s="112">
        <v>45647.0</v>
      </c>
      <c r="C64" s="17" t="s">
        <v>844</v>
      </c>
      <c r="D64" s="17" t="s">
        <v>860</v>
      </c>
      <c r="E64" s="98" t="s">
        <v>256</v>
      </c>
      <c r="F64" s="98" t="s">
        <v>783</v>
      </c>
      <c r="G64" s="151">
        <v>9000.0</v>
      </c>
      <c r="H64" s="208">
        <v>1000000.0</v>
      </c>
      <c r="I64" s="206" t="s">
        <v>212</v>
      </c>
      <c r="J64" s="121">
        <v>550000.0</v>
      </c>
      <c r="K64" s="98" t="s">
        <v>212</v>
      </c>
      <c r="L64" s="61">
        <f t="shared" si="8"/>
        <v>450000</v>
      </c>
    </row>
    <row r="65" ht="15.75" customHeight="1">
      <c r="A65" s="21">
        <v>19.0</v>
      </c>
      <c r="B65" s="112">
        <v>45649.0</v>
      </c>
      <c r="C65" s="17" t="s">
        <v>844</v>
      </c>
      <c r="D65" s="98" t="s">
        <v>972</v>
      </c>
      <c r="E65" s="98" t="s">
        <v>243</v>
      </c>
      <c r="F65" s="98" t="s">
        <v>973</v>
      </c>
      <c r="G65" s="151">
        <v>9000.0</v>
      </c>
      <c r="H65" s="313">
        <v>1035000.0</v>
      </c>
      <c r="I65" s="122" t="s">
        <v>212</v>
      </c>
      <c r="J65" s="104">
        <v>600000.0</v>
      </c>
      <c r="K65" s="98" t="s">
        <v>212</v>
      </c>
      <c r="L65" s="61">
        <f t="shared" si="8"/>
        <v>435000</v>
      </c>
    </row>
    <row r="66" ht="15.75" customHeight="1">
      <c r="A66" s="21">
        <v>20.0</v>
      </c>
      <c r="B66" s="112">
        <v>45650.0</v>
      </c>
      <c r="C66" s="17" t="s">
        <v>844</v>
      </c>
      <c r="D66" s="98" t="s">
        <v>972</v>
      </c>
      <c r="E66" s="98" t="s">
        <v>320</v>
      </c>
      <c r="F66" s="98" t="s">
        <v>974</v>
      </c>
      <c r="G66" s="151">
        <v>9000.0</v>
      </c>
      <c r="H66" s="208">
        <v>1125000.0</v>
      </c>
      <c r="I66" s="122" t="s">
        <v>212</v>
      </c>
      <c r="J66" s="150">
        <v>640000.0</v>
      </c>
      <c r="K66" s="98" t="s">
        <v>212</v>
      </c>
      <c r="L66" s="61">
        <f t="shared" si="8"/>
        <v>485000</v>
      </c>
      <c r="M66" s="149"/>
    </row>
    <row r="67" ht="15.75" customHeight="1">
      <c r="A67" s="21">
        <v>21.0</v>
      </c>
      <c r="B67" s="112">
        <v>45652.0</v>
      </c>
      <c r="C67" s="17" t="s">
        <v>844</v>
      </c>
      <c r="D67" s="98" t="s">
        <v>972</v>
      </c>
      <c r="E67" s="98" t="s">
        <v>273</v>
      </c>
      <c r="F67" s="98" t="s">
        <v>511</v>
      </c>
      <c r="G67" s="151">
        <v>10000.0</v>
      </c>
      <c r="H67" s="150">
        <v>1500000.0</v>
      </c>
      <c r="I67" s="115" t="s">
        <v>238</v>
      </c>
      <c r="J67" s="121">
        <v>300000.0</v>
      </c>
      <c r="K67" s="98" t="s">
        <v>212</v>
      </c>
      <c r="L67" s="61">
        <f t="shared" si="8"/>
        <v>1200000</v>
      </c>
      <c r="M67" s="149"/>
    </row>
    <row r="68" ht="15.75" customHeight="1">
      <c r="A68" s="21">
        <v>22.0</v>
      </c>
      <c r="B68" s="112">
        <v>45653.0</v>
      </c>
      <c r="C68" s="17" t="s">
        <v>844</v>
      </c>
      <c r="D68" s="98" t="s">
        <v>972</v>
      </c>
      <c r="E68" s="98" t="s">
        <v>273</v>
      </c>
      <c r="F68" s="98" t="s">
        <v>511</v>
      </c>
      <c r="G68" s="151">
        <v>10000.0</v>
      </c>
      <c r="H68" s="150">
        <v>1500000.0</v>
      </c>
      <c r="I68" s="115" t="s">
        <v>238</v>
      </c>
      <c r="J68" s="121">
        <v>300000.0</v>
      </c>
      <c r="K68" s="98" t="s">
        <v>212</v>
      </c>
      <c r="L68" s="61">
        <f t="shared" si="8"/>
        <v>1200000</v>
      </c>
      <c r="M68" s="150">
        <v>450000.0</v>
      </c>
    </row>
    <row r="69" ht="15.75" customHeight="1">
      <c r="A69" s="21">
        <v>23.0</v>
      </c>
      <c r="B69" s="112">
        <v>45653.0</v>
      </c>
      <c r="C69" s="17" t="s">
        <v>844</v>
      </c>
      <c r="D69" s="98" t="s">
        <v>972</v>
      </c>
      <c r="E69" s="213" t="s">
        <v>243</v>
      </c>
      <c r="F69" s="213" t="s">
        <v>849</v>
      </c>
      <c r="G69" s="213">
        <v>9000.0</v>
      </c>
      <c r="H69" s="173">
        <v>1400000.0</v>
      </c>
      <c r="I69" s="115" t="s">
        <v>238</v>
      </c>
      <c r="J69" s="193">
        <v>850000.0</v>
      </c>
      <c r="K69" s="98" t="s">
        <v>212</v>
      </c>
      <c r="L69" s="61">
        <f t="shared" si="8"/>
        <v>550000</v>
      </c>
      <c r="M69" s="149"/>
    </row>
    <row r="70" ht="15.75" customHeight="1">
      <c r="A70" s="118">
        <v>24.0</v>
      </c>
      <c r="B70" s="112">
        <v>45654.0</v>
      </c>
      <c r="C70" s="17" t="s">
        <v>844</v>
      </c>
      <c r="D70" s="98" t="s">
        <v>972</v>
      </c>
      <c r="E70" s="98" t="s">
        <v>279</v>
      </c>
      <c r="F70" s="98" t="s">
        <v>271</v>
      </c>
      <c r="G70" s="151">
        <v>9000.0</v>
      </c>
      <c r="H70" s="58">
        <v>675000.0</v>
      </c>
      <c r="I70" s="115" t="s">
        <v>238</v>
      </c>
      <c r="J70" s="60">
        <v>375000.0</v>
      </c>
      <c r="K70" s="98" t="s">
        <v>212</v>
      </c>
      <c r="L70" s="61">
        <f t="shared" si="8"/>
        <v>300000</v>
      </c>
    </row>
    <row r="71" ht="15.75" customHeight="1">
      <c r="A71" s="118">
        <v>25.0</v>
      </c>
      <c r="B71" s="112">
        <v>45656.0</v>
      </c>
      <c r="C71" s="17" t="s">
        <v>844</v>
      </c>
      <c r="D71" s="98" t="s">
        <v>972</v>
      </c>
      <c r="E71" s="98" t="s">
        <v>279</v>
      </c>
      <c r="F71" s="98" t="s">
        <v>301</v>
      </c>
      <c r="G71" s="151">
        <v>9000.0</v>
      </c>
      <c r="H71" s="104">
        <v>900000.0</v>
      </c>
      <c r="I71" s="122" t="s">
        <v>212</v>
      </c>
      <c r="J71" s="104">
        <v>500000.0</v>
      </c>
      <c r="K71" s="98" t="s">
        <v>212</v>
      </c>
      <c r="L71" s="61">
        <f t="shared" si="8"/>
        <v>400000</v>
      </c>
      <c r="M71" s="150"/>
    </row>
    <row r="72" ht="15.75" customHeight="1">
      <c r="A72" s="118">
        <v>26.0</v>
      </c>
      <c r="B72" s="112">
        <v>45657.0</v>
      </c>
      <c r="C72" s="17" t="s">
        <v>844</v>
      </c>
      <c r="D72" s="98" t="s">
        <v>972</v>
      </c>
      <c r="E72" s="98" t="s">
        <v>250</v>
      </c>
      <c r="F72" s="98" t="s">
        <v>271</v>
      </c>
      <c r="G72" s="151">
        <v>9000.0</v>
      </c>
      <c r="H72" s="58">
        <v>675000.0</v>
      </c>
      <c r="I72" s="122" t="s">
        <v>212</v>
      </c>
      <c r="J72" s="60">
        <v>375000.0</v>
      </c>
      <c r="K72" s="98" t="s">
        <v>212</v>
      </c>
      <c r="L72" s="61">
        <f t="shared" si="8"/>
        <v>300000</v>
      </c>
    </row>
    <row r="73" ht="15.75" customHeight="1">
      <c r="A73" s="118">
        <v>27.0</v>
      </c>
      <c r="B73" s="112">
        <v>45657.0</v>
      </c>
      <c r="C73" s="17" t="s">
        <v>844</v>
      </c>
      <c r="D73" s="98" t="s">
        <v>972</v>
      </c>
      <c r="E73" s="98" t="s">
        <v>975</v>
      </c>
      <c r="F73" s="98" t="s">
        <v>302</v>
      </c>
      <c r="G73" s="170">
        <v>9000.0</v>
      </c>
      <c r="H73" s="135">
        <v>720000.0</v>
      </c>
      <c r="I73" s="299" t="s">
        <v>238</v>
      </c>
      <c r="J73" s="121">
        <v>350000.0</v>
      </c>
      <c r="K73" s="98" t="s">
        <v>212</v>
      </c>
      <c r="L73" s="61">
        <f t="shared" si="8"/>
        <v>370000</v>
      </c>
      <c r="M73" s="150"/>
    </row>
    <row r="74" ht="15.75" customHeight="1">
      <c r="L74" s="52">
        <f t="shared" ref="L74:M74" si="9">SUM(L47:L73)</f>
        <v>12850000</v>
      </c>
      <c r="M74" s="194">
        <f t="shared" si="9"/>
        <v>5326000</v>
      </c>
    </row>
    <row r="75" ht="15.75" customHeight="1">
      <c r="L75" s="33">
        <f>L74-M74</f>
        <v>7524000</v>
      </c>
    </row>
    <row r="76" ht="15.75" customHeight="1">
      <c r="A76" s="89" t="s">
        <v>209</v>
      </c>
      <c r="B76" s="89" t="s">
        <v>0</v>
      </c>
      <c r="C76" s="89" t="s">
        <v>1</v>
      </c>
      <c r="D76" s="89" t="s">
        <v>2</v>
      </c>
      <c r="E76" s="90" t="s">
        <v>3</v>
      </c>
      <c r="F76" s="89" t="s">
        <v>4</v>
      </c>
      <c r="G76" s="91" t="s">
        <v>5</v>
      </c>
      <c r="H76" s="119" t="s">
        <v>6</v>
      </c>
      <c r="I76" s="92" t="s">
        <v>39</v>
      </c>
      <c r="J76" s="120" t="s">
        <v>7</v>
      </c>
      <c r="K76" s="293" t="s">
        <v>39</v>
      </c>
      <c r="L76" s="92" t="s">
        <v>8</v>
      </c>
      <c r="M76" s="119" t="s">
        <v>9</v>
      </c>
    </row>
    <row r="77" ht="15.75" customHeight="1">
      <c r="A77" s="21">
        <v>1.0</v>
      </c>
      <c r="B77" s="112">
        <v>45659.0</v>
      </c>
      <c r="C77" s="17" t="s">
        <v>844</v>
      </c>
      <c r="D77" s="98" t="s">
        <v>972</v>
      </c>
      <c r="E77" s="98" t="s">
        <v>975</v>
      </c>
      <c r="F77" s="98" t="s">
        <v>302</v>
      </c>
      <c r="G77" s="170">
        <v>9000.0</v>
      </c>
      <c r="H77" s="135">
        <v>720000.0</v>
      </c>
      <c r="I77" s="299" t="s">
        <v>238</v>
      </c>
      <c r="J77" s="121">
        <v>350000.0</v>
      </c>
      <c r="K77" s="98" t="s">
        <v>212</v>
      </c>
      <c r="L77" s="354">
        <f t="shared" ref="L77:L99" si="10">H77-J77</f>
        <v>370000</v>
      </c>
      <c r="M77" s="150">
        <v>435000.0</v>
      </c>
      <c r="N77" s="205" t="s">
        <v>976</v>
      </c>
    </row>
    <row r="78" ht="15.75" customHeight="1">
      <c r="A78" s="118">
        <v>2.0</v>
      </c>
      <c r="B78" s="112">
        <v>45661.0</v>
      </c>
      <c r="C78" s="17" t="s">
        <v>844</v>
      </c>
      <c r="D78" s="98" t="s">
        <v>972</v>
      </c>
      <c r="E78" s="98" t="s">
        <v>279</v>
      </c>
      <c r="F78" s="98" t="s">
        <v>161</v>
      </c>
      <c r="G78" s="151">
        <v>9000.0</v>
      </c>
      <c r="H78" s="208">
        <v>1215000.0</v>
      </c>
      <c r="I78" s="152" t="s">
        <v>238</v>
      </c>
      <c r="J78" s="121">
        <v>700000.0</v>
      </c>
      <c r="K78" s="213" t="s">
        <v>212</v>
      </c>
      <c r="L78" s="355">
        <f t="shared" si="10"/>
        <v>515000</v>
      </c>
      <c r="M78" s="149"/>
    </row>
    <row r="79" ht="15.75" customHeight="1">
      <c r="A79" s="118">
        <v>3.0</v>
      </c>
      <c r="B79" s="112">
        <v>45663.0</v>
      </c>
      <c r="C79" s="17" t="s">
        <v>844</v>
      </c>
      <c r="D79" s="98" t="s">
        <v>972</v>
      </c>
      <c r="E79" s="98" t="s">
        <v>243</v>
      </c>
      <c r="F79" s="17" t="s">
        <v>474</v>
      </c>
      <c r="G79" s="151">
        <v>9000.0</v>
      </c>
      <c r="H79" s="208">
        <v>1215000.0</v>
      </c>
      <c r="I79" s="211" t="s">
        <v>212</v>
      </c>
      <c r="J79" s="104">
        <v>350000.0</v>
      </c>
      <c r="K79" s="213" t="s">
        <v>212</v>
      </c>
      <c r="L79" s="355">
        <f t="shared" si="10"/>
        <v>865000</v>
      </c>
      <c r="M79" s="149"/>
    </row>
    <row r="80" ht="15.75" customHeight="1">
      <c r="A80" s="118">
        <v>4.0</v>
      </c>
      <c r="B80" s="112">
        <v>45664.0</v>
      </c>
      <c r="C80" s="17" t="s">
        <v>844</v>
      </c>
      <c r="D80" s="98" t="s">
        <v>972</v>
      </c>
      <c r="E80" s="98" t="s">
        <v>977</v>
      </c>
      <c r="F80" s="98" t="s">
        <v>302</v>
      </c>
      <c r="G80" s="151">
        <v>9000.0</v>
      </c>
      <c r="H80" s="135">
        <v>900000.0</v>
      </c>
      <c r="I80" s="299" t="s">
        <v>238</v>
      </c>
      <c r="J80" s="121">
        <v>350000.0</v>
      </c>
      <c r="K80" s="213" t="s">
        <v>212</v>
      </c>
      <c r="L80" s="354">
        <f t="shared" si="10"/>
        <v>550000</v>
      </c>
      <c r="M80" s="149"/>
    </row>
    <row r="81" ht="15.75" customHeight="1">
      <c r="A81" s="118">
        <v>5.0</v>
      </c>
      <c r="B81" s="112">
        <v>45664.0</v>
      </c>
      <c r="C81" s="17" t="s">
        <v>844</v>
      </c>
      <c r="D81" s="98" t="s">
        <v>972</v>
      </c>
      <c r="E81" s="98" t="s">
        <v>903</v>
      </c>
      <c r="F81" s="98" t="s">
        <v>263</v>
      </c>
      <c r="G81" s="170"/>
      <c r="H81" s="150">
        <v>0.0</v>
      </c>
      <c r="I81" s="184"/>
      <c r="J81" s="121">
        <v>0.0</v>
      </c>
      <c r="K81" s="17"/>
      <c r="L81" s="355">
        <f t="shared" si="10"/>
        <v>0</v>
      </c>
      <c r="M81" s="149"/>
    </row>
    <row r="82" ht="15.75" customHeight="1">
      <c r="A82" s="118">
        <v>6.0</v>
      </c>
      <c r="B82" s="112">
        <v>45665.0</v>
      </c>
      <c r="C82" s="17" t="s">
        <v>844</v>
      </c>
      <c r="D82" s="98" t="s">
        <v>972</v>
      </c>
      <c r="E82" s="98" t="s">
        <v>320</v>
      </c>
      <c r="F82" s="98" t="s">
        <v>510</v>
      </c>
      <c r="G82" s="151">
        <v>9000.0</v>
      </c>
      <c r="H82" s="313">
        <v>1125000.0</v>
      </c>
      <c r="I82" s="211" t="s">
        <v>212</v>
      </c>
      <c r="J82" s="121">
        <v>640000.0</v>
      </c>
      <c r="K82" s="213" t="s">
        <v>212</v>
      </c>
      <c r="L82" s="355">
        <f t="shared" si="10"/>
        <v>485000</v>
      </c>
      <c r="M82" s="149"/>
    </row>
    <row r="83" ht="15.75" customHeight="1">
      <c r="A83" s="118">
        <v>7.0</v>
      </c>
      <c r="B83" s="112">
        <v>45666.0</v>
      </c>
      <c r="C83" s="17" t="s">
        <v>844</v>
      </c>
      <c r="D83" s="98" t="s">
        <v>972</v>
      </c>
      <c r="E83" s="98" t="s">
        <v>978</v>
      </c>
      <c r="F83" s="98" t="s">
        <v>973</v>
      </c>
      <c r="G83" s="151">
        <v>9000.0</v>
      </c>
      <c r="H83" s="313">
        <v>1035000.0</v>
      </c>
      <c r="I83" s="211" t="s">
        <v>212</v>
      </c>
      <c r="J83" s="104">
        <v>600000.0</v>
      </c>
      <c r="K83" s="213" t="s">
        <v>212</v>
      </c>
      <c r="L83" s="355">
        <f t="shared" si="10"/>
        <v>435000</v>
      </c>
      <c r="M83" s="149"/>
    </row>
    <row r="84" ht="15.75" customHeight="1">
      <c r="A84" s="118">
        <v>8.0</v>
      </c>
      <c r="B84" s="112">
        <v>45667.0</v>
      </c>
      <c r="C84" s="17" t="s">
        <v>844</v>
      </c>
      <c r="D84" s="98" t="s">
        <v>972</v>
      </c>
      <c r="E84" s="98" t="s">
        <v>404</v>
      </c>
      <c r="F84" s="98" t="s">
        <v>543</v>
      </c>
      <c r="G84" s="151">
        <v>9000.0</v>
      </c>
      <c r="H84" s="208">
        <v>720000.0</v>
      </c>
      <c r="I84" s="211" t="s">
        <v>212</v>
      </c>
      <c r="J84" s="150">
        <v>350000.0</v>
      </c>
      <c r="K84" s="213" t="s">
        <v>212</v>
      </c>
      <c r="L84" s="355">
        <f t="shared" si="10"/>
        <v>370000</v>
      </c>
      <c r="M84" s="149"/>
    </row>
    <row r="85" ht="15.75" customHeight="1">
      <c r="A85" s="118">
        <v>9.0</v>
      </c>
      <c r="B85" s="112">
        <v>45667.0</v>
      </c>
      <c r="C85" s="17" t="s">
        <v>844</v>
      </c>
      <c r="D85" s="98" t="s">
        <v>972</v>
      </c>
      <c r="E85" s="98" t="s">
        <v>256</v>
      </c>
      <c r="F85" s="98" t="s">
        <v>348</v>
      </c>
      <c r="G85" s="57">
        <v>9000.0</v>
      </c>
      <c r="H85" s="106">
        <v>1000000.0</v>
      </c>
      <c r="I85" s="115" t="s">
        <v>238</v>
      </c>
      <c r="J85" s="61">
        <v>450000.0</v>
      </c>
      <c r="K85" s="213" t="s">
        <v>212</v>
      </c>
      <c r="L85" s="354">
        <f t="shared" si="10"/>
        <v>550000</v>
      </c>
      <c r="M85" s="149"/>
    </row>
    <row r="86" ht="15.75" customHeight="1">
      <c r="A86" s="118">
        <v>10.0</v>
      </c>
      <c r="B86" s="112">
        <v>45668.0</v>
      </c>
      <c r="C86" s="17" t="s">
        <v>844</v>
      </c>
      <c r="D86" s="98" t="s">
        <v>972</v>
      </c>
      <c r="E86" s="98" t="s">
        <v>273</v>
      </c>
      <c r="F86" s="98" t="s">
        <v>274</v>
      </c>
      <c r="G86" s="151">
        <v>9000.0</v>
      </c>
      <c r="H86" s="150">
        <v>900000.0</v>
      </c>
      <c r="I86" s="108" t="s">
        <v>238</v>
      </c>
      <c r="J86" s="150">
        <v>425000.0</v>
      </c>
      <c r="K86" s="213" t="s">
        <v>212</v>
      </c>
      <c r="L86" s="355">
        <f t="shared" si="10"/>
        <v>475000</v>
      </c>
      <c r="M86" s="149"/>
    </row>
    <row r="87" ht="15.75" customHeight="1">
      <c r="A87" s="118">
        <v>11.0</v>
      </c>
      <c r="B87" s="112">
        <v>45670.0</v>
      </c>
      <c r="C87" s="17" t="s">
        <v>844</v>
      </c>
      <c r="D87" s="98" t="s">
        <v>972</v>
      </c>
      <c r="E87" s="98" t="s">
        <v>273</v>
      </c>
      <c r="F87" s="98" t="s">
        <v>512</v>
      </c>
      <c r="G87" s="151">
        <v>9000.0</v>
      </c>
      <c r="H87" s="101">
        <v>900000.0</v>
      </c>
      <c r="I87" s="115" t="s">
        <v>238</v>
      </c>
      <c r="J87" s="128">
        <v>475000.0</v>
      </c>
      <c r="K87" s="213" t="s">
        <v>212</v>
      </c>
      <c r="L87" s="355">
        <f t="shared" si="10"/>
        <v>425000</v>
      </c>
      <c r="M87" s="150">
        <v>275000.0</v>
      </c>
    </row>
    <row r="88" ht="15.75" customHeight="1">
      <c r="A88" s="118">
        <v>12.0</v>
      </c>
      <c r="B88" s="112">
        <v>45671.0</v>
      </c>
      <c r="C88" s="17" t="s">
        <v>844</v>
      </c>
      <c r="D88" s="98" t="s">
        <v>972</v>
      </c>
      <c r="E88" s="98" t="s">
        <v>279</v>
      </c>
      <c r="F88" s="98" t="s">
        <v>302</v>
      </c>
      <c r="G88" s="151">
        <v>9000.0</v>
      </c>
      <c r="H88" s="135">
        <v>720000.0</v>
      </c>
      <c r="I88" s="299" t="s">
        <v>238</v>
      </c>
      <c r="J88" s="121">
        <v>350000.0</v>
      </c>
      <c r="K88" s="213" t="s">
        <v>212</v>
      </c>
      <c r="L88" s="354">
        <f t="shared" si="10"/>
        <v>370000</v>
      </c>
      <c r="M88" s="150">
        <v>1380000.0</v>
      </c>
      <c r="N88" s="205" t="s">
        <v>508</v>
      </c>
    </row>
    <row r="89" ht="15.75" customHeight="1">
      <c r="A89" s="118">
        <v>13.0</v>
      </c>
      <c r="B89" s="112">
        <v>45671.0</v>
      </c>
      <c r="C89" s="17" t="s">
        <v>844</v>
      </c>
      <c r="D89" s="98" t="s">
        <v>972</v>
      </c>
      <c r="E89" s="98" t="s">
        <v>256</v>
      </c>
      <c r="F89" s="98" t="s">
        <v>271</v>
      </c>
      <c r="G89" s="151">
        <v>9000.0</v>
      </c>
      <c r="H89" s="58">
        <v>675000.0</v>
      </c>
      <c r="I89" s="122" t="s">
        <v>238</v>
      </c>
      <c r="J89" s="60">
        <v>375000.0</v>
      </c>
      <c r="K89" s="98" t="s">
        <v>238</v>
      </c>
      <c r="L89" s="354">
        <f t="shared" si="10"/>
        <v>300000</v>
      </c>
      <c r="M89" s="150"/>
    </row>
    <row r="90" ht="15.75" customHeight="1">
      <c r="A90" s="118">
        <v>14.0</v>
      </c>
      <c r="B90" s="112">
        <v>45672.0</v>
      </c>
      <c r="C90" s="17" t="s">
        <v>844</v>
      </c>
      <c r="D90" s="98" t="s">
        <v>972</v>
      </c>
      <c r="E90" s="98" t="s">
        <v>273</v>
      </c>
      <c r="F90" s="98" t="s">
        <v>511</v>
      </c>
      <c r="G90" s="151">
        <v>10000.0</v>
      </c>
      <c r="H90" s="121">
        <v>1500000.0</v>
      </c>
      <c r="I90" s="299" t="s">
        <v>238</v>
      </c>
      <c r="J90" s="121">
        <v>325000.0</v>
      </c>
      <c r="K90" s="98" t="s">
        <v>238</v>
      </c>
      <c r="L90" s="355">
        <f t="shared" si="10"/>
        <v>1175000</v>
      </c>
      <c r="M90" s="149"/>
    </row>
    <row r="91" ht="15.75" customHeight="1">
      <c r="A91" s="118">
        <v>15.0</v>
      </c>
      <c r="B91" s="112">
        <v>45672.0</v>
      </c>
      <c r="C91" s="17" t="s">
        <v>844</v>
      </c>
      <c r="D91" s="98" t="s">
        <v>972</v>
      </c>
      <c r="E91" s="98" t="s">
        <v>243</v>
      </c>
      <c r="F91" s="98" t="s">
        <v>979</v>
      </c>
      <c r="G91" s="151">
        <v>9000.0</v>
      </c>
      <c r="H91" s="313">
        <v>1035000.0</v>
      </c>
      <c r="I91" s="211" t="s">
        <v>212</v>
      </c>
      <c r="J91" s="104">
        <v>600000.0</v>
      </c>
      <c r="K91" s="98" t="s">
        <v>238</v>
      </c>
      <c r="L91" s="355">
        <f t="shared" si="10"/>
        <v>435000</v>
      </c>
      <c r="M91" s="150"/>
    </row>
    <row r="92" ht="15.75" customHeight="1">
      <c r="A92" s="118">
        <v>16.0</v>
      </c>
      <c r="B92" s="112">
        <v>45673.0</v>
      </c>
      <c r="C92" s="17" t="s">
        <v>844</v>
      </c>
      <c r="D92" s="98" t="s">
        <v>972</v>
      </c>
      <c r="E92" s="98" t="s">
        <v>320</v>
      </c>
      <c r="F92" s="98" t="s">
        <v>979</v>
      </c>
      <c r="G92" s="151">
        <v>9000.0</v>
      </c>
      <c r="H92" s="313">
        <v>1035000.0</v>
      </c>
      <c r="I92" s="211" t="s">
        <v>212</v>
      </c>
      <c r="J92" s="104">
        <v>600000.0</v>
      </c>
      <c r="K92" s="213" t="s">
        <v>212</v>
      </c>
      <c r="L92" s="355">
        <f t="shared" si="10"/>
        <v>435000</v>
      </c>
      <c r="M92" s="149"/>
    </row>
    <row r="93" ht="15.75" customHeight="1">
      <c r="A93" s="118">
        <v>17.0</v>
      </c>
      <c r="B93" s="112">
        <v>45674.0</v>
      </c>
      <c r="C93" s="17" t="s">
        <v>844</v>
      </c>
      <c r="D93" s="98" t="s">
        <v>972</v>
      </c>
      <c r="E93" s="98" t="s">
        <v>279</v>
      </c>
      <c r="F93" s="98" t="s">
        <v>271</v>
      </c>
      <c r="G93" s="151">
        <v>9000.0</v>
      </c>
      <c r="H93" s="58">
        <v>675000.0</v>
      </c>
      <c r="I93" s="122" t="s">
        <v>238</v>
      </c>
      <c r="J93" s="60">
        <v>375000.0</v>
      </c>
      <c r="K93" s="213" t="s">
        <v>212</v>
      </c>
      <c r="L93" s="354">
        <f t="shared" si="10"/>
        <v>300000</v>
      </c>
      <c r="M93" s="149"/>
    </row>
    <row r="94" ht="15.75" customHeight="1">
      <c r="A94" s="118">
        <v>18.0</v>
      </c>
      <c r="B94" s="112">
        <v>45675.0</v>
      </c>
      <c r="C94" s="17" t="s">
        <v>844</v>
      </c>
      <c r="D94" s="98" t="s">
        <v>972</v>
      </c>
      <c r="E94" s="98" t="s">
        <v>243</v>
      </c>
      <c r="F94" s="98" t="s">
        <v>474</v>
      </c>
      <c r="G94" s="151">
        <v>9000.0</v>
      </c>
      <c r="H94" s="313">
        <v>675000.0</v>
      </c>
      <c r="I94" s="211" t="s">
        <v>212</v>
      </c>
      <c r="J94" s="104">
        <v>350000.0</v>
      </c>
      <c r="K94" s="213" t="s">
        <v>212</v>
      </c>
      <c r="L94" s="355">
        <f t="shared" si="10"/>
        <v>325000</v>
      </c>
      <c r="M94" s="150">
        <v>710000.0</v>
      </c>
    </row>
    <row r="95" ht="15.75" customHeight="1">
      <c r="A95" s="118">
        <v>19.0</v>
      </c>
      <c r="B95" s="112">
        <v>45677.0</v>
      </c>
      <c r="C95" s="17" t="s">
        <v>844</v>
      </c>
      <c r="D95" s="98" t="s">
        <v>972</v>
      </c>
      <c r="E95" s="98" t="s">
        <v>279</v>
      </c>
      <c r="F95" s="98" t="s">
        <v>549</v>
      </c>
      <c r="G95" s="110">
        <v>9000.0</v>
      </c>
      <c r="H95" s="61">
        <v>1305000.0</v>
      </c>
      <c r="I95" s="299" t="s">
        <v>238</v>
      </c>
      <c r="J95" s="61">
        <v>725000.0</v>
      </c>
      <c r="K95" s="98" t="s">
        <v>238</v>
      </c>
      <c r="L95" s="354">
        <f t="shared" si="10"/>
        <v>580000</v>
      </c>
      <c r="M95" s="149"/>
    </row>
    <row r="96" ht="15.75" customHeight="1">
      <c r="A96" s="118">
        <v>20.0</v>
      </c>
      <c r="B96" s="112">
        <v>45678.0</v>
      </c>
      <c r="C96" s="17" t="s">
        <v>844</v>
      </c>
      <c r="D96" s="98" t="s">
        <v>972</v>
      </c>
      <c r="E96" s="98" t="s">
        <v>320</v>
      </c>
      <c r="F96" s="98" t="s">
        <v>510</v>
      </c>
      <c r="G96" s="151">
        <v>9000.0</v>
      </c>
      <c r="H96" s="313">
        <v>1125000.0</v>
      </c>
      <c r="I96" s="211" t="s">
        <v>212</v>
      </c>
      <c r="J96" s="121">
        <v>640000.0</v>
      </c>
      <c r="K96" s="98" t="s">
        <v>238</v>
      </c>
      <c r="L96" s="355">
        <f t="shared" si="10"/>
        <v>485000</v>
      </c>
      <c r="M96" s="149"/>
    </row>
    <row r="97" ht="15.75" customHeight="1">
      <c r="A97" s="118">
        <v>21.0</v>
      </c>
      <c r="B97" s="112">
        <v>45679.0</v>
      </c>
      <c r="C97" s="17" t="s">
        <v>844</v>
      </c>
      <c r="D97" s="98" t="s">
        <v>972</v>
      </c>
      <c r="E97" s="98" t="s">
        <v>273</v>
      </c>
      <c r="F97" s="98" t="s">
        <v>511</v>
      </c>
      <c r="G97" s="151">
        <v>10000.0</v>
      </c>
      <c r="H97" s="121">
        <v>1500000.0</v>
      </c>
      <c r="I97" s="299" t="s">
        <v>238</v>
      </c>
      <c r="J97" s="121">
        <v>325000.0</v>
      </c>
      <c r="K97" s="98" t="s">
        <v>238</v>
      </c>
      <c r="L97" s="355">
        <f t="shared" si="10"/>
        <v>1175000</v>
      </c>
      <c r="M97" s="150">
        <v>4695000.0</v>
      </c>
    </row>
    <row r="98" ht="15.75" customHeight="1">
      <c r="A98" s="118">
        <v>22.0</v>
      </c>
      <c r="B98" s="112">
        <v>45680.0</v>
      </c>
      <c r="C98" s="17" t="s">
        <v>844</v>
      </c>
      <c r="D98" s="98" t="s">
        <v>972</v>
      </c>
      <c r="E98" s="98" t="s">
        <v>273</v>
      </c>
      <c r="F98" s="98" t="s">
        <v>161</v>
      </c>
      <c r="G98" s="151">
        <v>9000.0</v>
      </c>
      <c r="H98" s="208">
        <v>1215000.0</v>
      </c>
      <c r="I98" s="115" t="s">
        <v>238</v>
      </c>
      <c r="J98" s="121">
        <v>725000.0</v>
      </c>
      <c r="K98" s="213" t="s">
        <v>238</v>
      </c>
      <c r="L98" s="355">
        <f t="shared" si="10"/>
        <v>490000</v>
      </c>
      <c r="M98" s="150">
        <v>150000.0</v>
      </c>
    </row>
    <row r="99" ht="15.75" customHeight="1">
      <c r="A99" s="118">
        <v>23.0</v>
      </c>
      <c r="B99" s="112">
        <v>45682.0</v>
      </c>
      <c r="C99" s="17" t="s">
        <v>844</v>
      </c>
      <c r="D99" s="98" t="s">
        <v>972</v>
      </c>
      <c r="E99" s="98" t="s">
        <v>242</v>
      </c>
      <c r="F99" s="98" t="s">
        <v>214</v>
      </c>
      <c r="G99" s="57">
        <v>9000.0</v>
      </c>
      <c r="H99" s="58">
        <v>1400000.0</v>
      </c>
      <c r="I99" s="108" t="s">
        <v>238</v>
      </c>
      <c r="J99" s="60">
        <v>900000.0</v>
      </c>
      <c r="K99" s="98" t="s">
        <v>238</v>
      </c>
      <c r="L99" s="100">
        <f t="shared" si="10"/>
        <v>500000</v>
      </c>
      <c r="M99" s="150">
        <v>164000.0</v>
      </c>
    </row>
    <row r="100" ht="15.75" customHeight="1">
      <c r="A100" s="118"/>
      <c r="B100" s="7"/>
      <c r="C100" s="7"/>
      <c r="D100" s="7"/>
      <c r="E100" s="17"/>
      <c r="F100" s="17"/>
      <c r="G100" s="170"/>
      <c r="H100" s="149"/>
      <c r="I100" s="184"/>
      <c r="J100" s="104"/>
      <c r="K100" s="17"/>
    </row>
    <row r="101" ht="15.75" customHeight="1">
      <c r="A101" s="21"/>
      <c r="B101" s="7"/>
      <c r="C101" s="7"/>
      <c r="D101" s="7"/>
      <c r="E101" s="17"/>
      <c r="F101" s="17"/>
      <c r="G101" s="170"/>
      <c r="H101" s="149"/>
      <c r="I101" s="184"/>
      <c r="J101" s="104"/>
      <c r="K101" s="17"/>
      <c r="L101" s="52">
        <f t="shared" ref="L101:M101" si="11">SUM(L77:L99)</f>
        <v>11610000</v>
      </c>
      <c r="M101" s="30">
        <f t="shared" si="11"/>
        <v>7809000</v>
      </c>
    </row>
    <row r="102" ht="15.75" customHeight="1">
      <c r="A102" s="21"/>
      <c r="B102" s="7"/>
      <c r="C102" s="7"/>
      <c r="D102" s="7"/>
      <c r="E102" s="17"/>
      <c r="F102" s="17"/>
      <c r="G102" s="170"/>
      <c r="H102" s="149"/>
      <c r="I102" s="184"/>
      <c r="J102" s="104"/>
      <c r="K102" s="17"/>
      <c r="L102" s="33">
        <f>L101-M101</f>
        <v>3801000</v>
      </c>
      <c r="M102" s="26"/>
    </row>
    <row r="103" ht="15.75" customHeight="1">
      <c r="A103" s="21"/>
      <c r="B103" s="7"/>
      <c r="C103" s="7"/>
      <c r="D103" s="7"/>
      <c r="E103" s="17"/>
      <c r="F103" s="17"/>
      <c r="G103" s="170"/>
      <c r="H103" s="149"/>
      <c r="I103" s="184"/>
      <c r="J103" s="104"/>
      <c r="K103" s="17"/>
      <c r="M103" s="149"/>
    </row>
    <row r="104" ht="15.75" customHeight="1">
      <c r="A104" s="136" t="s">
        <v>209</v>
      </c>
      <c r="B104" s="136" t="s">
        <v>0</v>
      </c>
      <c r="C104" s="136" t="s">
        <v>1</v>
      </c>
      <c r="D104" s="136" t="s">
        <v>2</v>
      </c>
      <c r="E104" s="137" t="s">
        <v>3</v>
      </c>
      <c r="F104" s="136" t="s">
        <v>4</v>
      </c>
      <c r="G104" s="138" t="s">
        <v>5</v>
      </c>
      <c r="H104" s="139" t="s">
        <v>6</v>
      </c>
      <c r="I104" s="140" t="s">
        <v>39</v>
      </c>
      <c r="J104" s="139" t="s">
        <v>7</v>
      </c>
      <c r="K104" s="138" t="s">
        <v>39</v>
      </c>
      <c r="L104" s="140" t="s">
        <v>8</v>
      </c>
      <c r="M104" s="141" t="s">
        <v>9</v>
      </c>
    </row>
    <row r="105" ht="15.75" customHeight="1">
      <c r="A105" s="169">
        <v>1.0</v>
      </c>
      <c r="B105" s="112">
        <v>45691.0</v>
      </c>
      <c r="C105" s="17" t="s">
        <v>844</v>
      </c>
      <c r="D105" s="98" t="s">
        <v>972</v>
      </c>
      <c r="E105" s="98" t="s">
        <v>980</v>
      </c>
      <c r="F105" s="98" t="s">
        <v>161</v>
      </c>
      <c r="G105" s="151">
        <v>9000.0</v>
      </c>
      <c r="H105" s="208">
        <v>1215000.0</v>
      </c>
      <c r="I105" s="115" t="s">
        <v>238</v>
      </c>
      <c r="J105" s="121">
        <v>725000.0</v>
      </c>
      <c r="K105" s="213" t="s">
        <v>212</v>
      </c>
      <c r="L105" s="355">
        <f t="shared" ref="L105:L123" si="12">H105-J105</f>
        <v>490000</v>
      </c>
      <c r="M105" s="326"/>
    </row>
    <row r="106" ht="15.75" customHeight="1">
      <c r="A106" s="118">
        <v>2.0</v>
      </c>
      <c r="B106" s="112">
        <v>45692.0</v>
      </c>
      <c r="C106" s="17" t="s">
        <v>844</v>
      </c>
      <c r="D106" s="98" t="s">
        <v>972</v>
      </c>
      <c r="E106" s="98" t="s">
        <v>981</v>
      </c>
      <c r="F106" s="98" t="s">
        <v>302</v>
      </c>
      <c r="G106" s="151">
        <v>9000.0</v>
      </c>
      <c r="H106" s="135">
        <v>850000.0</v>
      </c>
      <c r="I106" s="299" t="s">
        <v>238</v>
      </c>
      <c r="J106" s="121">
        <v>350000.0</v>
      </c>
      <c r="K106" s="213" t="s">
        <v>212</v>
      </c>
      <c r="L106" s="354">
        <f t="shared" si="12"/>
        <v>500000</v>
      </c>
      <c r="M106" s="149"/>
    </row>
    <row r="107" ht="15.75" customHeight="1">
      <c r="A107" s="118">
        <v>3.0</v>
      </c>
      <c r="B107" s="112">
        <v>45693.0</v>
      </c>
      <c r="C107" s="17" t="s">
        <v>844</v>
      </c>
      <c r="D107" s="98" t="s">
        <v>972</v>
      </c>
      <c r="E107" s="98" t="s">
        <v>273</v>
      </c>
      <c r="F107" s="98" t="s">
        <v>510</v>
      </c>
      <c r="G107" s="151">
        <v>9000.0</v>
      </c>
      <c r="H107" s="313">
        <v>1125000.0</v>
      </c>
      <c r="I107" s="211" t="s">
        <v>212</v>
      </c>
      <c r="J107" s="121">
        <v>665000.0</v>
      </c>
      <c r="K107" s="213" t="s">
        <v>212</v>
      </c>
      <c r="L107" s="355">
        <f t="shared" si="12"/>
        <v>460000</v>
      </c>
      <c r="M107" s="149"/>
    </row>
    <row r="108" ht="15.75" customHeight="1">
      <c r="A108" s="118">
        <v>4.0</v>
      </c>
      <c r="B108" s="112">
        <v>45694.0</v>
      </c>
      <c r="C108" s="17" t="s">
        <v>844</v>
      </c>
      <c r="D108" s="98" t="s">
        <v>972</v>
      </c>
      <c r="E108" s="204" t="s">
        <v>273</v>
      </c>
      <c r="F108" s="204" t="s">
        <v>287</v>
      </c>
      <c r="G108" s="151">
        <v>9000.0</v>
      </c>
      <c r="H108" s="149">
        <v>1200000.0</v>
      </c>
      <c r="I108" s="211" t="s">
        <v>212</v>
      </c>
      <c r="J108" s="150">
        <v>715000.0</v>
      </c>
      <c r="K108" s="213" t="s">
        <v>212</v>
      </c>
      <c r="L108" s="58">
        <f t="shared" si="12"/>
        <v>485000</v>
      </c>
      <c r="M108" s="149"/>
    </row>
    <row r="109" ht="15.75" customHeight="1">
      <c r="A109" s="118">
        <v>5.0</v>
      </c>
      <c r="B109" s="112">
        <v>45696.0</v>
      </c>
      <c r="C109" s="17" t="s">
        <v>844</v>
      </c>
      <c r="D109" s="98" t="s">
        <v>972</v>
      </c>
      <c r="E109" s="98" t="s">
        <v>243</v>
      </c>
      <c r="F109" s="98" t="s">
        <v>321</v>
      </c>
      <c r="G109" s="151">
        <v>9000.0</v>
      </c>
      <c r="H109" s="345">
        <v>800000.0</v>
      </c>
      <c r="I109" s="211" t="s">
        <v>212</v>
      </c>
      <c r="J109" s="202">
        <v>400000.0</v>
      </c>
      <c r="K109" s="213" t="s">
        <v>212</v>
      </c>
      <c r="L109" s="58">
        <f t="shared" si="12"/>
        <v>400000</v>
      </c>
      <c r="M109" s="150">
        <v>1805000.0</v>
      </c>
    </row>
    <row r="110" ht="15.75" customHeight="1">
      <c r="A110" s="118">
        <v>6.0</v>
      </c>
      <c r="B110" s="112">
        <v>45698.0</v>
      </c>
      <c r="C110" s="17" t="s">
        <v>844</v>
      </c>
      <c r="D110" s="98" t="s">
        <v>972</v>
      </c>
      <c r="E110" s="98" t="s">
        <v>273</v>
      </c>
      <c r="F110" s="98" t="s">
        <v>512</v>
      </c>
      <c r="G110" s="151">
        <v>9000.0</v>
      </c>
      <c r="H110" s="150">
        <v>900000.0</v>
      </c>
      <c r="I110" s="299" t="s">
        <v>238</v>
      </c>
      <c r="J110" s="121">
        <v>475000.0</v>
      </c>
      <c r="K110" s="213" t="s">
        <v>212</v>
      </c>
      <c r="L110" s="58">
        <f t="shared" si="12"/>
        <v>425000</v>
      </c>
      <c r="M110" s="149"/>
    </row>
    <row r="111" ht="15.75" customHeight="1">
      <c r="A111" s="118">
        <v>7.0</v>
      </c>
      <c r="B111" s="112">
        <v>45700.0</v>
      </c>
      <c r="C111" s="17" t="s">
        <v>844</v>
      </c>
      <c r="D111" s="98" t="s">
        <v>972</v>
      </c>
      <c r="E111" s="98" t="s">
        <v>256</v>
      </c>
      <c r="F111" s="98" t="s">
        <v>507</v>
      </c>
      <c r="G111" s="57">
        <v>9000.0</v>
      </c>
      <c r="H111" s="106">
        <v>900000.0</v>
      </c>
      <c r="I111" s="115" t="s">
        <v>238</v>
      </c>
      <c r="J111" s="61">
        <v>450000.0</v>
      </c>
      <c r="K111" s="213" t="s">
        <v>212</v>
      </c>
      <c r="L111" s="354">
        <f t="shared" si="12"/>
        <v>450000</v>
      </c>
      <c r="M111" s="149"/>
    </row>
    <row r="112" ht="15.75" customHeight="1">
      <c r="A112" s="118">
        <v>8.0</v>
      </c>
      <c r="B112" s="112">
        <v>45701.0</v>
      </c>
      <c r="C112" s="17" t="s">
        <v>844</v>
      </c>
      <c r="D112" s="98" t="s">
        <v>972</v>
      </c>
      <c r="E112" s="98" t="s">
        <v>279</v>
      </c>
      <c r="F112" s="98" t="s">
        <v>324</v>
      </c>
      <c r="G112" s="151">
        <v>9000.0</v>
      </c>
      <c r="H112" s="121">
        <v>675000.0</v>
      </c>
      <c r="I112" s="115" t="s">
        <v>212</v>
      </c>
      <c r="J112" s="61">
        <v>350000.0</v>
      </c>
      <c r="K112" s="213" t="s">
        <v>212</v>
      </c>
      <c r="L112" s="58">
        <f t="shared" si="12"/>
        <v>325000</v>
      </c>
      <c r="M112" s="150">
        <v>40000.0</v>
      </c>
    </row>
    <row r="113" ht="15.75" customHeight="1">
      <c r="A113" s="118">
        <v>9.0</v>
      </c>
      <c r="B113" s="112">
        <v>45702.0</v>
      </c>
      <c r="C113" s="17" t="s">
        <v>844</v>
      </c>
      <c r="D113" s="98" t="s">
        <v>972</v>
      </c>
      <c r="E113" s="98" t="s">
        <v>242</v>
      </c>
      <c r="F113" s="98" t="s">
        <v>324</v>
      </c>
      <c r="G113" s="151">
        <v>10000.0</v>
      </c>
      <c r="H113" s="150">
        <v>750000.0</v>
      </c>
      <c r="I113" s="115" t="s">
        <v>212</v>
      </c>
      <c r="J113" s="61">
        <v>400000.0</v>
      </c>
      <c r="K113" s="213" t="s">
        <v>212</v>
      </c>
      <c r="L113" s="58">
        <f t="shared" si="12"/>
        <v>350000</v>
      </c>
      <c r="M113" s="149"/>
    </row>
    <row r="114" ht="15.75" customHeight="1">
      <c r="A114" s="118">
        <v>10.0</v>
      </c>
      <c r="B114" s="112">
        <v>45703.0</v>
      </c>
      <c r="C114" s="17" t="s">
        <v>844</v>
      </c>
      <c r="D114" s="98" t="s">
        <v>972</v>
      </c>
      <c r="E114" s="98" t="s">
        <v>242</v>
      </c>
      <c r="F114" s="98" t="s">
        <v>278</v>
      </c>
      <c r="G114" s="151">
        <v>10000.0</v>
      </c>
      <c r="H114" s="150">
        <v>750000.0</v>
      </c>
      <c r="I114" s="115" t="s">
        <v>212</v>
      </c>
      <c r="J114" s="106">
        <v>425000.0</v>
      </c>
      <c r="K114" s="213" t="s">
        <v>212</v>
      </c>
      <c r="L114" s="58">
        <f t="shared" si="12"/>
        <v>325000</v>
      </c>
      <c r="M114" s="149"/>
    </row>
    <row r="115" ht="15.75" customHeight="1">
      <c r="A115" s="118">
        <v>11.0</v>
      </c>
      <c r="B115" s="112">
        <v>45705.0</v>
      </c>
      <c r="C115" s="17" t="s">
        <v>844</v>
      </c>
      <c r="D115" s="98" t="s">
        <v>972</v>
      </c>
      <c r="E115" s="98" t="s">
        <v>982</v>
      </c>
      <c r="F115" s="98" t="s">
        <v>321</v>
      </c>
      <c r="G115" s="151">
        <v>9000.0</v>
      </c>
      <c r="H115" s="150">
        <v>800000.0</v>
      </c>
      <c r="I115" s="115" t="s">
        <v>212</v>
      </c>
      <c r="J115" s="106">
        <v>400000.0</v>
      </c>
      <c r="K115" s="98" t="s">
        <v>212</v>
      </c>
      <c r="L115" s="58">
        <f t="shared" si="12"/>
        <v>400000</v>
      </c>
      <c r="M115" s="150">
        <v>1155000.0</v>
      </c>
    </row>
    <row r="116" ht="15.75" customHeight="1">
      <c r="A116" s="118">
        <v>12.0</v>
      </c>
      <c r="B116" s="112">
        <v>45707.0</v>
      </c>
      <c r="C116" s="17" t="s">
        <v>844</v>
      </c>
      <c r="D116" s="98" t="s">
        <v>972</v>
      </c>
      <c r="E116" s="98" t="s">
        <v>571</v>
      </c>
      <c r="F116" s="98" t="s">
        <v>271</v>
      </c>
      <c r="G116" s="151">
        <v>9000.0</v>
      </c>
      <c r="H116" s="150">
        <v>675000.0</v>
      </c>
      <c r="I116" s="115" t="s">
        <v>238</v>
      </c>
      <c r="J116" s="106">
        <v>375000.0</v>
      </c>
      <c r="K116" s="213" t="s">
        <v>212</v>
      </c>
      <c r="L116" s="58">
        <f t="shared" si="12"/>
        <v>300000</v>
      </c>
      <c r="M116" s="150">
        <v>500000.0</v>
      </c>
      <c r="N116" s="205" t="s">
        <v>798</v>
      </c>
    </row>
    <row r="117" ht="15.75" customHeight="1">
      <c r="A117" s="118">
        <v>13.0</v>
      </c>
      <c r="B117" s="112">
        <v>45709.0</v>
      </c>
      <c r="C117" s="17" t="s">
        <v>844</v>
      </c>
      <c r="D117" s="98" t="s">
        <v>972</v>
      </c>
      <c r="E117" s="98" t="s">
        <v>514</v>
      </c>
      <c r="F117" s="98" t="s">
        <v>311</v>
      </c>
      <c r="G117" s="151">
        <v>9000.0</v>
      </c>
      <c r="H117" s="150">
        <v>720000.0</v>
      </c>
      <c r="I117" s="115" t="s">
        <v>212</v>
      </c>
      <c r="J117" s="106">
        <v>350000.0</v>
      </c>
      <c r="K117" s="213" t="s">
        <v>212</v>
      </c>
      <c r="L117" s="58">
        <f t="shared" si="12"/>
        <v>370000</v>
      </c>
      <c r="M117" s="149"/>
    </row>
    <row r="118" ht="15.75" customHeight="1">
      <c r="A118" s="118">
        <v>14.0</v>
      </c>
      <c r="B118" s="112">
        <v>45710.0</v>
      </c>
      <c r="C118" s="17" t="s">
        <v>844</v>
      </c>
      <c r="D118" s="98" t="s">
        <v>972</v>
      </c>
      <c r="E118" s="98" t="s">
        <v>243</v>
      </c>
      <c r="F118" s="98" t="s">
        <v>268</v>
      </c>
      <c r="G118" s="151">
        <v>9000.0</v>
      </c>
      <c r="H118" s="150">
        <v>1400000.0</v>
      </c>
      <c r="I118" s="115" t="s">
        <v>238</v>
      </c>
      <c r="J118" s="106">
        <v>850000.0</v>
      </c>
      <c r="K118" s="213" t="s">
        <v>212</v>
      </c>
      <c r="L118" s="58">
        <f t="shared" si="12"/>
        <v>550000</v>
      </c>
      <c r="M118" s="149"/>
    </row>
    <row r="119" ht="15.75" customHeight="1">
      <c r="A119" s="118">
        <v>15.0</v>
      </c>
      <c r="B119" s="112">
        <v>45712.0</v>
      </c>
      <c r="C119" s="17" t="s">
        <v>844</v>
      </c>
      <c r="D119" s="98" t="s">
        <v>972</v>
      </c>
      <c r="E119" s="98" t="s">
        <v>80</v>
      </c>
      <c r="F119" s="98" t="s">
        <v>271</v>
      </c>
      <c r="G119" s="151">
        <v>9000.0</v>
      </c>
      <c r="H119" s="150">
        <v>675000.0</v>
      </c>
      <c r="I119" s="152" t="s">
        <v>238</v>
      </c>
      <c r="J119" s="106">
        <v>375000.0</v>
      </c>
      <c r="K119" s="213" t="s">
        <v>212</v>
      </c>
      <c r="L119" s="58">
        <f t="shared" si="12"/>
        <v>300000</v>
      </c>
      <c r="M119" s="149"/>
    </row>
    <row r="120" ht="15.75" customHeight="1">
      <c r="A120" s="118">
        <v>16.0</v>
      </c>
      <c r="B120" s="112">
        <v>45713.0</v>
      </c>
      <c r="C120" s="17" t="s">
        <v>844</v>
      </c>
      <c r="D120" s="98" t="s">
        <v>972</v>
      </c>
      <c r="E120" s="98" t="s">
        <v>123</v>
      </c>
      <c r="F120" s="98" t="s">
        <v>311</v>
      </c>
      <c r="G120" s="151">
        <v>9000.0</v>
      </c>
      <c r="H120" s="150">
        <v>720000.0</v>
      </c>
      <c r="I120" s="115" t="s">
        <v>212</v>
      </c>
      <c r="J120" s="106">
        <v>350000.0</v>
      </c>
      <c r="K120" s="213" t="s">
        <v>212</v>
      </c>
      <c r="L120" s="58">
        <f t="shared" si="12"/>
        <v>370000</v>
      </c>
      <c r="M120" s="150">
        <v>20000.0</v>
      </c>
    </row>
    <row r="121" ht="15.75" customHeight="1">
      <c r="A121" s="118">
        <v>17.0</v>
      </c>
      <c r="B121" s="112">
        <v>45714.0</v>
      </c>
      <c r="C121" s="17" t="s">
        <v>844</v>
      </c>
      <c r="D121" s="98" t="s">
        <v>972</v>
      </c>
      <c r="E121" s="98" t="s">
        <v>982</v>
      </c>
      <c r="F121" s="98" t="s">
        <v>302</v>
      </c>
      <c r="G121" s="151">
        <v>9000.0</v>
      </c>
      <c r="H121" s="150">
        <v>720000.0</v>
      </c>
      <c r="I121" s="152" t="s">
        <v>238</v>
      </c>
      <c r="J121" s="106">
        <v>350000.0</v>
      </c>
      <c r="K121" s="213" t="s">
        <v>212</v>
      </c>
      <c r="L121" s="58">
        <f t="shared" si="12"/>
        <v>370000</v>
      </c>
      <c r="M121" s="149"/>
    </row>
    <row r="122" ht="15.75" customHeight="1">
      <c r="A122" s="118">
        <v>18.0</v>
      </c>
      <c r="B122" s="112">
        <v>45714.0</v>
      </c>
      <c r="C122" s="17" t="s">
        <v>844</v>
      </c>
      <c r="D122" s="98" t="s">
        <v>972</v>
      </c>
      <c r="E122" s="98" t="s">
        <v>983</v>
      </c>
      <c r="F122" s="98" t="s">
        <v>324</v>
      </c>
      <c r="G122" s="151">
        <v>9000.0</v>
      </c>
      <c r="H122" s="150">
        <v>675000.0</v>
      </c>
      <c r="I122" s="152" t="s">
        <v>212</v>
      </c>
      <c r="J122" s="106">
        <v>350000.0</v>
      </c>
      <c r="K122" s="213" t="s">
        <v>212</v>
      </c>
      <c r="L122" s="58">
        <f t="shared" si="12"/>
        <v>325000</v>
      </c>
      <c r="M122" s="149"/>
    </row>
    <row r="123" ht="15.75" customHeight="1">
      <c r="A123" s="118">
        <v>19.0</v>
      </c>
      <c r="B123" s="112">
        <v>45715.0</v>
      </c>
      <c r="C123" s="17" t="s">
        <v>844</v>
      </c>
      <c r="D123" s="98" t="s">
        <v>972</v>
      </c>
      <c r="E123" s="98" t="s">
        <v>273</v>
      </c>
      <c r="F123" s="98" t="s">
        <v>294</v>
      </c>
      <c r="G123" s="151">
        <v>9000.0</v>
      </c>
      <c r="H123" s="135">
        <v>765000.0</v>
      </c>
      <c r="I123" s="152" t="s">
        <v>212</v>
      </c>
      <c r="J123" s="135">
        <v>425000.0</v>
      </c>
      <c r="K123" s="213" t="s">
        <v>212</v>
      </c>
      <c r="L123" s="58">
        <f t="shared" si="12"/>
        <v>340000</v>
      </c>
      <c r="M123" s="149"/>
    </row>
    <row r="124" ht="15.75" customHeight="1">
      <c r="A124" s="21"/>
      <c r="B124" s="7"/>
      <c r="C124" s="7"/>
      <c r="D124" s="7"/>
      <c r="E124" s="17"/>
      <c r="F124" s="17"/>
      <c r="G124" s="170"/>
      <c r="H124" s="149"/>
      <c r="I124" s="184"/>
      <c r="J124" s="61"/>
      <c r="K124" s="17"/>
      <c r="L124" s="52">
        <f t="shared" ref="L124:M124" si="13">SUM(L105:L123)</f>
        <v>7535000</v>
      </c>
      <c r="M124" s="30">
        <f t="shared" si="13"/>
        <v>3520000</v>
      </c>
    </row>
    <row r="125" ht="15.75" customHeight="1">
      <c r="A125" s="21"/>
      <c r="B125" s="7"/>
      <c r="C125" s="7"/>
      <c r="D125" s="7"/>
      <c r="E125" s="17"/>
      <c r="F125" s="17"/>
      <c r="G125" s="170"/>
      <c r="H125" s="149"/>
      <c r="I125" s="184"/>
      <c r="J125" s="61"/>
      <c r="K125" s="17"/>
      <c r="L125" s="33">
        <f>L124-M124</f>
        <v>4015000</v>
      </c>
      <c r="M125" s="26"/>
    </row>
    <row r="126" ht="15.75" customHeight="1">
      <c r="A126" s="21"/>
      <c r="B126" s="7"/>
      <c r="C126" s="7"/>
      <c r="D126" s="7"/>
      <c r="E126" s="17"/>
      <c r="F126" s="17"/>
      <c r="G126" s="170"/>
      <c r="H126" s="149"/>
      <c r="I126" s="184"/>
      <c r="J126" s="104"/>
      <c r="K126" s="17"/>
      <c r="M126" s="149"/>
    </row>
    <row r="127" ht="15.75" customHeight="1">
      <c r="A127" s="136" t="s">
        <v>209</v>
      </c>
      <c r="B127" s="136" t="s">
        <v>0</v>
      </c>
      <c r="C127" s="136" t="s">
        <v>1</v>
      </c>
      <c r="D127" s="136" t="s">
        <v>2</v>
      </c>
      <c r="E127" s="137" t="s">
        <v>3</v>
      </c>
      <c r="F127" s="136" t="s">
        <v>4</v>
      </c>
      <c r="G127" s="138" t="s">
        <v>5</v>
      </c>
      <c r="H127" s="139" t="s">
        <v>6</v>
      </c>
      <c r="I127" s="140" t="s">
        <v>39</v>
      </c>
      <c r="J127" s="139" t="s">
        <v>7</v>
      </c>
      <c r="K127" s="138" t="s">
        <v>39</v>
      </c>
      <c r="L127" s="140" t="s">
        <v>8</v>
      </c>
      <c r="M127" s="141" t="s">
        <v>9</v>
      </c>
    </row>
    <row r="128" ht="15.75" customHeight="1">
      <c r="A128" s="169">
        <v>1.0</v>
      </c>
      <c r="B128" s="112">
        <v>45717.0</v>
      </c>
      <c r="C128" s="17" t="s">
        <v>844</v>
      </c>
      <c r="D128" s="98" t="s">
        <v>972</v>
      </c>
      <c r="E128" s="98" t="s">
        <v>273</v>
      </c>
      <c r="F128" s="98" t="s">
        <v>161</v>
      </c>
      <c r="G128" s="151">
        <v>9000.0</v>
      </c>
      <c r="H128" s="208">
        <v>1215000.0</v>
      </c>
      <c r="I128" s="115" t="s">
        <v>238</v>
      </c>
      <c r="J128" s="121">
        <v>725000.0</v>
      </c>
      <c r="K128" s="213" t="s">
        <v>212</v>
      </c>
      <c r="L128" s="355">
        <f t="shared" ref="L128:L150" si="14">H128-J128</f>
        <v>490000</v>
      </c>
      <c r="M128" s="326"/>
    </row>
    <row r="129" ht="15.75" customHeight="1">
      <c r="A129" s="118">
        <v>2.0</v>
      </c>
      <c r="B129" s="112">
        <v>45719.0</v>
      </c>
      <c r="C129" s="17" t="s">
        <v>844</v>
      </c>
      <c r="D129" s="98" t="s">
        <v>972</v>
      </c>
      <c r="E129" s="98" t="s">
        <v>273</v>
      </c>
      <c r="F129" s="98" t="s">
        <v>304</v>
      </c>
      <c r="G129" s="151">
        <v>9000.0</v>
      </c>
      <c r="H129" s="150">
        <v>900000.0</v>
      </c>
      <c r="I129" s="152" t="s">
        <v>238</v>
      </c>
      <c r="J129" s="121">
        <v>475000.0</v>
      </c>
      <c r="K129" s="98" t="s">
        <v>238</v>
      </c>
      <c r="L129" s="355">
        <f t="shared" si="14"/>
        <v>425000</v>
      </c>
      <c r="M129" s="149"/>
    </row>
    <row r="130" ht="15.75" customHeight="1">
      <c r="A130" s="118">
        <v>3.0</v>
      </c>
      <c r="B130" s="112">
        <v>45719.0</v>
      </c>
      <c r="C130" s="17" t="s">
        <v>844</v>
      </c>
      <c r="D130" s="98" t="s">
        <v>972</v>
      </c>
      <c r="E130" s="98" t="s">
        <v>327</v>
      </c>
      <c r="F130" s="98" t="s">
        <v>948</v>
      </c>
      <c r="G130" s="151">
        <v>9000.0</v>
      </c>
      <c r="H130" s="150">
        <v>800000.0</v>
      </c>
      <c r="I130" s="152" t="s">
        <v>212</v>
      </c>
      <c r="J130" s="121">
        <v>400000.0</v>
      </c>
      <c r="K130" s="98" t="s">
        <v>238</v>
      </c>
      <c r="L130" s="355">
        <f t="shared" si="14"/>
        <v>400000</v>
      </c>
      <c r="M130" s="149"/>
    </row>
    <row r="131" ht="15.75" customHeight="1">
      <c r="A131" s="118">
        <v>4.0</v>
      </c>
      <c r="B131" s="112">
        <v>45720.0</v>
      </c>
      <c r="C131" s="17" t="s">
        <v>844</v>
      </c>
      <c r="D131" s="98" t="s">
        <v>972</v>
      </c>
      <c r="E131" s="98" t="s">
        <v>984</v>
      </c>
      <c r="F131" s="98" t="s">
        <v>339</v>
      </c>
      <c r="G131" s="151">
        <v>9000.0</v>
      </c>
      <c r="H131" s="150">
        <v>975000.0</v>
      </c>
      <c r="I131" s="152" t="s">
        <v>212</v>
      </c>
      <c r="J131" s="121">
        <v>525000.0</v>
      </c>
      <c r="K131" s="98" t="s">
        <v>212</v>
      </c>
      <c r="L131" s="355">
        <f t="shared" si="14"/>
        <v>450000</v>
      </c>
      <c r="M131" s="149"/>
    </row>
    <row r="132" ht="15.75" customHeight="1">
      <c r="A132" s="118">
        <v>5.0</v>
      </c>
      <c r="B132" s="112">
        <v>45721.0</v>
      </c>
      <c r="C132" s="17" t="s">
        <v>844</v>
      </c>
      <c r="D132" s="98" t="s">
        <v>972</v>
      </c>
      <c r="E132" s="98" t="s">
        <v>985</v>
      </c>
      <c r="F132" s="98" t="s">
        <v>507</v>
      </c>
      <c r="G132" s="151">
        <v>9000.0</v>
      </c>
      <c r="H132" s="150">
        <v>900000.0</v>
      </c>
      <c r="I132" s="152" t="s">
        <v>238</v>
      </c>
      <c r="J132" s="121">
        <v>450000.0</v>
      </c>
      <c r="K132" s="98" t="s">
        <v>212</v>
      </c>
      <c r="L132" s="355">
        <f t="shared" si="14"/>
        <v>450000</v>
      </c>
      <c r="M132" s="149"/>
    </row>
    <row r="133" ht="15.75" customHeight="1">
      <c r="A133" s="118">
        <v>6.0</v>
      </c>
      <c r="B133" s="112">
        <v>45722.0</v>
      </c>
      <c r="C133" s="17" t="s">
        <v>844</v>
      </c>
      <c r="D133" s="98" t="s">
        <v>972</v>
      </c>
      <c r="E133" s="98" t="s">
        <v>327</v>
      </c>
      <c r="F133" s="98" t="s">
        <v>278</v>
      </c>
      <c r="G133" s="151">
        <v>5000.0</v>
      </c>
      <c r="H133" s="150">
        <v>450000.0</v>
      </c>
      <c r="I133" s="152" t="s">
        <v>238</v>
      </c>
      <c r="J133" s="121">
        <v>375000.0</v>
      </c>
      <c r="K133" s="98" t="s">
        <v>212</v>
      </c>
      <c r="L133" s="355">
        <f t="shared" si="14"/>
        <v>75000</v>
      </c>
      <c r="M133" s="150">
        <v>45000.0</v>
      </c>
    </row>
    <row r="134" ht="15.75" customHeight="1">
      <c r="A134" s="118">
        <v>7.0</v>
      </c>
      <c r="B134" s="112">
        <v>45723.0</v>
      </c>
      <c r="C134" s="17" t="s">
        <v>844</v>
      </c>
      <c r="D134" s="98" t="s">
        <v>972</v>
      </c>
      <c r="E134" s="98" t="s">
        <v>123</v>
      </c>
      <c r="F134" s="98" t="s">
        <v>311</v>
      </c>
      <c r="G134" s="151">
        <v>9000.0</v>
      </c>
      <c r="H134" s="150">
        <v>720000.0</v>
      </c>
      <c r="I134" s="152" t="s">
        <v>212</v>
      </c>
      <c r="J134" s="121">
        <v>350000.0</v>
      </c>
      <c r="K134" s="98" t="s">
        <v>212</v>
      </c>
      <c r="L134" s="355">
        <f t="shared" si="14"/>
        <v>370000</v>
      </c>
      <c r="M134" s="149"/>
    </row>
    <row r="135" ht="15.75" customHeight="1">
      <c r="A135" s="118">
        <v>8.0</v>
      </c>
      <c r="B135" s="112">
        <v>45724.0</v>
      </c>
      <c r="C135" s="17" t="s">
        <v>844</v>
      </c>
      <c r="D135" s="98" t="s">
        <v>972</v>
      </c>
      <c r="E135" s="98" t="s">
        <v>273</v>
      </c>
      <c r="F135" s="98" t="s">
        <v>294</v>
      </c>
      <c r="G135" s="151">
        <v>9000.0</v>
      </c>
      <c r="H135" s="150">
        <v>765000.0</v>
      </c>
      <c r="I135" s="152" t="s">
        <v>212</v>
      </c>
      <c r="J135" s="121">
        <v>425000.0</v>
      </c>
      <c r="K135" s="98" t="s">
        <v>212</v>
      </c>
      <c r="L135" s="355">
        <f t="shared" si="14"/>
        <v>340000</v>
      </c>
      <c r="M135" s="149"/>
    </row>
    <row r="136" ht="15.75" customHeight="1">
      <c r="A136" s="118">
        <v>9.0</v>
      </c>
      <c r="B136" s="112">
        <v>45726.0</v>
      </c>
      <c r="C136" s="17" t="s">
        <v>844</v>
      </c>
      <c r="D136" s="98" t="s">
        <v>972</v>
      </c>
      <c r="E136" s="98" t="s">
        <v>273</v>
      </c>
      <c r="F136" s="98" t="s">
        <v>295</v>
      </c>
      <c r="G136" s="151">
        <v>9000.0</v>
      </c>
      <c r="H136" s="150">
        <v>1125000.0</v>
      </c>
      <c r="I136" s="152" t="s">
        <v>212</v>
      </c>
      <c r="J136" s="121">
        <v>690000.0</v>
      </c>
      <c r="K136" s="98" t="s">
        <v>212</v>
      </c>
      <c r="L136" s="355">
        <f t="shared" si="14"/>
        <v>435000</v>
      </c>
      <c r="M136" s="149"/>
    </row>
    <row r="137" ht="15.75" customHeight="1">
      <c r="A137" s="118">
        <v>10.0</v>
      </c>
      <c r="B137" s="112">
        <v>45727.0</v>
      </c>
      <c r="C137" s="17" t="s">
        <v>844</v>
      </c>
      <c r="D137" s="98" t="s">
        <v>972</v>
      </c>
      <c r="E137" s="98" t="s">
        <v>273</v>
      </c>
      <c r="F137" s="98" t="s">
        <v>302</v>
      </c>
      <c r="G137" s="151">
        <v>9000.0</v>
      </c>
      <c r="H137" s="150">
        <v>900000.0</v>
      </c>
      <c r="I137" s="152" t="s">
        <v>238</v>
      </c>
      <c r="J137" s="121">
        <v>375000.0</v>
      </c>
      <c r="K137" s="98" t="s">
        <v>212</v>
      </c>
      <c r="L137" s="355">
        <f t="shared" si="14"/>
        <v>525000</v>
      </c>
      <c r="M137" s="149"/>
    </row>
    <row r="138" ht="15.75" customHeight="1">
      <c r="A138" s="118">
        <v>11.0</v>
      </c>
      <c r="B138" s="112">
        <v>45728.0</v>
      </c>
      <c r="C138" s="17" t="s">
        <v>844</v>
      </c>
      <c r="D138" s="98" t="s">
        <v>972</v>
      </c>
      <c r="E138" s="98" t="s">
        <v>327</v>
      </c>
      <c r="F138" s="98" t="s">
        <v>302</v>
      </c>
      <c r="G138" s="151">
        <v>9000.0</v>
      </c>
      <c r="H138" s="150">
        <v>720000.0</v>
      </c>
      <c r="I138" s="152" t="s">
        <v>238</v>
      </c>
      <c r="J138" s="121">
        <v>500000.0</v>
      </c>
      <c r="K138" s="98" t="s">
        <v>212</v>
      </c>
      <c r="L138" s="355">
        <f t="shared" si="14"/>
        <v>220000</v>
      </c>
      <c r="M138" s="149"/>
    </row>
    <row r="139" ht="15.75" customHeight="1">
      <c r="A139" s="118">
        <v>12.0</v>
      </c>
      <c r="B139" s="112">
        <v>45729.0</v>
      </c>
      <c r="C139" s="17" t="s">
        <v>844</v>
      </c>
      <c r="D139" s="98" t="s">
        <v>972</v>
      </c>
      <c r="E139" s="98" t="s">
        <v>242</v>
      </c>
      <c r="F139" s="98" t="s">
        <v>296</v>
      </c>
      <c r="G139" s="151">
        <v>9000.0</v>
      </c>
      <c r="H139" s="150">
        <v>765000.0</v>
      </c>
      <c r="I139" s="152" t="s">
        <v>238</v>
      </c>
      <c r="J139" s="121">
        <v>450000.0</v>
      </c>
      <c r="K139" s="98" t="s">
        <v>212</v>
      </c>
      <c r="L139" s="355">
        <f t="shared" si="14"/>
        <v>315000</v>
      </c>
      <c r="M139" s="149"/>
    </row>
    <row r="140" ht="15.75" customHeight="1">
      <c r="A140" s="118">
        <v>13.0</v>
      </c>
      <c r="B140" s="112">
        <v>45730.0</v>
      </c>
      <c r="C140" s="17" t="s">
        <v>844</v>
      </c>
      <c r="D140" s="98" t="s">
        <v>972</v>
      </c>
      <c r="E140" s="98" t="s">
        <v>123</v>
      </c>
      <c r="F140" s="98" t="s">
        <v>311</v>
      </c>
      <c r="G140" s="151">
        <v>9000.0</v>
      </c>
      <c r="H140" s="150">
        <v>720000.0</v>
      </c>
      <c r="I140" s="152" t="s">
        <v>212</v>
      </c>
      <c r="J140" s="121">
        <v>350000.0</v>
      </c>
      <c r="K140" s="98" t="s">
        <v>212</v>
      </c>
      <c r="L140" s="355">
        <f t="shared" si="14"/>
        <v>370000</v>
      </c>
      <c r="M140" s="149"/>
    </row>
    <row r="141" ht="15.75" customHeight="1">
      <c r="A141" s="118">
        <v>14.0</v>
      </c>
      <c r="B141" s="112">
        <v>45731.0</v>
      </c>
      <c r="C141" s="17" t="s">
        <v>844</v>
      </c>
      <c r="D141" s="98" t="s">
        <v>972</v>
      </c>
      <c r="E141" s="98" t="s">
        <v>273</v>
      </c>
      <c r="F141" s="98" t="s">
        <v>161</v>
      </c>
      <c r="G141" s="151">
        <v>9000.0</v>
      </c>
      <c r="H141" s="150">
        <v>1215000.0</v>
      </c>
      <c r="I141" s="152" t="s">
        <v>238</v>
      </c>
      <c r="J141" s="121">
        <v>725000.0</v>
      </c>
      <c r="K141" s="98" t="s">
        <v>212</v>
      </c>
      <c r="L141" s="355">
        <f t="shared" si="14"/>
        <v>490000</v>
      </c>
      <c r="M141" s="149"/>
    </row>
    <row r="142" ht="15.75" customHeight="1">
      <c r="A142" s="118">
        <v>15.0</v>
      </c>
      <c r="B142" s="112">
        <v>45733.0</v>
      </c>
      <c r="C142" s="17" t="s">
        <v>844</v>
      </c>
      <c r="D142" s="98" t="s">
        <v>972</v>
      </c>
      <c r="E142" s="98" t="s">
        <v>986</v>
      </c>
      <c r="F142" s="98" t="s">
        <v>295</v>
      </c>
      <c r="G142" s="151">
        <v>9000.0</v>
      </c>
      <c r="H142" s="150">
        <v>1125000.0</v>
      </c>
      <c r="I142" s="152" t="s">
        <v>212</v>
      </c>
      <c r="J142" s="121">
        <v>640000.0</v>
      </c>
      <c r="K142" s="98" t="s">
        <v>212</v>
      </c>
      <c r="L142" s="355">
        <f t="shared" si="14"/>
        <v>485000</v>
      </c>
      <c r="M142" s="150">
        <v>180000.0</v>
      </c>
    </row>
    <row r="143" ht="15.75" customHeight="1">
      <c r="A143" s="118">
        <v>16.0</v>
      </c>
      <c r="B143" s="112">
        <v>45734.0</v>
      </c>
      <c r="C143" s="17" t="s">
        <v>844</v>
      </c>
      <c r="D143" s="98" t="s">
        <v>972</v>
      </c>
      <c r="E143" s="98" t="s">
        <v>279</v>
      </c>
      <c r="F143" s="98" t="s">
        <v>519</v>
      </c>
      <c r="G143" s="110">
        <v>5000.0</v>
      </c>
      <c r="H143" s="121">
        <v>450000.0</v>
      </c>
      <c r="I143" s="115" t="s">
        <v>238</v>
      </c>
      <c r="J143" s="121">
        <v>375000.0</v>
      </c>
      <c r="K143" s="98" t="s">
        <v>212</v>
      </c>
      <c r="L143" s="58">
        <f t="shared" si="14"/>
        <v>75000</v>
      </c>
      <c r="M143" s="150">
        <v>900000.0</v>
      </c>
    </row>
    <row r="144" ht="15.75" customHeight="1">
      <c r="A144" s="118">
        <v>17.0</v>
      </c>
      <c r="B144" s="112">
        <v>45735.0</v>
      </c>
      <c r="C144" s="17" t="s">
        <v>844</v>
      </c>
      <c r="D144" s="98" t="s">
        <v>972</v>
      </c>
      <c r="E144" s="98" t="s">
        <v>273</v>
      </c>
      <c r="F144" s="98" t="s">
        <v>271</v>
      </c>
      <c r="G144" s="151">
        <v>9000.0</v>
      </c>
      <c r="H144" s="150">
        <v>765000.0</v>
      </c>
      <c r="I144" s="152" t="s">
        <v>238</v>
      </c>
      <c r="J144" s="121">
        <v>400000.0</v>
      </c>
      <c r="K144" s="98" t="s">
        <v>212</v>
      </c>
      <c r="L144" s="58">
        <f t="shared" si="14"/>
        <v>365000</v>
      </c>
      <c r="M144" s="149"/>
    </row>
    <row r="145" ht="15.75" customHeight="1">
      <c r="A145" s="118">
        <v>18.0</v>
      </c>
      <c r="B145" s="112">
        <v>45737.0</v>
      </c>
      <c r="C145" s="17" t="s">
        <v>844</v>
      </c>
      <c r="D145" s="98" t="s">
        <v>972</v>
      </c>
      <c r="E145" s="98" t="s">
        <v>279</v>
      </c>
      <c r="F145" s="98" t="s">
        <v>301</v>
      </c>
      <c r="G145" s="151">
        <v>9000.0</v>
      </c>
      <c r="H145" s="150">
        <v>900000.0</v>
      </c>
      <c r="I145" s="152" t="s">
        <v>212</v>
      </c>
      <c r="J145" s="121">
        <v>500000.0</v>
      </c>
      <c r="K145" s="98" t="s">
        <v>212</v>
      </c>
      <c r="L145" s="58">
        <f t="shared" si="14"/>
        <v>400000</v>
      </c>
      <c r="M145" s="150">
        <v>52000.0</v>
      </c>
    </row>
    <row r="146" ht="15.75" customHeight="1">
      <c r="A146" s="118">
        <v>19.0</v>
      </c>
      <c r="B146" s="112">
        <v>45738.0</v>
      </c>
      <c r="C146" s="17" t="s">
        <v>844</v>
      </c>
      <c r="D146" s="98" t="s">
        <v>972</v>
      </c>
      <c r="E146" s="98" t="s">
        <v>273</v>
      </c>
      <c r="F146" s="98" t="s">
        <v>302</v>
      </c>
      <c r="G146" s="151">
        <v>9000.0</v>
      </c>
      <c r="H146" s="150">
        <v>1000000.0</v>
      </c>
      <c r="I146" s="152" t="s">
        <v>238</v>
      </c>
      <c r="J146" s="121">
        <v>425000.0</v>
      </c>
      <c r="K146" s="98" t="s">
        <v>212</v>
      </c>
      <c r="L146" s="58">
        <f t="shared" si="14"/>
        <v>575000</v>
      </c>
      <c r="M146" s="149"/>
    </row>
    <row r="147" ht="15.75" customHeight="1">
      <c r="A147" s="118">
        <v>20.0</v>
      </c>
      <c r="B147" s="112">
        <v>45740.0</v>
      </c>
      <c r="C147" s="17" t="s">
        <v>844</v>
      </c>
      <c r="D147" s="98" t="s">
        <v>972</v>
      </c>
      <c r="E147" s="98" t="s">
        <v>273</v>
      </c>
      <c r="F147" s="98" t="s">
        <v>339</v>
      </c>
      <c r="G147" s="151">
        <v>9000.0</v>
      </c>
      <c r="H147" s="150">
        <v>975000.0</v>
      </c>
      <c r="I147" s="152" t="s">
        <v>212</v>
      </c>
      <c r="J147" s="121">
        <v>525000.0</v>
      </c>
      <c r="K147" s="98" t="s">
        <v>212</v>
      </c>
      <c r="L147" s="58">
        <f t="shared" si="14"/>
        <v>450000</v>
      </c>
      <c r="M147" s="150">
        <v>4150000.0</v>
      </c>
    </row>
    <row r="148" ht="15.75" customHeight="1">
      <c r="A148" s="118">
        <v>21.0</v>
      </c>
      <c r="B148" s="112">
        <v>45741.0</v>
      </c>
      <c r="C148" s="17" t="s">
        <v>844</v>
      </c>
      <c r="D148" s="98" t="s">
        <v>972</v>
      </c>
      <c r="E148" s="98" t="s">
        <v>273</v>
      </c>
      <c r="F148" s="98" t="s">
        <v>161</v>
      </c>
      <c r="G148" s="151">
        <v>9000.0</v>
      </c>
      <c r="H148" s="150">
        <v>1215000.0</v>
      </c>
      <c r="I148" s="152" t="s">
        <v>238</v>
      </c>
      <c r="J148" s="121">
        <v>725000.0</v>
      </c>
      <c r="K148" s="98" t="s">
        <v>212</v>
      </c>
      <c r="L148" s="58">
        <f t="shared" si="14"/>
        <v>490000</v>
      </c>
      <c r="M148" s="150">
        <v>698000.0</v>
      </c>
    </row>
    <row r="149" ht="15.75" customHeight="1">
      <c r="A149" s="118">
        <v>22.0</v>
      </c>
      <c r="B149" s="112">
        <v>45742.0</v>
      </c>
      <c r="C149" s="17" t="s">
        <v>844</v>
      </c>
      <c r="D149" s="98" t="s">
        <v>972</v>
      </c>
      <c r="E149" s="98" t="s">
        <v>242</v>
      </c>
      <c r="F149" s="98" t="s">
        <v>519</v>
      </c>
      <c r="G149" s="151">
        <v>10000.0</v>
      </c>
      <c r="H149" s="150">
        <v>750000.0</v>
      </c>
      <c r="I149" s="152" t="s">
        <v>238</v>
      </c>
      <c r="J149" s="121">
        <v>400000.0</v>
      </c>
      <c r="K149" s="98" t="s">
        <v>212</v>
      </c>
      <c r="L149" s="58">
        <f t="shared" si="14"/>
        <v>350000</v>
      </c>
      <c r="M149" s="149"/>
    </row>
    <row r="150" ht="15.75" customHeight="1">
      <c r="A150" s="118">
        <v>23.0</v>
      </c>
      <c r="B150" s="112">
        <v>45743.0</v>
      </c>
      <c r="C150" s="17" t="s">
        <v>844</v>
      </c>
      <c r="D150" s="98" t="s">
        <v>972</v>
      </c>
      <c r="E150" s="98" t="s">
        <v>242</v>
      </c>
      <c r="F150" s="98" t="s">
        <v>255</v>
      </c>
      <c r="G150" s="151">
        <v>10000.0</v>
      </c>
      <c r="H150" s="150">
        <v>1500000.0</v>
      </c>
      <c r="I150" s="152" t="s">
        <v>238</v>
      </c>
      <c r="J150" s="121">
        <v>950000.0</v>
      </c>
      <c r="K150" s="109" t="s">
        <v>238</v>
      </c>
      <c r="L150" s="58">
        <f t="shared" si="14"/>
        <v>550000</v>
      </c>
      <c r="M150" s="150">
        <v>27000.0</v>
      </c>
    </row>
    <row r="151" ht="15.75" customHeight="1">
      <c r="A151" s="21"/>
      <c r="B151" s="7"/>
      <c r="C151" s="7"/>
      <c r="D151" s="7"/>
      <c r="E151" s="17"/>
      <c r="F151" s="17"/>
      <c r="G151" s="170"/>
      <c r="H151" s="149"/>
      <c r="I151" s="184"/>
      <c r="J151" s="104"/>
      <c r="K151" s="17"/>
      <c r="M151" s="149"/>
    </row>
    <row r="152" ht="15.75" customHeight="1">
      <c r="A152" s="21"/>
      <c r="B152" s="7"/>
      <c r="C152" s="7"/>
      <c r="D152" s="7"/>
      <c r="E152" s="17"/>
      <c r="F152" s="17"/>
      <c r="G152" s="170"/>
      <c r="H152" s="149"/>
      <c r="J152" s="184"/>
      <c r="K152" s="17"/>
      <c r="L152" s="216">
        <f t="shared" ref="L152:M152" si="15">SUM(L128:L151)</f>
        <v>9095000</v>
      </c>
      <c r="M152" s="217">
        <f t="shared" si="15"/>
        <v>6052000</v>
      </c>
    </row>
    <row r="153" ht="15.75" customHeight="1">
      <c r="A153" s="21"/>
      <c r="B153" s="7"/>
      <c r="C153" s="7"/>
      <c r="D153" s="7"/>
      <c r="E153" s="17"/>
      <c r="F153" s="17"/>
      <c r="G153" s="170"/>
      <c r="H153" s="149"/>
      <c r="I153" s="184"/>
      <c r="J153" s="104"/>
      <c r="K153" s="17"/>
      <c r="L153" s="218">
        <f>L152-M152</f>
        <v>3043000</v>
      </c>
      <c r="M153" s="219"/>
    </row>
    <row r="154" ht="15.75" customHeight="1">
      <c r="A154" s="21"/>
      <c r="B154" s="7"/>
      <c r="C154" s="7"/>
      <c r="D154" s="7"/>
      <c r="E154" s="17"/>
      <c r="F154" s="17"/>
      <c r="G154" s="170"/>
      <c r="H154" s="149"/>
      <c r="I154" s="184"/>
      <c r="J154" s="104"/>
      <c r="K154" s="17"/>
      <c r="M154" s="149"/>
    </row>
    <row r="155" ht="15.75" customHeight="1">
      <c r="A155" s="89" t="s">
        <v>209</v>
      </c>
      <c r="B155" s="89" t="s">
        <v>0</v>
      </c>
      <c r="C155" s="89" t="s">
        <v>1</v>
      </c>
      <c r="D155" s="89" t="s">
        <v>2</v>
      </c>
      <c r="E155" s="90" t="s">
        <v>3</v>
      </c>
      <c r="F155" s="89" t="s">
        <v>4</v>
      </c>
      <c r="G155" s="91" t="s">
        <v>5</v>
      </c>
      <c r="H155" s="119" t="s">
        <v>6</v>
      </c>
      <c r="I155" s="92" t="s">
        <v>39</v>
      </c>
      <c r="J155" s="119" t="s">
        <v>7</v>
      </c>
      <c r="K155" s="91" t="s">
        <v>39</v>
      </c>
      <c r="L155" s="92" t="s">
        <v>8</v>
      </c>
      <c r="M155" s="120" t="s">
        <v>9</v>
      </c>
    </row>
    <row r="156" ht="15.75" customHeight="1">
      <c r="A156" s="21">
        <v>1.0</v>
      </c>
      <c r="B156" s="112">
        <v>45751.0</v>
      </c>
      <c r="C156" s="17" t="s">
        <v>844</v>
      </c>
      <c r="D156" s="98" t="s">
        <v>972</v>
      </c>
      <c r="E156" s="98" t="s">
        <v>243</v>
      </c>
      <c r="F156" s="98" t="s">
        <v>214</v>
      </c>
      <c r="G156" s="110">
        <v>8500.0</v>
      </c>
      <c r="H156" s="121">
        <v>1350000.0</v>
      </c>
      <c r="I156" s="108" t="s">
        <v>238</v>
      </c>
      <c r="J156" s="121">
        <v>875000.0</v>
      </c>
      <c r="K156" s="109" t="s">
        <v>238</v>
      </c>
      <c r="L156" s="58">
        <f t="shared" ref="L156:L166" si="16">H156-J156</f>
        <v>475000</v>
      </c>
      <c r="M156" s="121">
        <v>1500000.0</v>
      </c>
    </row>
    <row r="157" ht="15.75" customHeight="1">
      <c r="A157" s="118">
        <v>2.0</v>
      </c>
      <c r="B157" s="112">
        <v>45754.0</v>
      </c>
      <c r="C157" s="17" t="s">
        <v>844</v>
      </c>
      <c r="D157" s="98" t="s">
        <v>972</v>
      </c>
      <c r="E157" s="98" t="s">
        <v>123</v>
      </c>
      <c r="F157" s="98" t="s">
        <v>311</v>
      </c>
      <c r="G157" s="110">
        <v>9000.0</v>
      </c>
      <c r="H157" s="121">
        <v>720000.0</v>
      </c>
      <c r="I157" s="152" t="s">
        <v>212</v>
      </c>
      <c r="J157" s="109">
        <v>350000.0</v>
      </c>
      <c r="K157" s="98" t="s">
        <v>212</v>
      </c>
      <c r="L157" s="58">
        <f t="shared" si="16"/>
        <v>370000</v>
      </c>
      <c r="M157" s="106">
        <v>2392000.0</v>
      </c>
    </row>
    <row r="158" ht="15.75" customHeight="1">
      <c r="A158" s="118">
        <v>3.0</v>
      </c>
      <c r="B158" s="112">
        <v>45755.0</v>
      </c>
      <c r="C158" s="17" t="s">
        <v>844</v>
      </c>
      <c r="D158" s="98" t="s">
        <v>972</v>
      </c>
      <c r="E158" s="98" t="s">
        <v>987</v>
      </c>
      <c r="F158" s="98" t="s">
        <v>292</v>
      </c>
      <c r="G158" s="110">
        <v>9000.0</v>
      </c>
      <c r="H158" s="121">
        <v>1100000.0</v>
      </c>
      <c r="I158" s="152" t="s">
        <v>212</v>
      </c>
      <c r="J158" s="121">
        <v>650000.0</v>
      </c>
      <c r="K158" s="98" t="s">
        <v>212</v>
      </c>
      <c r="L158" s="58">
        <f t="shared" si="16"/>
        <v>450000</v>
      </c>
      <c r="M158" s="61"/>
    </row>
    <row r="159" ht="15.75" customHeight="1">
      <c r="A159" s="118">
        <v>4.0</v>
      </c>
      <c r="B159" s="112">
        <v>45756.0</v>
      </c>
      <c r="C159" s="17" t="s">
        <v>844</v>
      </c>
      <c r="D159" s="98" t="s">
        <v>972</v>
      </c>
      <c r="E159" s="98" t="s">
        <v>256</v>
      </c>
      <c r="F159" s="98" t="s">
        <v>271</v>
      </c>
      <c r="G159" s="110">
        <v>9000.0</v>
      </c>
      <c r="H159" s="121">
        <v>675000.0</v>
      </c>
      <c r="I159" s="108" t="s">
        <v>238</v>
      </c>
      <c r="J159" s="121">
        <v>375000.0</v>
      </c>
      <c r="K159" s="98" t="s">
        <v>212</v>
      </c>
      <c r="L159" s="58">
        <f t="shared" si="16"/>
        <v>300000</v>
      </c>
      <c r="M159" s="61"/>
    </row>
    <row r="160" ht="15.75" customHeight="1">
      <c r="A160" s="118">
        <v>5.0</v>
      </c>
      <c r="B160" s="112">
        <v>45757.0</v>
      </c>
      <c r="C160" s="17" t="s">
        <v>844</v>
      </c>
      <c r="D160" s="98" t="s">
        <v>972</v>
      </c>
      <c r="E160" s="98" t="s">
        <v>243</v>
      </c>
      <c r="F160" s="98" t="s">
        <v>264</v>
      </c>
      <c r="G160" s="110">
        <v>10000.0</v>
      </c>
      <c r="H160" s="121">
        <v>1500000.0</v>
      </c>
      <c r="I160" s="108" t="s">
        <v>238</v>
      </c>
      <c r="J160" s="121">
        <v>950000.0</v>
      </c>
      <c r="K160" s="98" t="s">
        <v>212</v>
      </c>
      <c r="L160" s="58">
        <f t="shared" si="16"/>
        <v>550000</v>
      </c>
      <c r="M160" s="61"/>
      <c r="N160" s="205"/>
    </row>
    <row r="161" ht="15.75" customHeight="1">
      <c r="A161" s="118">
        <v>6.0</v>
      </c>
      <c r="B161" s="112">
        <v>45758.0</v>
      </c>
      <c r="C161" s="17" t="s">
        <v>844</v>
      </c>
      <c r="D161" s="98" t="s">
        <v>972</v>
      </c>
      <c r="E161" s="98" t="s">
        <v>256</v>
      </c>
      <c r="F161" s="98" t="s">
        <v>348</v>
      </c>
      <c r="G161" s="110">
        <v>9000.0</v>
      </c>
      <c r="H161" s="121">
        <v>900000.0</v>
      </c>
      <c r="I161" s="122" t="s">
        <v>238</v>
      </c>
      <c r="J161" s="121">
        <v>450000.0</v>
      </c>
      <c r="K161" s="98" t="s">
        <v>212</v>
      </c>
      <c r="L161" s="58">
        <f t="shared" si="16"/>
        <v>450000</v>
      </c>
      <c r="M161" s="61"/>
    </row>
    <row r="162" ht="15.75" customHeight="1">
      <c r="A162" s="118">
        <v>7.0</v>
      </c>
      <c r="B162" s="112">
        <v>45761.0</v>
      </c>
      <c r="C162" s="17" t="s">
        <v>844</v>
      </c>
      <c r="D162" s="98" t="s">
        <v>972</v>
      </c>
      <c r="E162" s="98" t="s">
        <v>81</v>
      </c>
      <c r="F162" s="98" t="s">
        <v>306</v>
      </c>
      <c r="G162" s="110">
        <v>9000.0</v>
      </c>
      <c r="H162" s="121">
        <v>1035000.0</v>
      </c>
      <c r="I162" s="152" t="s">
        <v>212</v>
      </c>
      <c r="J162" s="121">
        <v>600000.0</v>
      </c>
      <c r="K162" s="98" t="s">
        <v>212</v>
      </c>
      <c r="L162" s="58">
        <f t="shared" si="16"/>
        <v>435000</v>
      </c>
      <c r="M162" s="61"/>
    </row>
    <row r="163" ht="15.75" customHeight="1">
      <c r="A163" s="118">
        <v>8.0</v>
      </c>
      <c r="B163" s="112">
        <v>45762.0</v>
      </c>
      <c r="C163" s="17" t="s">
        <v>844</v>
      </c>
      <c r="D163" s="98" t="s">
        <v>972</v>
      </c>
      <c r="E163" s="98" t="s">
        <v>123</v>
      </c>
      <c r="F163" s="98" t="s">
        <v>303</v>
      </c>
      <c r="G163" s="110">
        <v>9000.0</v>
      </c>
      <c r="H163" s="121">
        <v>1215000.0</v>
      </c>
      <c r="I163" s="108" t="s">
        <v>238</v>
      </c>
      <c r="J163" s="121">
        <v>700000.0</v>
      </c>
      <c r="K163" s="98" t="s">
        <v>212</v>
      </c>
      <c r="L163" s="58">
        <f t="shared" si="16"/>
        <v>515000</v>
      </c>
      <c r="M163" s="106"/>
    </row>
    <row r="164" ht="15.75" customHeight="1">
      <c r="A164" s="118">
        <v>9.0</v>
      </c>
      <c r="B164" s="112">
        <v>45763.0</v>
      </c>
      <c r="C164" s="17" t="s">
        <v>844</v>
      </c>
      <c r="D164" s="98" t="s">
        <v>972</v>
      </c>
      <c r="E164" s="98" t="s">
        <v>123</v>
      </c>
      <c r="F164" s="98" t="s">
        <v>303</v>
      </c>
      <c r="G164" s="110">
        <v>9000.0</v>
      </c>
      <c r="H164" s="121">
        <v>1215000.0</v>
      </c>
      <c r="I164" s="108" t="s">
        <v>238</v>
      </c>
      <c r="J164" s="121">
        <v>700000.0</v>
      </c>
      <c r="K164" s="98" t="s">
        <v>212</v>
      </c>
      <c r="L164" s="58">
        <f t="shared" si="16"/>
        <v>515000</v>
      </c>
      <c r="M164" s="61"/>
    </row>
    <row r="165" ht="15.75" customHeight="1">
      <c r="A165" s="118">
        <v>10.0</v>
      </c>
      <c r="B165" s="112">
        <v>45764.0</v>
      </c>
      <c r="C165" s="17" t="s">
        <v>844</v>
      </c>
      <c r="D165" s="98" t="s">
        <v>972</v>
      </c>
      <c r="E165" s="98" t="s">
        <v>581</v>
      </c>
      <c r="F165" s="98" t="s">
        <v>268</v>
      </c>
      <c r="G165" s="110">
        <v>9000.0</v>
      </c>
      <c r="H165" s="121">
        <v>1400000.0</v>
      </c>
      <c r="I165" s="115" t="s">
        <v>238</v>
      </c>
      <c r="J165" s="121">
        <v>850000.0</v>
      </c>
      <c r="K165" s="98" t="s">
        <v>212</v>
      </c>
      <c r="L165" s="58">
        <f t="shared" si="16"/>
        <v>550000</v>
      </c>
      <c r="M165" s="106"/>
    </row>
    <row r="166" ht="15.75" customHeight="1">
      <c r="A166" s="118">
        <v>11.0</v>
      </c>
      <c r="B166" s="112">
        <v>45766.0</v>
      </c>
      <c r="C166" s="17" t="s">
        <v>844</v>
      </c>
      <c r="D166" s="98" t="s">
        <v>972</v>
      </c>
      <c r="E166" s="98" t="s">
        <v>988</v>
      </c>
      <c r="F166" s="98" t="s">
        <v>323</v>
      </c>
      <c r="G166" s="110">
        <v>9000.0</v>
      </c>
      <c r="H166" s="121">
        <v>1350000.0</v>
      </c>
      <c r="I166" s="108" t="s">
        <v>238</v>
      </c>
      <c r="J166" s="121">
        <v>780000.0</v>
      </c>
      <c r="K166" s="98" t="s">
        <v>212</v>
      </c>
      <c r="L166" s="58">
        <f t="shared" si="16"/>
        <v>570000</v>
      </c>
      <c r="M166" s="61"/>
    </row>
    <row r="167" ht="15.75" customHeight="1">
      <c r="A167" s="118"/>
      <c r="B167" s="112"/>
      <c r="C167" s="17"/>
      <c r="D167" s="98"/>
      <c r="E167" s="98"/>
      <c r="F167" s="98"/>
      <c r="G167" s="110"/>
      <c r="H167" s="121"/>
      <c r="I167" s="108"/>
      <c r="J167" s="121"/>
      <c r="K167" s="109"/>
      <c r="L167" s="52">
        <f t="shared" ref="L167:M167" si="17">SUM(L156:L166)</f>
        <v>5180000</v>
      </c>
      <c r="M167" s="30">
        <f t="shared" si="17"/>
        <v>3892000</v>
      </c>
    </row>
    <row r="168" ht="15.75" customHeight="1">
      <c r="A168" s="118"/>
      <c r="B168" s="112"/>
      <c r="C168" s="17"/>
      <c r="D168" s="98"/>
      <c r="E168" s="98"/>
      <c r="F168" s="98"/>
      <c r="G168" s="110"/>
      <c r="H168" s="58"/>
      <c r="I168" s="108"/>
      <c r="J168" s="60"/>
      <c r="K168" s="109"/>
      <c r="L168" s="33">
        <f>L167-M167</f>
        <v>1288000</v>
      </c>
      <c r="M168" s="26"/>
    </row>
    <row r="169" ht="15.75" customHeight="1">
      <c r="A169" s="118"/>
      <c r="B169" s="112"/>
      <c r="C169" s="17"/>
      <c r="D169" s="98"/>
      <c r="E169" s="98"/>
      <c r="F169" s="98"/>
      <c r="G169" s="110"/>
      <c r="H169" s="121"/>
      <c r="I169" s="108"/>
      <c r="J169" s="121"/>
      <c r="K169" s="109"/>
      <c r="L169" s="58"/>
      <c r="M169" s="61"/>
    </row>
    <row r="170" ht="15.75" customHeight="1">
      <c r="A170" s="89" t="s">
        <v>209</v>
      </c>
      <c r="B170" s="89" t="s">
        <v>0</v>
      </c>
      <c r="C170" s="89" t="s">
        <v>1</v>
      </c>
      <c r="D170" s="89" t="s">
        <v>2</v>
      </c>
      <c r="E170" s="90" t="s">
        <v>3</v>
      </c>
      <c r="F170" s="89" t="s">
        <v>4</v>
      </c>
      <c r="G170" s="91" t="s">
        <v>5</v>
      </c>
      <c r="H170" s="119" t="s">
        <v>6</v>
      </c>
      <c r="I170" s="92" t="s">
        <v>39</v>
      </c>
      <c r="J170" s="119" t="s">
        <v>7</v>
      </c>
      <c r="K170" s="91" t="s">
        <v>39</v>
      </c>
      <c r="L170" s="92" t="s">
        <v>8</v>
      </c>
      <c r="M170" s="120" t="s">
        <v>9</v>
      </c>
    </row>
    <row r="171" ht="15.75" customHeight="1">
      <c r="A171" s="21">
        <v>1.0</v>
      </c>
      <c r="B171" s="112"/>
      <c r="C171" s="17"/>
      <c r="D171" s="98"/>
      <c r="E171" s="98"/>
      <c r="F171" s="98"/>
      <c r="G171" s="110"/>
      <c r="H171" s="121"/>
      <c r="I171" s="108"/>
      <c r="J171" s="121"/>
      <c r="K171" s="109"/>
      <c r="L171" s="58">
        <f t="shared" ref="L171:L172" si="18">H171-J171</f>
        <v>0</v>
      </c>
      <c r="M171" s="121">
        <v>1.3424E7</v>
      </c>
    </row>
    <row r="172" ht="15.75" customHeight="1">
      <c r="A172" s="118">
        <v>2.0</v>
      </c>
      <c r="B172" s="112"/>
      <c r="C172" s="17"/>
      <c r="D172" s="98"/>
      <c r="E172" s="98"/>
      <c r="F172" s="98"/>
      <c r="G172" s="110"/>
      <c r="H172" s="121"/>
      <c r="I172" s="115"/>
      <c r="J172" s="109"/>
      <c r="K172" s="109"/>
      <c r="L172" s="58">
        <f t="shared" si="18"/>
        <v>0</v>
      </c>
      <c r="M172" s="106"/>
    </row>
    <row r="173" ht="15.75" customHeight="1">
      <c r="A173" s="21"/>
      <c r="B173" s="7"/>
      <c r="C173" s="17"/>
      <c r="D173" s="17"/>
      <c r="E173" s="98"/>
      <c r="F173" s="17"/>
      <c r="G173" s="110" t="s">
        <v>24</v>
      </c>
      <c r="H173" s="58"/>
      <c r="I173" s="59"/>
      <c r="J173" s="121"/>
      <c r="K173" s="60"/>
      <c r="L173" s="52">
        <f t="shared" ref="L173:M173" si="19">SUM(L171:L172)</f>
        <v>0</v>
      </c>
      <c r="M173" s="30">
        <f t="shared" si="19"/>
        <v>13424000</v>
      </c>
    </row>
    <row r="174" ht="15.75" customHeight="1">
      <c r="A174" s="21"/>
      <c r="B174" s="7"/>
      <c r="C174" s="17"/>
      <c r="D174" s="17"/>
      <c r="E174" s="17"/>
      <c r="F174" s="17"/>
      <c r="G174" s="57"/>
      <c r="H174" s="58"/>
      <c r="I174" s="59"/>
      <c r="K174" s="60"/>
      <c r="L174" s="33">
        <f>L173-M173</f>
        <v>-13424000</v>
      </c>
      <c r="M174" s="26"/>
    </row>
    <row r="175" ht="15.75" customHeight="1">
      <c r="A175" s="21"/>
      <c r="B175" s="7"/>
      <c r="C175" s="7"/>
      <c r="D175" s="7"/>
      <c r="E175" s="17"/>
      <c r="F175" s="17"/>
      <c r="G175" s="170"/>
      <c r="H175" s="149"/>
      <c r="I175" s="184"/>
      <c r="J175" s="104"/>
      <c r="K175" s="17"/>
      <c r="M175" s="149"/>
    </row>
    <row r="176" ht="15.75" customHeight="1">
      <c r="A176" s="89" t="s">
        <v>209</v>
      </c>
      <c r="B176" s="89" t="s">
        <v>0</v>
      </c>
      <c r="C176" s="89" t="s">
        <v>1</v>
      </c>
      <c r="D176" s="89" t="s">
        <v>2</v>
      </c>
      <c r="E176" s="90" t="s">
        <v>3</v>
      </c>
      <c r="F176" s="89" t="s">
        <v>4</v>
      </c>
      <c r="G176" s="91" t="s">
        <v>5</v>
      </c>
      <c r="H176" s="119" t="s">
        <v>6</v>
      </c>
      <c r="I176" s="92" t="s">
        <v>39</v>
      </c>
      <c r="J176" s="119" t="s">
        <v>7</v>
      </c>
      <c r="K176" s="91" t="s">
        <v>39</v>
      </c>
      <c r="L176" s="92" t="s">
        <v>8</v>
      </c>
      <c r="M176" s="120" t="s">
        <v>9</v>
      </c>
    </row>
    <row r="177" ht="15.75" customHeight="1">
      <c r="A177" s="21">
        <v>1.0</v>
      </c>
      <c r="B177" s="112">
        <v>45894.0</v>
      </c>
      <c r="C177" s="98" t="s">
        <v>844</v>
      </c>
      <c r="D177" s="98" t="s">
        <v>989</v>
      </c>
      <c r="E177" s="98" t="s">
        <v>305</v>
      </c>
      <c r="F177" s="98" t="s">
        <v>295</v>
      </c>
      <c r="G177" s="110">
        <v>9000.0</v>
      </c>
      <c r="H177" s="121">
        <v>1125000.0</v>
      </c>
      <c r="I177" s="152" t="s">
        <v>212</v>
      </c>
      <c r="J177" s="121">
        <v>640000.0</v>
      </c>
      <c r="K177" s="109" t="s">
        <v>238</v>
      </c>
      <c r="L177" s="58">
        <f t="shared" ref="L177:L180" si="20">H177-J177</f>
        <v>485000</v>
      </c>
      <c r="M177" s="121">
        <v>4355000.0</v>
      </c>
    </row>
    <row r="178" ht="15.75" customHeight="1">
      <c r="A178" s="118">
        <v>2.0</v>
      </c>
      <c r="B178" s="112">
        <v>45895.0</v>
      </c>
      <c r="C178" s="98" t="s">
        <v>844</v>
      </c>
      <c r="D178" s="98" t="s">
        <v>989</v>
      </c>
      <c r="E178" s="98" t="s">
        <v>320</v>
      </c>
      <c r="F178" s="98" t="s">
        <v>324</v>
      </c>
      <c r="G178" s="110">
        <v>10000.0</v>
      </c>
      <c r="H178" s="121">
        <v>750000.0</v>
      </c>
      <c r="I178" s="108" t="s">
        <v>212</v>
      </c>
      <c r="J178" s="109">
        <v>375000.0</v>
      </c>
      <c r="K178" s="98" t="s">
        <v>212</v>
      </c>
      <c r="L178" s="58">
        <f t="shared" si="20"/>
        <v>375000</v>
      </c>
      <c r="M178" s="106">
        <v>110000.0</v>
      </c>
    </row>
    <row r="179" ht="15.75" customHeight="1">
      <c r="A179" s="118">
        <v>3.0</v>
      </c>
      <c r="B179" s="112">
        <v>45896.0</v>
      </c>
      <c r="C179" s="98" t="s">
        <v>844</v>
      </c>
      <c r="D179" s="98" t="s">
        <v>989</v>
      </c>
      <c r="E179" s="98" t="s">
        <v>536</v>
      </c>
      <c r="F179" s="98" t="s">
        <v>336</v>
      </c>
      <c r="G179" s="151">
        <v>6000.0</v>
      </c>
      <c r="H179" s="150">
        <v>1550003.0</v>
      </c>
      <c r="I179" s="184"/>
      <c r="J179" s="121">
        <v>750000.0</v>
      </c>
      <c r="K179" s="98" t="s">
        <v>212</v>
      </c>
      <c r="L179" s="58">
        <f t="shared" si="20"/>
        <v>800003</v>
      </c>
      <c r="M179" s="106">
        <v>1240000.0</v>
      </c>
    </row>
    <row r="180" ht="15.75" customHeight="1">
      <c r="A180" s="118">
        <v>4.0</v>
      </c>
      <c r="B180" s="112">
        <v>45897.0</v>
      </c>
      <c r="C180" s="98" t="s">
        <v>844</v>
      </c>
      <c r="D180" s="98" t="s">
        <v>989</v>
      </c>
      <c r="E180" s="98" t="s">
        <v>536</v>
      </c>
      <c r="F180" s="98" t="s">
        <v>990</v>
      </c>
      <c r="G180" s="110">
        <v>5500.0</v>
      </c>
      <c r="H180" s="150">
        <v>1550003.0</v>
      </c>
      <c r="I180" s="115"/>
      <c r="J180" s="109">
        <v>750000.0</v>
      </c>
      <c r="K180" s="109" t="s">
        <v>238</v>
      </c>
      <c r="L180" s="58">
        <f t="shared" si="20"/>
        <v>800003</v>
      </c>
      <c r="M180" s="106">
        <v>103000.0</v>
      </c>
    </row>
    <row r="181" ht="15.75" customHeight="1">
      <c r="A181" s="21"/>
      <c r="B181" s="7"/>
      <c r="C181" s="17"/>
      <c r="D181" s="17"/>
      <c r="E181" s="98"/>
      <c r="F181" s="17"/>
      <c r="G181" s="110" t="s">
        <v>24</v>
      </c>
      <c r="H181" s="58"/>
      <c r="I181" s="59"/>
      <c r="J181" s="121"/>
      <c r="K181" s="60"/>
      <c r="L181" s="52">
        <f>SUM(L177:L178)</f>
        <v>860000</v>
      </c>
      <c r="M181" s="30">
        <f>SUM(M177:M180)</f>
        <v>5808000</v>
      </c>
    </row>
    <row r="182" ht="15.75" customHeight="1">
      <c r="A182" s="21"/>
      <c r="B182" s="7"/>
      <c r="C182" s="17"/>
      <c r="D182" s="17"/>
      <c r="E182" s="17"/>
      <c r="F182" s="17"/>
      <c r="G182" s="57"/>
      <c r="H182" s="58"/>
      <c r="I182" s="59"/>
      <c r="K182" s="60"/>
      <c r="L182" s="33">
        <f>L181-M181</f>
        <v>-4948000</v>
      </c>
      <c r="M182" s="26"/>
    </row>
    <row r="183" ht="15.75" customHeight="1">
      <c r="A183" s="21"/>
      <c r="B183" s="7"/>
      <c r="C183" s="7"/>
      <c r="D183" s="7"/>
      <c r="E183" s="17"/>
      <c r="F183" s="17"/>
      <c r="G183" s="170"/>
      <c r="H183" s="149"/>
      <c r="I183" s="184"/>
      <c r="J183" s="104"/>
      <c r="K183" s="17"/>
      <c r="M183" s="149"/>
    </row>
    <row r="184" ht="15.75" customHeight="1">
      <c r="A184" s="136" t="s">
        <v>209</v>
      </c>
      <c r="B184" s="136" t="s">
        <v>0</v>
      </c>
      <c r="C184" s="136" t="s">
        <v>1</v>
      </c>
      <c r="D184" s="136" t="s">
        <v>2</v>
      </c>
      <c r="E184" s="137" t="s">
        <v>3</v>
      </c>
      <c r="F184" s="136" t="s">
        <v>4</v>
      </c>
      <c r="G184" s="138" t="s">
        <v>5</v>
      </c>
      <c r="H184" s="139" t="s">
        <v>6</v>
      </c>
      <c r="I184" s="140" t="s">
        <v>39</v>
      </c>
      <c r="J184" s="139" t="s">
        <v>7</v>
      </c>
      <c r="K184" s="138" t="s">
        <v>39</v>
      </c>
      <c r="L184" s="140" t="s">
        <v>8</v>
      </c>
      <c r="M184" s="141" t="s">
        <v>9</v>
      </c>
    </row>
    <row r="185" ht="15.75" customHeight="1">
      <c r="A185" s="17">
        <v>1.0</v>
      </c>
      <c r="B185" s="142">
        <v>45901.0</v>
      </c>
      <c r="C185" s="98" t="s">
        <v>844</v>
      </c>
      <c r="D185" s="98" t="s">
        <v>989</v>
      </c>
      <c r="E185" s="144" t="s">
        <v>320</v>
      </c>
      <c r="F185" s="144" t="s">
        <v>302</v>
      </c>
      <c r="G185" s="148">
        <v>10000.0</v>
      </c>
      <c r="H185" s="107">
        <v>800000.0</v>
      </c>
      <c r="I185" s="153"/>
      <c r="J185" s="109">
        <v>375000.0</v>
      </c>
      <c r="K185" s="109" t="s">
        <v>212</v>
      </c>
      <c r="L185" s="58">
        <f t="shared" ref="L185:L200" si="21">H185-J185</f>
        <v>425000</v>
      </c>
      <c r="M185" s="147"/>
    </row>
    <row r="186" ht="15.75" customHeight="1">
      <c r="A186" s="118">
        <v>2.0</v>
      </c>
      <c r="B186" s="142">
        <v>45901.0</v>
      </c>
      <c r="C186" s="98" t="s">
        <v>844</v>
      </c>
      <c r="D186" s="98" t="s">
        <v>989</v>
      </c>
      <c r="E186" s="98" t="s">
        <v>327</v>
      </c>
      <c r="F186" s="98" t="s">
        <v>303</v>
      </c>
      <c r="G186" s="151">
        <v>9000.0</v>
      </c>
      <c r="H186" s="107">
        <v>1215000.0</v>
      </c>
      <c r="I186" s="107"/>
      <c r="J186" s="109">
        <v>700000.0</v>
      </c>
      <c r="K186" s="109" t="s">
        <v>238</v>
      </c>
      <c r="L186" s="58">
        <f t="shared" si="21"/>
        <v>515000</v>
      </c>
      <c r="M186" s="149"/>
      <c r="N186" s="205">
        <v>250000.0</v>
      </c>
    </row>
    <row r="187" ht="15.75" customHeight="1">
      <c r="A187" s="21"/>
      <c r="B187" s="7"/>
      <c r="C187" s="7"/>
      <c r="D187" s="7"/>
      <c r="E187" s="17"/>
      <c r="F187" s="17"/>
      <c r="G187" s="170"/>
      <c r="H187" s="107"/>
      <c r="I187" s="107"/>
      <c r="J187" s="109"/>
      <c r="K187" s="17"/>
      <c r="L187" s="58">
        <f t="shared" si="21"/>
        <v>0</v>
      </c>
      <c r="M187" s="149"/>
    </row>
    <row r="188" ht="15.75" customHeight="1">
      <c r="A188" s="21"/>
      <c r="B188" s="7"/>
      <c r="C188" s="7"/>
      <c r="D188" s="7"/>
      <c r="E188" s="17"/>
      <c r="F188" s="17"/>
      <c r="G188" s="170"/>
      <c r="H188" s="107"/>
      <c r="I188" s="107"/>
      <c r="J188" s="109"/>
      <c r="K188" s="17"/>
      <c r="L188" s="58">
        <f t="shared" si="21"/>
        <v>0</v>
      </c>
      <c r="M188" s="149"/>
    </row>
    <row r="189" ht="15.75" customHeight="1">
      <c r="A189" s="21"/>
      <c r="B189" s="7"/>
      <c r="C189" s="7"/>
      <c r="D189" s="7"/>
      <c r="E189" s="17"/>
      <c r="F189" s="17"/>
      <c r="G189" s="170"/>
      <c r="H189" s="107"/>
      <c r="I189" s="107"/>
      <c r="J189" s="109"/>
      <c r="K189" s="17"/>
      <c r="L189" s="58">
        <f t="shared" si="21"/>
        <v>0</v>
      </c>
      <c r="M189" s="149"/>
    </row>
    <row r="190" ht="15.75" customHeight="1">
      <c r="A190" s="21"/>
      <c r="B190" s="7"/>
      <c r="C190" s="7"/>
      <c r="D190" s="7"/>
      <c r="E190" s="17"/>
      <c r="F190" s="17"/>
      <c r="G190" s="170"/>
      <c r="H190" s="107"/>
      <c r="I190" s="107"/>
      <c r="J190" s="109"/>
      <c r="K190" s="17"/>
      <c r="L190" s="58">
        <f t="shared" si="21"/>
        <v>0</v>
      </c>
      <c r="M190" s="149"/>
    </row>
    <row r="191" ht="15.75" customHeight="1">
      <c r="A191" s="21"/>
      <c r="B191" s="7"/>
      <c r="C191" s="7"/>
      <c r="D191" s="7"/>
      <c r="E191" s="17"/>
      <c r="F191" s="17"/>
      <c r="G191" s="170"/>
      <c r="H191" s="107"/>
      <c r="I191" s="107"/>
      <c r="J191" s="109"/>
      <c r="K191" s="17"/>
      <c r="L191" s="58">
        <f t="shared" si="21"/>
        <v>0</v>
      </c>
      <c r="M191" s="149"/>
    </row>
    <row r="192" ht="15.75" customHeight="1">
      <c r="A192" s="21"/>
      <c r="B192" s="7"/>
      <c r="C192" s="7"/>
      <c r="D192" s="7"/>
      <c r="E192" s="17"/>
      <c r="F192" s="17"/>
      <c r="G192" s="170"/>
      <c r="H192" s="107"/>
      <c r="I192" s="107"/>
      <c r="J192" s="109"/>
      <c r="K192" s="17"/>
      <c r="L192" s="58">
        <f t="shared" si="21"/>
        <v>0</v>
      </c>
      <c r="M192" s="149"/>
    </row>
    <row r="193" ht="15.75" customHeight="1">
      <c r="A193" s="21"/>
      <c r="B193" s="7"/>
      <c r="C193" s="7"/>
      <c r="D193" s="7"/>
      <c r="E193" s="17"/>
      <c r="F193" s="17"/>
      <c r="G193" s="170"/>
      <c r="H193" s="107"/>
      <c r="I193" s="107"/>
      <c r="J193" s="109"/>
      <c r="K193" s="17"/>
      <c r="L193" s="58">
        <f t="shared" si="21"/>
        <v>0</v>
      </c>
      <c r="M193" s="149"/>
    </row>
    <row r="194" ht="15.75" customHeight="1">
      <c r="A194" s="21"/>
      <c r="B194" s="7"/>
      <c r="C194" s="7"/>
      <c r="D194" s="7"/>
      <c r="E194" s="17"/>
      <c r="F194" s="17"/>
      <c r="G194" s="170"/>
      <c r="H194" s="107"/>
      <c r="I194" s="107"/>
      <c r="J194" s="109"/>
      <c r="K194" s="17"/>
      <c r="L194" s="58">
        <f t="shared" si="21"/>
        <v>0</v>
      </c>
      <c r="M194" s="149"/>
    </row>
    <row r="195" ht="15.75" customHeight="1">
      <c r="A195" s="21"/>
      <c r="B195" s="7"/>
      <c r="C195" s="7"/>
      <c r="D195" s="7"/>
      <c r="E195" s="17"/>
      <c r="F195" s="17"/>
      <c r="G195" s="170"/>
      <c r="H195" s="107"/>
      <c r="I195" s="107"/>
      <c r="J195" s="109"/>
      <c r="K195" s="17"/>
      <c r="L195" s="58">
        <f t="shared" si="21"/>
        <v>0</v>
      </c>
      <c r="M195" s="149"/>
    </row>
    <row r="196" ht="15.75" customHeight="1">
      <c r="A196" s="21"/>
      <c r="B196" s="7"/>
      <c r="C196" s="7"/>
      <c r="D196" s="7"/>
      <c r="E196" s="17"/>
      <c r="F196" s="17"/>
      <c r="G196" s="170"/>
      <c r="H196" s="107"/>
      <c r="I196" s="107"/>
      <c r="J196" s="109"/>
      <c r="K196" s="17"/>
      <c r="L196" s="58">
        <f t="shared" si="21"/>
        <v>0</v>
      </c>
      <c r="M196" s="149"/>
    </row>
    <row r="197" ht="15.75" customHeight="1">
      <c r="A197" s="21"/>
      <c r="B197" s="7"/>
      <c r="C197" s="7"/>
      <c r="D197" s="7"/>
      <c r="E197" s="17"/>
      <c r="F197" s="17"/>
      <c r="G197" s="170"/>
      <c r="H197" s="107"/>
      <c r="I197" s="107"/>
      <c r="J197" s="109"/>
      <c r="K197" s="17"/>
      <c r="L197" s="58">
        <f t="shared" si="21"/>
        <v>0</v>
      </c>
      <c r="M197" s="149"/>
    </row>
    <row r="198" ht="15.75" customHeight="1">
      <c r="A198" s="21"/>
      <c r="B198" s="7"/>
      <c r="C198" s="7"/>
      <c r="D198" s="7"/>
      <c r="E198" s="17"/>
      <c r="F198" s="17"/>
      <c r="G198" s="170"/>
      <c r="H198" s="107"/>
      <c r="I198" s="107"/>
      <c r="J198" s="109"/>
      <c r="K198" s="17"/>
      <c r="L198" s="58">
        <f t="shared" si="21"/>
        <v>0</v>
      </c>
      <c r="M198" s="149"/>
    </row>
    <row r="199" ht="15.75" customHeight="1">
      <c r="A199" s="21"/>
      <c r="B199" s="7"/>
      <c r="C199" s="7"/>
      <c r="D199" s="7"/>
      <c r="E199" s="17"/>
      <c r="F199" s="17"/>
      <c r="G199" s="170"/>
      <c r="H199" s="107"/>
      <c r="I199" s="107"/>
      <c r="J199" s="109"/>
      <c r="K199" s="17"/>
      <c r="L199" s="58">
        <f t="shared" si="21"/>
        <v>0</v>
      </c>
      <c r="M199" s="149"/>
    </row>
    <row r="200" ht="15.75" customHeight="1">
      <c r="A200" s="21"/>
      <c r="B200" s="7"/>
      <c r="C200" s="7"/>
      <c r="D200" s="7"/>
      <c r="E200" s="17"/>
      <c r="F200" s="17"/>
      <c r="G200" s="170"/>
      <c r="H200" s="107"/>
      <c r="I200" s="107"/>
      <c r="J200" s="109"/>
      <c r="K200" s="17"/>
      <c r="L200" s="58">
        <f t="shared" si="21"/>
        <v>0</v>
      </c>
      <c r="M200" s="149"/>
    </row>
    <row r="201" ht="15.75" customHeight="1">
      <c r="A201" s="21"/>
      <c r="B201" s="7"/>
      <c r="C201" s="7"/>
      <c r="D201" s="7"/>
      <c r="E201" s="17"/>
      <c r="F201" s="17"/>
      <c r="G201" s="170"/>
      <c r="H201" s="107"/>
      <c r="I201" s="107"/>
      <c r="J201" s="109"/>
      <c r="K201" s="17"/>
      <c r="M201" s="149"/>
    </row>
    <row r="202" ht="15.75" customHeight="1">
      <c r="A202" s="21"/>
      <c r="B202" s="7"/>
      <c r="C202" s="7"/>
      <c r="D202" s="7"/>
      <c r="E202" s="17"/>
      <c r="F202" s="17"/>
      <c r="G202" s="170"/>
      <c r="H202" s="107"/>
      <c r="I202" s="107"/>
      <c r="J202" s="109"/>
      <c r="K202" s="17"/>
      <c r="M202" s="149"/>
    </row>
    <row r="203" ht="15.75" customHeight="1">
      <c r="A203" s="21"/>
      <c r="B203" s="7"/>
      <c r="C203" s="7"/>
      <c r="D203" s="7"/>
      <c r="E203" s="17"/>
      <c r="F203" s="17"/>
      <c r="G203" s="170"/>
      <c r="H203" s="107"/>
      <c r="I203" s="107"/>
      <c r="J203" s="109"/>
      <c r="K203" s="17"/>
      <c r="M203" s="149"/>
    </row>
    <row r="204" ht="15.75" customHeight="1">
      <c r="A204" s="21"/>
      <c r="B204" s="7"/>
      <c r="C204" s="7"/>
      <c r="D204" s="7"/>
      <c r="E204" s="17"/>
      <c r="F204" s="17"/>
      <c r="G204" s="170"/>
      <c r="H204" s="107"/>
      <c r="I204" s="107"/>
      <c r="J204" s="109"/>
      <c r="K204" s="17"/>
      <c r="M204" s="149"/>
    </row>
    <row r="205" ht="15.75" customHeight="1">
      <c r="A205" s="21"/>
      <c r="B205" s="7"/>
      <c r="C205" s="7"/>
      <c r="D205" s="7"/>
      <c r="E205" s="17"/>
      <c r="F205" s="17"/>
      <c r="G205" s="170"/>
      <c r="H205" s="107"/>
      <c r="I205" s="107"/>
      <c r="J205" s="109"/>
      <c r="K205" s="17"/>
      <c r="M205" s="149"/>
    </row>
    <row r="206" ht="15.75" customHeight="1">
      <c r="A206" s="21"/>
      <c r="B206" s="7"/>
      <c r="C206" s="7"/>
      <c r="D206" s="7"/>
      <c r="E206" s="17"/>
      <c r="F206" s="17"/>
      <c r="G206" s="170"/>
      <c r="H206" s="107"/>
      <c r="I206" s="107"/>
      <c r="J206" s="109"/>
      <c r="K206" s="17"/>
      <c r="M206" s="149"/>
    </row>
    <row r="207" ht="15.75" customHeight="1">
      <c r="A207" s="21"/>
      <c r="B207" s="7"/>
      <c r="C207" s="7"/>
      <c r="D207" s="7"/>
      <c r="E207" s="17"/>
      <c r="F207" s="17"/>
      <c r="G207" s="170"/>
      <c r="H207" s="107"/>
      <c r="I207" s="107"/>
      <c r="J207" s="107"/>
      <c r="K207" s="17"/>
      <c r="M207" s="149"/>
    </row>
    <row r="208" ht="15.75" customHeight="1">
      <c r="A208" s="21"/>
      <c r="B208" s="7"/>
      <c r="C208" s="7"/>
      <c r="D208" s="7"/>
      <c r="E208" s="17"/>
      <c r="F208" s="17"/>
      <c r="G208" s="170"/>
      <c r="H208" s="149"/>
      <c r="I208" s="184"/>
      <c r="J208" s="104"/>
      <c r="K208" s="17"/>
      <c r="M208" s="149"/>
    </row>
    <row r="209" ht="15.75" customHeight="1">
      <c r="A209" s="21"/>
      <c r="B209" s="7"/>
      <c r="C209" s="7"/>
      <c r="D209" s="7"/>
      <c r="E209" s="17"/>
      <c r="F209" s="17"/>
      <c r="G209" s="170"/>
      <c r="H209" s="149"/>
      <c r="I209" s="184"/>
      <c r="J209" s="104"/>
      <c r="K209" s="17"/>
      <c r="M209" s="149"/>
    </row>
    <row r="210" ht="15.75" customHeight="1">
      <c r="A210" s="21"/>
      <c r="B210" s="7"/>
      <c r="C210" s="7"/>
      <c r="D210" s="7"/>
      <c r="E210" s="17"/>
      <c r="F210" s="17"/>
      <c r="G210" s="170"/>
      <c r="H210" s="149"/>
      <c r="I210" s="184"/>
      <c r="J210" s="104"/>
      <c r="K210" s="17"/>
      <c r="M210" s="149"/>
    </row>
    <row r="211" ht="15.75" customHeight="1">
      <c r="A211" s="21"/>
      <c r="B211" s="7"/>
      <c r="C211" s="7"/>
      <c r="D211" s="7"/>
      <c r="E211" s="17"/>
      <c r="F211" s="17"/>
      <c r="G211" s="170"/>
      <c r="H211" s="149"/>
      <c r="I211" s="184"/>
      <c r="J211" s="104"/>
      <c r="K211" s="17"/>
      <c r="M211" s="149"/>
    </row>
    <row r="212" ht="15.75" customHeight="1">
      <c r="A212" s="21"/>
      <c r="B212" s="7"/>
      <c r="C212" s="7"/>
      <c r="D212" s="7"/>
      <c r="E212" s="17"/>
      <c r="F212" s="17"/>
      <c r="G212" s="170"/>
      <c r="H212" s="149"/>
      <c r="I212" s="184"/>
      <c r="J212" s="104"/>
      <c r="K212" s="17"/>
      <c r="M212" s="149"/>
    </row>
    <row r="213" ht="15.75" customHeight="1">
      <c r="A213" s="21"/>
      <c r="B213" s="7"/>
      <c r="C213" s="7"/>
      <c r="D213" s="7"/>
      <c r="E213" s="17"/>
      <c r="F213" s="17"/>
      <c r="G213" s="170"/>
      <c r="H213" s="149"/>
      <c r="I213" s="184"/>
      <c r="J213" s="104"/>
      <c r="K213" s="17"/>
      <c r="M213" s="149"/>
    </row>
    <row r="214" ht="15.75" customHeight="1">
      <c r="A214" s="21"/>
      <c r="B214" s="7"/>
      <c r="C214" s="7"/>
      <c r="D214" s="7"/>
      <c r="E214" s="17"/>
      <c r="F214" s="17"/>
      <c r="G214" s="170"/>
      <c r="H214" s="149"/>
      <c r="I214" s="184"/>
      <c r="J214" s="104"/>
      <c r="K214" s="17"/>
      <c r="M214" s="149"/>
    </row>
    <row r="215" ht="15.75" customHeight="1">
      <c r="A215" s="21"/>
      <c r="B215" s="7"/>
      <c r="C215" s="7"/>
      <c r="D215" s="7"/>
      <c r="E215" s="17"/>
      <c r="F215" s="17"/>
      <c r="G215" s="170"/>
      <c r="H215" s="149"/>
      <c r="I215" s="184"/>
      <c r="J215" s="104"/>
      <c r="K215" s="17"/>
      <c r="M215" s="149"/>
    </row>
    <row r="216" ht="15.75" customHeight="1">
      <c r="A216" s="21"/>
      <c r="B216" s="7"/>
      <c r="C216" s="7"/>
      <c r="D216" s="7"/>
      <c r="E216" s="17"/>
      <c r="F216" s="17"/>
      <c r="G216" s="170"/>
      <c r="H216" s="149"/>
      <c r="I216" s="184"/>
      <c r="J216" s="104"/>
      <c r="K216" s="17"/>
      <c r="M216" s="149"/>
    </row>
    <row r="217" ht="15.75" customHeight="1">
      <c r="A217" s="21"/>
      <c r="B217" s="7"/>
      <c r="C217" s="7"/>
      <c r="D217" s="7"/>
      <c r="E217" s="17"/>
      <c r="F217" s="17"/>
      <c r="G217" s="170"/>
      <c r="H217" s="149"/>
      <c r="I217" s="184"/>
      <c r="J217" s="104"/>
      <c r="K217" s="17"/>
      <c r="M217" s="149"/>
    </row>
    <row r="218" ht="15.75" customHeight="1">
      <c r="A218" s="21"/>
      <c r="B218" s="7"/>
      <c r="C218" s="7"/>
      <c r="D218" s="7"/>
      <c r="E218" s="17"/>
      <c r="F218" s="17"/>
      <c r="G218" s="170"/>
      <c r="H218" s="149"/>
      <c r="I218" s="184"/>
      <c r="J218" s="104"/>
      <c r="K218" s="17"/>
      <c r="M218" s="149"/>
    </row>
    <row r="219" ht="15.75" customHeight="1">
      <c r="A219" s="21"/>
      <c r="B219" s="7"/>
      <c r="C219" s="7"/>
      <c r="D219" s="7"/>
      <c r="E219" s="17"/>
      <c r="F219" s="17"/>
      <c r="G219" s="170"/>
      <c r="H219" s="149"/>
      <c r="I219" s="184"/>
      <c r="J219" s="104"/>
      <c r="K219" s="17"/>
      <c r="M219" s="149"/>
    </row>
    <row r="220" ht="15.75" customHeight="1">
      <c r="A220" s="203"/>
    </row>
    <row r="221" ht="15.75" customHeight="1">
      <c r="A221" s="203"/>
    </row>
    <row r="222" ht="15.75" customHeight="1">
      <c r="A222" s="203"/>
    </row>
    <row r="223" ht="15.75" customHeight="1">
      <c r="A223" s="203"/>
    </row>
    <row r="224" ht="15.75" customHeight="1">
      <c r="A224" s="203"/>
    </row>
    <row r="225" ht="15.75" customHeight="1">
      <c r="A225" s="203"/>
    </row>
    <row r="226" ht="15.75" customHeight="1">
      <c r="A226" s="203"/>
    </row>
    <row r="227" ht="15.75" customHeight="1">
      <c r="A227" s="203"/>
    </row>
    <row r="228" ht="15.75" customHeight="1">
      <c r="A228" s="203"/>
    </row>
    <row r="229" ht="15.75" customHeight="1">
      <c r="A229" s="203"/>
    </row>
    <row r="230" ht="15.75" customHeight="1">
      <c r="A230" s="203"/>
    </row>
    <row r="231" ht="15.75" customHeight="1">
      <c r="A231" s="203"/>
    </row>
    <row r="232" ht="15.75" customHeight="1">
      <c r="A232" s="203"/>
    </row>
    <row r="233" ht="15.75" customHeight="1">
      <c r="A233" s="203"/>
    </row>
    <row r="234" ht="15.75" customHeight="1">
      <c r="A234" s="203"/>
    </row>
    <row r="235" ht="15.75" customHeight="1">
      <c r="A235" s="203"/>
    </row>
    <row r="236" ht="15.75" customHeight="1">
      <c r="A236" s="203"/>
    </row>
    <row r="237" ht="15.75" customHeight="1">
      <c r="A237" s="203"/>
    </row>
    <row r="238" ht="15.75" customHeight="1">
      <c r="A238" s="203"/>
    </row>
    <row r="239" ht="15.75" customHeight="1">
      <c r="A239" s="203"/>
    </row>
    <row r="240" ht="15.75" customHeight="1">
      <c r="A240" s="203"/>
    </row>
    <row r="241" ht="15.75" customHeight="1">
      <c r="A241" s="203"/>
    </row>
    <row r="242" ht="15.75" customHeight="1">
      <c r="A242" s="203"/>
    </row>
    <row r="243" ht="15.75" customHeight="1">
      <c r="A243" s="203"/>
    </row>
    <row r="244" ht="15.75" customHeight="1">
      <c r="A244" s="203"/>
    </row>
    <row r="245" ht="15.75" customHeight="1">
      <c r="A245" s="203"/>
    </row>
    <row r="246" ht="15.75" customHeight="1">
      <c r="A246" s="203"/>
    </row>
    <row r="247" ht="15.75" customHeight="1">
      <c r="A247" s="203"/>
    </row>
    <row r="248" ht="15.75" customHeight="1">
      <c r="A248" s="203"/>
    </row>
    <row r="249" ht="15.75" customHeight="1">
      <c r="A249" s="203"/>
    </row>
    <row r="250" ht="15.75" customHeight="1">
      <c r="A250" s="203"/>
    </row>
    <row r="251" ht="15.75" customHeight="1">
      <c r="A251" s="203"/>
    </row>
    <row r="252" ht="15.75" customHeight="1">
      <c r="A252" s="203"/>
    </row>
    <row r="253" ht="15.75" customHeight="1">
      <c r="A253" s="203"/>
    </row>
    <row r="254" ht="15.75" customHeight="1">
      <c r="A254" s="203"/>
    </row>
    <row r="255" ht="15.75" customHeight="1">
      <c r="A255" s="203"/>
    </row>
    <row r="256" ht="15.75" customHeight="1">
      <c r="A256" s="203"/>
    </row>
    <row r="257" ht="15.75" customHeight="1">
      <c r="A257" s="203"/>
    </row>
    <row r="258" ht="15.75" customHeight="1">
      <c r="A258" s="203"/>
    </row>
    <row r="259" ht="15.75" customHeight="1">
      <c r="A259" s="203"/>
    </row>
    <row r="260" ht="15.75" customHeight="1">
      <c r="A260" s="203"/>
    </row>
    <row r="261" ht="15.75" customHeight="1">
      <c r="A261" s="203"/>
    </row>
    <row r="262" ht="15.75" customHeight="1">
      <c r="A262" s="203"/>
    </row>
    <row r="263" ht="15.75" customHeight="1">
      <c r="A263" s="203"/>
    </row>
    <row r="264" ht="15.75" customHeight="1">
      <c r="A264" s="203"/>
    </row>
    <row r="265" ht="15.75" customHeight="1">
      <c r="A265" s="203"/>
    </row>
    <row r="266" ht="15.75" customHeight="1">
      <c r="A266" s="203"/>
    </row>
    <row r="267" ht="15.75" customHeight="1">
      <c r="A267" s="203"/>
    </row>
    <row r="268" ht="15.75" customHeight="1">
      <c r="A268" s="203"/>
    </row>
    <row r="269" ht="15.75" customHeight="1">
      <c r="A269" s="203"/>
    </row>
    <row r="270" ht="15.75" customHeight="1">
      <c r="A270" s="203"/>
    </row>
    <row r="271" ht="15.75" customHeight="1">
      <c r="A271" s="203"/>
    </row>
    <row r="272" ht="15.75" customHeight="1">
      <c r="A272" s="203"/>
    </row>
    <row r="273" ht="15.75" customHeight="1">
      <c r="A273" s="203"/>
    </row>
    <row r="274" ht="15.75" customHeight="1">
      <c r="A274" s="203"/>
    </row>
    <row r="275" ht="15.75" customHeight="1">
      <c r="A275" s="203"/>
    </row>
    <row r="276" ht="15.75" customHeight="1">
      <c r="A276" s="203"/>
    </row>
    <row r="277" ht="15.75" customHeight="1">
      <c r="A277" s="203"/>
    </row>
    <row r="278" ht="15.75" customHeight="1">
      <c r="A278" s="203"/>
    </row>
    <row r="279" ht="15.75" customHeight="1">
      <c r="A279" s="203"/>
    </row>
    <row r="280" ht="15.75" customHeight="1">
      <c r="A280" s="203"/>
    </row>
    <row r="281" ht="15.75" customHeight="1">
      <c r="A281" s="203"/>
    </row>
    <row r="282" ht="15.75" customHeight="1">
      <c r="A282" s="203"/>
    </row>
    <row r="283" ht="15.75" customHeight="1">
      <c r="A283" s="203"/>
    </row>
    <row r="284" ht="15.75" customHeight="1">
      <c r="A284" s="203"/>
    </row>
    <row r="285" ht="15.75" customHeight="1">
      <c r="A285" s="203"/>
    </row>
    <row r="286" ht="15.75" customHeight="1">
      <c r="A286" s="203"/>
    </row>
    <row r="287" ht="15.75" customHeight="1">
      <c r="A287" s="203"/>
    </row>
    <row r="288" ht="15.75" customHeight="1">
      <c r="A288" s="203"/>
    </row>
    <row r="289" ht="15.75" customHeight="1">
      <c r="A289" s="203"/>
    </row>
    <row r="290" ht="15.75" customHeight="1">
      <c r="A290" s="203"/>
    </row>
    <row r="291" ht="15.75" customHeight="1">
      <c r="A291" s="203"/>
    </row>
    <row r="292" ht="15.75" customHeight="1">
      <c r="A292" s="203"/>
    </row>
    <row r="293" ht="15.75" customHeight="1">
      <c r="A293" s="203"/>
    </row>
    <row r="294" ht="15.75" customHeight="1">
      <c r="A294" s="203"/>
    </row>
    <row r="295" ht="15.75" customHeight="1">
      <c r="A295" s="203"/>
    </row>
    <row r="296" ht="15.75" customHeight="1">
      <c r="A296" s="203"/>
    </row>
    <row r="297" ht="15.75" customHeight="1">
      <c r="A297" s="203"/>
    </row>
    <row r="298" ht="15.75" customHeight="1">
      <c r="A298" s="203"/>
    </row>
    <row r="299" ht="15.75" customHeight="1">
      <c r="A299" s="203"/>
    </row>
    <row r="300" ht="15.75" customHeight="1">
      <c r="A300" s="203"/>
    </row>
    <row r="301" ht="15.75" customHeight="1">
      <c r="A301" s="203"/>
    </row>
    <row r="302" ht="15.75" customHeight="1">
      <c r="A302" s="203"/>
    </row>
    <row r="303" ht="15.75" customHeight="1">
      <c r="A303" s="203"/>
    </row>
    <row r="304" ht="15.75" customHeight="1">
      <c r="A304" s="203"/>
    </row>
    <row r="305" ht="15.75" customHeight="1">
      <c r="A305" s="203"/>
    </row>
    <row r="306" ht="15.75" customHeight="1">
      <c r="A306" s="203"/>
    </row>
    <row r="307" ht="15.75" customHeight="1">
      <c r="A307" s="203"/>
    </row>
    <row r="308" ht="15.75" customHeight="1">
      <c r="A308" s="203"/>
    </row>
    <row r="309" ht="15.75" customHeight="1">
      <c r="A309" s="203"/>
    </row>
    <row r="310" ht="15.75" customHeight="1">
      <c r="A310" s="203"/>
    </row>
    <row r="311" ht="15.75" customHeight="1">
      <c r="A311" s="203"/>
    </row>
    <row r="312" ht="15.75" customHeight="1">
      <c r="A312" s="203"/>
    </row>
    <row r="313" ht="15.75" customHeight="1">
      <c r="A313" s="203"/>
    </row>
    <row r="314" ht="15.75" customHeight="1">
      <c r="A314" s="203"/>
    </row>
    <row r="315" ht="15.75" customHeight="1">
      <c r="A315" s="203"/>
    </row>
    <row r="316" ht="15.75" customHeight="1">
      <c r="A316" s="203"/>
    </row>
    <row r="317" ht="15.75" customHeight="1">
      <c r="A317" s="203"/>
    </row>
    <row r="318" ht="15.75" customHeight="1">
      <c r="A318" s="203"/>
    </row>
    <row r="319" ht="15.75" customHeight="1">
      <c r="A319" s="203"/>
    </row>
    <row r="320" ht="15.75" customHeight="1">
      <c r="A320" s="203"/>
    </row>
    <row r="321" ht="15.75" customHeight="1">
      <c r="A321" s="203"/>
    </row>
    <row r="322" ht="15.75" customHeight="1">
      <c r="A322" s="203"/>
    </row>
    <row r="323" ht="15.75" customHeight="1">
      <c r="A323" s="203"/>
    </row>
    <row r="324" ht="15.75" customHeight="1">
      <c r="A324" s="203"/>
    </row>
    <row r="325" ht="15.75" customHeight="1">
      <c r="A325" s="203"/>
    </row>
    <row r="326" ht="15.75" customHeight="1">
      <c r="A326" s="203"/>
    </row>
    <row r="327" ht="15.75" customHeight="1">
      <c r="A327" s="203"/>
    </row>
    <row r="328" ht="15.75" customHeight="1">
      <c r="A328" s="203"/>
    </row>
    <row r="329" ht="15.75" customHeight="1">
      <c r="A329" s="203"/>
    </row>
    <row r="330" ht="15.75" customHeight="1">
      <c r="A330" s="203"/>
    </row>
    <row r="331" ht="15.75" customHeight="1">
      <c r="A331" s="203"/>
    </row>
    <row r="332" ht="15.75" customHeight="1">
      <c r="A332" s="203"/>
    </row>
    <row r="333" ht="15.75" customHeight="1">
      <c r="A333" s="203"/>
    </row>
    <row r="334" ht="15.75" customHeight="1">
      <c r="A334" s="203"/>
    </row>
    <row r="335" ht="15.75" customHeight="1">
      <c r="A335" s="203"/>
    </row>
    <row r="336" ht="15.75" customHeight="1">
      <c r="A336" s="203"/>
    </row>
    <row r="337" ht="15.75" customHeight="1">
      <c r="A337" s="203"/>
    </row>
    <row r="338" ht="15.75" customHeight="1">
      <c r="A338" s="203"/>
    </row>
    <row r="339" ht="15.75" customHeight="1">
      <c r="A339" s="203"/>
    </row>
    <row r="340" ht="15.75" customHeight="1">
      <c r="A340" s="203"/>
    </row>
    <row r="341" ht="15.75" customHeight="1">
      <c r="A341" s="203"/>
    </row>
    <row r="342" ht="15.75" customHeight="1">
      <c r="A342" s="203"/>
    </row>
    <row r="343" ht="15.75" customHeight="1">
      <c r="A343" s="203"/>
    </row>
    <row r="344" ht="15.75" customHeight="1">
      <c r="A344" s="203"/>
    </row>
    <row r="345" ht="15.75" customHeight="1">
      <c r="A345" s="203"/>
    </row>
    <row r="346" ht="15.75" customHeight="1">
      <c r="A346" s="203"/>
    </row>
    <row r="347" ht="15.75" customHeight="1">
      <c r="A347" s="203"/>
    </row>
    <row r="348" ht="15.75" customHeight="1">
      <c r="A348" s="203"/>
    </row>
    <row r="349" ht="15.75" customHeight="1">
      <c r="A349" s="203"/>
    </row>
    <row r="350" ht="15.75" customHeight="1">
      <c r="A350" s="203"/>
    </row>
    <row r="351" ht="15.75" customHeight="1">
      <c r="A351" s="203"/>
    </row>
    <row r="352" ht="15.75" customHeight="1">
      <c r="A352" s="203"/>
    </row>
    <row r="353" ht="15.75" customHeight="1">
      <c r="A353" s="203"/>
    </row>
    <row r="354" ht="15.75" customHeight="1">
      <c r="A354" s="203"/>
    </row>
    <row r="355" ht="15.75" customHeight="1">
      <c r="A355" s="203"/>
    </row>
    <row r="356" ht="15.75" customHeight="1">
      <c r="A356" s="203"/>
    </row>
    <row r="357" ht="15.75" customHeight="1">
      <c r="A357" s="203"/>
    </row>
    <row r="358" ht="15.75" customHeight="1">
      <c r="A358" s="203"/>
    </row>
    <row r="359" ht="15.75" customHeight="1">
      <c r="A359" s="203"/>
    </row>
    <row r="360" ht="15.75" customHeight="1">
      <c r="A360" s="203"/>
    </row>
    <row r="361" ht="15.75" customHeight="1">
      <c r="A361" s="203"/>
    </row>
    <row r="362" ht="15.75" customHeight="1">
      <c r="A362" s="203"/>
    </row>
    <row r="363" ht="15.75" customHeight="1">
      <c r="A363" s="203"/>
    </row>
    <row r="364" ht="15.75" customHeight="1">
      <c r="A364" s="203"/>
    </row>
    <row r="365" ht="15.75" customHeight="1">
      <c r="A365" s="203"/>
    </row>
    <row r="366" ht="15.75" customHeight="1">
      <c r="A366" s="203"/>
    </row>
    <row r="367" ht="15.75" customHeight="1">
      <c r="A367" s="203"/>
    </row>
    <row r="368" ht="15.75" customHeight="1">
      <c r="A368" s="203"/>
    </row>
    <row r="369" ht="15.75" customHeight="1">
      <c r="A369" s="203"/>
    </row>
    <row r="370" ht="15.75" customHeight="1">
      <c r="A370" s="203"/>
    </row>
    <row r="371" ht="15.75" customHeight="1">
      <c r="A371" s="203"/>
    </row>
    <row r="372" ht="15.75" customHeight="1">
      <c r="A372" s="203"/>
    </row>
    <row r="373" ht="15.75" customHeight="1">
      <c r="A373" s="203"/>
    </row>
    <row r="374" ht="15.75" customHeight="1">
      <c r="A374" s="203"/>
    </row>
    <row r="375" ht="15.75" customHeight="1">
      <c r="A375" s="203"/>
    </row>
    <row r="376" ht="15.75" customHeight="1">
      <c r="A376" s="203"/>
    </row>
    <row r="377" ht="15.75" customHeight="1">
      <c r="A377" s="203"/>
    </row>
    <row r="378" ht="15.75" customHeight="1">
      <c r="A378" s="203"/>
    </row>
    <row r="379" ht="15.75" customHeight="1">
      <c r="A379" s="203"/>
    </row>
    <row r="380" ht="15.75" customHeight="1">
      <c r="A380" s="203"/>
    </row>
    <row r="381" ht="15.75" customHeight="1">
      <c r="A381" s="203"/>
    </row>
    <row r="382" ht="15.75" customHeight="1">
      <c r="A382" s="203"/>
    </row>
    <row r="383" ht="15.75" customHeight="1">
      <c r="A383" s="203"/>
    </row>
    <row r="384" ht="15.75" customHeight="1">
      <c r="A384" s="203"/>
    </row>
    <row r="385" ht="15.75" customHeight="1">
      <c r="A385" s="203"/>
    </row>
    <row r="386" ht="15.75" customHeight="1">
      <c r="A386" s="203"/>
    </row>
    <row r="387" ht="15.75" customHeight="1">
      <c r="A387" s="203"/>
    </row>
    <row r="388" ht="15.75" customHeight="1">
      <c r="A388" s="203"/>
    </row>
    <row r="389" ht="15.75" customHeight="1">
      <c r="A389" s="203"/>
    </row>
    <row r="390" ht="15.75" customHeight="1">
      <c r="A390" s="203"/>
    </row>
    <row r="391" ht="15.75" customHeight="1">
      <c r="A391" s="203"/>
    </row>
    <row r="392" ht="15.75" customHeight="1">
      <c r="A392" s="203"/>
    </row>
    <row r="393" ht="15.75" customHeight="1">
      <c r="A393" s="203"/>
    </row>
    <row r="394" ht="15.75" customHeight="1">
      <c r="A394" s="203"/>
    </row>
    <row r="395" ht="15.75" customHeight="1">
      <c r="A395" s="203"/>
    </row>
    <row r="396" ht="15.75" customHeight="1">
      <c r="A396" s="203"/>
    </row>
    <row r="397" ht="15.75" customHeight="1">
      <c r="A397" s="203"/>
    </row>
    <row r="398" ht="15.75" customHeight="1">
      <c r="A398" s="203"/>
    </row>
    <row r="399" ht="15.75" customHeight="1">
      <c r="A399" s="203"/>
    </row>
    <row r="400" ht="15.75" customHeight="1">
      <c r="A400" s="203"/>
    </row>
    <row r="401" ht="15.75" customHeight="1">
      <c r="A401" s="203"/>
    </row>
    <row r="402" ht="15.75" customHeight="1">
      <c r="A402" s="203"/>
    </row>
    <row r="403" ht="15.75" customHeight="1">
      <c r="A403" s="203"/>
    </row>
    <row r="404" ht="15.75" customHeight="1">
      <c r="A404" s="203"/>
    </row>
    <row r="405" ht="15.75" customHeight="1">
      <c r="A405" s="203"/>
    </row>
    <row r="406" ht="15.75" customHeight="1">
      <c r="A406" s="203"/>
    </row>
    <row r="407" ht="15.75" customHeight="1">
      <c r="A407" s="203"/>
    </row>
    <row r="408" ht="15.75" customHeight="1">
      <c r="A408" s="203"/>
    </row>
    <row r="409" ht="15.75" customHeight="1">
      <c r="A409" s="203"/>
    </row>
    <row r="410" ht="15.75" customHeight="1">
      <c r="A410" s="203"/>
    </row>
    <row r="411" ht="15.75" customHeight="1">
      <c r="A411" s="203"/>
    </row>
    <row r="412" ht="15.75" customHeight="1">
      <c r="A412" s="203"/>
    </row>
    <row r="413" ht="15.75" customHeight="1">
      <c r="A413" s="203"/>
    </row>
    <row r="414" ht="15.75" customHeight="1">
      <c r="A414" s="203"/>
    </row>
    <row r="415" ht="15.75" customHeight="1">
      <c r="A415" s="203"/>
    </row>
    <row r="416" ht="15.75" customHeight="1">
      <c r="A416" s="203"/>
    </row>
    <row r="417" ht="15.75" customHeight="1">
      <c r="A417" s="203"/>
    </row>
    <row r="418" ht="15.75" customHeight="1">
      <c r="A418" s="203"/>
    </row>
    <row r="419" ht="15.75" customHeight="1">
      <c r="A419" s="203"/>
    </row>
    <row r="420" ht="15.75" customHeight="1">
      <c r="A420" s="203"/>
    </row>
    <row r="421" ht="15.75" customHeight="1">
      <c r="A421" s="203"/>
    </row>
    <row r="422" ht="15.75" customHeight="1">
      <c r="A422" s="203"/>
    </row>
    <row r="423" ht="15.75" customHeight="1">
      <c r="A423" s="203"/>
    </row>
    <row r="424" ht="15.75" customHeight="1">
      <c r="A424" s="203"/>
    </row>
    <row r="425" ht="15.75" customHeight="1">
      <c r="A425" s="203"/>
    </row>
    <row r="426" ht="15.75" customHeight="1">
      <c r="A426" s="203"/>
    </row>
    <row r="427" ht="15.75" customHeight="1">
      <c r="A427" s="203"/>
    </row>
    <row r="428" ht="15.75" customHeight="1">
      <c r="A428" s="203"/>
    </row>
    <row r="429" ht="15.75" customHeight="1">
      <c r="A429" s="203"/>
    </row>
    <row r="430" ht="15.75" customHeight="1">
      <c r="A430" s="203"/>
    </row>
    <row r="431" ht="15.75" customHeight="1">
      <c r="A431" s="203"/>
    </row>
    <row r="432" ht="15.75" customHeight="1">
      <c r="A432" s="203"/>
    </row>
    <row r="433" ht="15.75" customHeight="1">
      <c r="A433" s="203"/>
    </row>
    <row r="434" ht="15.75" customHeight="1">
      <c r="A434" s="203"/>
    </row>
    <row r="435" ht="15.75" customHeight="1">
      <c r="A435" s="203"/>
    </row>
    <row r="436" ht="15.75" customHeight="1">
      <c r="A436" s="203"/>
    </row>
    <row r="437" ht="15.75" customHeight="1">
      <c r="A437" s="203"/>
    </row>
    <row r="438" ht="15.75" customHeight="1">
      <c r="A438" s="203"/>
    </row>
    <row r="439" ht="15.75" customHeight="1">
      <c r="A439" s="203"/>
    </row>
    <row r="440" ht="15.75" customHeight="1">
      <c r="A440" s="203"/>
    </row>
    <row r="441" ht="15.75" customHeight="1">
      <c r="A441" s="203"/>
    </row>
    <row r="442" ht="15.75" customHeight="1">
      <c r="A442" s="203"/>
    </row>
    <row r="443" ht="15.75" customHeight="1">
      <c r="A443" s="203"/>
    </row>
    <row r="444" ht="15.75" customHeight="1">
      <c r="A444" s="203"/>
    </row>
    <row r="445" ht="15.75" customHeight="1">
      <c r="A445" s="203"/>
    </row>
    <row r="446" ht="15.75" customHeight="1">
      <c r="A446" s="203"/>
    </row>
    <row r="447" ht="15.75" customHeight="1">
      <c r="A447" s="203"/>
    </row>
    <row r="448" ht="15.75" customHeight="1">
      <c r="A448" s="203"/>
    </row>
    <row r="449" ht="15.75" customHeight="1">
      <c r="A449" s="203"/>
    </row>
    <row r="450" ht="15.75" customHeight="1">
      <c r="A450" s="203"/>
    </row>
    <row r="451" ht="15.75" customHeight="1">
      <c r="A451" s="203"/>
    </row>
    <row r="452" ht="15.75" customHeight="1">
      <c r="A452" s="203"/>
    </row>
    <row r="453" ht="15.75" customHeight="1">
      <c r="A453" s="203"/>
    </row>
    <row r="454" ht="15.75" customHeight="1">
      <c r="A454" s="203"/>
    </row>
    <row r="455" ht="15.75" customHeight="1">
      <c r="A455" s="203"/>
    </row>
    <row r="456" ht="15.75" customHeight="1">
      <c r="A456" s="203"/>
    </row>
    <row r="457" ht="15.75" customHeight="1">
      <c r="A457" s="203"/>
    </row>
    <row r="458" ht="15.75" customHeight="1">
      <c r="A458" s="203"/>
    </row>
    <row r="459" ht="15.75" customHeight="1">
      <c r="A459" s="203"/>
    </row>
    <row r="460" ht="15.75" customHeight="1">
      <c r="A460" s="203"/>
    </row>
    <row r="461" ht="15.75" customHeight="1">
      <c r="A461" s="203"/>
    </row>
    <row r="462" ht="15.75" customHeight="1">
      <c r="A462" s="203"/>
    </row>
    <row r="463" ht="15.75" customHeight="1">
      <c r="A463" s="203"/>
    </row>
    <row r="464" ht="15.75" customHeight="1">
      <c r="A464" s="203"/>
    </row>
    <row r="465" ht="15.75" customHeight="1">
      <c r="A465" s="203"/>
    </row>
    <row r="466" ht="15.75" customHeight="1">
      <c r="A466" s="203"/>
    </row>
    <row r="467" ht="15.75" customHeight="1">
      <c r="A467" s="203"/>
    </row>
    <row r="468" ht="15.75" customHeight="1">
      <c r="A468" s="203"/>
    </row>
    <row r="469" ht="15.75" customHeight="1">
      <c r="A469" s="203"/>
    </row>
    <row r="470" ht="15.75" customHeight="1">
      <c r="A470" s="203"/>
    </row>
    <row r="471" ht="15.75" customHeight="1">
      <c r="A471" s="203"/>
    </row>
    <row r="472" ht="15.75" customHeight="1">
      <c r="A472" s="203"/>
    </row>
    <row r="473" ht="15.75" customHeight="1">
      <c r="A473" s="203"/>
    </row>
    <row r="474" ht="15.75" customHeight="1">
      <c r="A474" s="203"/>
    </row>
    <row r="475" ht="15.75" customHeight="1">
      <c r="A475" s="203"/>
    </row>
    <row r="476" ht="15.75" customHeight="1">
      <c r="A476" s="203"/>
    </row>
    <row r="477" ht="15.75" customHeight="1">
      <c r="A477" s="203"/>
    </row>
    <row r="478" ht="15.75" customHeight="1">
      <c r="A478" s="203"/>
    </row>
    <row r="479" ht="15.75" customHeight="1">
      <c r="A479" s="203"/>
    </row>
    <row r="480" ht="15.75" customHeight="1">
      <c r="A480" s="203"/>
    </row>
    <row r="481" ht="15.75" customHeight="1">
      <c r="A481" s="203"/>
    </row>
    <row r="482" ht="15.75" customHeight="1">
      <c r="A482" s="203"/>
    </row>
    <row r="483" ht="15.75" customHeight="1">
      <c r="A483" s="203"/>
    </row>
    <row r="484" ht="15.75" customHeight="1">
      <c r="A484" s="203"/>
    </row>
    <row r="485" ht="15.75" customHeight="1">
      <c r="A485" s="203"/>
    </row>
    <row r="486" ht="15.75" customHeight="1">
      <c r="A486" s="203"/>
    </row>
    <row r="487" ht="15.75" customHeight="1">
      <c r="A487" s="203"/>
    </row>
    <row r="488" ht="15.75" customHeight="1">
      <c r="A488" s="203"/>
    </row>
    <row r="489" ht="15.75" customHeight="1">
      <c r="A489" s="203"/>
    </row>
    <row r="490" ht="15.75" customHeight="1">
      <c r="A490" s="203"/>
    </row>
    <row r="491" ht="15.75" customHeight="1">
      <c r="A491" s="203"/>
    </row>
    <row r="492" ht="15.75" customHeight="1">
      <c r="A492" s="203"/>
    </row>
    <row r="493" ht="15.75" customHeight="1">
      <c r="A493" s="203"/>
    </row>
    <row r="494" ht="15.75" customHeight="1">
      <c r="A494" s="203"/>
    </row>
    <row r="495" ht="15.75" customHeight="1">
      <c r="A495" s="203"/>
    </row>
    <row r="496" ht="15.75" customHeight="1">
      <c r="A496" s="203"/>
    </row>
    <row r="497" ht="15.75" customHeight="1">
      <c r="A497" s="203"/>
    </row>
    <row r="498" ht="15.75" customHeight="1">
      <c r="A498" s="203"/>
    </row>
    <row r="499" ht="15.75" customHeight="1">
      <c r="A499" s="203"/>
    </row>
    <row r="500" ht="15.75" customHeight="1">
      <c r="A500" s="203"/>
    </row>
    <row r="501" ht="15.75" customHeight="1">
      <c r="A501" s="203"/>
    </row>
    <row r="502" ht="15.75" customHeight="1">
      <c r="A502" s="203"/>
    </row>
    <row r="503" ht="15.75" customHeight="1">
      <c r="A503" s="203"/>
    </row>
    <row r="504" ht="15.75" customHeight="1">
      <c r="A504" s="203"/>
    </row>
    <row r="505" ht="15.75" customHeight="1">
      <c r="A505" s="203"/>
    </row>
    <row r="506" ht="15.75" customHeight="1">
      <c r="A506" s="203"/>
    </row>
    <row r="507" ht="15.75" customHeight="1">
      <c r="A507" s="203"/>
    </row>
    <row r="508" ht="15.75" customHeight="1">
      <c r="A508" s="203"/>
    </row>
    <row r="509" ht="15.75" customHeight="1">
      <c r="A509" s="203"/>
    </row>
    <row r="510" ht="15.75" customHeight="1">
      <c r="A510" s="203"/>
    </row>
    <row r="511" ht="15.75" customHeight="1">
      <c r="A511" s="203"/>
    </row>
    <row r="512" ht="15.75" customHeight="1">
      <c r="A512" s="203"/>
    </row>
    <row r="513" ht="15.75" customHeight="1">
      <c r="A513" s="203"/>
    </row>
    <row r="514" ht="15.75" customHeight="1">
      <c r="A514" s="203"/>
    </row>
    <row r="515" ht="15.75" customHeight="1">
      <c r="A515" s="203"/>
    </row>
    <row r="516" ht="15.75" customHeight="1">
      <c r="A516" s="203"/>
    </row>
    <row r="517" ht="15.75" customHeight="1">
      <c r="A517" s="203"/>
    </row>
    <row r="518" ht="15.75" customHeight="1">
      <c r="A518" s="203"/>
    </row>
    <row r="519" ht="15.75" customHeight="1">
      <c r="A519" s="203"/>
    </row>
    <row r="520" ht="15.75" customHeight="1">
      <c r="A520" s="203"/>
    </row>
    <row r="521" ht="15.75" customHeight="1">
      <c r="A521" s="203"/>
    </row>
    <row r="522" ht="15.75" customHeight="1">
      <c r="A522" s="203"/>
    </row>
    <row r="523" ht="15.75" customHeight="1">
      <c r="A523" s="203"/>
    </row>
    <row r="524" ht="15.75" customHeight="1">
      <c r="A524" s="203"/>
    </row>
    <row r="525" ht="15.75" customHeight="1">
      <c r="A525" s="203"/>
    </row>
    <row r="526" ht="15.75" customHeight="1">
      <c r="A526" s="203"/>
    </row>
    <row r="527" ht="15.75" customHeight="1">
      <c r="A527" s="203"/>
    </row>
    <row r="528" ht="15.75" customHeight="1">
      <c r="A528" s="203"/>
    </row>
    <row r="529" ht="15.75" customHeight="1">
      <c r="A529" s="203"/>
    </row>
    <row r="530" ht="15.75" customHeight="1">
      <c r="A530" s="203"/>
    </row>
    <row r="531" ht="15.75" customHeight="1">
      <c r="A531" s="203"/>
    </row>
    <row r="532" ht="15.75" customHeight="1">
      <c r="A532" s="203"/>
    </row>
    <row r="533" ht="15.75" customHeight="1">
      <c r="A533" s="203"/>
    </row>
    <row r="534" ht="15.75" customHeight="1">
      <c r="A534" s="203"/>
    </row>
    <row r="535" ht="15.75" customHeight="1">
      <c r="A535" s="203"/>
    </row>
    <row r="536" ht="15.75" customHeight="1">
      <c r="A536" s="203"/>
    </row>
    <row r="537" ht="15.75" customHeight="1">
      <c r="A537" s="203"/>
    </row>
    <row r="538" ht="15.75" customHeight="1">
      <c r="A538" s="203"/>
    </row>
    <row r="539" ht="15.75" customHeight="1">
      <c r="A539" s="203"/>
    </row>
    <row r="540" ht="15.75" customHeight="1">
      <c r="A540" s="203"/>
    </row>
    <row r="541" ht="15.75" customHeight="1">
      <c r="A541" s="203"/>
    </row>
    <row r="542" ht="15.75" customHeight="1">
      <c r="A542" s="203"/>
    </row>
    <row r="543" ht="15.75" customHeight="1">
      <c r="A543" s="203"/>
    </row>
    <row r="544" ht="15.75" customHeight="1">
      <c r="A544" s="203"/>
    </row>
    <row r="545" ht="15.75" customHeight="1">
      <c r="A545" s="203"/>
    </row>
    <row r="546" ht="15.75" customHeight="1">
      <c r="A546" s="203"/>
    </row>
    <row r="547" ht="15.75" customHeight="1">
      <c r="A547" s="203"/>
    </row>
    <row r="548" ht="15.75" customHeight="1">
      <c r="A548" s="203"/>
    </row>
    <row r="549" ht="15.75" customHeight="1">
      <c r="A549" s="203"/>
    </row>
    <row r="550" ht="15.75" customHeight="1">
      <c r="A550" s="203"/>
    </row>
    <row r="551" ht="15.75" customHeight="1">
      <c r="A551" s="203"/>
    </row>
    <row r="552" ht="15.75" customHeight="1">
      <c r="A552" s="203"/>
    </row>
    <row r="553" ht="15.75" customHeight="1">
      <c r="A553" s="203"/>
    </row>
    <row r="554" ht="15.75" customHeight="1">
      <c r="A554" s="203"/>
    </row>
    <row r="555" ht="15.75" customHeight="1">
      <c r="A555" s="203"/>
    </row>
    <row r="556" ht="15.75" customHeight="1">
      <c r="A556" s="203"/>
    </row>
    <row r="557" ht="15.75" customHeight="1">
      <c r="A557" s="203"/>
    </row>
    <row r="558" ht="15.75" customHeight="1">
      <c r="A558" s="203"/>
    </row>
    <row r="559" ht="15.75" customHeight="1">
      <c r="A559" s="203"/>
    </row>
    <row r="560" ht="15.75" customHeight="1">
      <c r="A560" s="203"/>
    </row>
    <row r="561" ht="15.75" customHeight="1">
      <c r="A561" s="203"/>
    </row>
    <row r="562" ht="15.75" customHeight="1">
      <c r="A562" s="203"/>
    </row>
    <row r="563" ht="15.75" customHeight="1">
      <c r="A563" s="203"/>
    </row>
    <row r="564" ht="15.75" customHeight="1">
      <c r="A564" s="203"/>
    </row>
    <row r="565" ht="15.75" customHeight="1">
      <c r="A565" s="203"/>
    </row>
    <row r="566" ht="15.75" customHeight="1">
      <c r="A566" s="203"/>
    </row>
    <row r="567" ht="15.75" customHeight="1">
      <c r="A567" s="203"/>
    </row>
    <row r="568" ht="15.75" customHeight="1">
      <c r="A568" s="203"/>
    </row>
    <row r="569" ht="15.75" customHeight="1">
      <c r="A569" s="203"/>
    </row>
    <row r="570" ht="15.75" customHeight="1">
      <c r="A570" s="203"/>
    </row>
    <row r="571" ht="15.75" customHeight="1">
      <c r="A571" s="203"/>
    </row>
    <row r="572" ht="15.75" customHeight="1">
      <c r="A572" s="203"/>
    </row>
    <row r="573" ht="15.75" customHeight="1">
      <c r="A573" s="203"/>
    </row>
    <row r="574" ht="15.75" customHeight="1">
      <c r="A574" s="203"/>
    </row>
    <row r="575" ht="15.75" customHeight="1">
      <c r="A575" s="203"/>
    </row>
    <row r="576" ht="15.75" customHeight="1">
      <c r="A576" s="203"/>
    </row>
    <row r="577" ht="15.75" customHeight="1">
      <c r="A577" s="203"/>
    </row>
    <row r="578" ht="15.75" customHeight="1">
      <c r="A578" s="203"/>
    </row>
    <row r="579" ht="15.75" customHeight="1">
      <c r="A579" s="203"/>
    </row>
    <row r="580" ht="15.75" customHeight="1">
      <c r="A580" s="203"/>
    </row>
    <row r="581" ht="15.75" customHeight="1">
      <c r="A581" s="203"/>
    </row>
    <row r="582" ht="15.75" customHeight="1">
      <c r="A582" s="203"/>
    </row>
    <row r="583" ht="15.75" customHeight="1">
      <c r="A583" s="203"/>
    </row>
    <row r="584" ht="15.75" customHeight="1">
      <c r="A584" s="203"/>
    </row>
    <row r="585" ht="15.75" customHeight="1">
      <c r="A585" s="203"/>
    </row>
    <row r="586" ht="15.75" customHeight="1">
      <c r="A586" s="203"/>
    </row>
    <row r="587" ht="15.75" customHeight="1">
      <c r="A587" s="203"/>
    </row>
    <row r="588" ht="15.75" customHeight="1">
      <c r="A588" s="203"/>
    </row>
    <row r="589" ht="15.75" customHeight="1">
      <c r="A589" s="203"/>
    </row>
    <row r="590" ht="15.75" customHeight="1">
      <c r="A590" s="203"/>
    </row>
    <row r="591" ht="15.75" customHeight="1">
      <c r="A591" s="203"/>
    </row>
    <row r="592" ht="15.75" customHeight="1">
      <c r="A592" s="203"/>
    </row>
    <row r="593" ht="15.75" customHeight="1">
      <c r="A593" s="203"/>
    </row>
    <row r="594" ht="15.75" customHeight="1">
      <c r="A594" s="203"/>
    </row>
    <row r="595" ht="15.75" customHeight="1">
      <c r="A595" s="203"/>
    </row>
    <row r="596" ht="15.75" customHeight="1">
      <c r="A596" s="203"/>
    </row>
    <row r="597" ht="15.75" customHeight="1">
      <c r="A597" s="203"/>
    </row>
    <row r="598" ht="15.75" customHeight="1">
      <c r="A598" s="203"/>
    </row>
    <row r="599" ht="15.75" customHeight="1">
      <c r="A599" s="203"/>
    </row>
    <row r="600" ht="15.75" customHeight="1">
      <c r="A600" s="203"/>
    </row>
    <row r="601" ht="15.75" customHeight="1">
      <c r="A601" s="203"/>
    </row>
    <row r="602" ht="15.75" customHeight="1">
      <c r="A602" s="203"/>
    </row>
    <row r="603" ht="15.75" customHeight="1">
      <c r="A603" s="203"/>
    </row>
    <row r="604" ht="15.75" customHeight="1">
      <c r="A604" s="203"/>
    </row>
    <row r="605" ht="15.75" customHeight="1">
      <c r="A605" s="203"/>
    </row>
    <row r="606" ht="15.75" customHeight="1">
      <c r="A606" s="203"/>
    </row>
    <row r="607" ht="15.75" customHeight="1">
      <c r="A607" s="203"/>
    </row>
    <row r="608" ht="15.75" customHeight="1">
      <c r="A608" s="203"/>
    </row>
    <row r="609" ht="15.75" customHeight="1">
      <c r="A609" s="203"/>
    </row>
    <row r="610" ht="15.75" customHeight="1">
      <c r="A610" s="203"/>
    </row>
    <row r="611" ht="15.75" customHeight="1">
      <c r="A611" s="203"/>
    </row>
    <row r="612" ht="15.75" customHeight="1">
      <c r="A612" s="203"/>
    </row>
    <row r="613" ht="15.75" customHeight="1">
      <c r="A613" s="203"/>
    </row>
    <row r="614" ht="15.75" customHeight="1">
      <c r="A614" s="203"/>
    </row>
    <row r="615" ht="15.75" customHeight="1">
      <c r="A615" s="203"/>
    </row>
    <row r="616" ht="15.75" customHeight="1">
      <c r="A616" s="203"/>
    </row>
    <row r="617" ht="15.75" customHeight="1">
      <c r="A617" s="203"/>
    </row>
    <row r="618" ht="15.75" customHeight="1">
      <c r="A618" s="203"/>
    </row>
    <row r="619" ht="15.75" customHeight="1">
      <c r="A619" s="203"/>
    </row>
    <row r="620" ht="15.75" customHeight="1">
      <c r="A620" s="203"/>
    </row>
    <row r="621" ht="15.75" customHeight="1">
      <c r="A621" s="203"/>
    </row>
    <row r="622" ht="15.75" customHeight="1">
      <c r="A622" s="203"/>
    </row>
    <row r="623" ht="15.75" customHeight="1">
      <c r="A623" s="203"/>
    </row>
    <row r="624" ht="15.75" customHeight="1">
      <c r="A624" s="203"/>
    </row>
    <row r="625" ht="15.75" customHeight="1">
      <c r="A625" s="203"/>
    </row>
    <row r="626" ht="15.75" customHeight="1">
      <c r="A626" s="203"/>
    </row>
    <row r="627" ht="15.75" customHeight="1">
      <c r="A627" s="203"/>
    </row>
    <row r="628" ht="15.75" customHeight="1">
      <c r="A628" s="203"/>
    </row>
    <row r="629" ht="15.75" customHeight="1">
      <c r="A629" s="203"/>
    </row>
    <row r="630" ht="15.75" customHeight="1">
      <c r="A630" s="203"/>
    </row>
    <row r="631" ht="15.75" customHeight="1">
      <c r="A631" s="203"/>
    </row>
    <row r="632" ht="15.75" customHeight="1">
      <c r="A632" s="203"/>
    </row>
    <row r="633" ht="15.75" customHeight="1">
      <c r="A633" s="203"/>
    </row>
    <row r="634" ht="15.75" customHeight="1">
      <c r="A634" s="203"/>
    </row>
    <row r="635" ht="15.75" customHeight="1">
      <c r="A635" s="203"/>
    </row>
    <row r="636" ht="15.75" customHeight="1">
      <c r="A636" s="203"/>
    </row>
    <row r="637" ht="15.75" customHeight="1">
      <c r="A637" s="203"/>
    </row>
    <row r="638" ht="15.75" customHeight="1">
      <c r="A638" s="203"/>
    </row>
    <row r="639" ht="15.75" customHeight="1">
      <c r="A639" s="203"/>
    </row>
    <row r="640" ht="15.75" customHeight="1">
      <c r="A640" s="203"/>
    </row>
    <row r="641" ht="15.75" customHeight="1">
      <c r="A641" s="203"/>
    </row>
    <row r="642" ht="15.75" customHeight="1">
      <c r="A642" s="203"/>
    </row>
    <row r="643" ht="15.75" customHeight="1">
      <c r="A643" s="203"/>
    </row>
    <row r="644" ht="15.75" customHeight="1">
      <c r="A644" s="203"/>
    </row>
    <row r="645" ht="15.75" customHeight="1">
      <c r="A645" s="203"/>
    </row>
    <row r="646" ht="15.75" customHeight="1">
      <c r="A646" s="203"/>
    </row>
    <row r="647" ht="15.75" customHeight="1">
      <c r="A647" s="203"/>
    </row>
    <row r="648" ht="15.75" customHeight="1">
      <c r="A648" s="203"/>
    </row>
    <row r="649" ht="15.75" customHeight="1">
      <c r="A649" s="203"/>
    </row>
    <row r="650" ht="15.75" customHeight="1">
      <c r="A650" s="203"/>
    </row>
    <row r="651" ht="15.75" customHeight="1">
      <c r="A651" s="203"/>
    </row>
    <row r="652" ht="15.75" customHeight="1">
      <c r="A652" s="203"/>
    </row>
    <row r="653" ht="15.75" customHeight="1">
      <c r="A653" s="203"/>
    </row>
    <row r="654" ht="15.75" customHeight="1">
      <c r="A654" s="203"/>
    </row>
    <row r="655" ht="15.75" customHeight="1">
      <c r="A655" s="203"/>
    </row>
    <row r="656" ht="15.75" customHeight="1">
      <c r="A656" s="203"/>
    </row>
    <row r="657" ht="15.75" customHeight="1">
      <c r="A657" s="203"/>
    </row>
    <row r="658" ht="15.75" customHeight="1">
      <c r="A658" s="203"/>
    </row>
    <row r="659" ht="15.75" customHeight="1">
      <c r="A659" s="203"/>
    </row>
    <row r="660" ht="15.75" customHeight="1">
      <c r="A660" s="203"/>
    </row>
    <row r="661" ht="15.75" customHeight="1">
      <c r="A661" s="203"/>
    </row>
    <row r="662" ht="15.75" customHeight="1">
      <c r="A662" s="203"/>
    </row>
    <row r="663" ht="15.75" customHeight="1">
      <c r="A663" s="203"/>
    </row>
    <row r="664" ht="15.75" customHeight="1">
      <c r="A664" s="203"/>
    </row>
    <row r="665" ht="15.75" customHeight="1">
      <c r="A665" s="203"/>
    </row>
    <row r="666" ht="15.75" customHeight="1">
      <c r="A666" s="203"/>
    </row>
    <row r="667" ht="15.75" customHeight="1">
      <c r="A667" s="203"/>
    </row>
    <row r="668" ht="15.75" customHeight="1">
      <c r="A668" s="203"/>
    </row>
    <row r="669" ht="15.75" customHeight="1">
      <c r="A669" s="203"/>
    </row>
    <row r="670" ht="15.75" customHeight="1">
      <c r="A670" s="203"/>
    </row>
    <row r="671" ht="15.75" customHeight="1">
      <c r="A671" s="203"/>
    </row>
    <row r="672" ht="15.75" customHeight="1">
      <c r="A672" s="203"/>
    </row>
    <row r="673" ht="15.75" customHeight="1">
      <c r="A673" s="203"/>
    </row>
    <row r="674" ht="15.75" customHeight="1">
      <c r="A674" s="203"/>
    </row>
    <row r="675" ht="15.75" customHeight="1">
      <c r="A675" s="203"/>
    </row>
    <row r="676" ht="15.75" customHeight="1">
      <c r="A676" s="203"/>
    </row>
    <row r="677" ht="15.75" customHeight="1">
      <c r="A677" s="203"/>
    </row>
    <row r="678" ht="15.75" customHeight="1">
      <c r="A678" s="203"/>
    </row>
    <row r="679" ht="15.75" customHeight="1">
      <c r="A679" s="203"/>
    </row>
    <row r="680" ht="15.75" customHeight="1">
      <c r="A680" s="203"/>
    </row>
    <row r="681" ht="15.75" customHeight="1">
      <c r="A681" s="203"/>
    </row>
    <row r="682" ht="15.75" customHeight="1">
      <c r="A682" s="203"/>
    </row>
    <row r="683" ht="15.75" customHeight="1">
      <c r="A683" s="203"/>
    </row>
    <row r="684" ht="15.75" customHeight="1">
      <c r="A684" s="203"/>
    </row>
    <row r="685" ht="15.75" customHeight="1">
      <c r="A685" s="203"/>
    </row>
    <row r="686" ht="15.75" customHeight="1">
      <c r="A686" s="203"/>
    </row>
    <row r="687" ht="15.75" customHeight="1">
      <c r="A687" s="203"/>
    </row>
    <row r="688" ht="15.75" customHeight="1">
      <c r="A688" s="203"/>
    </row>
    <row r="689" ht="15.75" customHeight="1">
      <c r="A689" s="203"/>
    </row>
    <row r="690" ht="15.75" customHeight="1">
      <c r="A690" s="203"/>
    </row>
    <row r="691" ht="15.75" customHeight="1">
      <c r="A691" s="203"/>
    </row>
    <row r="692" ht="15.75" customHeight="1">
      <c r="A692" s="203"/>
    </row>
    <row r="693" ht="15.75" customHeight="1">
      <c r="A693" s="203"/>
    </row>
    <row r="694" ht="15.75" customHeight="1">
      <c r="A694" s="203"/>
    </row>
    <row r="695" ht="15.75" customHeight="1">
      <c r="A695" s="203"/>
    </row>
    <row r="696" ht="15.75" customHeight="1">
      <c r="A696" s="203"/>
    </row>
    <row r="697" ht="15.75" customHeight="1">
      <c r="A697" s="203"/>
    </row>
    <row r="698" ht="15.75" customHeight="1">
      <c r="A698" s="203"/>
    </row>
    <row r="699" ht="15.75" customHeight="1">
      <c r="A699" s="203"/>
    </row>
    <row r="700" ht="15.75" customHeight="1">
      <c r="A700" s="203"/>
    </row>
    <row r="701" ht="15.75" customHeight="1">
      <c r="A701" s="203"/>
    </row>
    <row r="702" ht="15.75" customHeight="1">
      <c r="A702" s="203"/>
    </row>
    <row r="703" ht="15.75" customHeight="1">
      <c r="A703" s="203"/>
    </row>
    <row r="704" ht="15.75" customHeight="1">
      <c r="A704" s="203"/>
    </row>
    <row r="705" ht="15.75" customHeight="1">
      <c r="A705" s="203"/>
    </row>
    <row r="706" ht="15.75" customHeight="1">
      <c r="A706" s="203"/>
    </row>
    <row r="707" ht="15.75" customHeight="1">
      <c r="A707" s="203"/>
    </row>
    <row r="708" ht="15.75" customHeight="1">
      <c r="A708" s="203"/>
    </row>
    <row r="709" ht="15.75" customHeight="1">
      <c r="A709" s="203"/>
    </row>
    <row r="710" ht="15.75" customHeight="1">
      <c r="A710" s="203"/>
    </row>
    <row r="711" ht="15.75" customHeight="1">
      <c r="A711" s="203"/>
    </row>
    <row r="712" ht="15.75" customHeight="1">
      <c r="A712" s="203"/>
    </row>
    <row r="713" ht="15.75" customHeight="1">
      <c r="A713" s="203"/>
    </row>
    <row r="714" ht="15.75" customHeight="1">
      <c r="A714" s="203"/>
    </row>
    <row r="715" ht="15.75" customHeight="1">
      <c r="A715" s="203"/>
    </row>
    <row r="716" ht="15.75" customHeight="1">
      <c r="A716" s="203"/>
    </row>
    <row r="717" ht="15.75" customHeight="1">
      <c r="A717" s="203"/>
    </row>
    <row r="718" ht="15.75" customHeight="1">
      <c r="A718" s="203"/>
    </row>
    <row r="719" ht="15.75" customHeight="1">
      <c r="A719" s="203"/>
    </row>
    <row r="720" ht="15.75" customHeight="1">
      <c r="A720" s="203"/>
    </row>
    <row r="721" ht="15.75" customHeight="1">
      <c r="A721" s="203"/>
    </row>
    <row r="722" ht="15.75" customHeight="1">
      <c r="A722" s="203"/>
    </row>
    <row r="723" ht="15.75" customHeight="1">
      <c r="A723" s="203"/>
    </row>
    <row r="724" ht="15.75" customHeight="1">
      <c r="A724" s="203"/>
    </row>
    <row r="725" ht="15.75" customHeight="1">
      <c r="A725" s="203"/>
    </row>
    <row r="726" ht="15.75" customHeight="1">
      <c r="A726" s="203"/>
    </row>
    <row r="727" ht="15.75" customHeight="1">
      <c r="A727" s="203"/>
    </row>
    <row r="728" ht="15.75" customHeight="1">
      <c r="A728" s="203"/>
    </row>
    <row r="729" ht="15.75" customHeight="1">
      <c r="A729" s="203"/>
    </row>
    <row r="730" ht="15.75" customHeight="1">
      <c r="A730" s="203"/>
    </row>
    <row r="731" ht="15.75" customHeight="1">
      <c r="A731" s="203"/>
    </row>
    <row r="732" ht="15.75" customHeight="1">
      <c r="A732" s="203"/>
    </row>
    <row r="733" ht="15.75" customHeight="1">
      <c r="A733" s="203"/>
    </row>
    <row r="734" ht="15.75" customHeight="1">
      <c r="A734" s="203"/>
    </row>
    <row r="735" ht="15.75" customHeight="1">
      <c r="A735" s="203"/>
    </row>
    <row r="736" ht="15.75" customHeight="1">
      <c r="A736" s="203"/>
    </row>
    <row r="737" ht="15.75" customHeight="1">
      <c r="A737" s="203"/>
    </row>
    <row r="738" ht="15.75" customHeight="1">
      <c r="A738" s="203"/>
    </row>
    <row r="739" ht="15.75" customHeight="1">
      <c r="A739" s="203"/>
    </row>
    <row r="740" ht="15.75" customHeight="1">
      <c r="A740" s="203"/>
    </row>
    <row r="741" ht="15.75" customHeight="1">
      <c r="A741" s="203"/>
    </row>
    <row r="742" ht="15.75" customHeight="1">
      <c r="A742" s="203"/>
    </row>
    <row r="743" ht="15.75" customHeight="1">
      <c r="A743" s="203"/>
    </row>
    <row r="744" ht="15.75" customHeight="1">
      <c r="A744" s="203"/>
    </row>
    <row r="745" ht="15.75" customHeight="1">
      <c r="A745" s="203"/>
    </row>
    <row r="746" ht="15.75" customHeight="1">
      <c r="A746" s="203"/>
    </row>
    <row r="747" ht="15.75" customHeight="1">
      <c r="A747" s="203"/>
    </row>
    <row r="748" ht="15.75" customHeight="1">
      <c r="A748" s="203"/>
    </row>
    <row r="749" ht="15.75" customHeight="1">
      <c r="A749" s="203"/>
    </row>
    <row r="750" ht="15.75" customHeight="1">
      <c r="A750" s="203"/>
    </row>
    <row r="751" ht="15.75" customHeight="1">
      <c r="A751" s="203"/>
    </row>
    <row r="752" ht="15.75" customHeight="1">
      <c r="A752" s="203"/>
    </row>
    <row r="753" ht="15.75" customHeight="1">
      <c r="A753" s="203"/>
    </row>
    <row r="754" ht="15.75" customHeight="1">
      <c r="A754" s="203"/>
    </row>
    <row r="755" ht="15.75" customHeight="1">
      <c r="A755" s="203"/>
    </row>
    <row r="756" ht="15.75" customHeight="1">
      <c r="A756" s="203"/>
    </row>
    <row r="757" ht="15.75" customHeight="1">
      <c r="A757" s="203"/>
    </row>
    <row r="758" ht="15.75" customHeight="1">
      <c r="A758" s="203"/>
    </row>
    <row r="759" ht="15.75" customHeight="1">
      <c r="A759" s="203"/>
    </row>
    <row r="760" ht="15.75" customHeight="1">
      <c r="A760" s="203"/>
    </row>
    <row r="761" ht="15.75" customHeight="1">
      <c r="A761" s="203"/>
    </row>
    <row r="762" ht="15.75" customHeight="1">
      <c r="A762" s="203"/>
    </row>
    <row r="763" ht="15.75" customHeight="1">
      <c r="A763" s="203"/>
    </row>
    <row r="764" ht="15.75" customHeight="1">
      <c r="A764" s="203"/>
    </row>
    <row r="765" ht="15.75" customHeight="1">
      <c r="A765" s="203"/>
    </row>
    <row r="766" ht="15.75" customHeight="1">
      <c r="A766" s="203"/>
    </row>
    <row r="767" ht="15.75" customHeight="1">
      <c r="A767" s="203"/>
    </row>
    <row r="768" ht="15.75" customHeight="1">
      <c r="A768" s="203"/>
    </row>
    <row r="769" ht="15.75" customHeight="1">
      <c r="A769" s="203"/>
    </row>
    <row r="770" ht="15.75" customHeight="1">
      <c r="A770" s="203"/>
    </row>
    <row r="771" ht="15.75" customHeight="1">
      <c r="A771" s="203"/>
    </row>
    <row r="772" ht="15.75" customHeight="1">
      <c r="A772" s="203"/>
    </row>
    <row r="773" ht="15.75" customHeight="1">
      <c r="A773" s="203"/>
    </row>
    <row r="774" ht="15.75" customHeight="1">
      <c r="A774" s="203"/>
    </row>
    <row r="775" ht="15.75" customHeight="1">
      <c r="A775" s="203"/>
    </row>
    <row r="776" ht="15.75" customHeight="1">
      <c r="A776" s="203"/>
    </row>
    <row r="777" ht="15.75" customHeight="1">
      <c r="A777" s="203"/>
    </row>
    <row r="778" ht="15.75" customHeight="1">
      <c r="A778" s="203"/>
    </row>
    <row r="779" ht="15.75" customHeight="1">
      <c r="A779" s="203"/>
    </row>
    <row r="780" ht="15.75" customHeight="1">
      <c r="A780" s="203"/>
    </row>
    <row r="781" ht="15.75" customHeight="1">
      <c r="A781" s="203"/>
    </row>
    <row r="782" ht="15.75" customHeight="1">
      <c r="A782" s="203"/>
    </row>
    <row r="783" ht="15.75" customHeight="1">
      <c r="A783" s="203"/>
    </row>
    <row r="784" ht="15.75" customHeight="1">
      <c r="A784" s="203"/>
    </row>
    <row r="785" ht="15.75" customHeight="1">
      <c r="A785" s="203"/>
    </row>
    <row r="786" ht="15.75" customHeight="1">
      <c r="A786" s="203"/>
    </row>
    <row r="787" ht="15.75" customHeight="1">
      <c r="A787" s="203"/>
    </row>
    <row r="788" ht="15.75" customHeight="1">
      <c r="A788" s="203"/>
    </row>
    <row r="789" ht="15.75" customHeight="1">
      <c r="A789" s="203"/>
    </row>
    <row r="790" ht="15.75" customHeight="1">
      <c r="A790" s="203"/>
    </row>
    <row r="791" ht="15.75" customHeight="1">
      <c r="A791" s="203"/>
    </row>
    <row r="792" ht="15.75" customHeight="1">
      <c r="A792" s="203"/>
    </row>
    <row r="793" ht="15.75" customHeight="1">
      <c r="A793" s="203"/>
    </row>
    <row r="794" ht="15.75" customHeight="1">
      <c r="A794" s="203"/>
    </row>
    <row r="795" ht="15.75" customHeight="1">
      <c r="A795" s="203"/>
    </row>
    <row r="796" ht="15.75" customHeight="1">
      <c r="A796" s="203"/>
    </row>
    <row r="797" ht="15.75" customHeight="1">
      <c r="A797" s="203"/>
    </row>
    <row r="798" ht="15.75" customHeight="1">
      <c r="A798" s="203"/>
    </row>
    <row r="799" ht="15.75" customHeight="1">
      <c r="A799" s="203"/>
    </row>
    <row r="800" ht="15.75" customHeight="1">
      <c r="A800" s="203"/>
    </row>
    <row r="801" ht="15.75" customHeight="1">
      <c r="A801" s="203"/>
    </row>
    <row r="802" ht="15.75" customHeight="1">
      <c r="A802" s="203"/>
    </row>
    <row r="803" ht="15.75" customHeight="1">
      <c r="A803" s="203"/>
    </row>
    <row r="804" ht="15.75" customHeight="1">
      <c r="A804" s="203"/>
    </row>
    <row r="805" ht="15.75" customHeight="1">
      <c r="A805" s="203"/>
    </row>
    <row r="806" ht="15.75" customHeight="1">
      <c r="A806" s="203"/>
    </row>
    <row r="807" ht="15.75" customHeight="1">
      <c r="A807" s="203"/>
    </row>
    <row r="808" ht="15.75" customHeight="1">
      <c r="A808" s="203"/>
    </row>
    <row r="809" ht="15.75" customHeight="1">
      <c r="A809" s="203"/>
    </row>
    <row r="810" ht="15.75" customHeight="1">
      <c r="A810" s="203"/>
    </row>
    <row r="811" ht="15.75" customHeight="1">
      <c r="A811" s="203"/>
    </row>
    <row r="812" ht="15.75" customHeight="1">
      <c r="A812" s="203"/>
    </row>
    <row r="813" ht="15.75" customHeight="1">
      <c r="A813" s="203"/>
    </row>
    <row r="814" ht="15.75" customHeight="1">
      <c r="A814" s="203"/>
    </row>
    <row r="815" ht="15.75" customHeight="1">
      <c r="A815" s="203"/>
    </row>
    <row r="816" ht="15.75" customHeight="1">
      <c r="A816" s="203"/>
    </row>
    <row r="817" ht="15.75" customHeight="1">
      <c r="A817" s="203"/>
    </row>
    <row r="818" ht="15.75" customHeight="1">
      <c r="A818" s="203"/>
    </row>
    <row r="819" ht="15.75" customHeight="1">
      <c r="A819" s="203"/>
    </row>
    <row r="820" ht="15.75" customHeight="1">
      <c r="A820" s="203"/>
    </row>
    <row r="821" ht="15.75" customHeight="1">
      <c r="A821" s="203"/>
    </row>
    <row r="822" ht="15.75" customHeight="1">
      <c r="A822" s="203"/>
    </row>
    <row r="823" ht="15.75" customHeight="1">
      <c r="A823" s="203"/>
    </row>
    <row r="824" ht="15.75" customHeight="1">
      <c r="A824" s="203"/>
    </row>
    <row r="825" ht="15.75" customHeight="1">
      <c r="A825" s="203"/>
    </row>
    <row r="826" ht="15.75" customHeight="1">
      <c r="A826" s="203"/>
    </row>
    <row r="827" ht="15.75" customHeight="1">
      <c r="A827" s="203"/>
    </row>
    <row r="828" ht="15.75" customHeight="1">
      <c r="A828" s="203"/>
    </row>
    <row r="829" ht="15.75" customHeight="1">
      <c r="A829" s="203"/>
    </row>
    <row r="830" ht="15.75" customHeight="1">
      <c r="A830" s="203"/>
    </row>
    <row r="831" ht="15.75" customHeight="1">
      <c r="A831" s="203"/>
    </row>
    <row r="832" ht="15.75" customHeight="1">
      <c r="A832" s="203"/>
    </row>
    <row r="833" ht="15.75" customHeight="1">
      <c r="A833" s="203"/>
    </row>
    <row r="834" ht="15.75" customHeight="1">
      <c r="A834" s="203"/>
    </row>
    <row r="835" ht="15.75" customHeight="1">
      <c r="A835" s="203"/>
    </row>
    <row r="836" ht="15.75" customHeight="1">
      <c r="A836" s="203"/>
    </row>
    <row r="837" ht="15.75" customHeight="1">
      <c r="A837" s="203"/>
    </row>
    <row r="838" ht="15.75" customHeight="1">
      <c r="A838" s="203"/>
    </row>
    <row r="839" ht="15.75" customHeight="1">
      <c r="A839" s="203"/>
    </row>
    <row r="840" ht="15.75" customHeight="1">
      <c r="A840" s="203"/>
    </row>
    <row r="841" ht="15.75" customHeight="1">
      <c r="A841" s="203"/>
    </row>
    <row r="842" ht="15.75" customHeight="1">
      <c r="A842" s="203"/>
    </row>
    <row r="843" ht="15.75" customHeight="1">
      <c r="A843" s="203"/>
    </row>
    <row r="844" ht="15.75" customHeight="1">
      <c r="A844" s="203"/>
    </row>
    <row r="845" ht="15.75" customHeight="1">
      <c r="A845" s="203"/>
    </row>
    <row r="846" ht="15.75" customHeight="1">
      <c r="A846" s="203"/>
    </row>
    <row r="847" ht="15.75" customHeight="1">
      <c r="A847" s="203"/>
    </row>
    <row r="848" ht="15.75" customHeight="1">
      <c r="A848" s="203"/>
    </row>
    <row r="849" ht="15.75" customHeight="1">
      <c r="A849" s="203"/>
    </row>
    <row r="850" ht="15.75" customHeight="1">
      <c r="A850" s="203"/>
    </row>
    <row r="851" ht="15.75" customHeight="1">
      <c r="A851" s="203"/>
    </row>
    <row r="852" ht="15.75" customHeight="1">
      <c r="A852" s="203"/>
    </row>
    <row r="853" ht="15.75" customHeight="1">
      <c r="A853" s="203"/>
    </row>
    <row r="854" ht="15.75" customHeight="1">
      <c r="A854" s="203"/>
    </row>
    <row r="855" ht="15.75" customHeight="1">
      <c r="A855" s="203"/>
    </row>
    <row r="856" ht="15.75" customHeight="1">
      <c r="A856" s="203"/>
    </row>
    <row r="857" ht="15.75" customHeight="1">
      <c r="A857" s="203"/>
    </row>
    <row r="858" ht="15.75" customHeight="1">
      <c r="A858" s="203"/>
    </row>
    <row r="859" ht="15.75" customHeight="1">
      <c r="A859" s="203"/>
    </row>
    <row r="860" ht="15.75" customHeight="1">
      <c r="A860" s="203"/>
    </row>
    <row r="861" ht="15.75" customHeight="1">
      <c r="A861" s="203"/>
    </row>
    <row r="862" ht="15.75" customHeight="1">
      <c r="A862" s="203"/>
    </row>
    <row r="863" ht="15.75" customHeight="1">
      <c r="A863" s="203"/>
    </row>
    <row r="864" ht="15.75" customHeight="1">
      <c r="A864" s="203"/>
    </row>
    <row r="865" ht="15.75" customHeight="1">
      <c r="A865" s="203"/>
    </row>
    <row r="866" ht="15.75" customHeight="1">
      <c r="A866" s="203"/>
    </row>
    <row r="867" ht="15.75" customHeight="1">
      <c r="A867" s="203"/>
    </row>
    <row r="868" ht="15.75" customHeight="1">
      <c r="A868" s="203"/>
    </row>
    <row r="869" ht="15.75" customHeight="1">
      <c r="A869" s="203"/>
    </row>
    <row r="870" ht="15.75" customHeight="1">
      <c r="A870" s="203"/>
    </row>
    <row r="871" ht="15.75" customHeight="1">
      <c r="A871" s="203"/>
    </row>
    <row r="872" ht="15.75" customHeight="1">
      <c r="A872" s="203"/>
    </row>
    <row r="873" ht="15.75" customHeight="1">
      <c r="A873" s="203"/>
    </row>
    <row r="874" ht="15.75" customHeight="1">
      <c r="A874" s="203"/>
    </row>
    <row r="875" ht="15.75" customHeight="1">
      <c r="A875" s="203"/>
    </row>
    <row r="876" ht="15.75" customHeight="1">
      <c r="A876" s="203"/>
    </row>
    <row r="877" ht="15.75" customHeight="1">
      <c r="A877" s="203"/>
    </row>
    <row r="878" ht="15.75" customHeight="1">
      <c r="A878" s="203"/>
    </row>
    <row r="879" ht="15.75" customHeight="1">
      <c r="A879" s="203"/>
    </row>
    <row r="880" ht="15.75" customHeight="1">
      <c r="A880" s="203"/>
    </row>
    <row r="881" ht="15.75" customHeight="1">
      <c r="A881" s="203"/>
    </row>
    <row r="882" ht="15.75" customHeight="1">
      <c r="A882" s="203"/>
    </row>
    <row r="883" ht="15.75" customHeight="1">
      <c r="A883" s="203"/>
    </row>
    <row r="884" ht="15.75" customHeight="1">
      <c r="A884" s="203"/>
    </row>
    <row r="885" ht="15.75" customHeight="1">
      <c r="A885" s="203"/>
    </row>
    <row r="886" ht="15.75" customHeight="1">
      <c r="A886" s="203"/>
    </row>
    <row r="887" ht="15.75" customHeight="1">
      <c r="A887" s="203"/>
    </row>
    <row r="888" ht="15.75" customHeight="1">
      <c r="A888" s="203"/>
    </row>
    <row r="889" ht="15.75" customHeight="1">
      <c r="A889" s="203"/>
    </row>
    <row r="890" ht="15.75" customHeight="1">
      <c r="A890" s="203"/>
    </row>
    <row r="891" ht="15.75" customHeight="1">
      <c r="A891" s="203"/>
    </row>
    <row r="892" ht="15.75" customHeight="1">
      <c r="A892" s="203"/>
    </row>
    <row r="893" ht="15.75" customHeight="1">
      <c r="A893" s="203"/>
    </row>
    <row r="894" ht="15.75" customHeight="1">
      <c r="A894" s="203"/>
    </row>
    <row r="895" ht="15.75" customHeight="1">
      <c r="A895" s="203"/>
    </row>
    <row r="896" ht="15.75" customHeight="1">
      <c r="A896" s="203"/>
    </row>
    <row r="897" ht="15.75" customHeight="1">
      <c r="A897" s="203"/>
    </row>
    <row r="898" ht="15.75" customHeight="1">
      <c r="A898" s="203"/>
    </row>
    <row r="899" ht="15.75" customHeight="1">
      <c r="A899" s="203"/>
    </row>
    <row r="900" ht="15.75" customHeight="1">
      <c r="A900" s="203"/>
    </row>
    <row r="901" ht="15.75" customHeight="1">
      <c r="A901" s="203"/>
    </row>
    <row r="902" ht="15.75" customHeight="1">
      <c r="A902" s="203"/>
    </row>
    <row r="903" ht="15.75" customHeight="1">
      <c r="A903" s="203"/>
    </row>
    <row r="904" ht="15.75" customHeight="1">
      <c r="A904" s="203"/>
    </row>
    <row r="905" ht="15.75" customHeight="1">
      <c r="A905" s="203"/>
    </row>
    <row r="906" ht="15.75" customHeight="1">
      <c r="A906" s="203"/>
    </row>
    <row r="907" ht="15.75" customHeight="1">
      <c r="A907" s="203"/>
    </row>
    <row r="908" ht="15.75" customHeight="1">
      <c r="A908" s="203"/>
    </row>
    <row r="909" ht="15.75" customHeight="1">
      <c r="A909" s="203"/>
    </row>
    <row r="910" ht="15.75" customHeight="1">
      <c r="A910" s="203"/>
    </row>
    <row r="911" ht="15.75" customHeight="1">
      <c r="A911" s="203"/>
    </row>
    <row r="912" ht="15.75" customHeight="1">
      <c r="A912" s="203"/>
    </row>
    <row r="913" ht="15.75" customHeight="1">
      <c r="A913" s="203"/>
    </row>
    <row r="914" ht="15.75" customHeight="1">
      <c r="A914" s="203"/>
    </row>
    <row r="915" ht="15.75" customHeight="1">
      <c r="A915" s="203"/>
    </row>
    <row r="916" ht="15.75" customHeight="1">
      <c r="A916" s="203"/>
    </row>
    <row r="917" ht="15.75" customHeight="1">
      <c r="A917" s="203"/>
    </row>
    <row r="918" ht="15.75" customHeight="1">
      <c r="A918" s="203"/>
    </row>
    <row r="919" ht="15.75" customHeight="1">
      <c r="A919" s="203"/>
    </row>
    <row r="920" ht="15.75" customHeight="1">
      <c r="A920" s="203"/>
    </row>
    <row r="921" ht="15.75" customHeight="1">
      <c r="A921" s="203"/>
    </row>
    <row r="922" ht="15.75" customHeight="1">
      <c r="A922" s="203"/>
    </row>
    <row r="923" ht="15.75" customHeight="1">
      <c r="A923" s="203"/>
    </row>
    <row r="924" ht="15.75" customHeight="1">
      <c r="A924" s="203"/>
    </row>
    <row r="925" ht="15.75" customHeight="1">
      <c r="A925" s="203"/>
    </row>
    <row r="926" ht="15.75" customHeight="1">
      <c r="A926" s="203"/>
    </row>
    <row r="927" ht="15.75" customHeight="1">
      <c r="A927" s="203"/>
    </row>
    <row r="928" ht="15.75" customHeight="1">
      <c r="A928" s="203"/>
    </row>
    <row r="929" ht="15.75" customHeight="1">
      <c r="A929" s="203"/>
    </row>
    <row r="930" ht="15.75" customHeight="1">
      <c r="A930" s="203"/>
    </row>
    <row r="931" ht="15.75" customHeight="1">
      <c r="A931" s="203"/>
    </row>
    <row r="932" ht="15.75" customHeight="1">
      <c r="A932" s="203"/>
    </row>
    <row r="933" ht="15.75" customHeight="1">
      <c r="A933" s="203"/>
    </row>
    <row r="934" ht="15.75" customHeight="1">
      <c r="A934" s="203"/>
    </row>
    <row r="935" ht="15.75" customHeight="1">
      <c r="A935" s="203"/>
    </row>
    <row r="936" ht="15.75" customHeight="1">
      <c r="A936" s="203"/>
    </row>
    <row r="937" ht="15.75" customHeight="1">
      <c r="A937" s="203"/>
    </row>
    <row r="938" ht="15.75" customHeight="1">
      <c r="A938" s="203"/>
    </row>
    <row r="939" ht="15.75" customHeight="1">
      <c r="A939" s="203"/>
    </row>
    <row r="940" ht="15.75" customHeight="1">
      <c r="A940" s="203"/>
    </row>
    <row r="941" ht="15.75" customHeight="1">
      <c r="A941" s="203"/>
    </row>
    <row r="942" ht="15.75" customHeight="1">
      <c r="A942" s="203"/>
    </row>
    <row r="943" ht="15.75" customHeight="1">
      <c r="A943" s="203"/>
    </row>
    <row r="944" ht="15.75" customHeight="1">
      <c r="A944" s="203"/>
    </row>
    <row r="945" ht="15.75" customHeight="1">
      <c r="A945" s="203"/>
    </row>
    <row r="946" ht="15.75" customHeight="1">
      <c r="A946" s="203"/>
    </row>
    <row r="947" ht="15.75" customHeight="1">
      <c r="A947" s="203"/>
    </row>
    <row r="948" ht="15.75" customHeight="1">
      <c r="A948" s="203"/>
    </row>
    <row r="949" ht="15.75" customHeight="1">
      <c r="A949" s="203"/>
    </row>
    <row r="950" ht="15.75" customHeight="1">
      <c r="A950" s="203"/>
    </row>
    <row r="951" ht="15.75" customHeight="1">
      <c r="A951" s="203"/>
    </row>
    <row r="952" ht="15.75" customHeight="1">
      <c r="A952" s="203"/>
    </row>
    <row r="953" ht="15.75" customHeight="1">
      <c r="A953" s="203"/>
    </row>
    <row r="954" ht="15.75" customHeight="1">
      <c r="A954" s="203"/>
    </row>
    <row r="955" ht="15.75" customHeight="1">
      <c r="A955" s="203"/>
    </row>
    <row r="956" ht="15.75" customHeight="1">
      <c r="A956" s="203"/>
    </row>
    <row r="957" ht="15.75" customHeight="1">
      <c r="A957" s="203"/>
    </row>
    <row r="958" ht="15.75" customHeight="1">
      <c r="A958" s="203"/>
    </row>
    <row r="959" ht="15.75" customHeight="1">
      <c r="A959" s="203"/>
    </row>
    <row r="960" ht="15.75" customHeight="1">
      <c r="A960" s="20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20.14"/>
    <col customWidth="1" min="4" max="4" width="37.14"/>
    <col customWidth="1" min="5" max="5" width="26.0"/>
    <col customWidth="1" min="6" max="10" width="8.71"/>
  </cols>
  <sheetData>
    <row r="1" ht="28.5" customHeight="1">
      <c r="A1" s="356" t="s">
        <v>0</v>
      </c>
      <c r="B1" s="356" t="s">
        <v>991</v>
      </c>
      <c r="C1" s="356" t="s">
        <v>2</v>
      </c>
      <c r="D1" s="356" t="s">
        <v>992</v>
      </c>
      <c r="E1" s="356" t="s">
        <v>993</v>
      </c>
      <c r="F1" s="22"/>
      <c r="G1" s="22"/>
      <c r="H1" s="22"/>
      <c r="I1" s="22"/>
      <c r="J1" s="22"/>
    </row>
    <row r="2" ht="17.25" customHeight="1">
      <c r="A2" s="51">
        <v>45132.0</v>
      </c>
      <c r="B2" s="51" t="s">
        <v>994</v>
      </c>
      <c r="C2" s="11" t="s">
        <v>995</v>
      </c>
      <c r="D2" s="357"/>
      <c r="E2" s="62">
        <v>310000.0</v>
      </c>
      <c r="F2" s="22"/>
      <c r="G2" s="22"/>
      <c r="H2" s="22"/>
      <c r="I2" s="22"/>
      <c r="J2" s="22"/>
    </row>
    <row r="3" ht="12.75" customHeight="1">
      <c r="A3" s="51">
        <v>45132.0</v>
      </c>
      <c r="B3" s="51"/>
      <c r="C3" s="11"/>
      <c r="D3" s="357"/>
      <c r="E3" s="62">
        <v>24000.0</v>
      </c>
      <c r="F3" s="22"/>
      <c r="G3" s="22"/>
      <c r="H3" s="22"/>
      <c r="I3" s="22"/>
      <c r="J3" s="22"/>
    </row>
    <row r="4">
      <c r="A4" s="22"/>
      <c r="B4" s="22"/>
      <c r="C4" s="22"/>
      <c r="D4" s="22"/>
      <c r="E4" s="358">
        <f>SUM(E2:E3)</f>
        <v>334000</v>
      </c>
      <c r="F4" s="22"/>
      <c r="G4" s="22"/>
      <c r="H4" s="22"/>
      <c r="I4" s="22"/>
      <c r="J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</row>
    <row r="6" ht="29.25" customHeight="1">
      <c r="A6" s="356" t="s">
        <v>0</v>
      </c>
      <c r="B6" s="356" t="s">
        <v>991</v>
      </c>
      <c r="C6" s="356" t="s">
        <v>2</v>
      </c>
      <c r="D6" s="356" t="s">
        <v>992</v>
      </c>
      <c r="E6" s="356" t="s">
        <v>993</v>
      </c>
      <c r="F6" s="22"/>
      <c r="G6" s="22"/>
      <c r="H6" s="22"/>
      <c r="I6" s="22"/>
      <c r="J6" s="22"/>
    </row>
    <row r="7" ht="18.0" customHeight="1">
      <c r="A7" s="359">
        <v>45139.0</v>
      </c>
      <c r="B7" s="359"/>
      <c r="C7" s="360"/>
      <c r="D7" s="360" t="s">
        <v>996</v>
      </c>
      <c r="E7" s="361">
        <v>570000.0</v>
      </c>
      <c r="F7" s="22"/>
      <c r="G7" s="22"/>
      <c r="H7" s="22"/>
      <c r="I7" s="22"/>
      <c r="J7" s="22"/>
    </row>
    <row r="8">
      <c r="A8" s="51">
        <v>45140.0</v>
      </c>
      <c r="B8" s="51"/>
      <c r="C8" s="357"/>
      <c r="D8" s="357" t="s">
        <v>997</v>
      </c>
      <c r="E8" s="62">
        <v>1350000.0</v>
      </c>
      <c r="F8" s="22"/>
      <c r="G8" s="22"/>
      <c r="H8" s="22"/>
      <c r="I8" s="22"/>
      <c r="J8" s="22"/>
    </row>
    <row r="9">
      <c r="A9" s="51">
        <v>45148.0</v>
      </c>
      <c r="B9" s="51"/>
      <c r="C9" s="357"/>
      <c r="D9" s="357" t="s">
        <v>998</v>
      </c>
      <c r="E9" s="62">
        <v>1230000.0</v>
      </c>
      <c r="F9" s="22"/>
      <c r="G9" s="22"/>
      <c r="H9" s="22"/>
      <c r="I9" s="22"/>
      <c r="J9" s="22"/>
    </row>
    <row r="10">
      <c r="A10" s="51">
        <v>45160.0</v>
      </c>
      <c r="B10" s="51" t="s">
        <v>999</v>
      </c>
      <c r="C10" s="11" t="s">
        <v>1000</v>
      </c>
      <c r="D10" s="357" t="s">
        <v>1001</v>
      </c>
      <c r="E10" s="62">
        <v>925000.0</v>
      </c>
      <c r="F10" s="22"/>
      <c r="G10" s="22"/>
      <c r="H10" s="22"/>
      <c r="I10" s="22"/>
      <c r="J10" s="22"/>
    </row>
    <row r="11">
      <c r="A11" s="51">
        <v>45160.0</v>
      </c>
      <c r="B11" s="51"/>
      <c r="C11" s="11" t="s">
        <v>62</v>
      </c>
      <c r="D11" s="357" t="s">
        <v>1002</v>
      </c>
      <c r="E11" s="62">
        <v>300000.0</v>
      </c>
      <c r="F11" s="22"/>
      <c r="G11" s="22"/>
      <c r="H11" s="22"/>
      <c r="I11" s="22"/>
      <c r="J11" s="22"/>
    </row>
    <row r="12">
      <c r="A12" s="22"/>
      <c r="B12" s="22"/>
      <c r="C12" s="22"/>
      <c r="D12" s="22"/>
      <c r="E12" s="358">
        <f>SUM(E7:E11)</f>
        <v>4375000</v>
      </c>
      <c r="F12" s="22"/>
      <c r="G12" s="22"/>
      <c r="H12" s="22"/>
      <c r="I12" s="22"/>
      <c r="J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ht="36.75" customHeight="1">
      <c r="A14" s="356" t="s">
        <v>0</v>
      </c>
      <c r="B14" s="356" t="s">
        <v>991</v>
      </c>
      <c r="C14" s="356" t="s">
        <v>2</v>
      </c>
      <c r="D14" s="356" t="s">
        <v>992</v>
      </c>
      <c r="E14" s="356" t="s">
        <v>993</v>
      </c>
      <c r="F14" s="22"/>
      <c r="G14" s="22"/>
      <c r="H14" s="22"/>
      <c r="I14" s="22"/>
      <c r="J14" s="22"/>
    </row>
    <row r="15">
      <c r="A15" s="51">
        <v>45211.0</v>
      </c>
      <c r="B15" s="51"/>
      <c r="C15" s="357" t="s">
        <v>1003</v>
      </c>
      <c r="D15" s="11" t="s">
        <v>1004</v>
      </c>
      <c r="E15" s="62">
        <v>50000.0</v>
      </c>
      <c r="F15" s="22"/>
      <c r="G15" s="22"/>
      <c r="H15" s="22"/>
      <c r="I15" s="22"/>
      <c r="J15" s="22"/>
    </row>
    <row r="16">
      <c r="A16" s="51">
        <v>45223.0</v>
      </c>
      <c r="B16" s="51"/>
      <c r="C16" s="357"/>
      <c r="D16" s="357" t="s">
        <v>1005</v>
      </c>
      <c r="E16" s="62">
        <v>2025000.0</v>
      </c>
      <c r="F16" s="22"/>
      <c r="G16" s="22"/>
      <c r="H16" s="22"/>
      <c r="I16" s="22"/>
      <c r="J16" s="22"/>
    </row>
    <row r="17">
      <c r="A17" s="22"/>
      <c r="B17" s="22"/>
      <c r="C17" s="22"/>
      <c r="D17" s="22"/>
      <c r="E17" s="358">
        <f>SUM(E15:E16)</f>
        <v>2075000</v>
      </c>
    </row>
    <row r="18">
      <c r="A18" s="22"/>
      <c r="B18" s="22"/>
      <c r="C18" s="22"/>
      <c r="D18" s="22"/>
      <c r="E18" s="22"/>
    </row>
    <row r="19" ht="21.75" customHeight="1">
      <c r="A19" s="356" t="s">
        <v>0</v>
      </c>
      <c r="B19" s="356"/>
      <c r="C19" s="356" t="s">
        <v>2</v>
      </c>
      <c r="D19" s="356" t="s">
        <v>992</v>
      </c>
      <c r="E19" s="356" t="s">
        <v>993</v>
      </c>
    </row>
    <row r="20">
      <c r="A20" s="51">
        <v>45231.0</v>
      </c>
      <c r="B20" s="11"/>
      <c r="C20" s="357"/>
      <c r="D20" s="357" t="s">
        <v>1006</v>
      </c>
      <c r="E20" s="62">
        <v>1350000.0</v>
      </c>
    </row>
    <row r="21" ht="15.75" customHeight="1">
      <c r="E21" s="358">
        <f>SUM(E20)</f>
        <v>1350000</v>
      </c>
    </row>
    <row r="22" ht="15.75" customHeight="1"/>
    <row r="23" ht="21.75" customHeight="1">
      <c r="A23" s="356" t="s">
        <v>0</v>
      </c>
      <c r="B23" s="356"/>
      <c r="C23" s="356" t="s">
        <v>2</v>
      </c>
      <c r="D23" s="356" t="s">
        <v>992</v>
      </c>
      <c r="E23" s="356" t="s">
        <v>993</v>
      </c>
    </row>
    <row r="24" ht="15.75" customHeight="1">
      <c r="A24" s="362">
        <v>45317.0</v>
      </c>
      <c r="B24" s="357"/>
      <c r="C24" s="357"/>
      <c r="D24" s="62" t="s">
        <v>1007</v>
      </c>
      <c r="E24" s="62">
        <v>52000.0</v>
      </c>
    </row>
    <row r="25" ht="15.75" customHeight="1">
      <c r="A25" s="357"/>
      <c r="B25" s="357"/>
      <c r="C25" s="357"/>
      <c r="D25" s="62" t="s">
        <v>1008</v>
      </c>
      <c r="E25" s="62">
        <v>50000.0</v>
      </c>
    </row>
    <row r="26" ht="15.75" customHeight="1">
      <c r="A26" s="357"/>
      <c r="B26" s="357"/>
      <c r="C26" s="357"/>
      <c r="D26" s="357" t="s">
        <v>1009</v>
      </c>
      <c r="E26" s="62">
        <v>5000000.0</v>
      </c>
    </row>
    <row r="27" ht="15.75" customHeight="1">
      <c r="A27" s="357"/>
      <c r="B27" s="357"/>
      <c r="C27" s="357"/>
      <c r="D27" s="357" t="s">
        <v>1010</v>
      </c>
      <c r="E27" s="62">
        <v>3200000.0</v>
      </c>
    </row>
    <row r="28" ht="15.75" customHeight="1">
      <c r="E28" s="358">
        <f>SUM(E24:E27)</f>
        <v>8302000</v>
      </c>
    </row>
    <row r="29" ht="15.75" customHeight="1">
      <c r="E29" s="363"/>
    </row>
    <row r="30" ht="27.75" customHeight="1">
      <c r="A30" s="356" t="s">
        <v>0</v>
      </c>
      <c r="B30" s="356"/>
      <c r="C30" s="356" t="s">
        <v>2</v>
      </c>
      <c r="D30" s="356" t="s">
        <v>992</v>
      </c>
      <c r="E30" s="356" t="s">
        <v>993</v>
      </c>
    </row>
    <row r="31" ht="15.75" customHeight="1">
      <c r="A31" s="362">
        <v>45359.0</v>
      </c>
      <c r="B31" s="357"/>
      <c r="C31" s="357"/>
      <c r="D31" s="357" t="s">
        <v>1011</v>
      </c>
      <c r="E31" s="62">
        <v>1127500.0</v>
      </c>
    </row>
    <row r="32" ht="15.75" customHeight="1">
      <c r="E32" s="358">
        <f>SUM(E31)</f>
        <v>1127500</v>
      </c>
    </row>
    <row r="33" ht="15.75" customHeight="1"/>
    <row r="34" ht="15.75" customHeight="1"/>
    <row r="35" ht="27.75" customHeight="1">
      <c r="A35" s="356" t="s">
        <v>0</v>
      </c>
      <c r="B35" s="356"/>
      <c r="C35" s="356" t="s">
        <v>2</v>
      </c>
      <c r="D35" s="356" t="s">
        <v>992</v>
      </c>
      <c r="E35" s="356" t="s">
        <v>993</v>
      </c>
    </row>
    <row r="36" ht="15.75" customHeight="1">
      <c r="A36" s="364">
        <v>45601.0</v>
      </c>
      <c r="B36" s="365"/>
      <c r="C36" s="365" t="s">
        <v>1012</v>
      </c>
      <c r="D36" s="365" t="s">
        <v>1013</v>
      </c>
      <c r="E36" s="366">
        <v>150000.0</v>
      </c>
    </row>
    <row r="37" ht="15.75" customHeight="1">
      <c r="E37" s="358">
        <f>SUM(E36)</f>
        <v>150000</v>
      </c>
    </row>
    <row r="38" ht="15.75" customHeight="1"/>
    <row r="39" ht="15.75" customHeight="1"/>
    <row r="40" ht="15.75" customHeight="1">
      <c r="A40" s="356" t="s">
        <v>0</v>
      </c>
      <c r="B40" s="356"/>
      <c r="C40" s="356" t="s">
        <v>2</v>
      </c>
      <c r="D40" s="356" t="s">
        <v>992</v>
      </c>
      <c r="E40" s="356" t="s">
        <v>993</v>
      </c>
    </row>
    <row r="41" ht="15.75" customHeight="1">
      <c r="A41" s="362">
        <v>45630.0</v>
      </c>
      <c r="B41" s="357"/>
      <c r="C41" s="357"/>
      <c r="D41" s="357" t="s">
        <v>1011</v>
      </c>
      <c r="E41" s="62">
        <v>1127500.0</v>
      </c>
    </row>
    <row r="42" ht="15.75" customHeight="1">
      <c r="E42" s="358">
        <f>SUM(E41)</f>
        <v>1127500</v>
      </c>
    </row>
    <row r="43" ht="15.75" customHeight="1"/>
    <row r="44" ht="15.75" customHeight="1">
      <c r="A44" s="356" t="s">
        <v>0</v>
      </c>
      <c r="B44" s="356"/>
      <c r="C44" s="356" t="s">
        <v>2</v>
      </c>
      <c r="D44" s="356" t="s">
        <v>992</v>
      </c>
      <c r="E44" s="356" t="s">
        <v>993</v>
      </c>
    </row>
    <row r="45" ht="15.75" customHeight="1">
      <c r="A45" s="367">
        <v>45692.0</v>
      </c>
      <c r="B45" s="357"/>
      <c r="C45" s="357"/>
      <c r="D45" s="368" t="s">
        <v>1014</v>
      </c>
      <c r="E45" s="369">
        <v>1125000.0</v>
      </c>
    </row>
    <row r="46" ht="15.75" customHeight="1">
      <c r="A46" s="370"/>
      <c r="B46" s="357"/>
      <c r="C46" s="357"/>
      <c r="D46" s="368" t="s">
        <v>1015</v>
      </c>
      <c r="E46" s="369">
        <v>2500.0</v>
      </c>
    </row>
    <row r="47" ht="15.75" customHeight="1">
      <c r="E47" s="358">
        <f>SUM(E45:E46)</f>
        <v>1127500</v>
      </c>
    </row>
    <row r="48" ht="15.75" customHeight="1"/>
    <row r="49" ht="15.75" customHeight="1">
      <c r="A49" s="356" t="s">
        <v>0</v>
      </c>
      <c r="B49" s="356"/>
      <c r="C49" s="356" t="s">
        <v>2</v>
      </c>
      <c r="D49" s="356" t="s">
        <v>992</v>
      </c>
      <c r="E49" s="356" t="s">
        <v>993</v>
      </c>
    </row>
    <row r="50" ht="15.75" customHeight="1">
      <c r="A50" s="367">
        <v>45783.0</v>
      </c>
      <c r="B50" s="357"/>
      <c r="C50" s="357"/>
      <c r="D50" s="368" t="s">
        <v>1016</v>
      </c>
      <c r="E50" s="369">
        <v>1125000.0</v>
      </c>
    </row>
    <row r="51" ht="15.75" customHeight="1">
      <c r="A51" s="370"/>
      <c r="B51" s="357"/>
      <c r="C51" s="357"/>
      <c r="D51" s="368" t="s">
        <v>1015</v>
      </c>
      <c r="E51" s="369">
        <v>2500.0</v>
      </c>
    </row>
    <row r="52" ht="15.75" customHeight="1">
      <c r="E52" s="358">
        <f>SUM(E50:E51)</f>
        <v>1127500</v>
      </c>
    </row>
    <row r="53" ht="15.75" customHeight="1"/>
    <row r="54" ht="15.75" customHeight="1">
      <c r="A54" s="356" t="s">
        <v>0</v>
      </c>
      <c r="B54" s="356"/>
      <c r="C54" s="356" t="s">
        <v>2</v>
      </c>
      <c r="D54" s="356" t="s">
        <v>992</v>
      </c>
      <c r="E54" s="356" t="s">
        <v>993</v>
      </c>
    </row>
    <row r="55" ht="15.75" customHeight="1">
      <c r="A55" s="367">
        <v>45875.0</v>
      </c>
      <c r="B55" s="357"/>
      <c r="C55" s="357"/>
      <c r="D55" s="368" t="s">
        <v>1017</v>
      </c>
      <c r="E55" s="369">
        <v>1125000.0</v>
      </c>
    </row>
    <row r="56" ht="15.75" customHeight="1">
      <c r="A56" s="370"/>
      <c r="B56" s="357"/>
      <c r="C56" s="357"/>
      <c r="D56" s="368" t="s">
        <v>1015</v>
      </c>
      <c r="E56" s="369">
        <v>2500.0</v>
      </c>
    </row>
    <row r="57" ht="15.75" customHeight="1">
      <c r="E57" s="358">
        <f>SUM(E55:E56)</f>
        <v>1127500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45:A46"/>
    <mergeCell ref="A50:A51"/>
    <mergeCell ref="A55:A5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16.29"/>
    <col customWidth="1" min="4" max="4" width="12.43"/>
    <col customWidth="1" min="5" max="5" width="16.86"/>
    <col customWidth="1" min="6" max="6" width="29.14"/>
    <col customWidth="1" min="7" max="7" width="15.43"/>
    <col customWidth="1" min="8" max="8" width="17.29"/>
    <col customWidth="1" min="9" max="9" width="8.71"/>
    <col customWidth="1" min="10" max="10" width="17.29"/>
    <col customWidth="1" min="11" max="11" width="13.29"/>
    <col customWidth="1" min="12" max="12" width="16.71"/>
    <col customWidth="1" min="13" max="13" width="15.43"/>
    <col customWidth="1" min="14" max="14" width="20.57"/>
    <col customWidth="1" min="15" max="19" width="8.71"/>
  </cols>
  <sheetData>
    <row r="1">
      <c r="A1" s="89"/>
      <c r="B1" s="89" t="s">
        <v>0</v>
      </c>
      <c r="C1" s="89" t="s">
        <v>1</v>
      </c>
      <c r="D1" s="89" t="s">
        <v>2</v>
      </c>
      <c r="E1" s="90" t="s">
        <v>3</v>
      </c>
      <c r="F1" s="89" t="s">
        <v>4</v>
      </c>
      <c r="G1" s="91" t="s">
        <v>5</v>
      </c>
      <c r="H1" s="120" t="s">
        <v>6</v>
      </c>
      <c r="I1" s="92" t="s">
        <v>39</v>
      </c>
      <c r="J1" s="120" t="s">
        <v>7</v>
      </c>
      <c r="K1" s="91" t="s">
        <v>39</v>
      </c>
      <c r="L1" s="92" t="s">
        <v>8</v>
      </c>
      <c r="M1" s="120" t="s">
        <v>9</v>
      </c>
    </row>
    <row r="2">
      <c r="A2" s="86"/>
      <c r="B2" s="86">
        <v>45556.0</v>
      </c>
      <c r="C2" s="17"/>
      <c r="D2" s="17"/>
      <c r="E2" s="17"/>
      <c r="F2" s="17"/>
      <c r="G2" s="87"/>
      <c r="H2" s="101"/>
      <c r="I2" s="97"/>
      <c r="J2" s="104"/>
      <c r="K2" s="17"/>
      <c r="L2" s="61"/>
      <c r="M2" s="104"/>
    </row>
    <row r="3">
      <c r="A3" s="86"/>
      <c r="C3" s="17"/>
      <c r="D3" s="17"/>
      <c r="E3" s="17"/>
      <c r="F3" s="17"/>
      <c r="G3" s="87"/>
      <c r="H3" s="101"/>
      <c r="I3" s="97"/>
      <c r="J3" s="104"/>
      <c r="K3" s="17"/>
      <c r="L3" s="61"/>
      <c r="M3" s="104"/>
    </row>
    <row r="4">
      <c r="A4" s="86"/>
      <c r="B4" s="86"/>
      <c r="C4" s="17"/>
      <c r="D4" s="17"/>
      <c r="E4" s="17"/>
      <c r="F4" s="17"/>
      <c r="G4" s="87"/>
      <c r="H4" s="101"/>
      <c r="I4" s="97"/>
      <c r="J4" s="104"/>
      <c r="K4" s="17"/>
      <c r="L4" s="61"/>
      <c r="M4" s="104"/>
    </row>
    <row r="5">
      <c r="A5" s="86"/>
      <c r="B5" s="86"/>
      <c r="C5" s="17"/>
      <c r="D5" s="17"/>
      <c r="E5" s="17"/>
      <c r="F5" s="17"/>
      <c r="G5" s="87"/>
      <c r="H5" s="101"/>
      <c r="I5" s="97"/>
      <c r="J5" s="104"/>
      <c r="K5" s="17"/>
      <c r="L5" s="61"/>
      <c r="M5" s="104"/>
    </row>
    <row r="6">
      <c r="A6" s="86"/>
      <c r="B6" s="86">
        <v>45557.0</v>
      </c>
      <c r="C6" s="17"/>
      <c r="D6" s="17"/>
      <c r="E6" s="17"/>
      <c r="F6" s="17"/>
      <c r="G6" s="87"/>
      <c r="H6" s="101"/>
      <c r="I6" s="97"/>
      <c r="J6" s="104"/>
      <c r="K6" s="17"/>
      <c r="L6" s="61"/>
      <c r="M6" s="104">
        <v>330000.0</v>
      </c>
    </row>
    <row r="7">
      <c r="A7" s="86"/>
      <c r="B7" s="86">
        <v>45558.0</v>
      </c>
      <c r="C7" s="17" t="s">
        <v>811</v>
      </c>
      <c r="D7" s="17" t="s">
        <v>1018</v>
      </c>
      <c r="E7" s="17" t="s">
        <v>37</v>
      </c>
      <c r="F7" s="17" t="s">
        <v>1019</v>
      </c>
      <c r="G7" s="87">
        <v>9000.0</v>
      </c>
      <c r="H7" s="101">
        <v>720000.0</v>
      </c>
      <c r="I7" s="97" t="s">
        <v>42</v>
      </c>
      <c r="J7" s="104">
        <v>350000.0</v>
      </c>
      <c r="K7" s="17" t="s">
        <v>42</v>
      </c>
      <c r="L7" s="61">
        <f t="shared" ref="L7:L12" si="1">H7-J7</f>
        <v>370000</v>
      </c>
      <c r="M7" s="104">
        <v>665000.0</v>
      </c>
    </row>
    <row r="8">
      <c r="A8" s="86"/>
      <c r="B8" s="86">
        <v>45559.0</v>
      </c>
      <c r="C8" s="17" t="s">
        <v>811</v>
      </c>
      <c r="D8" s="17" t="s">
        <v>1018</v>
      </c>
      <c r="E8" s="17" t="s">
        <v>40</v>
      </c>
      <c r="F8" s="17" t="s">
        <v>411</v>
      </c>
      <c r="G8" s="87">
        <v>9000.0</v>
      </c>
      <c r="H8" s="104">
        <v>1125000.0</v>
      </c>
      <c r="I8" s="97" t="s">
        <v>42</v>
      </c>
      <c r="J8" s="104">
        <v>640000.0</v>
      </c>
      <c r="K8" s="17" t="s">
        <v>42</v>
      </c>
      <c r="L8" s="61">
        <f t="shared" si="1"/>
        <v>485000</v>
      </c>
      <c r="M8" s="104">
        <v>3795000.0</v>
      </c>
    </row>
    <row r="9">
      <c r="A9" s="86"/>
      <c r="B9" s="86">
        <v>45561.0</v>
      </c>
      <c r="C9" s="17" t="s">
        <v>811</v>
      </c>
      <c r="D9" s="17" t="s">
        <v>1018</v>
      </c>
      <c r="E9" s="17" t="s">
        <v>37</v>
      </c>
      <c r="F9" s="17" t="s">
        <v>1020</v>
      </c>
      <c r="G9" s="87">
        <v>10000.0</v>
      </c>
      <c r="H9" s="104">
        <v>900000.0</v>
      </c>
      <c r="I9" s="97" t="s">
        <v>645</v>
      </c>
      <c r="J9" s="104">
        <v>500000.0</v>
      </c>
      <c r="K9" s="17" t="s">
        <v>42</v>
      </c>
      <c r="L9" s="61">
        <f t="shared" si="1"/>
        <v>400000</v>
      </c>
      <c r="M9" s="104"/>
    </row>
    <row r="10">
      <c r="A10" s="86"/>
      <c r="B10" s="86">
        <v>45562.0</v>
      </c>
      <c r="C10" s="17" t="s">
        <v>811</v>
      </c>
      <c r="D10" s="17" t="s">
        <v>1018</v>
      </c>
      <c r="E10" s="17" t="s">
        <v>40</v>
      </c>
      <c r="F10" s="17" t="s">
        <v>545</v>
      </c>
      <c r="G10" s="87">
        <v>10000.0</v>
      </c>
      <c r="H10" s="104">
        <v>1100000.0</v>
      </c>
      <c r="I10" s="96" t="s">
        <v>44</v>
      </c>
      <c r="J10" s="104">
        <v>600000.0</v>
      </c>
      <c r="K10" s="17" t="s">
        <v>42</v>
      </c>
      <c r="L10" s="61">
        <f t="shared" si="1"/>
        <v>500000</v>
      </c>
      <c r="M10" s="104">
        <v>20000.0</v>
      </c>
    </row>
    <row r="11">
      <c r="A11" s="86"/>
      <c r="B11" s="86">
        <v>45563.0</v>
      </c>
      <c r="C11" s="17" t="s">
        <v>811</v>
      </c>
      <c r="D11" s="17" t="s">
        <v>1018</v>
      </c>
      <c r="E11" s="17" t="s">
        <v>37</v>
      </c>
      <c r="F11" s="17" t="s">
        <v>54</v>
      </c>
      <c r="G11" s="87">
        <v>9000.0</v>
      </c>
      <c r="H11" s="104">
        <v>1200000.0</v>
      </c>
      <c r="I11" s="97" t="s">
        <v>42</v>
      </c>
      <c r="J11" s="101">
        <v>640000.0</v>
      </c>
      <c r="K11" s="17" t="s">
        <v>42</v>
      </c>
      <c r="L11" s="61">
        <f t="shared" si="1"/>
        <v>560000</v>
      </c>
      <c r="M11" s="104">
        <v>4380000.0</v>
      </c>
    </row>
    <row r="12">
      <c r="A12" s="86"/>
      <c r="B12" s="86">
        <v>45565.0</v>
      </c>
      <c r="C12" s="17" t="s">
        <v>811</v>
      </c>
      <c r="D12" s="17" t="s">
        <v>1018</v>
      </c>
      <c r="E12" s="17" t="s">
        <v>37</v>
      </c>
      <c r="F12" s="17" t="s">
        <v>54</v>
      </c>
      <c r="G12" s="87">
        <v>9000.0</v>
      </c>
      <c r="H12" s="104">
        <v>1200000.0</v>
      </c>
      <c r="I12" s="97" t="s">
        <v>42</v>
      </c>
      <c r="J12" s="101">
        <v>640000.0</v>
      </c>
      <c r="K12" s="17" t="s">
        <v>42</v>
      </c>
      <c r="L12" s="61">
        <f t="shared" si="1"/>
        <v>560000</v>
      </c>
      <c r="M12" s="104"/>
    </row>
    <row r="13">
      <c r="A13" s="86"/>
      <c r="B13" s="86"/>
      <c r="C13" s="17"/>
      <c r="D13" s="17"/>
      <c r="E13" s="17"/>
      <c r="F13" s="17"/>
      <c r="G13" s="87"/>
      <c r="H13" s="104"/>
      <c r="I13" s="97"/>
      <c r="J13" s="104"/>
      <c r="K13" s="17"/>
      <c r="L13" s="52">
        <f>SUM(L7:L12)</f>
        <v>2875000</v>
      </c>
      <c r="M13" s="194">
        <f>SUM(M2:M12)</f>
        <v>9190000</v>
      </c>
    </row>
    <row r="14">
      <c r="A14" s="86"/>
      <c r="B14" s="86"/>
      <c r="C14" s="17"/>
      <c r="D14" s="17"/>
      <c r="E14" s="17"/>
      <c r="F14" s="17"/>
      <c r="G14" s="87"/>
      <c r="H14" s="104"/>
      <c r="I14" s="97"/>
      <c r="J14" s="104"/>
      <c r="K14" s="17"/>
      <c r="L14" s="226">
        <f>L13-M13</f>
        <v>-6315000</v>
      </c>
      <c r="M14" s="149"/>
    </row>
    <row r="15">
      <c r="A15" s="86"/>
      <c r="B15" s="86"/>
      <c r="C15" s="17"/>
      <c r="D15" s="17"/>
      <c r="E15" s="17"/>
      <c r="F15" s="17"/>
      <c r="G15" s="87"/>
      <c r="H15" s="104"/>
      <c r="I15" s="97"/>
      <c r="J15" s="104"/>
      <c r="K15" s="17"/>
      <c r="L15" s="61"/>
      <c r="M15" s="104"/>
    </row>
    <row r="16">
      <c r="A16" s="89"/>
      <c r="B16" s="89" t="s">
        <v>0</v>
      </c>
      <c r="C16" s="89" t="s">
        <v>1</v>
      </c>
      <c r="D16" s="89" t="s">
        <v>2</v>
      </c>
      <c r="E16" s="90" t="s">
        <v>3</v>
      </c>
      <c r="F16" s="89" t="s">
        <v>4</v>
      </c>
      <c r="G16" s="91" t="s">
        <v>5</v>
      </c>
      <c r="H16" s="120" t="s">
        <v>6</v>
      </c>
      <c r="I16" s="92" t="s">
        <v>39</v>
      </c>
      <c r="J16" s="120" t="s">
        <v>7</v>
      </c>
      <c r="K16" s="91" t="s">
        <v>39</v>
      </c>
      <c r="L16" s="92" t="s">
        <v>8</v>
      </c>
      <c r="M16" s="120" t="s">
        <v>9</v>
      </c>
    </row>
    <row r="17">
      <c r="A17" s="86"/>
      <c r="B17" s="86">
        <v>45566.0</v>
      </c>
      <c r="C17" s="17" t="s">
        <v>811</v>
      </c>
      <c r="D17" s="17" t="s">
        <v>1018</v>
      </c>
      <c r="E17" s="17" t="s">
        <v>123</v>
      </c>
      <c r="F17" s="17" t="s">
        <v>109</v>
      </c>
      <c r="G17" s="87">
        <v>9000.0</v>
      </c>
      <c r="H17" s="101">
        <v>720000.0</v>
      </c>
      <c r="I17" s="97" t="s">
        <v>42</v>
      </c>
      <c r="J17" s="101">
        <v>350000.0</v>
      </c>
      <c r="K17" s="58" t="s">
        <v>42</v>
      </c>
      <c r="L17" s="58">
        <f t="shared" ref="L17:L37" si="2">H17-J17</f>
        <v>370000</v>
      </c>
      <c r="M17" s="104">
        <v>570000.0</v>
      </c>
      <c r="N17" s="17"/>
      <c r="O17" s="17"/>
      <c r="P17" s="87"/>
      <c r="Q17" s="104"/>
      <c r="R17" s="97"/>
      <c r="S17" s="104"/>
    </row>
    <row r="18">
      <c r="A18" s="86"/>
      <c r="B18" s="86">
        <v>45567.0</v>
      </c>
      <c r="C18" s="17" t="s">
        <v>811</v>
      </c>
      <c r="D18" s="17" t="s">
        <v>1018</v>
      </c>
      <c r="E18" s="17" t="s">
        <v>40</v>
      </c>
      <c r="F18" s="17" t="s">
        <v>197</v>
      </c>
      <c r="G18" s="87">
        <v>10000.0</v>
      </c>
      <c r="H18" s="101">
        <v>1500000.0</v>
      </c>
      <c r="I18" s="97" t="s">
        <v>44</v>
      </c>
      <c r="J18" s="105">
        <v>750000.0</v>
      </c>
      <c r="K18" s="17" t="s">
        <v>42</v>
      </c>
      <c r="L18" s="58">
        <f t="shared" si="2"/>
        <v>750000</v>
      </c>
      <c r="M18" s="104"/>
    </row>
    <row r="19">
      <c r="A19" s="86"/>
      <c r="B19" s="86">
        <v>45568.0</v>
      </c>
      <c r="C19" s="17" t="s">
        <v>811</v>
      </c>
      <c r="D19" s="17" t="s">
        <v>1018</v>
      </c>
      <c r="E19" s="169" t="s">
        <v>45</v>
      </c>
      <c r="F19" s="17" t="s">
        <v>547</v>
      </c>
      <c r="G19" s="87">
        <v>10000.0</v>
      </c>
      <c r="H19" s="101">
        <v>1300000.0</v>
      </c>
      <c r="I19" s="97" t="s">
        <v>42</v>
      </c>
      <c r="J19" s="149">
        <v>740000.0</v>
      </c>
      <c r="K19" s="17" t="s">
        <v>42</v>
      </c>
      <c r="L19" s="58">
        <f t="shared" si="2"/>
        <v>560000</v>
      </c>
      <c r="M19" s="104"/>
    </row>
    <row r="20">
      <c r="A20" s="86"/>
      <c r="B20" s="86">
        <v>45569.0</v>
      </c>
      <c r="C20" s="17" t="s">
        <v>811</v>
      </c>
      <c r="D20" s="17" t="s">
        <v>1018</v>
      </c>
      <c r="E20" s="17" t="s">
        <v>40</v>
      </c>
      <c r="F20" s="17" t="s">
        <v>545</v>
      </c>
      <c r="G20" s="87">
        <v>10000.0</v>
      </c>
      <c r="H20" s="104">
        <v>1100000.0</v>
      </c>
      <c r="I20" s="93" t="s">
        <v>44</v>
      </c>
      <c r="J20" s="104">
        <v>600000.0</v>
      </c>
      <c r="K20" s="17" t="s">
        <v>42</v>
      </c>
      <c r="L20" s="100">
        <f t="shared" si="2"/>
        <v>500000</v>
      </c>
      <c r="M20" s="149">
        <v>50000.0</v>
      </c>
    </row>
    <row r="21" ht="15.75" customHeight="1">
      <c r="A21" s="86"/>
      <c r="B21" s="86">
        <v>45572.0</v>
      </c>
      <c r="C21" s="17" t="s">
        <v>811</v>
      </c>
      <c r="D21" s="17" t="s">
        <v>1018</v>
      </c>
      <c r="E21" s="17" t="s">
        <v>37</v>
      </c>
      <c r="F21" s="17" t="s">
        <v>1020</v>
      </c>
      <c r="G21" s="87">
        <v>10000.0</v>
      </c>
      <c r="H21" s="104">
        <v>1000000.0</v>
      </c>
      <c r="I21" s="97" t="s">
        <v>44</v>
      </c>
      <c r="J21" s="104">
        <v>500000.0</v>
      </c>
      <c r="K21" s="17" t="s">
        <v>42</v>
      </c>
      <c r="L21" s="61">
        <f t="shared" si="2"/>
        <v>500000</v>
      </c>
      <c r="M21" s="149">
        <v>108000.0</v>
      </c>
    </row>
    <row r="22" ht="15.75" customHeight="1">
      <c r="A22" s="86"/>
      <c r="B22" s="86">
        <v>45573.0</v>
      </c>
      <c r="C22" s="17" t="s">
        <v>811</v>
      </c>
      <c r="D22" s="17" t="s">
        <v>1018</v>
      </c>
      <c r="E22" s="17" t="s">
        <v>123</v>
      </c>
      <c r="F22" s="17" t="s">
        <v>109</v>
      </c>
      <c r="G22" s="87">
        <v>9000.0</v>
      </c>
      <c r="H22" s="101">
        <v>720000.0</v>
      </c>
      <c r="I22" s="97" t="s">
        <v>42</v>
      </c>
      <c r="J22" s="101">
        <v>350000.0</v>
      </c>
      <c r="K22" s="17" t="s">
        <v>42</v>
      </c>
      <c r="L22" s="58">
        <f t="shared" si="2"/>
        <v>370000</v>
      </c>
      <c r="M22" s="149"/>
    </row>
    <row r="23" ht="15.75" customHeight="1">
      <c r="A23" s="86"/>
      <c r="B23" s="86">
        <v>45574.0</v>
      </c>
      <c r="C23" s="17" t="s">
        <v>811</v>
      </c>
      <c r="D23" s="17" t="s">
        <v>1018</v>
      </c>
      <c r="E23" s="169" t="s">
        <v>37</v>
      </c>
      <c r="F23" s="169" t="s">
        <v>774</v>
      </c>
      <c r="G23" s="170">
        <v>10000.0</v>
      </c>
      <c r="H23" s="104">
        <v>750000.0</v>
      </c>
      <c r="I23" s="184" t="s">
        <v>42</v>
      </c>
      <c r="J23" s="104">
        <v>375000.0</v>
      </c>
      <c r="K23" s="203" t="s">
        <v>42</v>
      </c>
      <c r="L23" s="61">
        <f t="shared" si="2"/>
        <v>375000</v>
      </c>
      <c r="M23" s="149"/>
      <c r="N23" s="371"/>
      <c r="O23" s="371"/>
    </row>
    <row r="24" ht="15.75" customHeight="1">
      <c r="A24" s="86"/>
      <c r="B24" s="86">
        <v>45576.0</v>
      </c>
      <c r="C24" s="17" t="s">
        <v>811</v>
      </c>
      <c r="D24" s="17" t="s">
        <v>1018</v>
      </c>
      <c r="E24" s="169" t="s">
        <v>40</v>
      </c>
      <c r="F24" s="169" t="s">
        <v>539</v>
      </c>
      <c r="G24" s="170">
        <v>8000.0</v>
      </c>
      <c r="H24" s="149">
        <v>800000.0</v>
      </c>
      <c r="I24" s="97" t="s">
        <v>44</v>
      </c>
      <c r="J24" s="149">
        <v>400000.0</v>
      </c>
      <c r="K24" s="203" t="s">
        <v>42</v>
      </c>
      <c r="L24" s="61">
        <f t="shared" si="2"/>
        <v>400000</v>
      </c>
      <c r="M24" s="149"/>
    </row>
    <row r="25" ht="15.75" customHeight="1">
      <c r="A25" s="86"/>
      <c r="B25" s="86">
        <v>45577.0</v>
      </c>
      <c r="C25" s="17" t="s">
        <v>811</v>
      </c>
      <c r="D25" s="17" t="s">
        <v>1018</v>
      </c>
      <c r="E25" s="169" t="s">
        <v>40</v>
      </c>
      <c r="F25" s="169" t="s">
        <v>545</v>
      </c>
      <c r="G25" s="170">
        <v>10000.0</v>
      </c>
      <c r="H25" s="149">
        <v>1100000.0</v>
      </c>
      <c r="I25" s="97" t="s">
        <v>44</v>
      </c>
      <c r="J25" s="149">
        <v>600000.0</v>
      </c>
      <c r="K25" s="203" t="s">
        <v>42</v>
      </c>
      <c r="L25" s="61">
        <f t="shared" si="2"/>
        <v>500000</v>
      </c>
      <c r="M25" s="149">
        <v>10000.0</v>
      </c>
    </row>
    <row r="26" ht="15.75" customHeight="1">
      <c r="A26" s="86"/>
      <c r="B26" s="86">
        <v>45580.0</v>
      </c>
      <c r="C26" s="17" t="s">
        <v>811</v>
      </c>
      <c r="D26" s="17" t="s">
        <v>1018</v>
      </c>
      <c r="E26" s="17" t="s">
        <v>204</v>
      </c>
      <c r="F26" s="17" t="s">
        <v>205</v>
      </c>
      <c r="G26" s="87">
        <v>9000.0</v>
      </c>
      <c r="H26" s="58">
        <v>1125000.0</v>
      </c>
      <c r="I26" s="59" t="s">
        <v>42</v>
      </c>
      <c r="J26" s="60">
        <v>640000.0</v>
      </c>
      <c r="K26" s="193" t="s">
        <v>42</v>
      </c>
      <c r="L26" s="58">
        <f t="shared" si="2"/>
        <v>485000</v>
      </c>
      <c r="M26" s="149"/>
    </row>
    <row r="27" ht="15.75" customHeight="1">
      <c r="A27" s="86"/>
      <c r="B27" s="86">
        <v>45581.0</v>
      </c>
      <c r="C27" s="17" t="s">
        <v>811</v>
      </c>
      <c r="D27" s="17" t="s">
        <v>1018</v>
      </c>
      <c r="E27" s="169" t="s">
        <v>37</v>
      </c>
      <c r="F27" s="169" t="s">
        <v>239</v>
      </c>
      <c r="G27" s="170">
        <v>10000.0</v>
      </c>
      <c r="H27" s="149">
        <v>1300000.0</v>
      </c>
      <c r="I27" s="59" t="s">
        <v>42</v>
      </c>
      <c r="J27" s="60">
        <v>690000.0</v>
      </c>
      <c r="K27" s="193" t="s">
        <v>42</v>
      </c>
      <c r="L27" s="61">
        <f t="shared" si="2"/>
        <v>610000</v>
      </c>
      <c r="M27" s="149">
        <v>65000.0</v>
      </c>
    </row>
    <row r="28" ht="15.75" customHeight="1">
      <c r="A28" s="86"/>
      <c r="B28" s="86">
        <v>45583.0</v>
      </c>
      <c r="C28" s="17" t="s">
        <v>811</v>
      </c>
      <c r="D28" s="17" t="s">
        <v>1018</v>
      </c>
      <c r="E28" s="17" t="s">
        <v>204</v>
      </c>
      <c r="F28" s="17" t="s">
        <v>205</v>
      </c>
      <c r="G28" s="87">
        <v>9000.0</v>
      </c>
      <c r="H28" s="58">
        <v>1125000.0</v>
      </c>
      <c r="I28" s="59" t="s">
        <v>42</v>
      </c>
      <c r="J28" s="60">
        <v>640000.0</v>
      </c>
      <c r="K28" s="193" t="s">
        <v>42</v>
      </c>
      <c r="L28" s="61">
        <f t="shared" si="2"/>
        <v>485000</v>
      </c>
      <c r="M28" s="149"/>
    </row>
    <row r="29" ht="15.75" customHeight="1">
      <c r="A29" s="86"/>
      <c r="B29" s="86">
        <v>45584.0</v>
      </c>
      <c r="C29" s="17" t="s">
        <v>811</v>
      </c>
      <c r="D29" s="17" t="s">
        <v>1018</v>
      </c>
      <c r="E29" s="169" t="s">
        <v>40</v>
      </c>
      <c r="F29" s="17" t="s">
        <v>43</v>
      </c>
      <c r="G29" s="87">
        <v>10000.0</v>
      </c>
      <c r="H29" s="104">
        <v>1500000.0</v>
      </c>
      <c r="I29" s="96" t="s">
        <v>44</v>
      </c>
      <c r="J29" s="104">
        <v>850000.0</v>
      </c>
      <c r="K29" s="193" t="s">
        <v>42</v>
      </c>
      <c r="L29" s="61">
        <f t="shared" si="2"/>
        <v>650000</v>
      </c>
      <c r="M29" s="149"/>
    </row>
    <row r="30" ht="15.75" customHeight="1">
      <c r="A30" s="86"/>
      <c r="B30" s="86">
        <v>45586.0</v>
      </c>
      <c r="C30" s="17" t="s">
        <v>811</v>
      </c>
      <c r="D30" s="17" t="s">
        <v>1018</v>
      </c>
      <c r="E30" s="169" t="s">
        <v>45</v>
      </c>
      <c r="F30" s="17" t="s">
        <v>161</v>
      </c>
      <c r="G30" s="87">
        <v>9000.0</v>
      </c>
      <c r="H30" s="58">
        <v>1215000.0</v>
      </c>
      <c r="I30" s="96" t="s">
        <v>44</v>
      </c>
      <c r="J30" s="104">
        <v>700000.0</v>
      </c>
      <c r="K30" s="193" t="s">
        <v>42</v>
      </c>
      <c r="L30" s="61">
        <f t="shared" si="2"/>
        <v>515000</v>
      </c>
      <c r="M30" s="149"/>
    </row>
    <row r="31" ht="15.75" customHeight="1">
      <c r="A31" s="86"/>
      <c r="B31" s="86">
        <v>45587.0</v>
      </c>
      <c r="C31" s="17" t="s">
        <v>811</v>
      </c>
      <c r="D31" s="17" t="s">
        <v>1018</v>
      </c>
      <c r="E31" s="17" t="s">
        <v>37</v>
      </c>
      <c r="F31" s="17" t="s">
        <v>491</v>
      </c>
      <c r="G31" s="87">
        <v>9000.0</v>
      </c>
      <c r="H31" s="100">
        <v>765000.0</v>
      </c>
      <c r="I31" s="96" t="s">
        <v>44</v>
      </c>
      <c r="J31" s="104">
        <v>450000.0</v>
      </c>
      <c r="K31" s="193" t="s">
        <v>42</v>
      </c>
      <c r="L31" s="61">
        <f t="shared" si="2"/>
        <v>315000</v>
      </c>
      <c r="M31" s="149"/>
    </row>
    <row r="32" ht="15.75" customHeight="1">
      <c r="A32" s="86"/>
      <c r="B32" s="86">
        <v>45588.0</v>
      </c>
      <c r="C32" s="17" t="s">
        <v>811</v>
      </c>
      <c r="D32" s="17" t="s">
        <v>1018</v>
      </c>
      <c r="E32" s="17" t="s">
        <v>45</v>
      </c>
      <c r="F32" s="17" t="s">
        <v>547</v>
      </c>
      <c r="G32" s="87">
        <v>9000.0</v>
      </c>
      <c r="H32" s="58">
        <v>1200000.0</v>
      </c>
      <c r="I32" s="59" t="s">
        <v>42</v>
      </c>
      <c r="J32" s="58">
        <v>690000.0</v>
      </c>
      <c r="K32" s="193" t="s">
        <v>42</v>
      </c>
      <c r="L32" s="61">
        <f t="shared" si="2"/>
        <v>510000</v>
      </c>
      <c r="M32" s="149">
        <v>100000.0</v>
      </c>
    </row>
    <row r="33" ht="15.75" customHeight="1">
      <c r="A33" s="86"/>
      <c r="B33" s="86">
        <v>45590.0</v>
      </c>
      <c r="C33" s="17" t="s">
        <v>811</v>
      </c>
      <c r="D33" s="17" t="s">
        <v>1018</v>
      </c>
      <c r="E33" s="169" t="s">
        <v>123</v>
      </c>
      <c r="F33" s="169" t="s">
        <v>205</v>
      </c>
      <c r="G33" s="170">
        <v>9000.0</v>
      </c>
      <c r="H33" s="149">
        <v>1125000.0</v>
      </c>
      <c r="I33" s="59" t="s">
        <v>42</v>
      </c>
      <c r="J33" s="149">
        <v>640000.0</v>
      </c>
      <c r="K33" s="193" t="s">
        <v>42</v>
      </c>
      <c r="L33" s="61">
        <f t="shared" si="2"/>
        <v>485000</v>
      </c>
      <c r="M33" s="149"/>
    </row>
    <row r="34" ht="15.75" customHeight="1">
      <c r="A34" s="86"/>
      <c r="B34" s="86">
        <v>45591.0</v>
      </c>
      <c r="C34" s="17" t="s">
        <v>811</v>
      </c>
      <c r="D34" s="17" t="s">
        <v>1018</v>
      </c>
      <c r="E34" s="169" t="s">
        <v>40</v>
      </c>
      <c r="F34" s="169" t="s">
        <v>205</v>
      </c>
      <c r="G34" s="170">
        <v>9000.0</v>
      </c>
      <c r="H34" s="202">
        <v>1035000.0</v>
      </c>
      <c r="I34" s="59" t="s">
        <v>42</v>
      </c>
      <c r="J34" s="172">
        <v>600000.0</v>
      </c>
      <c r="K34" s="193" t="s">
        <v>42</v>
      </c>
      <c r="L34" s="61">
        <f t="shared" si="2"/>
        <v>435000</v>
      </c>
      <c r="M34" s="149"/>
    </row>
    <row r="35" ht="15.75" customHeight="1">
      <c r="A35" s="86"/>
      <c r="B35" s="86">
        <v>45593.0</v>
      </c>
      <c r="C35" s="17" t="s">
        <v>811</v>
      </c>
      <c r="D35" s="17" t="s">
        <v>1018</v>
      </c>
      <c r="E35" s="169" t="s">
        <v>45</v>
      </c>
      <c r="F35" s="169" t="s">
        <v>208</v>
      </c>
      <c r="G35" s="170">
        <v>10000.0</v>
      </c>
      <c r="H35" s="202">
        <v>750000.0</v>
      </c>
      <c r="I35" s="59" t="s">
        <v>42</v>
      </c>
      <c r="J35" s="172">
        <v>425000.0</v>
      </c>
      <c r="K35" s="193" t="s">
        <v>42</v>
      </c>
      <c r="L35" s="61">
        <f t="shared" si="2"/>
        <v>325000</v>
      </c>
      <c r="M35" s="149">
        <v>790000.0</v>
      </c>
    </row>
    <row r="36" ht="15.75" customHeight="1">
      <c r="A36" s="86"/>
      <c r="B36" s="86">
        <v>45594.0</v>
      </c>
      <c r="C36" s="17" t="s">
        <v>811</v>
      </c>
      <c r="D36" s="17" t="s">
        <v>1018</v>
      </c>
      <c r="E36" s="17" t="s">
        <v>123</v>
      </c>
      <c r="F36" s="17" t="s">
        <v>109</v>
      </c>
      <c r="G36" s="87">
        <v>9000.0</v>
      </c>
      <c r="H36" s="101">
        <v>720000.0</v>
      </c>
      <c r="I36" s="59" t="s">
        <v>42</v>
      </c>
      <c r="J36" s="101">
        <v>350000.0</v>
      </c>
      <c r="K36" s="193" t="s">
        <v>42</v>
      </c>
      <c r="L36" s="61">
        <f t="shared" si="2"/>
        <v>370000</v>
      </c>
      <c r="M36" s="149"/>
    </row>
    <row r="37" ht="15.75" customHeight="1">
      <c r="A37" s="86"/>
      <c r="B37" s="86">
        <v>45595.0</v>
      </c>
      <c r="C37" s="17" t="s">
        <v>811</v>
      </c>
      <c r="D37" s="17" t="s">
        <v>1018</v>
      </c>
      <c r="E37" s="169" t="s">
        <v>40</v>
      </c>
      <c r="F37" s="169" t="s">
        <v>205</v>
      </c>
      <c r="G37" s="170">
        <v>9000.0</v>
      </c>
      <c r="H37" s="149">
        <v>1035000.0</v>
      </c>
      <c r="I37" s="59" t="s">
        <v>42</v>
      </c>
      <c r="J37" s="149">
        <v>600000.0</v>
      </c>
      <c r="K37" s="193" t="s">
        <v>42</v>
      </c>
      <c r="L37" s="61">
        <f t="shared" si="2"/>
        <v>435000</v>
      </c>
      <c r="M37" s="149"/>
    </row>
    <row r="38" ht="15.75" customHeight="1">
      <c r="E38" s="169"/>
      <c r="F38" s="169"/>
      <c r="G38" s="170"/>
      <c r="H38" s="149"/>
      <c r="I38" s="184"/>
      <c r="J38" s="149"/>
      <c r="K38" s="169"/>
      <c r="L38" s="52">
        <f t="shared" ref="L38:M38" si="3">SUM(L17:L37)</f>
        <v>9945000</v>
      </c>
      <c r="M38" s="194">
        <f t="shared" si="3"/>
        <v>1693000</v>
      </c>
    </row>
    <row r="39" ht="15.75" customHeight="1">
      <c r="E39" s="169"/>
      <c r="F39" s="169"/>
      <c r="G39" s="170"/>
      <c r="H39" s="149"/>
      <c r="I39" s="184"/>
      <c r="J39" s="149"/>
      <c r="K39" s="169"/>
      <c r="L39" s="226">
        <f>L38-M38</f>
        <v>8252000</v>
      </c>
      <c r="M39" s="149"/>
    </row>
    <row r="40" ht="15.75" customHeight="1">
      <c r="E40" s="169"/>
      <c r="F40" s="169"/>
      <c r="G40" s="170"/>
      <c r="H40" s="149"/>
      <c r="I40" s="184"/>
      <c r="J40" s="149"/>
      <c r="K40" s="169"/>
      <c r="M40" s="149"/>
    </row>
    <row r="41" ht="15.75" customHeight="1">
      <c r="A41" s="89" t="s">
        <v>209</v>
      </c>
      <c r="B41" s="89" t="s">
        <v>0</v>
      </c>
      <c r="C41" s="89" t="s">
        <v>1</v>
      </c>
      <c r="D41" s="89" t="s">
        <v>2</v>
      </c>
      <c r="E41" s="90" t="s">
        <v>3</v>
      </c>
      <c r="F41" s="89" t="s">
        <v>4</v>
      </c>
      <c r="G41" s="91" t="s">
        <v>5</v>
      </c>
      <c r="H41" s="120" t="s">
        <v>6</v>
      </c>
      <c r="I41" s="92" t="s">
        <v>39</v>
      </c>
      <c r="J41" s="120" t="s">
        <v>7</v>
      </c>
      <c r="K41" s="91" t="s">
        <v>39</v>
      </c>
      <c r="L41" s="92" t="s">
        <v>8</v>
      </c>
      <c r="M41" s="120" t="s">
        <v>9</v>
      </c>
    </row>
    <row r="42" ht="15.75" customHeight="1">
      <c r="A42" s="17">
        <v>1.0</v>
      </c>
      <c r="B42" s="86">
        <v>45597.0</v>
      </c>
      <c r="C42" s="17" t="s">
        <v>811</v>
      </c>
      <c r="D42" s="17" t="s">
        <v>1018</v>
      </c>
      <c r="E42" s="169" t="s">
        <v>265</v>
      </c>
      <c r="F42" s="17" t="s">
        <v>266</v>
      </c>
      <c r="G42" s="170">
        <v>9000.0</v>
      </c>
      <c r="H42" s="149">
        <v>720000.0</v>
      </c>
      <c r="I42" s="59" t="s">
        <v>42</v>
      </c>
      <c r="J42" s="149">
        <v>400000.0</v>
      </c>
      <c r="K42" s="193" t="s">
        <v>42</v>
      </c>
      <c r="L42" s="61">
        <f t="shared" ref="L42:L61" si="4">H42-J42</f>
        <v>320000</v>
      </c>
      <c r="M42" s="149"/>
    </row>
    <row r="43" ht="15.75" customHeight="1">
      <c r="A43" s="17">
        <v>2.0</v>
      </c>
      <c r="B43" s="86">
        <v>45598.0</v>
      </c>
      <c r="C43" s="17" t="s">
        <v>811</v>
      </c>
      <c r="D43" s="17" t="s">
        <v>1018</v>
      </c>
      <c r="E43" s="169" t="s">
        <v>40</v>
      </c>
      <c r="F43" s="169" t="s">
        <v>205</v>
      </c>
      <c r="G43" s="170">
        <v>9000.0</v>
      </c>
      <c r="H43" s="149">
        <v>1035000.0</v>
      </c>
      <c r="I43" s="59" t="s">
        <v>42</v>
      </c>
      <c r="J43" s="149">
        <v>600000.0</v>
      </c>
      <c r="K43" s="193" t="s">
        <v>42</v>
      </c>
      <c r="L43" s="61">
        <f t="shared" si="4"/>
        <v>435000</v>
      </c>
      <c r="M43" s="149"/>
    </row>
    <row r="44" ht="15.75" customHeight="1">
      <c r="A44" s="17">
        <v>3.0</v>
      </c>
      <c r="B44" s="86">
        <v>45601.0</v>
      </c>
      <c r="C44" s="17" t="s">
        <v>811</v>
      </c>
      <c r="D44" s="17" t="s">
        <v>1018</v>
      </c>
      <c r="E44" s="169" t="s">
        <v>37</v>
      </c>
      <c r="F44" s="169" t="s">
        <v>239</v>
      </c>
      <c r="G44" s="87">
        <v>9000.0</v>
      </c>
      <c r="H44" s="104">
        <v>1200000.0</v>
      </c>
      <c r="I44" s="59" t="s">
        <v>42</v>
      </c>
      <c r="J44" s="101">
        <v>640000.0</v>
      </c>
      <c r="K44" s="193" t="s">
        <v>42</v>
      </c>
      <c r="L44" s="100">
        <f t="shared" si="4"/>
        <v>560000</v>
      </c>
      <c r="M44" s="149"/>
    </row>
    <row r="45" ht="15.75" customHeight="1">
      <c r="A45" s="17">
        <v>4.0</v>
      </c>
      <c r="B45" s="86">
        <v>45602.0</v>
      </c>
      <c r="C45" s="17" t="s">
        <v>811</v>
      </c>
      <c r="D45" s="17" t="s">
        <v>1018</v>
      </c>
      <c r="E45" s="169" t="s">
        <v>40</v>
      </c>
      <c r="F45" s="169" t="s">
        <v>774</v>
      </c>
      <c r="G45" s="87">
        <v>9000.0</v>
      </c>
      <c r="H45" s="101">
        <v>675000.0</v>
      </c>
      <c r="I45" s="59" t="s">
        <v>42</v>
      </c>
      <c r="J45" s="104">
        <v>350000.0</v>
      </c>
      <c r="K45" s="193" t="s">
        <v>42</v>
      </c>
      <c r="L45" s="100">
        <f t="shared" si="4"/>
        <v>325000</v>
      </c>
      <c r="M45" s="149"/>
    </row>
    <row r="46" ht="15.75" customHeight="1">
      <c r="A46" s="17">
        <v>5.0</v>
      </c>
      <c r="B46" s="86">
        <v>45603.0</v>
      </c>
      <c r="C46" s="17" t="s">
        <v>811</v>
      </c>
      <c r="D46" s="17" t="s">
        <v>1018</v>
      </c>
      <c r="E46" s="169" t="s">
        <v>383</v>
      </c>
      <c r="F46" s="17" t="s">
        <v>161</v>
      </c>
      <c r="G46" s="87">
        <v>9000.0</v>
      </c>
      <c r="H46" s="58">
        <v>1215000.0</v>
      </c>
      <c r="I46" s="96" t="s">
        <v>44</v>
      </c>
      <c r="J46" s="149">
        <v>700000.0</v>
      </c>
      <c r="K46" s="193" t="s">
        <v>42</v>
      </c>
      <c r="L46" s="100">
        <f t="shared" si="4"/>
        <v>515000</v>
      </c>
      <c r="M46" s="149"/>
    </row>
    <row r="47" ht="15.75" customHeight="1">
      <c r="A47" s="17">
        <v>6.0</v>
      </c>
      <c r="B47" s="86">
        <v>45605.0</v>
      </c>
      <c r="C47" s="17" t="s">
        <v>811</v>
      </c>
      <c r="D47" s="17" t="s">
        <v>1018</v>
      </c>
      <c r="E47" s="17" t="s">
        <v>37</v>
      </c>
      <c r="F47" s="17" t="s">
        <v>491</v>
      </c>
      <c r="G47" s="87">
        <v>9000.0</v>
      </c>
      <c r="H47" s="100">
        <v>765000.0</v>
      </c>
      <c r="I47" s="96" t="s">
        <v>44</v>
      </c>
      <c r="J47" s="104">
        <v>450000.0</v>
      </c>
      <c r="K47" s="193" t="s">
        <v>42</v>
      </c>
      <c r="L47" s="100">
        <f t="shared" si="4"/>
        <v>315000</v>
      </c>
      <c r="M47" s="149"/>
    </row>
    <row r="48" ht="15.75" customHeight="1">
      <c r="A48" s="17">
        <v>7.0</v>
      </c>
      <c r="B48" s="86">
        <v>45607.0</v>
      </c>
      <c r="C48" s="17" t="s">
        <v>811</v>
      </c>
      <c r="D48" s="17" t="s">
        <v>1018</v>
      </c>
      <c r="E48" s="169" t="s">
        <v>273</v>
      </c>
      <c r="F48" s="169" t="s">
        <v>1021</v>
      </c>
      <c r="G48" s="170">
        <v>9000.0</v>
      </c>
      <c r="H48" s="149">
        <v>720000.0</v>
      </c>
      <c r="I48" s="96" t="s">
        <v>44</v>
      </c>
      <c r="J48" s="149">
        <v>350000.0</v>
      </c>
      <c r="K48" s="193" t="s">
        <v>42</v>
      </c>
      <c r="L48" s="100">
        <f t="shared" si="4"/>
        <v>370000</v>
      </c>
      <c r="M48" s="149"/>
    </row>
    <row r="49" ht="15.75" customHeight="1">
      <c r="A49" s="17">
        <v>8.0</v>
      </c>
      <c r="B49" s="86">
        <v>45608.0</v>
      </c>
      <c r="C49" s="17" t="s">
        <v>811</v>
      </c>
      <c r="D49" s="17" t="s">
        <v>1018</v>
      </c>
      <c r="E49" s="169" t="s">
        <v>30</v>
      </c>
      <c r="F49" s="17" t="s">
        <v>831</v>
      </c>
      <c r="G49" s="87">
        <v>9000.0</v>
      </c>
      <c r="H49" s="104">
        <v>900000.0</v>
      </c>
      <c r="I49" s="97" t="s">
        <v>42</v>
      </c>
      <c r="J49" s="104">
        <v>500000.0</v>
      </c>
      <c r="K49" s="193" t="s">
        <v>42</v>
      </c>
      <c r="L49" s="100">
        <f t="shared" si="4"/>
        <v>400000</v>
      </c>
      <c r="M49" s="149">
        <v>24000.0</v>
      </c>
    </row>
    <row r="50" ht="15.75" customHeight="1">
      <c r="A50" s="17">
        <v>9.0</v>
      </c>
      <c r="B50" s="86">
        <v>45609.0</v>
      </c>
      <c r="C50" s="17" t="s">
        <v>811</v>
      </c>
      <c r="D50" s="17" t="s">
        <v>1018</v>
      </c>
      <c r="E50" s="169" t="s">
        <v>30</v>
      </c>
      <c r="F50" s="169" t="s">
        <v>205</v>
      </c>
      <c r="G50" s="170">
        <v>9000.0</v>
      </c>
      <c r="H50" s="149">
        <v>1125000.0</v>
      </c>
      <c r="I50" s="184" t="s">
        <v>42</v>
      </c>
      <c r="J50" s="149">
        <v>640000.0</v>
      </c>
      <c r="K50" s="169" t="s">
        <v>42</v>
      </c>
      <c r="L50" s="100">
        <f t="shared" si="4"/>
        <v>485000</v>
      </c>
      <c r="M50" s="149"/>
    </row>
    <row r="51" ht="15.75" customHeight="1">
      <c r="A51" s="17">
        <v>10.0</v>
      </c>
      <c r="B51" s="86">
        <v>45611.0</v>
      </c>
      <c r="C51" s="17" t="s">
        <v>811</v>
      </c>
      <c r="D51" s="17" t="s">
        <v>1018</v>
      </c>
      <c r="E51" s="169" t="s">
        <v>37</v>
      </c>
      <c r="F51" s="169" t="s">
        <v>561</v>
      </c>
      <c r="G51" s="170">
        <v>10000.0</v>
      </c>
      <c r="H51" s="149">
        <v>1500000.0</v>
      </c>
      <c r="I51" s="184" t="s">
        <v>44</v>
      </c>
      <c r="J51" s="149">
        <v>850000.0</v>
      </c>
      <c r="K51" s="169" t="s">
        <v>42</v>
      </c>
      <c r="L51" s="100">
        <f t="shared" si="4"/>
        <v>650000</v>
      </c>
      <c r="M51" s="149">
        <v>155000.0</v>
      </c>
    </row>
    <row r="52" ht="15.75" customHeight="1">
      <c r="A52" s="17">
        <v>11.0</v>
      </c>
      <c r="B52" s="86">
        <v>45614.0</v>
      </c>
      <c r="C52" s="17" t="s">
        <v>811</v>
      </c>
      <c r="D52" s="17" t="s">
        <v>1018</v>
      </c>
      <c r="E52" s="17" t="s">
        <v>30</v>
      </c>
      <c r="F52" s="17" t="s">
        <v>491</v>
      </c>
      <c r="G52" s="87">
        <v>9000.0</v>
      </c>
      <c r="H52" s="104">
        <v>765000.0</v>
      </c>
      <c r="I52" s="97" t="s">
        <v>44</v>
      </c>
      <c r="J52" s="104">
        <v>450000.0</v>
      </c>
      <c r="K52" s="169" t="s">
        <v>42</v>
      </c>
      <c r="L52" s="100">
        <f t="shared" si="4"/>
        <v>315000</v>
      </c>
      <c r="M52" s="149">
        <v>130000.0</v>
      </c>
    </row>
    <row r="53" ht="15.75" customHeight="1">
      <c r="A53" s="17">
        <v>12.0</v>
      </c>
      <c r="B53" s="86">
        <v>45615.0</v>
      </c>
      <c r="C53" s="17" t="s">
        <v>811</v>
      </c>
      <c r="D53" s="17" t="s">
        <v>1018</v>
      </c>
      <c r="E53" s="17" t="s">
        <v>204</v>
      </c>
      <c r="F53" s="17" t="s">
        <v>205</v>
      </c>
      <c r="G53" s="87">
        <v>9000.0</v>
      </c>
      <c r="H53" s="58">
        <v>1125000.0</v>
      </c>
      <c r="I53" s="59" t="s">
        <v>42</v>
      </c>
      <c r="J53" s="60">
        <v>640000.0</v>
      </c>
      <c r="K53" s="169" t="s">
        <v>42</v>
      </c>
      <c r="L53" s="100">
        <f t="shared" si="4"/>
        <v>485000</v>
      </c>
      <c r="M53" s="149"/>
    </row>
    <row r="54" ht="15.75" customHeight="1">
      <c r="A54" s="17">
        <v>13.0</v>
      </c>
      <c r="B54" s="86">
        <v>45616.0</v>
      </c>
      <c r="C54" s="17" t="s">
        <v>811</v>
      </c>
      <c r="D54" s="17" t="s">
        <v>1018</v>
      </c>
      <c r="E54" s="169" t="s">
        <v>273</v>
      </c>
      <c r="F54" s="169" t="s">
        <v>1021</v>
      </c>
      <c r="G54" s="170">
        <v>9000.0</v>
      </c>
      <c r="H54" s="149">
        <v>720000.0</v>
      </c>
      <c r="I54" s="96" t="s">
        <v>44</v>
      </c>
      <c r="J54" s="149">
        <v>350000.0</v>
      </c>
      <c r="K54" s="169" t="s">
        <v>42</v>
      </c>
      <c r="L54" s="100">
        <f t="shared" si="4"/>
        <v>370000</v>
      </c>
      <c r="M54" s="149"/>
    </row>
    <row r="55" ht="15.75" customHeight="1">
      <c r="A55" s="17">
        <v>14.0</v>
      </c>
      <c r="B55" s="86">
        <v>45617.0</v>
      </c>
      <c r="C55" s="17" t="s">
        <v>811</v>
      </c>
      <c r="D55" s="17" t="s">
        <v>1018</v>
      </c>
      <c r="E55" s="169" t="s">
        <v>966</v>
      </c>
      <c r="F55" s="17" t="s">
        <v>109</v>
      </c>
      <c r="G55" s="87">
        <v>9000.0</v>
      </c>
      <c r="H55" s="101">
        <v>720000.0</v>
      </c>
      <c r="I55" s="97" t="s">
        <v>42</v>
      </c>
      <c r="J55" s="104">
        <v>350000.0</v>
      </c>
      <c r="K55" s="169" t="s">
        <v>42</v>
      </c>
      <c r="L55" s="100">
        <f t="shared" si="4"/>
        <v>370000</v>
      </c>
      <c r="M55" s="149"/>
    </row>
    <row r="56" ht="15.75" customHeight="1">
      <c r="A56" s="17">
        <v>15.0</v>
      </c>
      <c r="B56" s="86">
        <v>45618.0</v>
      </c>
      <c r="C56" s="17" t="s">
        <v>811</v>
      </c>
      <c r="D56" s="17" t="s">
        <v>1018</v>
      </c>
      <c r="E56" s="169" t="s">
        <v>40</v>
      </c>
      <c r="F56" s="169" t="s">
        <v>877</v>
      </c>
      <c r="G56" s="170">
        <v>9000.0</v>
      </c>
      <c r="H56" s="149">
        <v>1035000.0</v>
      </c>
      <c r="I56" s="184" t="s">
        <v>42</v>
      </c>
      <c r="J56" s="149">
        <v>600000.0</v>
      </c>
      <c r="K56" s="169" t="s">
        <v>42</v>
      </c>
      <c r="L56" s="100">
        <f t="shared" si="4"/>
        <v>435000</v>
      </c>
      <c r="M56" s="149">
        <v>260000.0</v>
      </c>
    </row>
    <row r="57" ht="15.75" customHeight="1">
      <c r="A57" s="17">
        <v>16.0</v>
      </c>
      <c r="B57" s="86">
        <v>45621.0</v>
      </c>
      <c r="C57" s="17" t="s">
        <v>811</v>
      </c>
      <c r="D57" s="17" t="s">
        <v>1018</v>
      </c>
      <c r="E57" s="169" t="s">
        <v>242</v>
      </c>
      <c r="F57" s="169" t="s">
        <v>491</v>
      </c>
      <c r="G57" s="170">
        <v>9000.0</v>
      </c>
      <c r="H57" s="149">
        <v>765000.0</v>
      </c>
      <c r="I57" s="184" t="s">
        <v>44</v>
      </c>
      <c r="J57" s="149">
        <v>450000.0</v>
      </c>
      <c r="K57" s="169" t="s">
        <v>42</v>
      </c>
      <c r="L57" s="100">
        <f t="shared" si="4"/>
        <v>315000</v>
      </c>
      <c r="M57" s="149"/>
    </row>
    <row r="58" ht="15.75" customHeight="1">
      <c r="A58" s="17">
        <v>17.0</v>
      </c>
      <c r="B58" s="86">
        <v>45622.0</v>
      </c>
      <c r="C58" s="17" t="s">
        <v>811</v>
      </c>
      <c r="D58" s="17" t="s">
        <v>1018</v>
      </c>
      <c r="E58" s="169" t="s">
        <v>273</v>
      </c>
      <c r="F58" s="169" t="s">
        <v>161</v>
      </c>
      <c r="G58" s="87">
        <v>9000.0</v>
      </c>
      <c r="H58" s="58">
        <v>1215000.0</v>
      </c>
      <c r="I58" s="96" t="s">
        <v>44</v>
      </c>
      <c r="J58" s="149">
        <v>725000.0</v>
      </c>
      <c r="K58" s="169" t="s">
        <v>42</v>
      </c>
      <c r="L58" s="100">
        <f t="shared" si="4"/>
        <v>490000</v>
      </c>
      <c r="M58" s="149"/>
    </row>
    <row r="59" ht="15.75" customHeight="1">
      <c r="A59" s="17">
        <v>18.0</v>
      </c>
      <c r="B59" s="86">
        <v>45624.0</v>
      </c>
      <c r="C59" s="17" t="s">
        <v>811</v>
      </c>
      <c r="D59" s="17" t="s">
        <v>1018</v>
      </c>
      <c r="E59" s="169" t="s">
        <v>273</v>
      </c>
      <c r="F59" s="169" t="s">
        <v>776</v>
      </c>
      <c r="G59" s="170">
        <v>9000.0</v>
      </c>
      <c r="H59" s="58">
        <v>1200000.0</v>
      </c>
      <c r="I59" s="184" t="s">
        <v>42</v>
      </c>
      <c r="J59" s="149">
        <v>690000.0</v>
      </c>
      <c r="K59" s="169" t="s">
        <v>42</v>
      </c>
      <c r="L59" s="100">
        <f t="shared" si="4"/>
        <v>510000</v>
      </c>
      <c r="M59" s="149"/>
    </row>
    <row r="60" ht="15.75" customHeight="1">
      <c r="A60" s="17">
        <v>19.0</v>
      </c>
      <c r="B60" s="86">
        <v>45625.0</v>
      </c>
      <c r="C60" s="17" t="s">
        <v>811</v>
      </c>
      <c r="D60" s="17" t="s">
        <v>1018</v>
      </c>
      <c r="E60" s="169" t="s">
        <v>966</v>
      </c>
      <c r="F60" s="169" t="s">
        <v>109</v>
      </c>
      <c r="G60" s="170">
        <v>9000.0</v>
      </c>
      <c r="H60" s="149">
        <v>720000.0</v>
      </c>
      <c r="I60" s="184" t="s">
        <v>42</v>
      </c>
      <c r="J60" s="149">
        <v>350000.0</v>
      </c>
      <c r="K60" s="169" t="s">
        <v>42</v>
      </c>
      <c r="L60" s="100">
        <f t="shared" si="4"/>
        <v>370000</v>
      </c>
      <c r="M60" s="149"/>
    </row>
    <row r="61" ht="15.75" customHeight="1">
      <c r="A61" s="17">
        <v>20.0</v>
      </c>
      <c r="B61" s="86">
        <v>45626.0</v>
      </c>
      <c r="C61" s="17" t="s">
        <v>811</v>
      </c>
      <c r="D61" s="17" t="s">
        <v>1018</v>
      </c>
      <c r="E61" s="169" t="s">
        <v>37</v>
      </c>
      <c r="F61" s="169" t="s">
        <v>561</v>
      </c>
      <c r="G61" s="170">
        <v>10000.0</v>
      </c>
      <c r="H61" s="149">
        <v>1500000.0</v>
      </c>
      <c r="I61" s="184" t="s">
        <v>44</v>
      </c>
      <c r="J61" s="149">
        <v>850000.0</v>
      </c>
      <c r="K61" s="169" t="s">
        <v>42</v>
      </c>
      <c r="L61" s="100">
        <f t="shared" si="4"/>
        <v>650000</v>
      </c>
      <c r="M61" s="149">
        <v>40000.0</v>
      </c>
    </row>
    <row r="62" ht="15.75" customHeight="1">
      <c r="E62" s="169"/>
      <c r="F62" s="169"/>
      <c r="G62" s="170"/>
      <c r="H62" s="149"/>
      <c r="I62" s="184"/>
      <c r="J62" s="149"/>
      <c r="K62" s="169"/>
      <c r="L62" s="52">
        <f t="shared" ref="L62:M62" si="5">SUM(L40:L61)</f>
        <v>8685000</v>
      </c>
      <c r="M62" s="194">
        <f t="shared" si="5"/>
        <v>609000</v>
      </c>
    </row>
    <row r="63" ht="15.75" customHeight="1">
      <c r="E63" s="169"/>
      <c r="F63" s="169"/>
      <c r="G63" s="170"/>
      <c r="H63" s="149"/>
      <c r="I63" s="184"/>
      <c r="J63" s="149"/>
      <c r="K63" s="169"/>
      <c r="L63" s="231">
        <f>L62-M62</f>
        <v>8076000</v>
      </c>
      <c r="M63" s="149"/>
    </row>
    <row r="64" ht="15.75" customHeight="1">
      <c r="E64" s="169"/>
      <c r="F64" s="169"/>
      <c r="G64" s="170"/>
      <c r="H64" s="149"/>
      <c r="I64" s="184"/>
      <c r="J64" s="149"/>
      <c r="K64" s="169"/>
      <c r="M64" s="149"/>
    </row>
    <row r="65" ht="15.75" customHeight="1">
      <c r="A65" s="89" t="s">
        <v>209</v>
      </c>
      <c r="B65" s="89" t="s">
        <v>0</v>
      </c>
      <c r="C65" s="89" t="s">
        <v>1</v>
      </c>
      <c r="D65" s="89" t="s">
        <v>2</v>
      </c>
      <c r="E65" s="90" t="s">
        <v>3</v>
      </c>
      <c r="F65" s="89" t="s">
        <v>4</v>
      </c>
      <c r="G65" s="91" t="s">
        <v>5</v>
      </c>
      <c r="H65" s="120" t="s">
        <v>6</v>
      </c>
      <c r="I65" s="92" t="s">
        <v>39</v>
      </c>
      <c r="J65" s="120" t="s">
        <v>7</v>
      </c>
      <c r="K65" s="91" t="s">
        <v>39</v>
      </c>
      <c r="L65" s="92" t="s">
        <v>8</v>
      </c>
      <c r="M65" s="120" t="s">
        <v>9</v>
      </c>
    </row>
    <row r="66" ht="15.75" customHeight="1">
      <c r="A66" s="17">
        <v>1.0</v>
      </c>
      <c r="B66" s="86">
        <v>45628.0</v>
      </c>
      <c r="C66" s="17" t="s">
        <v>811</v>
      </c>
      <c r="D66" s="17" t="s">
        <v>1018</v>
      </c>
      <c r="E66" s="169" t="s">
        <v>40</v>
      </c>
      <c r="F66" s="169" t="s">
        <v>194</v>
      </c>
      <c r="G66" s="170">
        <v>9000.0</v>
      </c>
      <c r="H66" s="173">
        <v>1400000.0</v>
      </c>
      <c r="I66" s="211" t="s">
        <v>44</v>
      </c>
      <c r="J66" s="193">
        <v>850000.0</v>
      </c>
      <c r="K66" s="60" t="s">
        <v>42</v>
      </c>
      <c r="L66" s="100">
        <f t="shared" ref="L66:L86" si="6">H66-J66</f>
        <v>550000</v>
      </c>
      <c r="M66" s="149">
        <v>590000.0</v>
      </c>
    </row>
    <row r="67" ht="15.75" customHeight="1">
      <c r="A67" s="17">
        <v>2.0</v>
      </c>
      <c r="B67" s="86">
        <v>45630.0</v>
      </c>
      <c r="C67" s="17" t="s">
        <v>811</v>
      </c>
      <c r="D67" s="17" t="s">
        <v>1018</v>
      </c>
      <c r="E67" s="169" t="s">
        <v>45</v>
      </c>
      <c r="F67" s="169" t="s">
        <v>776</v>
      </c>
      <c r="G67" s="170">
        <v>9000.0</v>
      </c>
      <c r="H67" s="149">
        <v>1200000.0</v>
      </c>
      <c r="I67" s="184" t="s">
        <v>42</v>
      </c>
      <c r="J67" s="149">
        <v>690000.0</v>
      </c>
      <c r="K67" s="60" t="s">
        <v>42</v>
      </c>
      <c r="L67" s="100">
        <f t="shared" si="6"/>
        <v>510000</v>
      </c>
      <c r="M67" s="149">
        <v>268000.0</v>
      </c>
      <c r="N67" s="240" t="s">
        <v>1022</v>
      </c>
      <c r="O67" s="372" t="s">
        <v>212</v>
      </c>
    </row>
    <row r="68" ht="15.75" customHeight="1">
      <c r="A68" s="17">
        <v>3.0</v>
      </c>
      <c r="B68" s="86">
        <v>45631.0</v>
      </c>
      <c r="C68" s="17" t="s">
        <v>811</v>
      </c>
      <c r="D68" s="17" t="s">
        <v>1018</v>
      </c>
      <c r="E68" s="169" t="s">
        <v>30</v>
      </c>
      <c r="F68" s="169" t="s">
        <v>502</v>
      </c>
      <c r="G68" s="170">
        <v>9000.0</v>
      </c>
      <c r="H68" s="149">
        <v>1125000.0</v>
      </c>
      <c r="I68" s="184" t="s">
        <v>42</v>
      </c>
      <c r="J68" s="149">
        <v>640000.0</v>
      </c>
      <c r="K68" s="60" t="s">
        <v>42</v>
      </c>
      <c r="L68" s="100">
        <f t="shared" si="6"/>
        <v>485000</v>
      </c>
      <c r="M68" s="149"/>
      <c r="O68" s="372" t="s">
        <v>212</v>
      </c>
    </row>
    <row r="69" ht="15.75" customHeight="1">
      <c r="A69" s="17">
        <v>4.0</v>
      </c>
      <c r="B69" s="86">
        <v>45632.0</v>
      </c>
      <c r="C69" s="17" t="s">
        <v>811</v>
      </c>
      <c r="D69" s="17" t="s">
        <v>1018</v>
      </c>
      <c r="E69" s="169" t="s">
        <v>123</v>
      </c>
      <c r="F69" s="17" t="s">
        <v>959</v>
      </c>
      <c r="G69" s="170">
        <v>9000.0</v>
      </c>
      <c r="H69" s="149">
        <v>720000.0</v>
      </c>
      <c r="I69" s="184" t="s">
        <v>42</v>
      </c>
      <c r="J69" s="104">
        <v>350000.0</v>
      </c>
      <c r="K69" s="60" t="s">
        <v>42</v>
      </c>
      <c r="L69" s="100">
        <f t="shared" si="6"/>
        <v>370000</v>
      </c>
      <c r="M69" s="149"/>
    </row>
    <row r="70" ht="15.75" customHeight="1">
      <c r="A70" s="17">
        <v>5.0</v>
      </c>
      <c r="B70" s="86">
        <v>45633.0</v>
      </c>
      <c r="C70" s="17" t="s">
        <v>811</v>
      </c>
      <c r="D70" s="17" t="s">
        <v>1018</v>
      </c>
      <c r="E70" s="169" t="s">
        <v>45</v>
      </c>
      <c r="F70" s="17" t="s">
        <v>395</v>
      </c>
      <c r="G70" s="87">
        <v>9000.0</v>
      </c>
      <c r="H70" s="101">
        <v>1000000.0</v>
      </c>
      <c r="I70" s="184" t="s">
        <v>42</v>
      </c>
      <c r="J70" s="101">
        <v>550000.0</v>
      </c>
      <c r="K70" s="60" t="s">
        <v>42</v>
      </c>
      <c r="L70" s="100">
        <f t="shared" si="6"/>
        <v>450000</v>
      </c>
      <c r="M70" s="149"/>
    </row>
    <row r="71" ht="15.75" customHeight="1">
      <c r="A71" s="17">
        <v>6.0</v>
      </c>
      <c r="B71" s="373">
        <v>45635.0</v>
      </c>
      <c r="C71" s="17" t="s">
        <v>811</v>
      </c>
      <c r="D71" s="17" t="s">
        <v>1018</v>
      </c>
      <c r="E71" s="169" t="s">
        <v>45</v>
      </c>
      <c r="F71" s="17" t="s">
        <v>395</v>
      </c>
      <c r="G71" s="87">
        <v>9000.0</v>
      </c>
      <c r="H71" s="101">
        <v>1000000.0</v>
      </c>
      <c r="I71" s="184" t="s">
        <v>42</v>
      </c>
      <c r="J71" s="101">
        <v>550000.0</v>
      </c>
      <c r="K71" s="60" t="s">
        <v>42</v>
      </c>
      <c r="L71" s="100">
        <f t="shared" si="6"/>
        <v>450000</v>
      </c>
      <c r="M71" s="149">
        <v>45000.0</v>
      </c>
    </row>
    <row r="72" ht="15.75" customHeight="1">
      <c r="A72" s="17">
        <v>7.0</v>
      </c>
      <c r="B72" s="373">
        <v>45636.0</v>
      </c>
      <c r="C72" s="17" t="s">
        <v>811</v>
      </c>
      <c r="D72" s="17" t="s">
        <v>1018</v>
      </c>
      <c r="E72" s="169" t="s">
        <v>40</v>
      </c>
      <c r="F72" s="169" t="s">
        <v>1023</v>
      </c>
      <c r="G72" s="170">
        <v>9000.0</v>
      </c>
      <c r="H72" s="149">
        <v>1125000.0</v>
      </c>
      <c r="I72" s="184" t="s">
        <v>42</v>
      </c>
      <c r="J72" s="149">
        <v>640000.0</v>
      </c>
      <c r="K72" s="60" t="s">
        <v>42</v>
      </c>
      <c r="L72" s="100">
        <f t="shared" si="6"/>
        <v>485000</v>
      </c>
      <c r="M72" s="149"/>
    </row>
    <row r="73" ht="15.75" customHeight="1">
      <c r="A73" s="17">
        <v>8.0</v>
      </c>
      <c r="B73" s="373">
        <v>45637.0</v>
      </c>
      <c r="C73" s="17" t="s">
        <v>811</v>
      </c>
      <c r="D73" s="17" t="s">
        <v>1018</v>
      </c>
      <c r="E73" s="169" t="s">
        <v>45</v>
      </c>
      <c r="F73" s="169" t="s">
        <v>776</v>
      </c>
      <c r="G73" s="170">
        <v>9000.0</v>
      </c>
      <c r="H73" s="149">
        <v>1200000.0</v>
      </c>
      <c r="I73" s="152" t="s">
        <v>42</v>
      </c>
      <c r="J73" s="149">
        <v>690000.0</v>
      </c>
      <c r="K73" s="60" t="s">
        <v>42</v>
      </c>
      <c r="L73" s="100">
        <f t="shared" si="6"/>
        <v>510000</v>
      </c>
      <c r="M73" s="149"/>
    </row>
    <row r="74" ht="15.75" customHeight="1">
      <c r="A74" s="17">
        <v>9.0</v>
      </c>
      <c r="B74" s="373">
        <v>45638.0</v>
      </c>
      <c r="C74" s="17" t="s">
        <v>811</v>
      </c>
      <c r="D74" s="17" t="s">
        <v>1018</v>
      </c>
      <c r="E74" s="204" t="s">
        <v>1024</v>
      </c>
      <c r="F74" s="204" t="s">
        <v>245</v>
      </c>
      <c r="G74" s="151">
        <v>9000.0</v>
      </c>
      <c r="H74" s="374">
        <v>761770.0</v>
      </c>
      <c r="I74" s="152" t="s">
        <v>44</v>
      </c>
      <c r="J74" s="150">
        <v>400000.0</v>
      </c>
      <c r="K74" s="60" t="s">
        <v>42</v>
      </c>
      <c r="L74" s="100">
        <f t="shared" si="6"/>
        <v>361770</v>
      </c>
      <c r="M74" s="149"/>
    </row>
    <row r="75" ht="15.75" customHeight="1">
      <c r="A75" s="17">
        <v>10.0</v>
      </c>
      <c r="B75" s="373">
        <v>45639.0</v>
      </c>
      <c r="C75" s="17" t="s">
        <v>811</v>
      </c>
      <c r="D75" s="17" t="s">
        <v>1018</v>
      </c>
      <c r="E75" s="204" t="s">
        <v>265</v>
      </c>
      <c r="F75" s="204" t="s">
        <v>266</v>
      </c>
      <c r="G75" s="151">
        <v>9000.0</v>
      </c>
      <c r="H75" s="150">
        <v>720000.0</v>
      </c>
      <c r="I75" s="152" t="s">
        <v>42</v>
      </c>
      <c r="J75" s="150">
        <v>400000.0</v>
      </c>
      <c r="K75" s="60" t="s">
        <v>42</v>
      </c>
      <c r="L75" s="100">
        <f t="shared" si="6"/>
        <v>320000</v>
      </c>
      <c r="M75" s="149"/>
    </row>
    <row r="76" ht="15.75" customHeight="1">
      <c r="A76" s="17">
        <v>11.0</v>
      </c>
      <c r="B76" s="373">
        <v>45640.0</v>
      </c>
      <c r="C76" s="17" t="s">
        <v>811</v>
      </c>
      <c r="D76" s="17" t="s">
        <v>1018</v>
      </c>
      <c r="E76" s="204" t="s">
        <v>45</v>
      </c>
      <c r="F76" s="204" t="s">
        <v>1025</v>
      </c>
      <c r="G76" s="151">
        <v>10000.0</v>
      </c>
      <c r="H76" s="150">
        <v>975000.0</v>
      </c>
      <c r="I76" s="152" t="s">
        <v>212</v>
      </c>
      <c r="J76" s="149">
        <f>550000+25000</f>
        <v>575000</v>
      </c>
      <c r="K76" s="204" t="s">
        <v>238</v>
      </c>
      <c r="L76" s="100">
        <f t="shared" si="6"/>
        <v>400000</v>
      </c>
      <c r="M76" s="149"/>
      <c r="N76" s="205" t="s">
        <v>1026</v>
      </c>
    </row>
    <row r="77" ht="15.75" customHeight="1">
      <c r="A77" s="17">
        <v>12.0</v>
      </c>
      <c r="B77" s="375">
        <v>45642.0</v>
      </c>
      <c r="C77" s="17" t="s">
        <v>811</v>
      </c>
      <c r="D77" s="17" t="s">
        <v>1018</v>
      </c>
      <c r="E77" s="204" t="s">
        <v>1027</v>
      </c>
      <c r="F77" s="204" t="s">
        <v>1028</v>
      </c>
      <c r="G77" s="151">
        <v>9000.0</v>
      </c>
      <c r="H77" s="150">
        <v>1125000.0</v>
      </c>
      <c r="I77" s="152" t="s">
        <v>212</v>
      </c>
      <c r="J77" s="150">
        <v>640000.0</v>
      </c>
      <c r="K77" s="204" t="s">
        <v>212</v>
      </c>
      <c r="L77" s="100">
        <f t="shared" si="6"/>
        <v>485000</v>
      </c>
      <c r="M77" s="149"/>
    </row>
    <row r="78" ht="15.75" customHeight="1">
      <c r="A78" s="17">
        <v>13.0</v>
      </c>
      <c r="B78" s="375">
        <v>45643.0</v>
      </c>
      <c r="C78" s="17" t="s">
        <v>811</v>
      </c>
      <c r="D78" s="17" t="s">
        <v>1018</v>
      </c>
      <c r="E78" s="204" t="s">
        <v>279</v>
      </c>
      <c r="F78" s="204" t="s">
        <v>395</v>
      </c>
      <c r="G78" s="151">
        <v>9000.0</v>
      </c>
      <c r="H78" s="150">
        <v>1000000.0</v>
      </c>
      <c r="I78" s="152" t="s">
        <v>212</v>
      </c>
      <c r="J78" s="150">
        <v>550000.0</v>
      </c>
      <c r="K78" s="204" t="s">
        <v>212</v>
      </c>
      <c r="L78" s="100">
        <f t="shared" si="6"/>
        <v>450000</v>
      </c>
      <c r="M78" s="149"/>
    </row>
    <row r="79" ht="15.75" customHeight="1">
      <c r="A79" s="17">
        <v>14.0</v>
      </c>
      <c r="B79" s="375">
        <v>45644.0</v>
      </c>
      <c r="C79" s="17" t="s">
        <v>811</v>
      </c>
      <c r="D79" s="17" t="s">
        <v>1018</v>
      </c>
      <c r="E79" s="204" t="s">
        <v>80</v>
      </c>
      <c r="F79" s="204" t="s">
        <v>236</v>
      </c>
      <c r="G79" s="151">
        <v>9000.0</v>
      </c>
      <c r="H79" s="58">
        <v>675000.0</v>
      </c>
      <c r="I79" s="108" t="s">
        <v>238</v>
      </c>
      <c r="J79" s="60">
        <v>375000.0</v>
      </c>
      <c r="K79" s="109" t="s">
        <v>212</v>
      </c>
      <c r="L79" s="100">
        <f t="shared" si="6"/>
        <v>300000</v>
      </c>
      <c r="M79" s="149"/>
    </row>
    <row r="80" ht="15.75" customHeight="1">
      <c r="A80" s="17">
        <v>15.0</v>
      </c>
      <c r="B80" s="375">
        <v>45644.0</v>
      </c>
      <c r="C80" s="17" t="s">
        <v>811</v>
      </c>
      <c r="D80" s="17" t="s">
        <v>1018</v>
      </c>
      <c r="E80" s="204" t="s">
        <v>279</v>
      </c>
      <c r="F80" s="204" t="s">
        <v>1029</v>
      </c>
      <c r="G80" s="151">
        <v>9000.0</v>
      </c>
      <c r="H80" s="202">
        <v>1215000.0</v>
      </c>
      <c r="I80" s="206" t="s">
        <v>238</v>
      </c>
      <c r="J80" s="172">
        <v>700000.0</v>
      </c>
      <c r="K80" s="204" t="s">
        <v>212</v>
      </c>
      <c r="L80" s="100">
        <f t="shared" si="6"/>
        <v>515000</v>
      </c>
      <c r="M80" s="149"/>
    </row>
    <row r="81" ht="15.75" customHeight="1">
      <c r="A81" s="17">
        <v>16.0</v>
      </c>
      <c r="B81" s="375">
        <v>45645.0</v>
      </c>
      <c r="C81" s="17" t="s">
        <v>811</v>
      </c>
      <c r="D81" s="17" t="s">
        <v>1018</v>
      </c>
      <c r="E81" s="204" t="s">
        <v>242</v>
      </c>
      <c r="F81" s="204" t="s">
        <v>849</v>
      </c>
      <c r="G81" s="151">
        <v>9000.0</v>
      </c>
      <c r="H81" s="173">
        <v>1400000.0</v>
      </c>
      <c r="I81" s="211" t="s">
        <v>238</v>
      </c>
      <c r="J81" s="193">
        <v>850000.0</v>
      </c>
      <c r="K81" s="204" t="s">
        <v>212</v>
      </c>
      <c r="L81" s="100">
        <f t="shared" si="6"/>
        <v>550000</v>
      </c>
      <c r="M81" s="149"/>
    </row>
    <row r="82" ht="15.75" customHeight="1">
      <c r="A82" s="17">
        <v>17.0</v>
      </c>
      <c r="B82" s="375">
        <v>45646.0</v>
      </c>
      <c r="C82" s="17" t="s">
        <v>811</v>
      </c>
      <c r="D82" s="17" t="s">
        <v>1018</v>
      </c>
      <c r="E82" s="204" t="s">
        <v>383</v>
      </c>
      <c r="F82" s="204" t="s">
        <v>395</v>
      </c>
      <c r="G82" s="151">
        <v>9000.0</v>
      </c>
      <c r="H82" s="101">
        <v>1000000.0</v>
      </c>
      <c r="I82" s="152" t="s">
        <v>212</v>
      </c>
      <c r="J82" s="101">
        <f>550000+25000</f>
        <v>575000</v>
      </c>
      <c r="K82" s="204" t="s">
        <v>212</v>
      </c>
      <c r="L82" s="100">
        <f t="shared" si="6"/>
        <v>425000</v>
      </c>
      <c r="M82" s="149"/>
    </row>
    <row r="83" ht="15.75" customHeight="1">
      <c r="A83" s="17">
        <v>18.0</v>
      </c>
      <c r="B83" s="375">
        <v>45647.0</v>
      </c>
      <c r="C83" s="17" t="s">
        <v>811</v>
      </c>
      <c r="D83" s="17" t="s">
        <v>1018</v>
      </c>
      <c r="E83" s="204" t="s">
        <v>80</v>
      </c>
      <c r="F83" s="204" t="s">
        <v>1030</v>
      </c>
      <c r="G83" s="151">
        <v>10000.0</v>
      </c>
      <c r="H83" s="150">
        <v>900000.0</v>
      </c>
      <c r="I83" s="152" t="s">
        <v>238</v>
      </c>
      <c r="J83" s="150">
        <v>450000.0</v>
      </c>
      <c r="K83" s="204" t="s">
        <v>212</v>
      </c>
      <c r="L83" s="100">
        <f t="shared" si="6"/>
        <v>450000</v>
      </c>
      <c r="M83" s="230">
        <v>550000.0</v>
      </c>
    </row>
    <row r="84" ht="15.75" customHeight="1">
      <c r="A84" s="17">
        <v>19.0</v>
      </c>
      <c r="B84" s="375">
        <v>45649.0</v>
      </c>
      <c r="C84" s="17" t="s">
        <v>811</v>
      </c>
      <c r="D84" s="213" t="s">
        <v>860</v>
      </c>
      <c r="E84" s="204" t="s">
        <v>243</v>
      </c>
      <c r="F84" s="204" t="s">
        <v>1031</v>
      </c>
      <c r="G84" s="151">
        <v>9000.0</v>
      </c>
      <c r="H84" s="313">
        <v>1125000.0</v>
      </c>
      <c r="I84" s="152" t="s">
        <v>212</v>
      </c>
      <c r="J84" s="149">
        <v>640000.0</v>
      </c>
      <c r="K84" s="204" t="s">
        <v>212</v>
      </c>
      <c r="L84" s="100">
        <f t="shared" si="6"/>
        <v>485000</v>
      </c>
    </row>
    <row r="85" ht="15.75" customHeight="1">
      <c r="A85" s="376">
        <v>20.0</v>
      </c>
      <c r="B85" s="375">
        <v>45650.0</v>
      </c>
      <c r="C85" s="17" t="s">
        <v>811</v>
      </c>
      <c r="D85" s="213" t="s">
        <v>860</v>
      </c>
      <c r="E85" s="204" t="s">
        <v>320</v>
      </c>
      <c r="F85" s="204" t="s">
        <v>974</v>
      </c>
      <c r="G85" s="151">
        <v>9000.0</v>
      </c>
      <c r="H85" s="313">
        <v>1125000.0</v>
      </c>
      <c r="I85" s="152" t="s">
        <v>212</v>
      </c>
      <c r="J85" s="149">
        <v>640000.0</v>
      </c>
      <c r="K85" s="204" t="s">
        <v>212</v>
      </c>
      <c r="L85" s="100">
        <f t="shared" si="6"/>
        <v>485000</v>
      </c>
      <c r="M85" s="150">
        <v>705000.0</v>
      </c>
      <c r="N85" s="205" t="s">
        <v>1032</v>
      </c>
    </row>
    <row r="86" ht="15.75" customHeight="1">
      <c r="A86" s="376">
        <v>21.0</v>
      </c>
      <c r="B86" s="375">
        <v>45653.0</v>
      </c>
      <c r="C86" s="17" t="s">
        <v>811</v>
      </c>
      <c r="D86" s="213" t="s">
        <v>1033</v>
      </c>
      <c r="E86" s="98" t="s">
        <v>279</v>
      </c>
      <c r="F86" s="98" t="s">
        <v>1029</v>
      </c>
      <c r="G86" s="110">
        <v>9000.0</v>
      </c>
      <c r="H86" s="202">
        <v>1215000.0</v>
      </c>
      <c r="I86" s="206" t="s">
        <v>238</v>
      </c>
      <c r="J86" s="172">
        <v>700000.0</v>
      </c>
      <c r="K86" s="204" t="s">
        <v>212</v>
      </c>
      <c r="L86" s="100">
        <f t="shared" si="6"/>
        <v>515000</v>
      </c>
      <c r="M86" s="149"/>
    </row>
    <row r="87" ht="15.75" customHeight="1">
      <c r="A87" s="376">
        <v>22.0</v>
      </c>
      <c r="B87" s="375">
        <v>45654.0</v>
      </c>
      <c r="C87" s="17" t="s">
        <v>811</v>
      </c>
      <c r="D87" s="213" t="s">
        <v>1033</v>
      </c>
      <c r="E87" s="213" t="s">
        <v>383</v>
      </c>
      <c r="F87" s="98" t="s">
        <v>259</v>
      </c>
      <c r="G87" s="110">
        <v>10000.0</v>
      </c>
      <c r="H87" s="149">
        <v>1500000.0</v>
      </c>
      <c r="I87" s="152" t="s">
        <v>238</v>
      </c>
      <c r="J87" s="149">
        <v>850000.0</v>
      </c>
      <c r="K87" s="204" t="s">
        <v>238</v>
      </c>
      <c r="L87" s="100">
        <f>'P SENO (S9509NG)'!H147-'P SENO (S9509NG)'!J147</f>
        <v>1200000</v>
      </c>
      <c r="M87" s="149"/>
    </row>
    <row r="88" ht="15.75" customHeight="1">
      <c r="A88" s="376">
        <v>23.0</v>
      </c>
      <c r="B88" s="375">
        <v>45656.0</v>
      </c>
      <c r="C88" s="17" t="s">
        <v>811</v>
      </c>
      <c r="D88" s="213" t="s">
        <v>1033</v>
      </c>
      <c r="E88" s="213" t="s">
        <v>383</v>
      </c>
      <c r="F88" s="204" t="s">
        <v>395</v>
      </c>
      <c r="G88" s="151">
        <v>9000.0</v>
      </c>
      <c r="H88" s="101">
        <v>1000000.0</v>
      </c>
      <c r="I88" s="152" t="s">
        <v>212</v>
      </c>
      <c r="J88" s="101">
        <f>550000+25000</f>
        <v>575000</v>
      </c>
      <c r="K88" s="204" t="s">
        <v>238</v>
      </c>
      <c r="L88" s="377">
        <f>H88-J88</f>
        <v>425000</v>
      </c>
      <c r="M88" s="149"/>
      <c r="N88" s="205" t="s">
        <v>1034</v>
      </c>
    </row>
    <row r="89" ht="15.75" customHeight="1">
      <c r="A89" s="378"/>
      <c r="E89" s="169"/>
      <c r="F89" s="169"/>
      <c r="G89" s="170"/>
      <c r="H89" s="149"/>
      <c r="I89" s="184"/>
      <c r="J89" s="149"/>
      <c r="L89" s="52">
        <f t="shared" ref="L89:M89" si="7">SUM(L66:L88)</f>
        <v>11176770</v>
      </c>
      <c r="M89" s="194">
        <f t="shared" si="7"/>
        <v>2158000</v>
      </c>
    </row>
    <row r="90" ht="15.75" customHeight="1">
      <c r="E90" s="169"/>
      <c r="F90" s="169"/>
      <c r="G90" s="170"/>
      <c r="I90" s="184"/>
      <c r="J90" s="149"/>
      <c r="K90" s="169"/>
      <c r="L90" s="231">
        <f>L89-M89</f>
        <v>9018770</v>
      </c>
      <c r="M90" s="149"/>
    </row>
    <row r="91" ht="15.75" customHeight="1">
      <c r="E91" s="169"/>
      <c r="F91" s="169"/>
      <c r="G91" s="170"/>
      <c r="H91" s="149"/>
      <c r="I91" s="184"/>
      <c r="J91" s="149"/>
      <c r="K91" s="169"/>
      <c r="M91" s="149"/>
    </row>
    <row r="92" ht="15.75" customHeight="1">
      <c r="A92" s="89" t="s">
        <v>209</v>
      </c>
      <c r="B92" s="89" t="s">
        <v>0</v>
      </c>
      <c r="C92" s="89" t="s">
        <v>1</v>
      </c>
      <c r="D92" s="89" t="s">
        <v>2</v>
      </c>
      <c r="E92" s="90" t="s">
        <v>3</v>
      </c>
      <c r="F92" s="89" t="s">
        <v>4</v>
      </c>
      <c r="G92" s="91" t="s">
        <v>5</v>
      </c>
      <c r="H92" s="120" t="s">
        <v>6</v>
      </c>
      <c r="I92" s="92" t="s">
        <v>39</v>
      </c>
      <c r="J92" s="120" t="s">
        <v>7</v>
      </c>
      <c r="K92" s="91" t="s">
        <v>39</v>
      </c>
      <c r="L92" s="92" t="s">
        <v>8</v>
      </c>
      <c r="M92" s="120" t="s">
        <v>9</v>
      </c>
    </row>
    <row r="93" ht="15.75" customHeight="1">
      <c r="A93" s="17">
        <v>1.0</v>
      </c>
      <c r="B93" s="112">
        <v>45687.0</v>
      </c>
      <c r="C93" s="17" t="s">
        <v>811</v>
      </c>
      <c r="D93" s="98" t="s">
        <v>517</v>
      </c>
      <c r="E93" s="213" t="s">
        <v>273</v>
      </c>
      <c r="F93" s="204" t="s">
        <v>288</v>
      </c>
      <c r="G93" s="170">
        <v>9000.0</v>
      </c>
      <c r="H93" s="149">
        <v>1035000.0</v>
      </c>
      <c r="I93" s="152" t="s">
        <v>212</v>
      </c>
      <c r="J93" s="150">
        <v>625000.0</v>
      </c>
      <c r="K93" s="204" t="s">
        <v>212</v>
      </c>
      <c r="L93" s="58">
        <f t="shared" ref="L93:L94" si="8">H93-J93</f>
        <v>410000</v>
      </c>
      <c r="M93" s="150">
        <v>1.9095E7</v>
      </c>
    </row>
    <row r="94" ht="15.75" customHeight="1">
      <c r="A94" s="17">
        <v>2.0</v>
      </c>
      <c r="B94" s="112">
        <v>45688.0</v>
      </c>
      <c r="C94" s="17" t="s">
        <v>811</v>
      </c>
      <c r="D94" s="98" t="s">
        <v>517</v>
      </c>
      <c r="E94" s="213" t="s">
        <v>243</v>
      </c>
      <c r="F94" s="204" t="s">
        <v>321</v>
      </c>
      <c r="G94" s="151">
        <v>9000.0</v>
      </c>
      <c r="H94" s="345">
        <v>800000.0</v>
      </c>
      <c r="I94" s="152" t="s">
        <v>212</v>
      </c>
      <c r="J94" s="202">
        <v>400000.0</v>
      </c>
      <c r="K94" s="204" t="s">
        <v>238</v>
      </c>
      <c r="L94" s="58">
        <f t="shared" si="8"/>
        <v>400000</v>
      </c>
      <c r="M94" s="379">
        <v>3400000.0</v>
      </c>
    </row>
    <row r="95" ht="15.75" customHeight="1">
      <c r="A95" s="17"/>
      <c r="E95" s="169"/>
      <c r="F95" s="169"/>
      <c r="G95" s="170"/>
      <c r="H95" s="149"/>
      <c r="I95" s="152"/>
      <c r="J95" s="149"/>
      <c r="K95" s="169"/>
      <c r="L95" s="52">
        <f t="shared" ref="L95:M95" si="9">SUM(L93:L94)</f>
        <v>810000</v>
      </c>
      <c r="M95" s="30">
        <f t="shared" si="9"/>
        <v>22495000</v>
      </c>
    </row>
    <row r="96" ht="15.75" customHeight="1">
      <c r="A96" s="17"/>
      <c r="E96" s="169"/>
      <c r="F96" s="169"/>
      <c r="G96" s="170"/>
      <c r="H96" s="149"/>
      <c r="I96" s="184"/>
      <c r="J96" s="149"/>
      <c r="K96" s="169"/>
      <c r="L96" s="33">
        <f>L95-M95</f>
        <v>-21685000</v>
      </c>
      <c r="M96" s="26"/>
    </row>
    <row r="97" ht="15.75" customHeight="1"/>
    <row r="98" ht="15.75" customHeight="1">
      <c r="A98" s="89" t="s">
        <v>209</v>
      </c>
      <c r="B98" s="89" t="s">
        <v>0</v>
      </c>
      <c r="C98" s="89" t="s">
        <v>1</v>
      </c>
      <c r="D98" s="89" t="s">
        <v>2</v>
      </c>
      <c r="E98" s="90" t="s">
        <v>3</v>
      </c>
      <c r="F98" s="89" t="s">
        <v>4</v>
      </c>
      <c r="G98" s="91" t="s">
        <v>5</v>
      </c>
      <c r="H98" s="119" t="s">
        <v>6</v>
      </c>
      <c r="I98" s="92" t="s">
        <v>39</v>
      </c>
      <c r="J98" s="119" t="s">
        <v>7</v>
      </c>
      <c r="K98" s="91" t="s">
        <v>39</v>
      </c>
      <c r="L98" s="92" t="s">
        <v>8</v>
      </c>
      <c r="M98" s="120" t="s">
        <v>9</v>
      </c>
    </row>
    <row r="99" ht="15.75" customHeight="1">
      <c r="A99" s="203">
        <v>1.0</v>
      </c>
      <c r="B99" s="112">
        <v>45689.0</v>
      </c>
      <c r="C99" s="17" t="s">
        <v>811</v>
      </c>
      <c r="D99" s="98" t="s">
        <v>517</v>
      </c>
      <c r="E99" s="204" t="s">
        <v>273</v>
      </c>
      <c r="F99" s="204" t="s">
        <v>271</v>
      </c>
      <c r="G99" s="151">
        <v>9000.0</v>
      </c>
      <c r="H99" s="58">
        <v>675000.0</v>
      </c>
      <c r="I99" s="108" t="s">
        <v>238</v>
      </c>
      <c r="J99" s="109">
        <v>400000.0</v>
      </c>
      <c r="K99" s="204" t="s">
        <v>238</v>
      </c>
      <c r="L99" s="100">
        <f t="shared" ref="L99:L100" si="10">H99-J99</f>
        <v>275000</v>
      </c>
      <c r="M99" s="150">
        <v>1500000.0</v>
      </c>
    </row>
    <row r="100" ht="15.75" customHeight="1">
      <c r="A100" s="98">
        <v>2.0</v>
      </c>
      <c r="B100" s="112">
        <v>45702.0</v>
      </c>
      <c r="C100" s="17" t="s">
        <v>811</v>
      </c>
      <c r="D100" s="98" t="s">
        <v>517</v>
      </c>
      <c r="E100" s="204" t="s">
        <v>279</v>
      </c>
      <c r="F100" s="204" t="s">
        <v>330</v>
      </c>
      <c r="G100" s="151">
        <v>8500.0</v>
      </c>
      <c r="H100" s="107">
        <v>1200000.0</v>
      </c>
      <c r="I100" s="108" t="s">
        <v>238</v>
      </c>
      <c r="J100" s="109">
        <v>640000.0</v>
      </c>
      <c r="K100" s="204" t="s">
        <v>238</v>
      </c>
      <c r="L100" s="100">
        <f t="shared" si="10"/>
        <v>560000</v>
      </c>
      <c r="M100" s="150">
        <v>400000.0</v>
      </c>
    </row>
    <row r="101" ht="15.75" customHeight="1">
      <c r="A101" s="17"/>
      <c r="E101" s="169"/>
      <c r="F101" s="169"/>
      <c r="G101" s="170"/>
      <c r="H101" s="149"/>
      <c r="I101" s="184"/>
      <c r="J101" s="149"/>
      <c r="K101" s="169"/>
      <c r="L101" s="52">
        <f t="shared" ref="L101:M101" si="11">SUM(L99:L100)</f>
        <v>835000</v>
      </c>
      <c r="M101" s="30">
        <f t="shared" si="11"/>
        <v>1900000</v>
      </c>
    </row>
    <row r="102" ht="15.75" customHeight="1">
      <c r="A102" s="17"/>
      <c r="E102" s="169"/>
      <c r="F102" s="169"/>
      <c r="G102" s="170"/>
      <c r="H102" s="149"/>
      <c r="I102" s="184"/>
      <c r="J102" s="149"/>
      <c r="K102" s="169"/>
      <c r="L102" s="33">
        <f>L101-M101</f>
        <v>-1065000</v>
      </c>
      <c r="M102" s="26"/>
    </row>
    <row r="103" ht="15.75" customHeight="1">
      <c r="E103" s="169"/>
      <c r="F103" s="169"/>
      <c r="G103" s="170"/>
      <c r="H103" s="149"/>
      <c r="I103" s="184"/>
      <c r="J103" s="149"/>
      <c r="K103" s="169"/>
      <c r="M103" s="149"/>
    </row>
    <row r="104" ht="15.75" customHeight="1">
      <c r="A104" s="89" t="s">
        <v>209</v>
      </c>
      <c r="B104" s="89" t="s">
        <v>0</v>
      </c>
      <c r="C104" s="89" t="s">
        <v>1</v>
      </c>
      <c r="D104" s="89" t="s">
        <v>2</v>
      </c>
      <c r="E104" s="90" t="s">
        <v>3</v>
      </c>
      <c r="F104" s="89" t="s">
        <v>4</v>
      </c>
      <c r="G104" s="91" t="s">
        <v>5</v>
      </c>
      <c r="H104" s="119" t="s">
        <v>6</v>
      </c>
      <c r="I104" s="92" t="s">
        <v>39</v>
      </c>
      <c r="J104" s="119" t="s">
        <v>7</v>
      </c>
      <c r="K104" s="91" t="s">
        <v>39</v>
      </c>
      <c r="L104" s="92" t="s">
        <v>8</v>
      </c>
      <c r="M104" s="120" t="s">
        <v>9</v>
      </c>
    </row>
    <row r="105" ht="15.75" customHeight="1">
      <c r="A105" s="203">
        <v>1.0</v>
      </c>
      <c r="B105" s="112">
        <v>45689.0</v>
      </c>
      <c r="C105" s="17" t="s">
        <v>811</v>
      </c>
      <c r="D105" s="98" t="s">
        <v>517</v>
      </c>
      <c r="E105" s="204" t="s">
        <v>273</v>
      </c>
      <c r="F105" s="204" t="s">
        <v>271</v>
      </c>
      <c r="G105" s="151">
        <v>9000.0</v>
      </c>
      <c r="H105" s="58">
        <v>675000.0</v>
      </c>
      <c r="I105" s="108" t="s">
        <v>238</v>
      </c>
      <c r="J105" s="109">
        <v>400000.0</v>
      </c>
      <c r="K105" s="204" t="s">
        <v>238</v>
      </c>
      <c r="L105" s="100">
        <f>H105-J105</f>
        <v>275000</v>
      </c>
      <c r="M105" s="150">
        <v>1500000.0</v>
      </c>
    </row>
    <row r="106" ht="15.75" customHeight="1">
      <c r="E106" s="169"/>
      <c r="F106" s="169"/>
      <c r="G106" s="170"/>
      <c r="H106" s="149"/>
      <c r="I106" s="184"/>
      <c r="J106" s="149"/>
      <c r="K106" s="169"/>
      <c r="M106" s="149"/>
    </row>
    <row r="107" ht="15.75" customHeight="1">
      <c r="E107" s="169"/>
      <c r="F107" s="169"/>
      <c r="G107" s="170"/>
      <c r="H107" s="149"/>
      <c r="I107" s="184"/>
      <c r="J107" s="149"/>
      <c r="K107" s="169"/>
      <c r="M107" s="149"/>
    </row>
    <row r="108" ht="15.75" customHeight="1">
      <c r="A108" s="89" t="s">
        <v>209</v>
      </c>
      <c r="B108" s="89" t="s">
        <v>0</v>
      </c>
      <c r="C108" s="89" t="s">
        <v>1</v>
      </c>
      <c r="D108" s="89" t="s">
        <v>2</v>
      </c>
      <c r="E108" s="90" t="s">
        <v>3</v>
      </c>
      <c r="F108" s="89" t="s">
        <v>4</v>
      </c>
      <c r="G108" s="91" t="s">
        <v>5</v>
      </c>
      <c r="H108" s="119" t="s">
        <v>6</v>
      </c>
      <c r="I108" s="92" t="s">
        <v>39</v>
      </c>
      <c r="J108" s="119" t="s">
        <v>7</v>
      </c>
      <c r="K108" s="91" t="s">
        <v>39</v>
      </c>
      <c r="L108" s="92" t="s">
        <v>8</v>
      </c>
      <c r="M108" s="120" t="s">
        <v>9</v>
      </c>
    </row>
    <row r="109" ht="15.75" customHeight="1">
      <c r="A109" s="212">
        <v>1.0</v>
      </c>
      <c r="B109" s="112">
        <v>45734.0</v>
      </c>
      <c r="C109" s="98" t="s">
        <v>1035</v>
      </c>
      <c r="D109" s="98" t="s">
        <v>517</v>
      </c>
      <c r="E109" s="204" t="s">
        <v>243</v>
      </c>
      <c r="F109" s="204" t="s">
        <v>295</v>
      </c>
      <c r="G109" s="151">
        <v>9000.0</v>
      </c>
      <c r="H109" s="107">
        <v>1125000.0</v>
      </c>
      <c r="I109" s="108" t="s">
        <v>212</v>
      </c>
      <c r="J109" s="109">
        <v>640000.0</v>
      </c>
      <c r="K109" s="204" t="s">
        <v>212</v>
      </c>
      <c r="L109" s="100">
        <f t="shared" ref="L109:L115" si="12">H109-J109</f>
        <v>485000</v>
      </c>
      <c r="M109" s="150">
        <v>738500.0</v>
      </c>
    </row>
    <row r="110" ht="15.75" customHeight="1">
      <c r="A110" s="98">
        <v>2.0</v>
      </c>
      <c r="B110" s="112">
        <v>45735.0</v>
      </c>
      <c r="C110" s="98" t="s">
        <v>1035</v>
      </c>
      <c r="D110" s="98" t="s">
        <v>517</v>
      </c>
      <c r="E110" s="204" t="s">
        <v>282</v>
      </c>
      <c r="F110" s="204" t="s">
        <v>1036</v>
      </c>
      <c r="G110" s="170"/>
      <c r="H110" s="150">
        <v>1200000.0</v>
      </c>
      <c r="I110" s="152" t="s">
        <v>238</v>
      </c>
      <c r="J110" s="150">
        <v>665000.0</v>
      </c>
      <c r="K110" s="204" t="s">
        <v>212</v>
      </c>
      <c r="L110" s="100">
        <f t="shared" si="12"/>
        <v>535000</v>
      </c>
      <c r="M110" s="150">
        <v>1410000.0</v>
      </c>
      <c r="N110" s="205" t="s">
        <v>1037</v>
      </c>
    </row>
    <row r="111" ht="15.75" customHeight="1">
      <c r="A111" s="17">
        <v>3.0</v>
      </c>
      <c r="B111" s="112">
        <v>45737.0</v>
      </c>
      <c r="C111" s="98" t="s">
        <v>1035</v>
      </c>
      <c r="D111" s="98" t="s">
        <v>517</v>
      </c>
      <c r="E111" s="204" t="s">
        <v>280</v>
      </c>
      <c r="F111" s="204" t="s">
        <v>346</v>
      </c>
      <c r="G111" s="151">
        <v>9000.0</v>
      </c>
      <c r="H111" s="150">
        <v>1000000.0</v>
      </c>
      <c r="I111" s="108" t="s">
        <v>212</v>
      </c>
      <c r="J111" s="150">
        <v>550000.0</v>
      </c>
      <c r="K111" s="204" t="s">
        <v>212</v>
      </c>
      <c r="L111" s="100">
        <f t="shared" si="12"/>
        <v>450000</v>
      </c>
      <c r="M111" s="150">
        <v>1342000.0</v>
      </c>
    </row>
    <row r="112" ht="15.75" customHeight="1">
      <c r="A112" s="98">
        <v>4.0</v>
      </c>
      <c r="B112" s="112">
        <v>45738.0</v>
      </c>
      <c r="C112" s="98" t="s">
        <v>1035</v>
      </c>
      <c r="D112" s="98" t="s">
        <v>517</v>
      </c>
      <c r="E112" s="204" t="s">
        <v>256</v>
      </c>
      <c r="F112" s="204" t="s">
        <v>303</v>
      </c>
      <c r="G112" s="151">
        <v>9000.0</v>
      </c>
      <c r="H112" s="150">
        <v>1215000.0</v>
      </c>
      <c r="I112" s="152" t="s">
        <v>238</v>
      </c>
      <c r="J112" s="150">
        <v>700000.0</v>
      </c>
      <c r="K112" s="204" t="s">
        <v>212</v>
      </c>
      <c r="L112" s="100">
        <f t="shared" si="12"/>
        <v>515000</v>
      </c>
      <c r="M112" s="150">
        <v>1243000.0</v>
      </c>
    </row>
    <row r="113" ht="15.75" customHeight="1">
      <c r="A113" s="98">
        <v>5.0</v>
      </c>
      <c r="B113" s="112">
        <v>45740.0</v>
      </c>
      <c r="C113" s="98" t="s">
        <v>1035</v>
      </c>
      <c r="D113" s="98" t="s">
        <v>517</v>
      </c>
      <c r="E113" s="204" t="s">
        <v>243</v>
      </c>
      <c r="F113" s="204" t="s">
        <v>260</v>
      </c>
      <c r="G113" s="151">
        <v>9000.0</v>
      </c>
      <c r="H113" s="150">
        <v>1350000.0</v>
      </c>
      <c r="I113" s="152" t="s">
        <v>238</v>
      </c>
      <c r="J113" s="150">
        <v>900000.0</v>
      </c>
      <c r="K113" s="204" t="s">
        <v>212</v>
      </c>
      <c r="L113" s="100">
        <f t="shared" si="12"/>
        <v>450000</v>
      </c>
      <c r="M113" s="150">
        <v>300000.0</v>
      </c>
      <c r="N113" s="205" t="s">
        <v>798</v>
      </c>
    </row>
    <row r="114" ht="15.75" customHeight="1">
      <c r="A114" s="98">
        <v>6.0</v>
      </c>
      <c r="B114" s="112">
        <v>45742.0</v>
      </c>
      <c r="C114" s="98" t="s">
        <v>1035</v>
      </c>
      <c r="D114" s="98" t="s">
        <v>517</v>
      </c>
      <c r="E114" s="204" t="s">
        <v>242</v>
      </c>
      <c r="F114" s="204" t="s">
        <v>324</v>
      </c>
      <c r="G114" s="151">
        <v>10000.0</v>
      </c>
      <c r="H114" s="150">
        <v>750000.0</v>
      </c>
      <c r="I114" s="152" t="s">
        <v>238</v>
      </c>
      <c r="J114" s="150">
        <v>375000.0</v>
      </c>
      <c r="K114" s="204" t="s">
        <v>238</v>
      </c>
      <c r="L114" s="100">
        <f t="shared" si="12"/>
        <v>375000</v>
      </c>
      <c r="M114" s="150">
        <v>345000.0</v>
      </c>
    </row>
    <row r="115" ht="15.75" customHeight="1">
      <c r="A115" s="98">
        <v>7.0</v>
      </c>
      <c r="B115" s="112">
        <v>45743.0</v>
      </c>
      <c r="C115" s="98" t="s">
        <v>1035</v>
      </c>
      <c r="D115" s="98" t="s">
        <v>517</v>
      </c>
      <c r="E115" s="204" t="s">
        <v>256</v>
      </c>
      <c r="F115" s="204" t="s">
        <v>259</v>
      </c>
      <c r="G115" s="151">
        <v>10000.0</v>
      </c>
      <c r="H115" s="150">
        <v>1500000.0</v>
      </c>
      <c r="I115" s="152" t="s">
        <v>238</v>
      </c>
      <c r="J115" s="150">
        <v>850000.0</v>
      </c>
      <c r="K115" s="204" t="s">
        <v>212</v>
      </c>
      <c r="L115" s="100">
        <f t="shared" si="12"/>
        <v>650000</v>
      </c>
      <c r="M115" s="150">
        <v>25000.0</v>
      </c>
    </row>
    <row r="116" ht="15.75" customHeight="1">
      <c r="A116" s="98"/>
      <c r="E116" s="169"/>
      <c r="F116" s="169"/>
      <c r="G116" s="170"/>
      <c r="H116" s="149"/>
      <c r="I116" s="184"/>
      <c r="J116" s="149"/>
      <c r="K116" s="169"/>
      <c r="M116" s="149"/>
    </row>
    <row r="117" ht="15.75" customHeight="1">
      <c r="A117" s="98"/>
      <c r="E117" s="169"/>
      <c r="F117" s="169"/>
      <c r="G117" s="170"/>
      <c r="H117" s="149"/>
      <c r="I117" s="184"/>
      <c r="J117" s="149"/>
      <c r="K117" s="169"/>
      <c r="L117" s="52">
        <f t="shared" ref="L117:M117" si="13">SUM(L109:L116)</f>
        <v>3460000</v>
      </c>
      <c r="M117" s="30">
        <f t="shared" si="13"/>
        <v>5403500</v>
      </c>
    </row>
    <row r="118" ht="15.75" customHeight="1">
      <c r="A118" s="98"/>
      <c r="E118" s="169"/>
      <c r="F118" s="169"/>
      <c r="G118" s="170"/>
      <c r="H118" s="149"/>
      <c r="I118" s="184"/>
      <c r="K118" s="169"/>
      <c r="L118" s="33">
        <f>L117-M117</f>
        <v>-1943500</v>
      </c>
      <c r="M118" s="26"/>
    </row>
    <row r="119" ht="15.75" customHeight="1">
      <c r="A119" s="98"/>
      <c r="E119" s="169"/>
      <c r="F119" s="169"/>
      <c r="G119" s="170"/>
      <c r="H119" s="149"/>
      <c r="I119" s="184"/>
      <c r="J119" s="149"/>
      <c r="K119" s="169"/>
      <c r="M119" s="149"/>
    </row>
    <row r="120" ht="15.75" customHeight="1">
      <c r="A120" s="347"/>
      <c r="B120" s="347"/>
      <c r="C120" s="347"/>
      <c r="D120" s="347"/>
      <c r="E120" s="348"/>
      <c r="F120" s="347"/>
      <c r="G120" s="349"/>
      <c r="H120" s="350"/>
      <c r="I120" s="351"/>
      <c r="J120" s="350"/>
      <c r="K120" s="349"/>
      <c r="L120" s="351"/>
      <c r="M120" s="352"/>
    </row>
    <row r="121" ht="15.75" customHeight="1">
      <c r="A121" s="21"/>
      <c r="B121" s="112"/>
      <c r="C121" s="98"/>
      <c r="D121" s="98"/>
      <c r="E121" s="204"/>
      <c r="F121" s="204"/>
      <c r="G121" s="170"/>
      <c r="H121" s="149"/>
      <c r="I121" s="152"/>
      <c r="J121" s="150"/>
      <c r="K121" s="204"/>
      <c r="L121" s="58"/>
      <c r="M121" s="121"/>
    </row>
    <row r="122" ht="15.75" customHeight="1">
      <c r="A122" s="89" t="s">
        <v>209</v>
      </c>
      <c r="B122" s="89" t="s">
        <v>0</v>
      </c>
      <c r="C122" s="89" t="s">
        <v>1</v>
      </c>
      <c r="D122" s="89" t="s">
        <v>2</v>
      </c>
      <c r="E122" s="90" t="s">
        <v>3</v>
      </c>
      <c r="F122" s="89" t="s">
        <v>4</v>
      </c>
      <c r="G122" s="91" t="s">
        <v>5</v>
      </c>
      <c r="H122" s="119" t="s">
        <v>6</v>
      </c>
      <c r="I122" s="92" t="s">
        <v>39</v>
      </c>
      <c r="J122" s="119" t="s">
        <v>7</v>
      </c>
      <c r="K122" s="91" t="s">
        <v>39</v>
      </c>
      <c r="L122" s="92" t="s">
        <v>8</v>
      </c>
      <c r="M122" s="120" t="s">
        <v>9</v>
      </c>
    </row>
    <row r="123" ht="15.75" customHeight="1">
      <c r="A123" s="212">
        <v>1.0</v>
      </c>
      <c r="B123" s="112">
        <v>45777.0</v>
      </c>
      <c r="C123" s="98" t="s">
        <v>1035</v>
      </c>
      <c r="D123" s="98" t="s">
        <v>314</v>
      </c>
      <c r="E123" s="204" t="s">
        <v>243</v>
      </c>
      <c r="F123" s="204" t="s">
        <v>297</v>
      </c>
      <c r="G123" s="151">
        <v>10000.0</v>
      </c>
      <c r="H123" s="107">
        <v>1100000.0</v>
      </c>
      <c r="I123" s="108" t="s">
        <v>238</v>
      </c>
      <c r="J123" s="109">
        <v>600000.0</v>
      </c>
      <c r="K123" s="204" t="s">
        <v>212</v>
      </c>
      <c r="L123" s="100">
        <f t="shared" ref="L123:L125" si="14">H123-J123</f>
        <v>500000</v>
      </c>
      <c r="M123" s="150">
        <v>2315000.0</v>
      </c>
    </row>
    <row r="124" ht="15.75" customHeight="1">
      <c r="A124" s="98">
        <v>2.0</v>
      </c>
      <c r="B124" s="112"/>
      <c r="C124" s="98"/>
      <c r="D124" s="98"/>
      <c r="E124" s="204"/>
      <c r="F124" s="204"/>
      <c r="G124" s="170"/>
      <c r="H124" s="150"/>
      <c r="I124" s="152"/>
      <c r="J124" s="150"/>
      <c r="K124" s="204"/>
      <c r="L124" s="100">
        <f t="shared" si="14"/>
        <v>0</v>
      </c>
      <c r="M124" s="150">
        <v>1993000.0</v>
      </c>
    </row>
    <row r="125" ht="15.75" customHeight="1">
      <c r="A125" s="17">
        <v>3.0</v>
      </c>
      <c r="B125" s="112"/>
      <c r="C125" s="98"/>
      <c r="D125" s="98"/>
      <c r="E125" s="204"/>
      <c r="F125" s="204"/>
      <c r="G125" s="151"/>
      <c r="H125" s="150"/>
      <c r="I125" s="108"/>
      <c r="J125" s="150"/>
      <c r="K125" s="204"/>
      <c r="L125" s="100">
        <f t="shared" si="14"/>
        <v>0</v>
      </c>
      <c r="M125" s="150">
        <v>855000.0</v>
      </c>
    </row>
    <row r="126" ht="15.75" customHeight="1">
      <c r="A126" s="98"/>
      <c r="B126" s="112"/>
      <c r="C126" s="98"/>
      <c r="D126" s="98"/>
      <c r="E126" s="204"/>
      <c r="F126" s="204"/>
      <c r="G126" s="151"/>
      <c r="H126" s="150"/>
      <c r="I126" s="152"/>
      <c r="J126" s="150"/>
      <c r="K126" s="204"/>
      <c r="L126" s="52">
        <f t="shared" ref="L126:M126" si="15">SUM(L123:L125)</f>
        <v>500000</v>
      </c>
      <c r="M126" s="30">
        <f t="shared" si="15"/>
        <v>5163000</v>
      </c>
    </row>
    <row r="127" ht="15.75" customHeight="1">
      <c r="A127" s="98"/>
      <c r="B127" s="112"/>
      <c r="C127" s="98"/>
      <c r="D127" s="98"/>
      <c r="E127" s="204"/>
      <c r="F127" s="204"/>
      <c r="G127" s="151"/>
      <c r="H127" s="150"/>
      <c r="I127" s="152"/>
      <c r="J127" s="150"/>
      <c r="K127" s="204"/>
      <c r="L127" s="33">
        <f>L126-M126</f>
        <v>-4663000</v>
      </c>
      <c r="M127" s="26"/>
    </row>
    <row r="128" ht="15.75" customHeight="1">
      <c r="A128" s="98"/>
      <c r="B128" s="112"/>
      <c r="C128" s="98"/>
      <c r="D128" s="98"/>
      <c r="E128" s="204"/>
      <c r="F128" s="204"/>
      <c r="G128" s="151"/>
      <c r="H128" s="150"/>
      <c r="I128" s="152"/>
      <c r="J128" s="150"/>
      <c r="K128" s="204"/>
      <c r="L128" s="100"/>
      <c r="M128" s="150"/>
    </row>
    <row r="129" ht="15.75" customHeight="1">
      <c r="A129" s="89" t="s">
        <v>209</v>
      </c>
      <c r="B129" s="89" t="s">
        <v>0</v>
      </c>
      <c r="C129" s="89" t="s">
        <v>1</v>
      </c>
      <c r="D129" s="89" t="s">
        <v>2</v>
      </c>
      <c r="E129" s="90" t="s">
        <v>3</v>
      </c>
      <c r="F129" s="89" t="s">
        <v>4</v>
      </c>
      <c r="G129" s="91" t="s">
        <v>5</v>
      </c>
      <c r="H129" s="119" t="s">
        <v>6</v>
      </c>
      <c r="I129" s="92" t="s">
        <v>39</v>
      </c>
      <c r="J129" s="119" t="s">
        <v>7</v>
      </c>
      <c r="K129" s="91" t="s">
        <v>39</v>
      </c>
      <c r="L129" s="92" t="s">
        <v>8</v>
      </c>
      <c r="M129" s="120" t="s">
        <v>9</v>
      </c>
    </row>
    <row r="130" ht="15.75" customHeight="1">
      <c r="A130" s="21">
        <v>1.0</v>
      </c>
      <c r="B130" s="112">
        <v>45779.0</v>
      </c>
      <c r="C130" s="98" t="s">
        <v>1035</v>
      </c>
      <c r="D130" s="98" t="s">
        <v>314</v>
      </c>
      <c r="E130" s="98" t="s">
        <v>243</v>
      </c>
      <c r="F130" s="98" t="s">
        <v>306</v>
      </c>
      <c r="G130" s="110">
        <v>9000.0</v>
      </c>
      <c r="H130" s="121">
        <v>1035000.0</v>
      </c>
      <c r="I130" s="108" t="s">
        <v>212</v>
      </c>
      <c r="J130" s="121">
        <v>600000.0</v>
      </c>
      <c r="K130" s="204" t="s">
        <v>212</v>
      </c>
      <c r="L130" s="58">
        <f t="shared" ref="L130:L134" si="16">H130-J130</f>
        <v>435000</v>
      </c>
      <c r="M130" s="121">
        <v>630000.0</v>
      </c>
    </row>
    <row r="131" ht="15.75" customHeight="1">
      <c r="A131" s="118">
        <v>2.0</v>
      </c>
      <c r="B131" s="112">
        <v>45780.0</v>
      </c>
      <c r="C131" s="98" t="s">
        <v>1035</v>
      </c>
      <c r="D131" s="98" t="s">
        <v>314</v>
      </c>
      <c r="E131" s="98" t="s">
        <v>243</v>
      </c>
      <c r="F131" s="98" t="s">
        <v>295</v>
      </c>
      <c r="G131" s="110">
        <v>9000.0</v>
      </c>
      <c r="H131" s="121">
        <v>1125000.0</v>
      </c>
      <c r="I131" s="108" t="s">
        <v>212</v>
      </c>
      <c r="J131" s="109">
        <v>640000.0</v>
      </c>
      <c r="K131" s="204" t="s">
        <v>212</v>
      </c>
      <c r="L131" s="58">
        <f t="shared" si="16"/>
        <v>485000</v>
      </c>
      <c r="M131" s="106">
        <v>2100000.0</v>
      </c>
    </row>
    <row r="132" ht="15.75" customHeight="1">
      <c r="A132" s="118">
        <v>3.0</v>
      </c>
      <c r="B132" s="112">
        <v>45782.0</v>
      </c>
      <c r="C132" s="98" t="s">
        <v>1035</v>
      </c>
      <c r="D132" s="98" t="s">
        <v>314</v>
      </c>
      <c r="E132" s="98" t="s">
        <v>123</v>
      </c>
      <c r="F132" s="98" t="s">
        <v>271</v>
      </c>
      <c r="G132" s="110">
        <v>9000.0</v>
      </c>
      <c r="H132" s="121">
        <v>675000.0</v>
      </c>
      <c r="I132" s="108" t="s">
        <v>238</v>
      </c>
      <c r="J132" s="121">
        <v>375000.0</v>
      </c>
      <c r="K132" s="204" t="s">
        <v>212</v>
      </c>
      <c r="L132" s="58">
        <f t="shared" si="16"/>
        <v>300000</v>
      </c>
      <c r="M132" s="106">
        <v>1390000.0</v>
      </c>
    </row>
    <row r="133" ht="15.75" customHeight="1">
      <c r="A133" s="118">
        <v>4.0</v>
      </c>
      <c r="B133" s="112">
        <v>45782.0</v>
      </c>
      <c r="C133" s="98" t="s">
        <v>1035</v>
      </c>
      <c r="D133" s="98" t="s">
        <v>314</v>
      </c>
      <c r="E133" s="98" t="s">
        <v>243</v>
      </c>
      <c r="F133" s="98" t="s">
        <v>329</v>
      </c>
      <c r="G133" s="110">
        <v>9000.0</v>
      </c>
      <c r="H133" s="121">
        <v>990000.0</v>
      </c>
      <c r="I133" s="115" t="s">
        <v>238</v>
      </c>
      <c r="J133" s="121">
        <v>550000.0</v>
      </c>
      <c r="K133" s="204" t="s">
        <v>212</v>
      </c>
      <c r="L133" s="58">
        <f t="shared" si="16"/>
        <v>440000</v>
      </c>
      <c r="M133" s="106">
        <v>165000.0</v>
      </c>
    </row>
    <row r="134" ht="15.75" customHeight="1">
      <c r="A134" s="118">
        <v>5.0</v>
      </c>
      <c r="B134" s="112"/>
      <c r="C134" s="17"/>
      <c r="D134" s="98"/>
      <c r="E134" s="98"/>
      <c r="F134" s="98"/>
      <c r="G134" s="110"/>
      <c r="H134" s="121"/>
      <c r="I134" s="108"/>
      <c r="J134" s="121"/>
      <c r="K134" s="204"/>
      <c r="L134" s="58">
        <f t="shared" si="16"/>
        <v>0</v>
      </c>
      <c r="M134" s="106">
        <v>50000.0</v>
      </c>
    </row>
    <row r="135" ht="15.75" customHeight="1">
      <c r="A135" s="21"/>
      <c r="B135" s="7"/>
      <c r="C135" s="17"/>
      <c r="D135" s="17"/>
      <c r="E135" s="98"/>
      <c r="F135" s="17"/>
      <c r="G135" s="110" t="s">
        <v>24</v>
      </c>
      <c r="H135" s="58"/>
      <c r="I135" s="59"/>
      <c r="J135" s="121"/>
      <c r="K135" s="60"/>
      <c r="L135" s="52">
        <f t="shared" ref="L135:M135" si="17">SUM(L130:L134)</f>
        <v>1660000</v>
      </c>
      <c r="M135" s="30">
        <f t="shared" si="17"/>
        <v>4335000</v>
      </c>
    </row>
    <row r="136" ht="15.75" customHeight="1">
      <c r="A136" s="21"/>
      <c r="B136" s="7"/>
      <c r="C136" s="17"/>
      <c r="D136" s="17"/>
      <c r="E136" s="17"/>
      <c r="F136" s="17"/>
      <c r="G136" s="57"/>
      <c r="H136" s="58"/>
      <c r="I136" s="59"/>
      <c r="K136" s="60"/>
      <c r="L136" s="33">
        <f>L135-M135</f>
        <v>-2675000</v>
      </c>
      <c r="M136" s="26"/>
    </row>
    <row r="137" ht="15.75" customHeight="1">
      <c r="E137" s="169"/>
      <c r="F137" s="169"/>
      <c r="G137" s="170"/>
      <c r="H137" s="149"/>
      <c r="I137" s="184"/>
      <c r="J137" s="149"/>
      <c r="K137" s="169"/>
      <c r="M137" s="149"/>
    </row>
    <row r="138" ht="15.75" customHeight="1">
      <c r="E138" s="169"/>
      <c r="F138" s="204" t="s">
        <v>24</v>
      </c>
      <c r="G138" s="170"/>
      <c r="H138" s="149"/>
      <c r="I138" s="184"/>
      <c r="J138" s="149"/>
      <c r="K138" s="169"/>
      <c r="M138" s="149"/>
    </row>
    <row r="139" ht="15.75" customHeight="1">
      <c r="E139" s="169"/>
      <c r="F139" s="169"/>
      <c r="G139" s="170"/>
      <c r="H139" s="149"/>
      <c r="I139" s="184"/>
      <c r="J139" s="149"/>
      <c r="K139" s="169"/>
      <c r="M139" s="149"/>
    </row>
    <row r="140" ht="15.75" customHeight="1">
      <c r="E140" s="169"/>
      <c r="F140" s="169"/>
      <c r="G140" s="170"/>
      <c r="H140" s="149"/>
      <c r="I140" s="184"/>
      <c r="J140" s="149"/>
      <c r="K140" s="169"/>
      <c r="M140" s="149"/>
    </row>
    <row r="141" ht="15.75" customHeight="1">
      <c r="E141" s="169"/>
      <c r="F141" s="169"/>
      <c r="G141" s="170"/>
      <c r="H141" s="149"/>
      <c r="I141" s="184"/>
      <c r="J141" s="149"/>
      <c r="K141" s="169"/>
      <c r="M141" s="149"/>
    </row>
    <row r="142" ht="15.75" customHeight="1">
      <c r="E142" s="169"/>
      <c r="F142" s="169"/>
      <c r="G142" s="170"/>
      <c r="H142" s="149"/>
      <c r="I142" s="184"/>
      <c r="J142" s="149"/>
      <c r="K142" s="169"/>
      <c r="M142" s="149"/>
    </row>
    <row r="143" ht="15.75" customHeight="1">
      <c r="E143" s="169"/>
      <c r="F143" s="169"/>
      <c r="G143" s="170"/>
      <c r="H143" s="149"/>
      <c r="I143" s="184"/>
      <c r="J143" s="149"/>
      <c r="K143" s="169"/>
      <c r="M143" s="149"/>
    </row>
    <row r="144" ht="15.75" customHeight="1">
      <c r="E144" s="169"/>
      <c r="F144" s="169"/>
      <c r="G144" s="170"/>
      <c r="H144" s="149"/>
      <c r="I144" s="184"/>
      <c r="J144" s="149"/>
      <c r="K144" s="169"/>
      <c r="M144" s="149"/>
    </row>
    <row r="145" ht="15.75" customHeight="1">
      <c r="E145" s="169"/>
      <c r="F145" s="169"/>
      <c r="G145" s="170"/>
      <c r="H145" s="149"/>
      <c r="I145" s="184"/>
      <c r="J145" s="149"/>
      <c r="K145" s="169"/>
      <c r="M145" s="149"/>
    </row>
    <row r="146" ht="15.75" customHeight="1">
      <c r="E146" s="169"/>
      <c r="F146" s="169"/>
      <c r="G146" s="170"/>
      <c r="H146" s="149"/>
      <c r="I146" s="184"/>
      <c r="J146" s="149"/>
      <c r="K146" s="169"/>
      <c r="M146" s="149"/>
    </row>
    <row r="147" ht="15.75" customHeight="1">
      <c r="E147" s="169"/>
      <c r="F147" s="169"/>
      <c r="G147" s="170"/>
      <c r="H147" s="149"/>
      <c r="I147" s="184"/>
      <c r="J147" s="149"/>
      <c r="K147" s="169"/>
      <c r="M147" s="149"/>
    </row>
    <row r="148" ht="15.75" customHeight="1">
      <c r="E148" s="169"/>
      <c r="F148" s="169"/>
      <c r="G148" s="170"/>
      <c r="H148" s="149"/>
      <c r="I148" s="184"/>
      <c r="J148" s="149"/>
      <c r="K148" s="169"/>
      <c r="M148" s="149"/>
    </row>
    <row r="149" ht="15.75" customHeight="1">
      <c r="E149" s="169"/>
      <c r="F149" s="169"/>
      <c r="G149" s="170"/>
      <c r="H149" s="149"/>
      <c r="I149" s="184"/>
      <c r="J149" s="149"/>
      <c r="K149" s="169"/>
      <c r="M149" s="149"/>
    </row>
    <row r="150" ht="15.75" customHeight="1">
      <c r="E150" s="169"/>
      <c r="F150" s="169"/>
      <c r="G150" s="170"/>
      <c r="H150" s="149"/>
      <c r="I150" s="184"/>
      <c r="J150" s="149"/>
      <c r="K150" s="169"/>
      <c r="M150" s="149"/>
    </row>
    <row r="151" ht="15.75" customHeight="1">
      <c r="E151" s="169"/>
      <c r="F151" s="169"/>
      <c r="G151" s="170"/>
      <c r="H151" s="149"/>
      <c r="I151" s="184"/>
      <c r="J151" s="149"/>
      <c r="K151" s="169"/>
      <c r="M151" s="149"/>
    </row>
    <row r="152" ht="15.75" customHeight="1">
      <c r="E152" s="169"/>
      <c r="F152" s="169"/>
      <c r="G152" s="170"/>
      <c r="H152" s="149"/>
      <c r="I152" s="184"/>
      <c r="J152" s="149"/>
      <c r="K152" s="169"/>
      <c r="M152" s="149"/>
    </row>
    <row r="153" ht="15.75" customHeight="1">
      <c r="E153" s="169"/>
      <c r="F153" s="169"/>
      <c r="G153" s="170"/>
      <c r="H153" s="149"/>
      <c r="I153" s="184"/>
      <c r="J153" s="149"/>
      <c r="K153" s="169"/>
      <c r="M153" s="149"/>
    </row>
    <row r="154" ht="15.75" customHeight="1">
      <c r="E154" s="169"/>
      <c r="F154" s="169"/>
      <c r="G154" s="170"/>
      <c r="H154" s="149"/>
      <c r="I154" s="184"/>
      <c r="J154" s="149"/>
      <c r="K154" s="169"/>
      <c r="M154" s="149"/>
    </row>
    <row r="155" ht="15.75" customHeight="1">
      <c r="E155" s="169"/>
      <c r="F155" s="169"/>
      <c r="G155" s="170"/>
      <c r="H155" s="149"/>
      <c r="I155" s="184"/>
      <c r="J155" s="149"/>
      <c r="K155" s="169"/>
      <c r="M155" s="149"/>
    </row>
    <row r="156" ht="15.75" customHeight="1">
      <c r="E156" s="169"/>
      <c r="F156" s="169"/>
      <c r="G156" s="170"/>
      <c r="H156" s="149"/>
      <c r="I156" s="184"/>
      <c r="J156" s="149"/>
      <c r="K156" s="169"/>
      <c r="M156" s="149"/>
    </row>
    <row r="157" ht="15.75" customHeight="1">
      <c r="E157" s="169"/>
      <c r="F157" s="169"/>
      <c r="G157" s="170"/>
      <c r="H157" s="149"/>
      <c r="I157" s="184"/>
      <c r="J157" s="149"/>
      <c r="K157" s="169"/>
      <c r="M157" s="149"/>
    </row>
    <row r="158" ht="15.75" customHeight="1">
      <c r="E158" s="169"/>
      <c r="F158" s="169"/>
      <c r="G158" s="170"/>
      <c r="H158" s="149"/>
      <c r="I158" s="184"/>
      <c r="J158" s="149"/>
      <c r="K158" s="169"/>
      <c r="M158" s="149"/>
    </row>
    <row r="159" ht="15.75" customHeight="1">
      <c r="E159" s="169"/>
      <c r="F159" s="169"/>
      <c r="G159" s="170"/>
      <c r="H159" s="149"/>
      <c r="I159" s="184"/>
      <c r="J159" s="149"/>
      <c r="K159" s="169"/>
      <c r="M159" s="149"/>
    </row>
    <row r="160" ht="15.75" customHeight="1">
      <c r="E160" s="169"/>
      <c r="F160" s="169"/>
      <c r="G160" s="170"/>
      <c r="H160" s="149"/>
      <c r="I160" s="184"/>
      <c r="J160" s="149"/>
      <c r="K160" s="169"/>
      <c r="M160" s="149"/>
    </row>
    <row r="161" ht="15.75" customHeight="1">
      <c r="E161" s="169"/>
      <c r="F161" s="169"/>
      <c r="G161" s="170"/>
      <c r="H161" s="149"/>
      <c r="I161" s="184"/>
      <c r="J161" s="149"/>
      <c r="K161" s="169"/>
      <c r="M161" s="149"/>
    </row>
    <row r="162" ht="15.75" customHeight="1">
      <c r="E162" s="169"/>
      <c r="F162" s="169"/>
      <c r="G162" s="170"/>
      <c r="H162" s="149"/>
      <c r="I162" s="184"/>
      <c r="J162" s="149"/>
      <c r="K162" s="169"/>
      <c r="M162" s="149"/>
    </row>
    <row r="163" ht="15.75" customHeight="1">
      <c r="E163" s="169"/>
      <c r="F163" s="169"/>
      <c r="G163" s="170"/>
      <c r="H163" s="149"/>
      <c r="I163" s="184"/>
      <c r="J163" s="149"/>
      <c r="K163" s="169"/>
      <c r="M163" s="149"/>
    </row>
    <row r="164" ht="15.75" customHeight="1">
      <c r="E164" s="169"/>
      <c r="F164" s="169"/>
      <c r="G164" s="170"/>
      <c r="H164" s="149"/>
      <c r="I164" s="184"/>
      <c r="J164" s="149"/>
      <c r="K164" s="169"/>
      <c r="M164" s="149"/>
    </row>
    <row r="165" ht="15.75" customHeight="1">
      <c r="E165" s="169"/>
      <c r="F165" s="169"/>
      <c r="G165" s="170"/>
      <c r="H165" s="149"/>
      <c r="I165" s="184"/>
      <c r="J165" s="149"/>
      <c r="K165" s="169"/>
      <c r="M165" s="149"/>
    </row>
    <row r="166" ht="15.75" customHeight="1">
      <c r="E166" s="169"/>
      <c r="F166" s="169"/>
      <c r="G166" s="170"/>
      <c r="H166" s="149"/>
      <c r="I166" s="184"/>
      <c r="J166" s="149"/>
      <c r="K166" s="169"/>
      <c r="M166" s="149"/>
    </row>
    <row r="167" ht="15.75" customHeight="1">
      <c r="E167" s="169"/>
      <c r="F167" s="169"/>
      <c r="G167" s="170"/>
      <c r="H167" s="149"/>
      <c r="I167" s="184"/>
      <c r="J167" s="149"/>
      <c r="K167" s="169"/>
      <c r="M167" s="149"/>
    </row>
    <row r="168" ht="15.75" customHeight="1">
      <c r="E168" s="169"/>
      <c r="F168" s="169"/>
      <c r="G168" s="170"/>
      <c r="H168" s="149"/>
      <c r="I168" s="184"/>
      <c r="J168" s="149"/>
      <c r="K168" s="169"/>
      <c r="M168" s="149"/>
    </row>
    <row r="169" ht="15.75" customHeight="1">
      <c r="E169" s="169"/>
      <c r="F169" s="169"/>
      <c r="G169" s="170"/>
      <c r="H169" s="149"/>
      <c r="I169" s="184"/>
      <c r="J169" s="149"/>
      <c r="K169" s="169"/>
      <c r="M169" s="149"/>
    </row>
    <row r="170" ht="15.75" customHeight="1">
      <c r="E170" s="169"/>
      <c r="F170" s="169"/>
      <c r="G170" s="170"/>
      <c r="H170" s="149"/>
      <c r="I170" s="184"/>
      <c r="J170" s="149"/>
      <c r="K170" s="169"/>
      <c r="M170" s="149"/>
    </row>
    <row r="171" ht="15.75" customHeight="1">
      <c r="E171" s="169"/>
      <c r="F171" s="169"/>
      <c r="G171" s="170"/>
      <c r="H171" s="149"/>
      <c r="I171" s="184"/>
      <c r="J171" s="149"/>
      <c r="K171" s="169"/>
      <c r="M171" s="149"/>
    </row>
    <row r="172" ht="15.75" customHeight="1">
      <c r="E172" s="169"/>
      <c r="F172" s="169"/>
      <c r="G172" s="170"/>
      <c r="H172" s="149"/>
      <c r="I172" s="184"/>
      <c r="J172" s="149"/>
      <c r="K172" s="169"/>
      <c r="M172" s="149"/>
    </row>
    <row r="173" ht="15.75" customHeight="1">
      <c r="E173" s="169"/>
      <c r="F173" s="169"/>
      <c r="G173" s="170"/>
      <c r="H173" s="149"/>
      <c r="I173" s="184"/>
      <c r="J173" s="149"/>
      <c r="K173" s="169"/>
      <c r="M173" s="149"/>
    </row>
    <row r="174" ht="15.75" customHeight="1">
      <c r="E174" s="169"/>
      <c r="F174" s="169"/>
      <c r="G174" s="170"/>
      <c r="H174" s="149"/>
      <c r="I174" s="184"/>
      <c r="J174" s="149"/>
      <c r="K174" s="169"/>
      <c r="M174" s="149"/>
    </row>
    <row r="175" ht="15.75" customHeight="1">
      <c r="E175" s="169"/>
      <c r="F175" s="169"/>
      <c r="G175" s="170"/>
      <c r="H175" s="149"/>
      <c r="I175" s="184"/>
      <c r="J175" s="149"/>
      <c r="K175" s="169"/>
      <c r="M175" s="149"/>
    </row>
    <row r="176" ht="15.75" customHeight="1">
      <c r="E176" s="169"/>
      <c r="F176" s="169"/>
      <c r="G176" s="170"/>
      <c r="H176" s="149"/>
      <c r="I176" s="184"/>
      <c r="J176" s="149"/>
      <c r="K176" s="169"/>
      <c r="M176" s="149"/>
    </row>
    <row r="177" ht="15.75" customHeight="1">
      <c r="E177" s="169"/>
      <c r="F177" s="169"/>
      <c r="G177" s="170"/>
      <c r="H177" s="149"/>
      <c r="I177" s="184"/>
      <c r="J177" s="149"/>
      <c r="K177" s="169"/>
      <c r="M177" s="149"/>
    </row>
    <row r="178" ht="15.75" customHeight="1">
      <c r="E178" s="169"/>
      <c r="F178" s="169"/>
      <c r="G178" s="170"/>
      <c r="H178" s="149"/>
      <c r="I178" s="184"/>
      <c r="J178" s="149"/>
      <c r="K178" s="169"/>
      <c r="M178" s="149"/>
    </row>
    <row r="179" ht="15.75" customHeight="1">
      <c r="E179" s="169"/>
      <c r="F179" s="169"/>
      <c r="G179" s="170"/>
      <c r="H179" s="149"/>
      <c r="I179" s="184"/>
      <c r="J179" s="149"/>
      <c r="K179" s="169"/>
      <c r="M179" s="149"/>
    </row>
    <row r="180" ht="15.75" customHeight="1">
      <c r="E180" s="169"/>
      <c r="F180" s="169"/>
      <c r="G180" s="170"/>
      <c r="H180" s="149"/>
      <c r="I180" s="184"/>
      <c r="J180" s="149"/>
      <c r="K180" s="169"/>
      <c r="M180" s="149"/>
    </row>
    <row r="181" ht="15.75" customHeight="1">
      <c r="E181" s="169"/>
      <c r="F181" s="169"/>
      <c r="G181" s="170"/>
      <c r="H181" s="149"/>
      <c r="I181" s="184"/>
      <c r="J181" s="149"/>
      <c r="K181" s="169"/>
      <c r="M181" s="149"/>
    </row>
    <row r="182" ht="15.75" customHeight="1">
      <c r="E182" s="169"/>
      <c r="F182" s="169"/>
      <c r="G182" s="170"/>
      <c r="H182" s="149"/>
      <c r="I182" s="184"/>
      <c r="J182" s="149"/>
      <c r="K182" s="169"/>
      <c r="M182" s="149"/>
    </row>
    <row r="183" ht="15.75" customHeight="1">
      <c r="E183" s="169"/>
      <c r="F183" s="169"/>
      <c r="G183" s="170"/>
      <c r="H183" s="149"/>
      <c r="I183" s="184"/>
      <c r="J183" s="149"/>
      <c r="K183" s="169"/>
      <c r="M183" s="149"/>
    </row>
    <row r="184" ht="15.75" customHeight="1">
      <c r="E184" s="169"/>
      <c r="F184" s="169"/>
      <c r="G184" s="170"/>
      <c r="H184" s="149"/>
      <c r="I184" s="184"/>
      <c r="J184" s="149"/>
      <c r="K184" s="169"/>
      <c r="M184" s="149"/>
    </row>
    <row r="185" ht="15.75" customHeight="1">
      <c r="E185" s="169"/>
      <c r="F185" s="169"/>
      <c r="G185" s="170"/>
      <c r="H185" s="149"/>
      <c r="I185" s="184"/>
      <c r="J185" s="149"/>
      <c r="K185" s="169"/>
      <c r="M185" s="149"/>
    </row>
    <row r="186" ht="15.75" customHeight="1">
      <c r="E186" s="169"/>
      <c r="F186" s="169"/>
      <c r="G186" s="170"/>
      <c r="H186" s="149"/>
      <c r="I186" s="184"/>
      <c r="J186" s="149"/>
      <c r="K186" s="169"/>
      <c r="M186" s="149"/>
    </row>
    <row r="187" ht="15.75" customHeight="1">
      <c r="E187" s="169"/>
      <c r="F187" s="169"/>
      <c r="G187" s="170"/>
      <c r="H187" s="149"/>
      <c r="I187" s="184"/>
      <c r="J187" s="149"/>
      <c r="K187" s="169"/>
      <c r="M187" s="149"/>
    </row>
    <row r="188" ht="15.75" customHeight="1">
      <c r="E188" s="169"/>
      <c r="F188" s="169"/>
      <c r="G188" s="170"/>
      <c r="H188" s="149"/>
      <c r="I188" s="184"/>
      <c r="J188" s="149"/>
      <c r="K188" s="169"/>
      <c r="M188" s="149"/>
    </row>
    <row r="189" ht="15.75" customHeight="1">
      <c r="E189" s="169"/>
      <c r="F189" s="169"/>
      <c r="G189" s="170"/>
      <c r="H189" s="149"/>
      <c r="I189" s="184"/>
      <c r="J189" s="149"/>
      <c r="K189" s="169"/>
      <c r="M189" s="149"/>
    </row>
    <row r="190" ht="15.75" customHeight="1">
      <c r="E190" s="169"/>
      <c r="F190" s="169"/>
      <c r="G190" s="170"/>
      <c r="H190" s="149"/>
      <c r="I190" s="184"/>
      <c r="J190" s="149"/>
      <c r="K190" s="169"/>
      <c r="M190" s="149"/>
    </row>
    <row r="191" ht="15.75" customHeight="1">
      <c r="E191" s="169"/>
      <c r="F191" s="169"/>
      <c r="G191" s="170"/>
      <c r="H191" s="149"/>
      <c r="I191" s="184"/>
      <c r="J191" s="149"/>
      <c r="K191" s="169"/>
      <c r="M191" s="149"/>
    </row>
    <row r="192" ht="15.75" customHeight="1">
      <c r="E192" s="169"/>
      <c r="F192" s="169"/>
      <c r="G192" s="170"/>
      <c r="H192" s="149"/>
      <c r="I192" s="184"/>
      <c r="J192" s="149"/>
      <c r="K192" s="169"/>
      <c r="M192" s="149"/>
    </row>
    <row r="193" ht="15.75" customHeight="1">
      <c r="E193" s="169"/>
      <c r="F193" s="169"/>
      <c r="G193" s="170"/>
      <c r="H193" s="149"/>
      <c r="I193" s="184"/>
      <c r="J193" s="149"/>
      <c r="K193" s="169"/>
      <c r="M193" s="149"/>
    </row>
    <row r="194" ht="15.75" customHeight="1">
      <c r="E194" s="169"/>
      <c r="F194" s="169"/>
      <c r="G194" s="170"/>
      <c r="H194" s="149"/>
      <c r="I194" s="184"/>
      <c r="J194" s="149"/>
      <c r="K194" s="169"/>
      <c r="M194" s="149"/>
    </row>
    <row r="195" ht="15.75" customHeight="1">
      <c r="E195" s="169"/>
      <c r="F195" s="169"/>
      <c r="G195" s="170"/>
      <c r="H195" s="149"/>
      <c r="I195" s="184"/>
      <c r="J195" s="149"/>
      <c r="K195" s="169"/>
      <c r="M195" s="149"/>
    </row>
    <row r="196" ht="15.75" customHeight="1">
      <c r="E196" s="169"/>
      <c r="F196" s="169"/>
      <c r="G196" s="170"/>
      <c r="H196" s="149"/>
      <c r="I196" s="184"/>
      <c r="J196" s="149"/>
      <c r="K196" s="169"/>
      <c r="M196" s="149"/>
    </row>
    <row r="197" ht="15.75" customHeight="1">
      <c r="E197" s="169"/>
      <c r="F197" s="169"/>
      <c r="G197" s="170"/>
      <c r="H197" s="149"/>
      <c r="I197" s="184"/>
      <c r="J197" s="149"/>
      <c r="K197" s="169"/>
      <c r="M197" s="149"/>
    </row>
    <row r="198" ht="15.75" customHeight="1">
      <c r="E198" s="169"/>
      <c r="F198" s="169"/>
      <c r="G198" s="170"/>
      <c r="H198" s="149"/>
      <c r="I198" s="184"/>
      <c r="J198" s="149"/>
      <c r="K198" s="169"/>
      <c r="M198" s="149"/>
    </row>
    <row r="199" ht="15.75" customHeight="1">
      <c r="E199" s="169"/>
      <c r="F199" s="169"/>
      <c r="G199" s="170"/>
      <c r="H199" s="149"/>
      <c r="I199" s="184"/>
      <c r="J199" s="149"/>
      <c r="K199" s="169"/>
      <c r="M199" s="149"/>
    </row>
    <row r="200" ht="15.75" customHeight="1">
      <c r="E200" s="169"/>
      <c r="F200" s="169"/>
      <c r="G200" s="170"/>
      <c r="H200" s="149"/>
      <c r="I200" s="184"/>
      <c r="J200" s="149"/>
      <c r="K200" s="169"/>
      <c r="M200" s="149"/>
    </row>
    <row r="201" ht="15.75" customHeight="1">
      <c r="E201" s="169"/>
      <c r="F201" s="169"/>
      <c r="G201" s="170"/>
      <c r="H201" s="149"/>
      <c r="I201" s="184"/>
      <c r="J201" s="149"/>
      <c r="K201" s="169"/>
      <c r="M201" s="149"/>
    </row>
    <row r="202" ht="15.75" customHeight="1">
      <c r="E202" s="169"/>
      <c r="F202" s="169"/>
      <c r="G202" s="170"/>
      <c r="H202" s="149"/>
      <c r="I202" s="184"/>
      <c r="J202" s="149"/>
      <c r="K202" s="169"/>
      <c r="M202" s="149"/>
    </row>
    <row r="203" ht="15.75" customHeight="1">
      <c r="E203" s="169"/>
      <c r="F203" s="169"/>
      <c r="G203" s="170"/>
      <c r="H203" s="149"/>
      <c r="I203" s="184"/>
      <c r="J203" s="149"/>
      <c r="K203" s="169"/>
      <c r="M203" s="149"/>
    </row>
    <row r="204" ht="15.75" customHeight="1">
      <c r="E204" s="169"/>
      <c r="F204" s="169"/>
      <c r="G204" s="170"/>
      <c r="H204" s="149"/>
      <c r="I204" s="184"/>
      <c r="J204" s="149"/>
      <c r="K204" s="169"/>
      <c r="M204" s="149"/>
    </row>
    <row r="205" ht="15.75" customHeight="1">
      <c r="E205" s="169"/>
      <c r="F205" s="169"/>
      <c r="G205" s="170"/>
      <c r="H205" s="149"/>
      <c r="I205" s="184"/>
      <c r="J205" s="149"/>
      <c r="K205" s="169"/>
      <c r="M205" s="149"/>
    </row>
    <row r="206" ht="15.75" customHeight="1">
      <c r="E206" s="169"/>
      <c r="F206" s="169"/>
      <c r="G206" s="170"/>
      <c r="H206" s="149"/>
      <c r="I206" s="184"/>
      <c r="J206" s="149"/>
      <c r="K206" s="169"/>
      <c r="M206" s="149"/>
    </row>
    <row r="207" ht="15.75" customHeight="1">
      <c r="E207" s="169"/>
      <c r="F207" s="169"/>
      <c r="G207" s="170"/>
      <c r="H207" s="149"/>
      <c r="I207" s="184"/>
      <c r="J207" s="149"/>
      <c r="K207" s="169"/>
      <c r="M207" s="149"/>
    </row>
    <row r="208" ht="15.75" customHeight="1">
      <c r="E208" s="169"/>
      <c r="F208" s="169"/>
      <c r="G208" s="170"/>
      <c r="H208" s="149"/>
      <c r="I208" s="184"/>
      <c r="J208" s="149"/>
      <c r="K208" s="169"/>
      <c r="M208" s="149"/>
    </row>
    <row r="209" ht="15.75" customHeight="1">
      <c r="E209" s="169"/>
      <c r="F209" s="169"/>
      <c r="G209" s="170"/>
      <c r="H209" s="149"/>
      <c r="I209" s="184"/>
      <c r="J209" s="149"/>
      <c r="K209" s="169"/>
      <c r="M209" s="149"/>
    </row>
    <row r="210" ht="15.75" customHeight="1">
      <c r="E210" s="169"/>
      <c r="F210" s="169"/>
      <c r="G210" s="170"/>
      <c r="H210" s="149"/>
      <c r="I210" s="184"/>
      <c r="J210" s="149"/>
      <c r="K210" s="169"/>
      <c r="M210" s="149"/>
    </row>
    <row r="211" ht="15.75" customHeight="1">
      <c r="E211" s="169"/>
      <c r="F211" s="169"/>
      <c r="G211" s="170"/>
      <c r="H211" s="149"/>
      <c r="I211" s="184"/>
      <c r="J211" s="149"/>
      <c r="K211" s="169"/>
      <c r="M211" s="149"/>
    </row>
    <row r="212" ht="15.75" customHeight="1">
      <c r="E212" s="169"/>
      <c r="F212" s="169"/>
      <c r="G212" s="170"/>
      <c r="H212" s="149"/>
      <c r="I212" s="184"/>
      <c r="J212" s="149"/>
      <c r="K212" s="169"/>
      <c r="M212" s="149"/>
    </row>
    <row r="213" ht="15.75" customHeight="1">
      <c r="E213" s="169"/>
      <c r="F213" s="169"/>
      <c r="G213" s="170"/>
      <c r="H213" s="149"/>
      <c r="I213" s="184"/>
      <c r="J213" s="149"/>
      <c r="K213" s="169"/>
      <c r="M213" s="149"/>
    </row>
    <row r="214" ht="15.75" customHeight="1">
      <c r="E214" s="169"/>
      <c r="F214" s="169"/>
      <c r="G214" s="170"/>
      <c r="H214" s="149"/>
      <c r="I214" s="184"/>
      <c r="J214" s="149"/>
      <c r="K214" s="169"/>
      <c r="M214" s="149"/>
    </row>
    <row r="215" ht="15.75" customHeight="1">
      <c r="E215" s="169"/>
      <c r="F215" s="169"/>
      <c r="G215" s="170"/>
      <c r="H215" s="149"/>
      <c r="I215" s="184"/>
      <c r="J215" s="149"/>
      <c r="K215" s="169"/>
      <c r="M215" s="149"/>
    </row>
    <row r="216" ht="15.75" customHeight="1">
      <c r="E216" s="169"/>
      <c r="F216" s="169"/>
      <c r="G216" s="170"/>
      <c r="H216" s="149"/>
      <c r="I216" s="184"/>
      <c r="J216" s="149"/>
      <c r="K216" s="169"/>
      <c r="M216" s="149"/>
    </row>
    <row r="217" ht="15.75" customHeight="1">
      <c r="E217" s="169"/>
      <c r="F217" s="169"/>
      <c r="G217" s="170"/>
      <c r="H217" s="149"/>
      <c r="I217" s="184"/>
      <c r="J217" s="149"/>
      <c r="K217" s="169"/>
      <c r="M217" s="149"/>
    </row>
    <row r="218" ht="15.75" customHeight="1">
      <c r="E218" s="169"/>
      <c r="F218" s="169"/>
      <c r="G218" s="170"/>
      <c r="H218" s="149"/>
      <c r="I218" s="184"/>
      <c r="J218" s="149"/>
      <c r="K218" s="169"/>
      <c r="M218" s="149"/>
    </row>
    <row r="219" ht="15.75" customHeight="1">
      <c r="E219" s="169"/>
      <c r="F219" s="169"/>
      <c r="G219" s="170"/>
      <c r="H219" s="149"/>
      <c r="I219" s="184"/>
      <c r="J219" s="149"/>
      <c r="K219" s="169"/>
      <c r="M219" s="149"/>
    </row>
    <row r="220" ht="15.75" customHeight="1">
      <c r="E220" s="169"/>
      <c r="F220" s="169"/>
      <c r="G220" s="170"/>
      <c r="H220" s="149"/>
      <c r="I220" s="184"/>
      <c r="J220" s="149"/>
      <c r="K220" s="169"/>
      <c r="M220" s="149"/>
    </row>
    <row r="221" ht="15.75" customHeight="1">
      <c r="E221" s="169"/>
      <c r="F221" s="169"/>
      <c r="G221" s="170"/>
      <c r="H221" s="149"/>
      <c r="I221" s="184"/>
      <c r="J221" s="149"/>
      <c r="K221" s="169"/>
      <c r="M221" s="149"/>
    </row>
    <row r="222" ht="15.75" customHeight="1">
      <c r="E222" s="169"/>
      <c r="F222" s="169"/>
      <c r="G222" s="170"/>
      <c r="H222" s="149"/>
      <c r="I222" s="184"/>
      <c r="J222" s="149"/>
      <c r="K222" s="169"/>
      <c r="M222" s="149"/>
    </row>
    <row r="223" ht="15.75" customHeight="1">
      <c r="E223" s="169"/>
      <c r="F223" s="169"/>
      <c r="G223" s="170"/>
      <c r="H223" s="149"/>
      <c r="I223" s="184"/>
      <c r="J223" s="149"/>
      <c r="K223" s="169"/>
      <c r="M223" s="149"/>
    </row>
    <row r="224" ht="15.75" customHeight="1">
      <c r="E224" s="169"/>
      <c r="F224" s="169"/>
      <c r="G224" s="170"/>
      <c r="H224" s="149"/>
      <c r="I224" s="184"/>
      <c r="J224" s="149"/>
      <c r="K224" s="169"/>
      <c r="M224" s="149"/>
    </row>
    <row r="225" ht="15.75" customHeight="1">
      <c r="E225" s="169"/>
      <c r="F225" s="169"/>
      <c r="G225" s="170"/>
      <c r="H225" s="149"/>
      <c r="I225" s="184"/>
      <c r="J225" s="149"/>
      <c r="K225" s="169"/>
      <c r="M225" s="149"/>
    </row>
    <row r="226" ht="15.75" customHeight="1">
      <c r="E226" s="169"/>
      <c r="F226" s="169"/>
      <c r="G226" s="170"/>
      <c r="H226" s="149"/>
      <c r="I226" s="184"/>
      <c r="J226" s="149"/>
      <c r="K226" s="169"/>
      <c r="M226" s="149"/>
    </row>
    <row r="227" ht="15.75" customHeight="1">
      <c r="E227" s="169"/>
      <c r="F227" s="169"/>
      <c r="G227" s="170"/>
      <c r="H227" s="149"/>
      <c r="I227" s="184"/>
      <c r="J227" s="149"/>
      <c r="K227" s="169"/>
      <c r="M227" s="149"/>
    </row>
    <row r="228" ht="15.75" customHeight="1">
      <c r="E228" s="169"/>
      <c r="F228" s="169"/>
      <c r="G228" s="170"/>
      <c r="H228" s="149"/>
      <c r="I228" s="184"/>
      <c r="J228" s="149"/>
      <c r="K228" s="169"/>
      <c r="M228" s="149"/>
    </row>
    <row r="229" ht="15.75" customHeight="1">
      <c r="E229" s="169"/>
      <c r="F229" s="169"/>
      <c r="G229" s="170"/>
      <c r="H229" s="149"/>
      <c r="I229" s="184"/>
      <c r="J229" s="149"/>
      <c r="K229" s="169"/>
      <c r="M229" s="149"/>
    </row>
    <row r="230" ht="15.75" customHeight="1">
      <c r="E230" s="169"/>
      <c r="F230" s="169"/>
      <c r="G230" s="170"/>
      <c r="H230" s="149"/>
      <c r="I230" s="184"/>
      <c r="J230" s="149"/>
      <c r="K230" s="169"/>
      <c r="M230" s="149"/>
    </row>
    <row r="231" ht="15.75" customHeight="1">
      <c r="E231" s="169"/>
      <c r="F231" s="169"/>
      <c r="G231" s="170"/>
      <c r="H231" s="149"/>
      <c r="I231" s="184"/>
      <c r="J231" s="149"/>
      <c r="K231" s="169"/>
      <c r="M231" s="149"/>
    </row>
    <row r="232" ht="15.75" customHeight="1">
      <c r="E232" s="169"/>
      <c r="F232" s="169"/>
      <c r="G232" s="170"/>
      <c r="H232" s="149"/>
      <c r="I232" s="184"/>
      <c r="J232" s="149"/>
      <c r="K232" s="169"/>
      <c r="M232" s="149"/>
    </row>
    <row r="233" ht="15.75" customHeight="1">
      <c r="E233" s="169"/>
      <c r="F233" s="169"/>
      <c r="G233" s="170"/>
      <c r="H233" s="149"/>
      <c r="I233" s="184"/>
      <c r="J233" s="149"/>
      <c r="K233" s="169"/>
      <c r="M233" s="149"/>
    </row>
    <row r="234" ht="15.75" customHeight="1">
      <c r="E234" s="169"/>
      <c r="F234" s="169"/>
      <c r="G234" s="170"/>
      <c r="H234" s="149"/>
      <c r="I234" s="184"/>
      <c r="J234" s="149"/>
      <c r="K234" s="169"/>
      <c r="M234" s="149"/>
    </row>
    <row r="235" ht="15.75" customHeight="1">
      <c r="E235" s="169"/>
      <c r="F235" s="169"/>
      <c r="G235" s="170"/>
      <c r="H235" s="149"/>
      <c r="I235" s="184"/>
      <c r="J235" s="149"/>
      <c r="K235" s="169"/>
      <c r="M235" s="149"/>
    </row>
    <row r="236" ht="15.75" customHeight="1">
      <c r="E236" s="169"/>
      <c r="F236" s="169"/>
      <c r="G236" s="170"/>
      <c r="H236" s="149"/>
      <c r="I236" s="184"/>
      <c r="J236" s="149"/>
      <c r="K236" s="169"/>
      <c r="M236" s="149"/>
    </row>
    <row r="237" ht="15.75" customHeight="1">
      <c r="E237" s="169"/>
      <c r="F237" s="169"/>
      <c r="G237" s="170"/>
      <c r="H237" s="149"/>
      <c r="I237" s="184"/>
      <c r="J237" s="149"/>
      <c r="K237" s="169"/>
      <c r="M237" s="149"/>
    </row>
    <row r="238" ht="15.75" customHeight="1">
      <c r="E238" s="169"/>
      <c r="F238" s="169"/>
      <c r="G238" s="170"/>
      <c r="H238" s="149"/>
      <c r="I238" s="184"/>
      <c r="J238" s="149"/>
      <c r="K238" s="169"/>
      <c r="M238" s="149"/>
    </row>
    <row r="239" ht="15.75" customHeight="1">
      <c r="E239" s="169"/>
      <c r="F239" s="169"/>
      <c r="G239" s="170"/>
      <c r="H239" s="149"/>
      <c r="I239" s="184"/>
      <c r="J239" s="149"/>
      <c r="K239" s="169"/>
      <c r="M239" s="149"/>
    </row>
    <row r="240" ht="15.75" customHeight="1">
      <c r="E240" s="169"/>
      <c r="F240" s="169"/>
      <c r="G240" s="170"/>
      <c r="H240" s="149"/>
      <c r="I240" s="184"/>
      <c r="J240" s="149"/>
      <c r="K240" s="169"/>
      <c r="M240" s="149"/>
    </row>
    <row r="241" ht="15.75" customHeight="1">
      <c r="E241" s="169"/>
      <c r="F241" s="169"/>
      <c r="G241" s="170"/>
      <c r="H241" s="149"/>
      <c r="I241" s="184"/>
      <c r="J241" s="149"/>
      <c r="K241" s="169"/>
      <c r="M241" s="149"/>
    </row>
    <row r="242" ht="15.75" customHeight="1">
      <c r="E242" s="169"/>
      <c r="F242" s="169"/>
      <c r="G242" s="170"/>
      <c r="H242" s="149"/>
      <c r="I242" s="184"/>
      <c r="J242" s="149"/>
      <c r="K242" s="169"/>
      <c r="M242" s="149"/>
    </row>
    <row r="243" ht="15.75" customHeight="1">
      <c r="E243" s="169"/>
      <c r="F243" s="169"/>
      <c r="G243" s="170"/>
      <c r="H243" s="149"/>
      <c r="I243" s="184"/>
      <c r="J243" s="149"/>
      <c r="K243" s="169"/>
      <c r="M243" s="149"/>
    </row>
    <row r="244" ht="15.75" customHeight="1">
      <c r="E244" s="169"/>
      <c r="F244" s="169"/>
      <c r="G244" s="170"/>
      <c r="H244" s="149"/>
      <c r="I244" s="184"/>
      <c r="J244" s="149"/>
      <c r="K244" s="169"/>
      <c r="M244" s="149"/>
    </row>
    <row r="245" ht="15.75" customHeight="1">
      <c r="E245" s="169"/>
      <c r="F245" s="169"/>
      <c r="G245" s="170"/>
      <c r="H245" s="149"/>
      <c r="I245" s="184"/>
      <c r="J245" s="149"/>
      <c r="K245" s="169"/>
      <c r="M245" s="149"/>
    </row>
    <row r="246" ht="15.75" customHeight="1">
      <c r="E246" s="169"/>
      <c r="F246" s="169"/>
      <c r="G246" s="170"/>
      <c r="H246" s="149"/>
      <c r="I246" s="184"/>
      <c r="J246" s="149"/>
      <c r="K246" s="169"/>
      <c r="M246" s="149"/>
    </row>
    <row r="247" ht="15.75" customHeight="1">
      <c r="E247" s="169"/>
      <c r="F247" s="169"/>
      <c r="G247" s="170"/>
      <c r="H247" s="149"/>
      <c r="I247" s="184"/>
      <c r="J247" s="149"/>
      <c r="K247" s="169"/>
      <c r="M247" s="149"/>
    </row>
    <row r="248" ht="15.75" customHeight="1">
      <c r="E248" s="169"/>
      <c r="F248" s="169"/>
      <c r="G248" s="170"/>
      <c r="H248" s="149"/>
      <c r="I248" s="184"/>
      <c r="J248" s="149"/>
      <c r="K248" s="169"/>
      <c r="M248" s="149"/>
    </row>
    <row r="249" ht="15.75" customHeight="1">
      <c r="E249" s="169"/>
      <c r="F249" s="169"/>
      <c r="G249" s="170"/>
      <c r="H249" s="149"/>
      <c r="I249" s="184"/>
      <c r="J249" s="149"/>
      <c r="K249" s="169"/>
      <c r="M249" s="149"/>
    </row>
    <row r="250" ht="15.75" customHeight="1">
      <c r="E250" s="169"/>
      <c r="F250" s="169"/>
      <c r="G250" s="170"/>
      <c r="H250" s="149"/>
      <c r="I250" s="184"/>
      <c r="J250" s="149"/>
      <c r="K250" s="169"/>
      <c r="M250" s="149"/>
    </row>
    <row r="251" ht="15.75" customHeight="1">
      <c r="E251" s="169"/>
      <c r="F251" s="169"/>
      <c r="G251" s="170"/>
      <c r="H251" s="149"/>
      <c r="I251" s="184"/>
      <c r="J251" s="149"/>
      <c r="K251" s="169"/>
      <c r="M251" s="149"/>
    </row>
    <row r="252" ht="15.75" customHeight="1">
      <c r="E252" s="169"/>
      <c r="F252" s="169"/>
      <c r="G252" s="170"/>
      <c r="H252" s="149"/>
      <c r="I252" s="184"/>
      <c r="J252" s="149"/>
      <c r="K252" s="169"/>
      <c r="M252" s="149"/>
    </row>
    <row r="253" ht="15.75" customHeight="1">
      <c r="E253" s="169"/>
      <c r="F253" s="169"/>
      <c r="G253" s="170"/>
      <c r="H253" s="149"/>
      <c r="I253" s="184"/>
      <c r="J253" s="149"/>
      <c r="K253" s="169"/>
      <c r="M253" s="149"/>
    </row>
    <row r="254" ht="15.75" customHeight="1">
      <c r="E254" s="169"/>
      <c r="F254" s="169"/>
      <c r="G254" s="170"/>
      <c r="H254" s="149"/>
      <c r="I254" s="184"/>
      <c r="J254" s="149"/>
      <c r="K254" s="169"/>
      <c r="M254" s="149"/>
    </row>
    <row r="255" ht="15.75" customHeight="1">
      <c r="E255" s="169"/>
      <c r="F255" s="169"/>
      <c r="G255" s="170"/>
      <c r="H255" s="149"/>
      <c r="I255" s="184"/>
      <c r="J255" s="149"/>
      <c r="K255" s="169"/>
      <c r="M255" s="149"/>
    </row>
    <row r="256" ht="15.75" customHeight="1">
      <c r="E256" s="169"/>
      <c r="F256" s="169"/>
      <c r="G256" s="170"/>
      <c r="H256" s="149"/>
      <c r="I256" s="184"/>
      <c r="J256" s="149"/>
      <c r="K256" s="169"/>
      <c r="M256" s="149"/>
    </row>
    <row r="257" ht="15.75" customHeight="1">
      <c r="E257" s="169"/>
      <c r="F257" s="169"/>
      <c r="G257" s="170"/>
      <c r="H257" s="149"/>
      <c r="I257" s="184"/>
      <c r="J257" s="149"/>
      <c r="K257" s="169"/>
      <c r="M257" s="149"/>
    </row>
    <row r="258" ht="15.75" customHeight="1">
      <c r="E258" s="169"/>
      <c r="F258" s="169"/>
      <c r="G258" s="170"/>
      <c r="H258" s="149"/>
      <c r="I258" s="184"/>
      <c r="J258" s="149"/>
      <c r="K258" s="169"/>
      <c r="M258" s="149"/>
    </row>
    <row r="259" ht="15.75" customHeight="1">
      <c r="E259" s="169"/>
      <c r="F259" s="169"/>
      <c r="G259" s="170"/>
      <c r="H259" s="149"/>
      <c r="I259" s="184"/>
      <c r="J259" s="149"/>
      <c r="K259" s="169"/>
      <c r="M259" s="149"/>
    </row>
    <row r="260" ht="15.75" customHeight="1">
      <c r="E260" s="169"/>
      <c r="F260" s="169"/>
      <c r="G260" s="170"/>
      <c r="H260" s="149"/>
      <c r="I260" s="184"/>
      <c r="J260" s="149"/>
      <c r="K260" s="169"/>
      <c r="M260" s="149"/>
    </row>
    <row r="261" ht="15.75" customHeight="1">
      <c r="E261" s="169"/>
      <c r="F261" s="169"/>
      <c r="G261" s="170"/>
      <c r="H261" s="149"/>
      <c r="I261" s="184"/>
      <c r="J261" s="149"/>
      <c r="K261" s="169"/>
      <c r="M261" s="149"/>
    </row>
    <row r="262" ht="15.75" customHeight="1">
      <c r="E262" s="169"/>
      <c r="F262" s="169"/>
      <c r="G262" s="170"/>
      <c r="H262" s="149"/>
      <c r="I262" s="184"/>
      <c r="J262" s="149"/>
      <c r="K262" s="169"/>
      <c r="M262" s="149"/>
    </row>
    <row r="263" ht="15.75" customHeight="1">
      <c r="E263" s="169"/>
      <c r="F263" s="169"/>
      <c r="G263" s="170"/>
      <c r="H263" s="149"/>
      <c r="I263" s="184"/>
      <c r="J263" s="149"/>
      <c r="K263" s="169"/>
      <c r="M263" s="149"/>
    </row>
    <row r="264" ht="15.75" customHeight="1">
      <c r="E264" s="169"/>
      <c r="F264" s="169"/>
      <c r="G264" s="170"/>
      <c r="H264" s="149"/>
      <c r="I264" s="184"/>
      <c r="J264" s="149"/>
      <c r="K264" s="169"/>
      <c r="M264" s="149"/>
    </row>
    <row r="265" ht="15.75" customHeight="1">
      <c r="E265" s="169"/>
      <c r="F265" s="169"/>
      <c r="G265" s="170"/>
      <c r="H265" s="149"/>
      <c r="I265" s="184"/>
      <c r="J265" s="149"/>
      <c r="K265" s="169"/>
      <c r="M265" s="149"/>
    </row>
    <row r="266" ht="15.75" customHeight="1">
      <c r="E266" s="169"/>
      <c r="F266" s="169"/>
      <c r="G266" s="170"/>
      <c r="H266" s="149"/>
      <c r="I266" s="184"/>
      <c r="J266" s="149"/>
      <c r="K266" s="169"/>
      <c r="M266" s="149"/>
    </row>
    <row r="267" ht="15.75" customHeight="1">
      <c r="E267" s="169"/>
      <c r="F267" s="169"/>
      <c r="G267" s="170"/>
      <c r="H267" s="149"/>
      <c r="I267" s="184"/>
      <c r="J267" s="149"/>
      <c r="K267" s="169"/>
      <c r="M267" s="149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1.57"/>
    <col customWidth="1" min="3" max="3" width="12.86"/>
    <col customWidth="1" min="4" max="4" width="13.29"/>
    <col customWidth="1" min="5" max="5" width="20.57"/>
    <col customWidth="1" min="6" max="6" width="17.57"/>
    <col customWidth="1" min="7" max="7" width="32.0"/>
    <col customWidth="1" min="8" max="9" width="13.57"/>
    <col customWidth="1" min="10" max="10" width="12.14"/>
    <col customWidth="1" min="11" max="11" width="17.71"/>
    <col customWidth="1" min="12" max="12" width="13.14"/>
    <col customWidth="1" min="13" max="13" width="17.29"/>
    <col customWidth="1" min="14" max="14" width="13.43"/>
    <col customWidth="1" min="15" max="15" width="8.71"/>
  </cols>
  <sheetData>
    <row r="1">
      <c r="A1" s="161" t="s">
        <v>0</v>
      </c>
      <c r="B1" s="161" t="s">
        <v>1</v>
      </c>
      <c r="C1" s="161" t="s">
        <v>2</v>
      </c>
      <c r="D1" s="162" t="s">
        <v>3</v>
      </c>
      <c r="E1" s="161" t="s">
        <v>4</v>
      </c>
      <c r="F1" s="163" t="s">
        <v>5</v>
      </c>
      <c r="G1" s="165" t="s">
        <v>6</v>
      </c>
      <c r="H1" s="165" t="s">
        <v>39</v>
      </c>
      <c r="I1" s="165" t="s">
        <v>7</v>
      </c>
      <c r="J1" s="165" t="s">
        <v>39</v>
      </c>
      <c r="K1" s="380" t="s">
        <v>8</v>
      </c>
      <c r="L1" s="381" t="s">
        <v>9</v>
      </c>
      <c r="M1" s="382" t="s">
        <v>1038</v>
      </c>
      <c r="N1" s="22"/>
      <c r="O1" s="22"/>
    </row>
    <row r="2">
      <c r="A2" s="51">
        <v>45139.0</v>
      </c>
      <c r="B2" s="11" t="s">
        <v>726</v>
      </c>
      <c r="C2" s="11" t="s">
        <v>1003</v>
      </c>
      <c r="D2" s="383"/>
      <c r="E2" s="384"/>
      <c r="F2" s="385"/>
      <c r="G2" s="386"/>
      <c r="H2" s="386"/>
      <c r="I2" s="386"/>
      <c r="J2" s="386"/>
      <c r="K2" s="16">
        <v>0.0</v>
      </c>
      <c r="L2" s="387">
        <v>100000.0</v>
      </c>
      <c r="M2" s="388"/>
      <c r="N2" s="22"/>
      <c r="O2" s="22"/>
    </row>
    <row r="3">
      <c r="A3" s="51">
        <v>45154.0</v>
      </c>
      <c r="B3" s="11" t="s">
        <v>994</v>
      </c>
      <c r="C3" s="11" t="s">
        <v>1003</v>
      </c>
      <c r="D3" s="11" t="s">
        <v>30</v>
      </c>
      <c r="E3" s="11" t="s">
        <v>720</v>
      </c>
      <c r="F3" s="12">
        <v>9000.0</v>
      </c>
      <c r="G3" s="13">
        <v>1080000.0</v>
      </c>
      <c r="H3" s="13" t="s">
        <v>1039</v>
      </c>
      <c r="I3" s="16">
        <v>640000.0</v>
      </c>
      <c r="J3" s="13" t="s">
        <v>1040</v>
      </c>
      <c r="K3" s="16">
        <f t="shared" ref="K3:K10" si="1">G3-I3</f>
        <v>440000</v>
      </c>
      <c r="L3" s="387">
        <v>0.0</v>
      </c>
      <c r="M3" s="11" t="s">
        <v>1041</v>
      </c>
      <c r="N3" s="22"/>
      <c r="O3" s="22"/>
    </row>
    <row r="4">
      <c r="A4" s="51">
        <v>45157.0</v>
      </c>
      <c r="B4" s="11" t="s">
        <v>994</v>
      </c>
      <c r="C4" s="11" t="s">
        <v>1003</v>
      </c>
      <c r="D4" s="11" t="s">
        <v>30</v>
      </c>
      <c r="E4" s="11" t="s">
        <v>52</v>
      </c>
      <c r="F4" s="12">
        <v>9000.0</v>
      </c>
      <c r="G4" s="13">
        <v>1080000.0</v>
      </c>
      <c r="H4" s="13" t="s">
        <v>1039</v>
      </c>
      <c r="I4" s="16">
        <v>640000.0</v>
      </c>
      <c r="J4" s="13" t="s">
        <v>1040</v>
      </c>
      <c r="K4" s="16">
        <f t="shared" si="1"/>
        <v>440000</v>
      </c>
      <c r="L4" s="387">
        <v>0.0</v>
      </c>
      <c r="M4" s="11" t="s">
        <v>1041</v>
      </c>
      <c r="N4" s="22"/>
      <c r="O4" s="22"/>
    </row>
    <row r="5">
      <c r="A5" s="51">
        <v>45159.0</v>
      </c>
      <c r="B5" s="11" t="s">
        <v>994</v>
      </c>
      <c r="C5" s="11" t="s">
        <v>1003</v>
      </c>
      <c r="D5" s="11" t="s">
        <v>30</v>
      </c>
      <c r="E5" s="11" t="s">
        <v>34</v>
      </c>
      <c r="F5" s="12">
        <v>9000.0</v>
      </c>
      <c r="G5" s="13">
        <v>1215000.0</v>
      </c>
      <c r="H5" s="13" t="s">
        <v>1039</v>
      </c>
      <c r="I5" s="16">
        <v>700000.0</v>
      </c>
      <c r="J5" s="13" t="s">
        <v>1040</v>
      </c>
      <c r="K5" s="16">
        <f t="shared" si="1"/>
        <v>515000</v>
      </c>
      <c r="L5" s="387">
        <v>0.0</v>
      </c>
      <c r="M5" s="11" t="s">
        <v>1041</v>
      </c>
      <c r="N5" s="22" t="s">
        <v>1042</v>
      </c>
      <c r="O5" s="22"/>
    </row>
    <row r="6">
      <c r="A6" s="51">
        <v>45160.0</v>
      </c>
      <c r="B6" s="11" t="s">
        <v>994</v>
      </c>
      <c r="C6" s="11" t="s">
        <v>1003</v>
      </c>
      <c r="D6" s="11" t="s">
        <v>30</v>
      </c>
      <c r="E6" s="11" t="s">
        <v>765</v>
      </c>
      <c r="F6" s="12">
        <v>9000.0</v>
      </c>
      <c r="G6" s="13">
        <v>900000.0</v>
      </c>
      <c r="H6" s="13" t="s">
        <v>1039</v>
      </c>
      <c r="I6" s="16">
        <v>500000.0</v>
      </c>
      <c r="J6" s="13" t="s">
        <v>1040</v>
      </c>
      <c r="K6" s="16">
        <f t="shared" si="1"/>
        <v>400000</v>
      </c>
      <c r="L6" s="387">
        <v>0.0</v>
      </c>
      <c r="M6" s="11" t="s">
        <v>1041</v>
      </c>
      <c r="N6" s="22"/>
      <c r="O6" s="22"/>
    </row>
    <row r="7">
      <c r="A7" s="51">
        <v>45161.0</v>
      </c>
      <c r="B7" s="11" t="s">
        <v>994</v>
      </c>
      <c r="C7" s="11" t="s">
        <v>1003</v>
      </c>
      <c r="D7" s="11" t="s">
        <v>30</v>
      </c>
      <c r="E7" s="11" t="s">
        <v>1043</v>
      </c>
      <c r="F7" s="12">
        <v>8500.0</v>
      </c>
      <c r="G7" s="13">
        <v>1100000.0</v>
      </c>
      <c r="H7" s="13" t="s">
        <v>1039</v>
      </c>
      <c r="I7" s="16">
        <v>640000.0</v>
      </c>
      <c r="J7" s="13" t="s">
        <v>1040</v>
      </c>
      <c r="K7" s="16">
        <f t="shared" si="1"/>
        <v>460000</v>
      </c>
      <c r="L7" s="387">
        <v>0.0</v>
      </c>
      <c r="M7" s="11" t="s">
        <v>1041</v>
      </c>
      <c r="N7" s="22"/>
      <c r="O7" s="22"/>
    </row>
    <row r="8">
      <c r="A8" s="51">
        <v>45162.0</v>
      </c>
      <c r="B8" s="11" t="s">
        <v>994</v>
      </c>
      <c r="C8" s="11" t="s">
        <v>1003</v>
      </c>
      <c r="D8" s="11" t="s">
        <v>67</v>
      </c>
      <c r="E8" s="11" t="s">
        <v>1044</v>
      </c>
      <c r="F8" s="12">
        <v>10000.0</v>
      </c>
      <c r="G8" s="13">
        <v>750000.0</v>
      </c>
      <c r="H8" s="13" t="s">
        <v>1039</v>
      </c>
      <c r="I8" s="16">
        <v>300000.0</v>
      </c>
      <c r="J8" s="13" t="s">
        <v>1040</v>
      </c>
      <c r="K8" s="16">
        <f t="shared" si="1"/>
        <v>450000</v>
      </c>
      <c r="L8" s="387">
        <v>0.0</v>
      </c>
      <c r="M8" s="11" t="s">
        <v>1045</v>
      </c>
      <c r="N8" s="22"/>
      <c r="O8" s="22"/>
    </row>
    <row r="9">
      <c r="A9" s="51">
        <v>45167.0</v>
      </c>
      <c r="B9" s="11" t="s">
        <v>994</v>
      </c>
      <c r="C9" s="11" t="s">
        <v>1003</v>
      </c>
      <c r="D9" s="11" t="s">
        <v>243</v>
      </c>
      <c r="E9" s="11" t="s">
        <v>34</v>
      </c>
      <c r="F9" s="12">
        <v>9000.0</v>
      </c>
      <c r="G9" s="13">
        <v>1215000.0</v>
      </c>
      <c r="H9" s="13" t="s">
        <v>1039</v>
      </c>
      <c r="I9" s="16">
        <v>700000.0</v>
      </c>
      <c r="J9" s="13" t="s">
        <v>1040</v>
      </c>
      <c r="K9" s="16">
        <f t="shared" si="1"/>
        <v>515000</v>
      </c>
      <c r="L9" s="387">
        <v>0.0</v>
      </c>
      <c r="M9" s="357"/>
      <c r="N9" s="22" t="s">
        <v>1042</v>
      </c>
      <c r="O9" s="22"/>
    </row>
    <row r="10">
      <c r="A10" s="51">
        <v>45168.0</v>
      </c>
      <c r="B10" s="11" t="s">
        <v>994</v>
      </c>
      <c r="C10" s="11" t="s">
        <v>1003</v>
      </c>
      <c r="D10" s="11" t="s">
        <v>243</v>
      </c>
      <c r="E10" s="11" t="s">
        <v>59</v>
      </c>
      <c r="F10" s="12">
        <v>9000.0</v>
      </c>
      <c r="G10" s="13">
        <v>820000.0</v>
      </c>
      <c r="H10" s="13" t="s">
        <v>1039</v>
      </c>
      <c r="I10" s="16">
        <v>350000.0</v>
      </c>
      <c r="J10" s="13" t="s">
        <v>1040</v>
      </c>
      <c r="K10" s="16">
        <f t="shared" si="1"/>
        <v>470000</v>
      </c>
      <c r="L10" s="387">
        <v>0.0</v>
      </c>
      <c r="M10" s="357"/>
      <c r="N10" s="22"/>
      <c r="O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51">
        <f t="shared" ref="K11:L11" si="2">SUM(K2:K10)</f>
        <v>3690000</v>
      </c>
      <c r="L11" s="53">
        <f t="shared" si="2"/>
        <v>100000</v>
      </c>
      <c r="M11" s="22"/>
      <c r="N11" s="22"/>
      <c r="O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31">
        <f>K11-L11</f>
        <v>3590000</v>
      </c>
      <c r="L12" s="22"/>
      <c r="M12" s="22"/>
      <c r="N12" s="22"/>
      <c r="O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ht="27.0" customHeight="1">
      <c r="A14" s="2" t="s">
        <v>0</v>
      </c>
      <c r="B14" s="2" t="s">
        <v>1</v>
      </c>
      <c r="C14" s="2" t="s">
        <v>2</v>
      </c>
      <c r="D14" s="3" t="s">
        <v>3</v>
      </c>
      <c r="E14" s="2" t="s">
        <v>4</v>
      </c>
      <c r="F14" s="4" t="s">
        <v>5</v>
      </c>
      <c r="G14" s="5" t="s">
        <v>6</v>
      </c>
      <c r="H14" s="5" t="s">
        <v>39</v>
      </c>
      <c r="I14" s="5" t="s">
        <v>7</v>
      </c>
      <c r="J14" s="5" t="s">
        <v>39</v>
      </c>
      <c r="K14" s="389" t="s">
        <v>8</v>
      </c>
      <c r="L14" s="390" t="s">
        <v>9</v>
      </c>
      <c r="M14" s="391" t="s">
        <v>1038</v>
      </c>
      <c r="N14" s="22"/>
      <c r="O14" s="22"/>
    </row>
    <row r="15">
      <c r="A15" s="51">
        <v>45180.0</v>
      </c>
      <c r="B15" s="11" t="s">
        <v>1046</v>
      </c>
      <c r="C15" s="11" t="s">
        <v>1003</v>
      </c>
      <c r="D15" s="11" t="s">
        <v>40</v>
      </c>
      <c r="E15" s="11" t="s">
        <v>34</v>
      </c>
      <c r="F15" s="12">
        <v>9000.0</v>
      </c>
      <c r="G15" s="13">
        <v>1215000.0</v>
      </c>
      <c r="H15" s="13" t="s">
        <v>44</v>
      </c>
      <c r="I15" s="16">
        <v>700000.0</v>
      </c>
      <c r="J15" s="13" t="s">
        <v>42</v>
      </c>
      <c r="K15" s="16">
        <f t="shared" ref="K15:K24" si="3">G15-I15</f>
        <v>515000</v>
      </c>
      <c r="L15" s="387">
        <v>515000.0</v>
      </c>
      <c r="M15" s="11" t="s">
        <v>1041</v>
      </c>
      <c r="N15" s="22"/>
      <c r="O15" s="22"/>
    </row>
    <row r="16">
      <c r="A16" s="51">
        <v>45181.0</v>
      </c>
      <c r="B16" s="11" t="s">
        <v>1046</v>
      </c>
      <c r="C16" s="11" t="s">
        <v>1003</v>
      </c>
      <c r="D16" s="11" t="s">
        <v>40</v>
      </c>
      <c r="E16" s="11" t="s">
        <v>1043</v>
      </c>
      <c r="F16" s="12">
        <v>8500.0</v>
      </c>
      <c r="G16" s="13">
        <v>1100000.0</v>
      </c>
      <c r="H16" s="13" t="s">
        <v>42</v>
      </c>
      <c r="I16" s="16">
        <v>640000.0</v>
      </c>
      <c r="J16" s="13" t="s">
        <v>42</v>
      </c>
      <c r="K16" s="16">
        <f t="shared" si="3"/>
        <v>460000</v>
      </c>
      <c r="L16" s="387"/>
      <c r="M16" s="11" t="s">
        <v>1041</v>
      </c>
      <c r="N16" s="22"/>
      <c r="O16" s="22"/>
    </row>
    <row r="17">
      <c r="A17" s="51">
        <v>45182.0</v>
      </c>
      <c r="B17" s="11" t="s">
        <v>1046</v>
      </c>
      <c r="C17" s="11" t="s">
        <v>1003</v>
      </c>
      <c r="D17" s="11" t="s">
        <v>30</v>
      </c>
      <c r="E17" s="11" t="s">
        <v>1047</v>
      </c>
      <c r="F17" s="12">
        <v>9000.0</v>
      </c>
      <c r="G17" s="13">
        <v>765000.0</v>
      </c>
      <c r="H17" s="13" t="s">
        <v>44</v>
      </c>
      <c r="I17" s="16">
        <v>450000.0</v>
      </c>
      <c r="J17" s="13" t="s">
        <v>42</v>
      </c>
      <c r="K17" s="16">
        <f t="shared" si="3"/>
        <v>315000</v>
      </c>
      <c r="L17" s="387"/>
      <c r="M17" s="11" t="s">
        <v>1041</v>
      </c>
      <c r="N17" s="22"/>
      <c r="O17" s="22"/>
    </row>
    <row r="18">
      <c r="A18" s="51">
        <v>45183.0</v>
      </c>
      <c r="B18" s="11" t="s">
        <v>1046</v>
      </c>
      <c r="C18" s="11" t="s">
        <v>1003</v>
      </c>
      <c r="D18" s="11" t="s">
        <v>30</v>
      </c>
      <c r="E18" s="11" t="s">
        <v>52</v>
      </c>
      <c r="F18" s="12">
        <v>9000.0</v>
      </c>
      <c r="G18" s="13">
        <v>1080000.0</v>
      </c>
      <c r="H18" s="13" t="s">
        <v>42</v>
      </c>
      <c r="I18" s="16">
        <v>640000.0</v>
      </c>
      <c r="J18" s="13" t="s">
        <v>42</v>
      </c>
      <c r="K18" s="16">
        <f t="shared" si="3"/>
        <v>440000</v>
      </c>
      <c r="L18" s="387"/>
      <c r="M18" s="11" t="s">
        <v>1041</v>
      </c>
      <c r="N18" s="22"/>
      <c r="O18" s="22"/>
    </row>
    <row r="19">
      <c r="A19" s="51">
        <v>45185.0</v>
      </c>
      <c r="B19" s="11" t="s">
        <v>1046</v>
      </c>
      <c r="C19" s="11" t="s">
        <v>1003</v>
      </c>
      <c r="D19" s="11" t="s">
        <v>30</v>
      </c>
      <c r="E19" s="11" t="s">
        <v>52</v>
      </c>
      <c r="F19" s="12">
        <v>9000.0</v>
      </c>
      <c r="G19" s="13">
        <v>1080000.0</v>
      </c>
      <c r="H19" s="13" t="s">
        <v>42</v>
      </c>
      <c r="I19" s="16">
        <v>640000.0</v>
      </c>
      <c r="J19" s="13" t="s">
        <v>42</v>
      </c>
      <c r="K19" s="16">
        <f t="shared" si="3"/>
        <v>440000</v>
      </c>
      <c r="L19" s="387"/>
      <c r="M19" s="11" t="s">
        <v>1041</v>
      </c>
      <c r="N19" s="22"/>
      <c r="O19" s="22"/>
    </row>
    <row r="20">
      <c r="A20" s="51">
        <v>45187.0</v>
      </c>
      <c r="B20" s="11" t="s">
        <v>1046</v>
      </c>
      <c r="C20" s="11" t="s">
        <v>1003</v>
      </c>
      <c r="D20" s="11" t="s">
        <v>30</v>
      </c>
      <c r="E20" s="11" t="s">
        <v>59</v>
      </c>
      <c r="F20" s="12">
        <v>9000.0</v>
      </c>
      <c r="G20" s="13">
        <v>850000.0</v>
      </c>
      <c r="H20" s="13" t="s">
        <v>44</v>
      </c>
      <c r="I20" s="16">
        <v>350000.0</v>
      </c>
      <c r="J20" s="13" t="s">
        <v>42</v>
      </c>
      <c r="K20" s="16">
        <f t="shared" si="3"/>
        <v>500000</v>
      </c>
      <c r="L20" s="387"/>
      <c r="M20" s="11" t="s">
        <v>1041</v>
      </c>
      <c r="N20" s="22"/>
      <c r="O20" s="22"/>
    </row>
    <row r="21" ht="15.75" customHeight="1">
      <c r="A21" s="51">
        <v>45196.0</v>
      </c>
      <c r="B21" s="11" t="s">
        <v>1046</v>
      </c>
      <c r="C21" s="11" t="s">
        <v>1003</v>
      </c>
      <c r="D21" s="11" t="s">
        <v>30</v>
      </c>
      <c r="E21" s="11" t="s">
        <v>32</v>
      </c>
      <c r="F21" s="12">
        <v>9000.0</v>
      </c>
      <c r="G21" s="13">
        <v>675000.0</v>
      </c>
      <c r="H21" s="13" t="s">
        <v>42</v>
      </c>
      <c r="I21" s="16">
        <v>350000.0</v>
      </c>
      <c r="J21" s="13" t="s">
        <v>42</v>
      </c>
      <c r="K21" s="16">
        <f t="shared" si="3"/>
        <v>325000</v>
      </c>
      <c r="L21" s="387"/>
      <c r="M21" s="11" t="s">
        <v>1041</v>
      </c>
      <c r="N21" s="22"/>
      <c r="O21" s="22"/>
    </row>
    <row r="22" ht="15.75" customHeight="1">
      <c r="A22" s="392">
        <v>45198.0</v>
      </c>
      <c r="B22" s="393" t="s">
        <v>994</v>
      </c>
      <c r="C22" s="393" t="s">
        <v>1003</v>
      </c>
      <c r="D22" s="393" t="s">
        <v>30</v>
      </c>
      <c r="E22" s="393" t="s">
        <v>32</v>
      </c>
      <c r="F22" s="394">
        <v>9000.0</v>
      </c>
      <c r="G22" s="395">
        <v>675000.0</v>
      </c>
      <c r="H22" s="395" t="s">
        <v>1048</v>
      </c>
      <c r="I22" s="396">
        <v>350000.0</v>
      </c>
      <c r="J22" s="395" t="s">
        <v>1049</v>
      </c>
      <c r="K22" s="396">
        <f t="shared" si="3"/>
        <v>325000</v>
      </c>
      <c r="L22" s="397"/>
      <c r="M22" s="393" t="s">
        <v>1041</v>
      </c>
      <c r="N22" s="22" t="s">
        <v>1050</v>
      </c>
      <c r="O22" s="22"/>
    </row>
    <row r="23" ht="15.75" customHeight="1">
      <c r="A23" s="51">
        <v>45198.0</v>
      </c>
      <c r="B23" s="11" t="s">
        <v>1046</v>
      </c>
      <c r="C23" s="11" t="s">
        <v>1003</v>
      </c>
      <c r="D23" s="11" t="s">
        <v>30</v>
      </c>
      <c r="E23" s="11" t="s">
        <v>1051</v>
      </c>
      <c r="F23" s="12">
        <v>9000.0</v>
      </c>
      <c r="G23" s="13">
        <v>900000.0</v>
      </c>
      <c r="H23" s="13" t="s">
        <v>42</v>
      </c>
      <c r="I23" s="16">
        <v>500000.0</v>
      </c>
      <c r="J23" s="13" t="s">
        <v>42</v>
      </c>
      <c r="K23" s="16">
        <f t="shared" si="3"/>
        <v>400000</v>
      </c>
      <c r="L23" s="387"/>
      <c r="M23" s="11" t="s">
        <v>1041</v>
      </c>
      <c r="N23" s="22"/>
      <c r="O23" s="22"/>
    </row>
    <row r="24" ht="15.75" customHeight="1">
      <c r="A24" s="51">
        <v>45199.0</v>
      </c>
      <c r="B24" s="11" t="s">
        <v>1046</v>
      </c>
      <c r="C24" s="11" t="s">
        <v>1003</v>
      </c>
      <c r="D24" s="11" t="s">
        <v>30</v>
      </c>
      <c r="E24" s="11" t="s">
        <v>34</v>
      </c>
      <c r="F24" s="12">
        <v>9000.0</v>
      </c>
      <c r="G24" s="13">
        <v>1215000.0</v>
      </c>
      <c r="H24" s="13" t="s">
        <v>44</v>
      </c>
      <c r="I24" s="16">
        <v>700000.0</v>
      </c>
      <c r="J24" s="13" t="s">
        <v>42</v>
      </c>
      <c r="K24" s="16">
        <f t="shared" si="3"/>
        <v>515000</v>
      </c>
      <c r="L24" s="387"/>
      <c r="M24" s="11" t="s">
        <v>1041</v>
      </c>
      <c r="N24" s="22"/>
      <c r="O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51">
        <f t="shared" ref="K25:L25" si="4">SUM(K15:K24)</f>
        <v>4235000</v>
      </c>
      <c r="L25" s="53">
        <f t="shared" si="4"/>
        <v>515000</v>
      </c>
      <c r="M25" s="22"/>
      <c r="N25" s="22"/>
      <c r="O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31">
        <f>K25-L25</f>
        <v>3720000</v>
      </c>
      <c r="L26" s="22"/>
      <c r="M26" s="22"/>
      <c r="N26" s="22"/>
      <c r="O26" s="22"/>
    </row>
    <row r="27" ht="30.0" customHeight="1">
      <c r="A27" s="2" t="s">
        <v>0</v>
      </c>
      <c r="B27" s="2" t="s">
        <v>1</v>
      </c>
      <c r="C27" s="2" t="s">
        <v>2</v>
      </c>
      <c r="D27" s="3" t="s">
        <v>3</v>
      </c>
      <c r="E27" s="2" t="s">
        <v>4</v>
      </c>
      <c r="F27" s="4" t="s">
        <v>5</v>
      </c>
      <c r="G27" s="5" t="s">
        <v>6</v>
      </c>
      <c r="H27" s="5" t="s">
        <v>39</v>
      </c>
      <c r="I27" s="5" t="s">
        <v>7</v>
      </c>
      <c r="J27" s="5" t="s">
        <v>39</v>
      </c>
      <c r="K27" s="389" t="s">
        <v>8</v>
      </c>
      <c r="L27" s="390" t="s">
        <v>9</v>
      </c>
      <c r="M27" s="391" t="s">
        <v>1038</v>
      </c>
      <c r="N27" s="22"/>
      <c r="O27" s="22"/>
    </row>
    <row r="28" ht="15.75" customHeight="1">
      <c r="A28" s="51">
        <v>45200.0</v>
      </c>
      <c r="B28" s="11" t="s">
        <v>1046</v>
      </c>
      <c r="C28" s="11" t="s">
        <v>1003</v>
      </c>
      <c r="D28" s="11" t="s">
        <v>37</v>
      </c>
      <c r="E28" s="11" t="s">
        <v>34</v>
      </c>
      <c r="F28" s="12">
        <v>9000.0</v>
      </c>
      <c r="G28" s="62">
        <v>1215000.0</v>
      </c>
      <c r="H28" s="11" t="s">
        <v>44</v>
      </c>
      <c r="I28" s="62">
        <v>700000.0</v>
      </c>
      <c r="J28" s="11" t="s">
        <v>42</v>
      </c>
      <c r="K28" s="62">
        <f t="shared" ref="K28:K40" si="5">G28-I28</f>
        <v>515000</v>
      </c>
      <c r="L28" s="62">
        <v>800000.0</v>
      </c>
      <c r="M28" s="11" t="s">
        <v>1041</v>
      </c>
      <c r="N28" s="22"/>
      <c r="O28" s="22"/>
    </row>
    <row r="29" ht="15.75" customHeight="1">
      <c r="A29" s="51">
        <v>45209.0</v>
      </c>
      <c r="B29" s="11" t="s">
        <v>389</v>
      </c>
      <c r="C29" s="11" t="s">
        <v>1003</v>
      </c>
      <c r="D29" s="11" t="s">
        <v>30</v>
      </c>
      <c r="E29" s="11" t="s">
        <v>34</v>
      </c>
      <c r="F29" s="12">
        <v>9000.0</v>
      </c>
      <c r="G29" s="62">
        <v>1215000.0</v>
      </c>
      <c r="H29" s="11" t="s">
        <v>44</v>
      </c>
      <c r="I29" s="62">
        <v>650000.0</v>
      </c>
      <c r="J29" s="11" t="s">
        <v>42</v>
      </c>
      <c r="K29" s="62">
        <f t="shared" si="5"/>
        <v>565000</v>
      </c>
      <c r="L29" s="62">
        <v>0.0</v>
      </c>
      <c r="M29" s="11" t="s">
        <v>1041</v>
      </c>
      <c r="N29" s="22"/>
      <c r="O29" s="22"/>
    </row>
    <row r="30" ht="15.75" customHeight="1">
      <c r="A30" s="398">
        <v>45210.0</v>
      </c>
      <c r="B30" s="399" t="s">
        <v>994</v>
      </c>
      <c r="C30" s="399" t="s">
        <v>1003</v>
      </c>
      <c r="D30" s="399" t="s">
        <v>392</v>
      </c>
      <c r="E30" s="399" t="s">
        <v>724</v>
      </c>
      <c r="F30" s="400">
        <v>9000.0</v>
      </c>
      <c r="G30" s="401">
        <v>765000.0</v>
      </c>
      <c r="H30" s="399" t="s">
        <v>1039</v>
      </c>
      <c r="I30" s="401">
        <v>450000.0</v>
      </c>
      <c r="J30" s="399" t="s">
        <v>1048</v>
      </c>
      <c r="K30" s="401">
        <f t="shared" si="5"/>
        <v>315000</v>
      </c>
      <c r="L30" s="401">
        <v>0.0</v>
      </c>
      <c r="M30" s="399" t="s">
        <v>1041</v>
      </c>
      <c r="N30" s="22" t="s">
        <v>1052</v>
      </c>
      <c r="O30" s="22"/>
    </row>
    <row r="31" ht="15.75" customHeight="1">
      <c r="A31" s="398">
        <v>45212.0</v>
      </c>
      <c r="B31" s="399" t="s">
        <v>994</v>
      </c>
      <c r="C31" s="399" t="s">
        <v>1003</v>
      </c>
      <c r="D31" s="399" t="s">
        <v>30</v>
      </c>
      <c r="E31" s="399" t="s">
        <v>1053</v>
      </c>
      <c r="F31" s="400">
        <v>9000.0</v>
      </c>
      <c r="G31" s="401">
        <v>990000.0</v>
      </c>
      <c r="H31" s="399" t="s">
        <v>1039</v>
      </c>
      <c r="I31" s="401">
        <v>550000.0</v>
      </c>
      <c r="J31" s="399" t="s">
        <v>1048</v>
      </c>
      <c r="K31" s="401">
        <f t="shared" si="5"/>
        <v>440000</v>
      </c>
      <c r="L31" s="401">
        <v>0.0</v>
      </c>
      <c r="M31" s="399" t="s">
        <v>1041</v>
      </c>
      <c r="N31" s="22"/>
      <c r="O31" s="22"/>
    </row>
    <row r="32" ht="15.75" customHeight="1">
      <c r="A32" s="398">
        <v>45213.0</v>
      </c>
      <c r="B32" s="399" t="s">
        <v>994</v>
      </c>
      <c r="C32" s="399" t="s">
        <v>1003</v>
      </c>
      <c r="D32" s="399" t="s">
        <v>30</v>
      </c>
      <c r="E32" s="399" t="s">
        <v>52</v>
      </c>
      <c r="F32" s="400">
        <v>9000.0</v>
      </c>
      <c r="G32" s="401">
        <v>1080000.0</v>
      </c>
      <c r="H32" s="399" t="s">
        <v>1039</v>
      </c>
      <c r="I32" s="401">
        <v>640000.0</v>
      </c>
      <c r="J32" s="399" t="s">
        <v>1048</v>
      </c>
      <c r="K32" s="401">
        <f t="shared" si="5"/>
        <v>440000</v>
      </c>
      <c r="L32" s="401">
        <v>0.0</v>
      </c>
      <c r="M32" s="399" t="s">
        <v>1041</v>
      </c>
      <c r="N32" s="22"/>
      <c r="O32" s="22"/>
    </row>
    <row r="33" ht="15.75" customHeight="1">
      <c r="A33" s="51">
        <v>45215.0</v>
      </c>
      <c r="B33" s="11" t="s">
        <v>62</v>
      </c>
      <c r="C33" s="11" t="s">
        <v>1003</v>
      </c>
      <c r="D33" s="11" t="s">
        <v>30</v>
      </c>
      <c r="E33" s="11" t="s">
        <v>61</v>
      </c>
      <c r="F33" s="12">
        <v>9000.0</v>
      </c>
      <c r="G33" s="62">
        <v>675000.0</v>
      </c>
      <c r="H33" s="11" t="s">
        <v>44</v>
      </c>
      <c r="I33" s="62">
        <v>350000.0</v>
      </c>
      <c r="J33" s="11" t="s">
        <v>42</v>
      </c>
      <c r="K33" s="62">
        <f t="shared" si="5"/>
        <v>325000</v>
      </c>
      <c r="L33" s="62">
        <v>0.0</v>
      </c>
      <c r="M33" s="11" t="s">
        <v>1041</v>
      </c>
      <c r="N33" s="22" t="s">
        <v>1054</v>
      </c>
      <c r="O33" s="22"/>
    </row>
    <row r="34" ht="15.75" customHeight="1">
      <c r="A34" s="398">
        <v>45216.0</v>
      </c>
      <c r="B34" s="399" t="s">
        <v>994</v>
      </c>
      <c r="C34" s="399" t="s">
        <v>1003</v>
      </c>
      <c r="D34" s="399" t="s">
        <v>30</v>
      </c>
      <c r="E34" s="399" t="s">
        <v>61</v>
      </c>
      <c r="F34" s="400">
        <v>9000.0</v>
      </c>
      <c r="G34" s="401">
        <v>675000.0</v>
      </c>
      <c r="H34" s="399" t="s">
        <v>1039</v>
      </c>
      <c r="I34" s="401">
        <v>350000.0</v>
      </c>
      <c r="J34" s="399" t="s">
        <v>1048</v>
      </c>
      <c r="K34" s="401">
        <f t="shared" si="5"/>
        <v>325000</v>
      </c>
      <c r="L34" s="401">
        <v>0.0</v>
      </c>
      <c r="M34" s="399" t="s">
        <v>1041</v>
      </c>
      <c r="N34" s="22"/>
      <c r="O34" s="22"/>
    </row>
    <row r="35" ht="15.75" customHeight="1">
      <c r="A35" s="398">
        <v>45218.0</v>
      </c>
      <c r="B35" s="399" t="s">
        <v>994</v>
      </c>
      <c r="C35" s="399" t="s">
        <v>1003</v>
      </c>
      <c r="D35" s="399" t="s">
        <v>30</v>
      </c>
      <c r="E35" s="399" t="s">
        <v>61</v>
      </c>
      <c r="F35" s="400">
        <v>9000.0</v>
      </c>
      <c r="G35" s="401">
        <v>675000.0</v>
      </c>
      <c r="H35" s="399" t="s">
        <v>1039</v>
      </c>
      <c r="I35" s="401">
        <v>350000.0</v>
      </c>
      <c r="J35" s="399" t="s">
        <v>1048</v>
      </c>
      <c r="K35" s="401">
        <f t="shared" si="5"/>
        <v>325000</v>
      </c>
      <c r="L35" s="401">
        <v>0.0</v>
      </c>
      <c r="M35" s="399" t="s">
        <v>1041</v>
      </c>
      <c r="N35" s="22"/>
      <c r="O35" s="22"/>
    </row>
    <row r="36" ht="15.75" customHeight="1">
      <c r="A36" s="51">
        <v>45218.0</v>
      </c>
      <c r="B36" s="11" t="s">
        <v>390</v>
      </c>
      <c r="C36" s="11" t="s">
        <v>1003</v>
      </c>
      <c r="D36" s="11" t="s">
        <v>30</v>
      </c>
      <c r="E36" s="11" t="s">
        <v>1055</v>
      </c>
      <c r="F36" s="12">
        <v>9000.0</v>
      </c>
      <c r="G36" s="62">
        <v>1400000.0</v>
      </c>
      <c r="H36" s="11" t="s">
        <v>42</v>
      </c>
      <c r="I36" s="62">
        <v>900000.0</v>
      </c>
      <c r="J36" s="11" t="s">
        <v>42</v>
      </c>
      <c r="K36" s="62">
        <f t="shared" si="5"/>
        <v>500000</v>
      </c>
      <c r="L36" s="62">
        <v>426000.0</v>
      </c>
      <c r="M36" s="11" t="s">
        <v>1045</v>
      </c>
      <c r="N36" s="22"/>
      <c r="O36" s="22"/>
    </row>
    <row r="37" ht="15.75" customHeight="1">
      <c r="A37" s="51">
        <v>45219.0</v>
      </c>
      <c r="B37" s="11" t="s">
        <v>390</v>
      </c>
      <c r="C37" s="11" t="s">
        <v>1003</v>
      </c>
      <c r="D37" s="11" t="s">
        <v>30</v>
      </c>
      <c r="E37" s="11" t="s">
        <v>61</v>
      </c>
      <c r="F37" s="12">
        <v>9000.0</v>
      </c>
      <c r="G37" s="62">
        <v>675000.0</v>
      </c>
      <c r="H37" s="11" t="s">
        <v>44</v>
      </c>
      <c r="I37" s="62">
        <v>350000.0</v>
      </c>
      <c r="J37" s="11" t="s">
        <v>42</v>
      </c>
      <c r="K37" s="62">
        <f t="shared" si="5"/>
        <v>325000</v>
      </c>
      <c r="L37" s="62">
        <v>0.0</v>
      </c>
      <c r="M37" s="11" t="s">
        <v>1041</v>
      </c>
      <c r="N37" s="22" t="s">
        <v>1054</v>
      </c>
      <c r="O37" s="22"/>
    </row>
    <row r="38" ht="15.75" customHeight="1">
      <c r="A38" s="398">
        <v>45220.0</v>
      </c>
      <c r="B38" s="399" t="s">
        <v>994</v>
      </c>
      <c r="C38" s="399" t="s">
        <v>1003</v>
      </c>
      <c r="D38" s="399" t="s">
        <v>71</v>
      </c>
      <c r="E38" s="399" t="s">
        <v>34</v>
      </c>
      <c r="F38" s="400">
        <v>9000.0</v>
      </c>
      <c r="G38" s="401">
        <v>1215000.0</v>
      </c>
      <c r="H38" s="399" t="s">
        <v>1039</v>
      </c>
      <c r="I38" s="401">
        <v>700000.0</v>
      </c>
      <c r="J38" s="399" t="s">
        <v>1048</v>
      </c>
      <c r="K38" s="401">
        <f t="shared" si="5"/>
        <v>515000</v>
      </c>
      <c r="L38" s="401">
        <v>0.0</v>
      </c>
      <c r="M38" s="11" t="s">
        <v>1041</v>
      </c>
      <c r="N38" s="22" t="s">
        <v>1056</v>
      </c>
      <c r="O38" s="22"/>
    </row>
    <row r="39" ht="15.75" customHeight="1">
      <c r="A39" s="51">
        <v>45223.0</v>
      </c>
      <c r="B39" s="11" t="s">
        <v>62</v>
      </c>
      <c r="C39" s="11" t="s">
        <v>1003</v>
      </c>
      <c r="D39" s="11" t="s">
        <v>30</v>
      </c>
      <c r="E39" s="11" t="s">
        <v>32</v>
      </c>
      <c r="F39" s="12">
        <v>9000.0</v>
      </c>
      <c r="G39" s="62">
        <v>750000.0</v>
      </c>
      <c r="H39" s="63" t="s">
        <v>42</v>
      </c>
      <c r="I39" s="62">
        <v>350000.0</v>
      </c>
      <c r="J39" s="63" t="s">
        <v>42</v>
      </c>
      <c r="K39" s="62">
        <f t="shared" si="5"/>
        <v>400000</v>
      </c>
      <c r="L39" s="62">
        <v>0.0</v>
      </c>
      <c r="M39" s="11" t="s">
        <v>1041</v>
      </c>
      <c r="N39" s="22"/>
      <c r="O39" s="22"/>
    </row>
    <row r="40" ht="15.75" customHeight="1">
      <c r="A40" s="398">
        <v>45229.0</v>
      </c>
      <c r="B40" s="399" t="s">
        <v>994</v>
      </c>
      <c r="C40" s="399" t="s">
        <v>1003</v>
      </c>
      <c r="D40" s="399" t="s">
        <v>30</v>
      </c>
      <c r="E40" s="399" t="s">
        <v>1043</v>
      </c>
      <c r="F40" s="400">
        <v>9000.0</v>
      </c>
      <c r="G40" s="401">
        <v>1100000.0</v>
      </c>
      <c r="H40" s="402" t="s">
        <v>1039</v>
      </c>
      <c r="I40" s="401">
        <v>640000.0</v>
      </c>
      <c r="J40" s="401" t="s">
        <v>1048</v>
      </c>
      <c r="K40" s="401">
        <f t="shared" si="5"/>
        <v>460000</v>
      </c>
      <c r="L40" s="401">
        <v>0.0</v>
      </c>
      <c r="M40" s="403" t="s">
        <v>1041</v>
      </c>
      <c r="N40" s="22"/>
      <c r="O40" s="22"/>
    </row>
    <row r="41" ht="15.75" customHeight="1">
      <c r="A41" s="155"/>
      <c r="B41" s="22"/>
      <c r="C41" s="22"/>
      <c r="D41" s="22"/>
      <c r="E41" s="22"/>
      <c r="F41" s="22"/>
      <c r="G41" s="22"/>
      <c r="H41" s="22"/>
      <c r="I41" s="22"/>
      <c r="J41" s="22"/>
      <c r="K41" s="275">
        <f t="shared" ref="K41:L41" si="6">SUM(K28:K40)</f>
        <v>5450000</v>
      </c>
      <c r="L41" s="404">
        <f t="shared" si="6"/>
        <v>1226000</v>
      </c>
      <c r="M41" s="22"/>
      <c r="N41" s="22"/>
      <c r="O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76">
        <f>K41-L41</f>
        <v>4224000</v>
      </c>
      <c r="L42" s="168"/>
      <c r="M42" s="22"/>
      <c r="N42" s="22"/>
      <c r="O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ht="32.25" customHeight="1">
      <c r="A44" s="2" t="s">
        <v>0</v>
      </c>
      <c r="B44" s="2" t="s">
        <v>1</v>
      </c>
      <c r="C44" s="2" t="s">
        <v>2</v>
      </c>
      <c r="D44" s="3" t="s">
        <v>3</v>
      </c>
      <c r="E44" s="2" t="s">
        <v>4</v>
      </c>
      <c r="F44" s="4" t="s">
        <v>5</v>
      </c>
      <c r="G44" s="5" t="s">
        <v>6</v>
      </c>
      <c r="H44" s="5" t="s">
        <v>39</v>
      </c>
      <c r="I44" s="5" t="s">
        <v>7</v>
      </c>
      <c r="J44" s="5" t="s">
        <v>39</v>
      </c>
      <c r="K44" s="389" t="s">
        <v>8</v>
      </c>
      <c r="L44" s="390" t="s">
        <v>9</v>
      </c>
      <c r="M44" s="391" t="s">
        <v>1038</v>
      </c>
    </row>
    <row r="45" ht="15.75" customHeight="1">
      <c r="A45" s="405">
        <v>45231.0</v>
      </c>
      <c r="B45" s="406" t="s">
        <v>994</v>
      </c>
      <c r="C45" s="406" t="s">
        <v>1057</v>
      </c>
      <c r="D45" s="406" t="s">
        <v>30</v>
      </c>
      <c r="E45" s="406" t="s">
        <v>61</v>
      </c>
      <c r="F45" s="407">
        <v>10000.0</v>
      </c>
      <c r="G45" s="408">
        <v>750000.0</v>
      </c>
      <c r="H45" s="408" t="s">
        <v>1039</v>
      </c>
      <c r="I45" s="408">
        <v>350000.0</v>
      </c>
      <c r="J45" s="408" t="s">
        <v>1040</v>
      </c>
      <c r="K45" s="408">
        <f t="shared" ref="K45:K46" si="7">G45-I45</f>
        <v>400000</v>
      </c>
      <c r="L45" s="408">
        <v>0.0</v>
      </c>
      <c r="M45" s="403" t="s">
        <v>1041</v>
      </c>
      <c r="N45" s="22" t="s">
        <v>1058</v>
      </c>
    </row>
    <row r="46" ht="15.75" customHeight="1">
      <c r="A46" s="405">
        <v>45236.0</v>
      </c>
      <c r="B46" s="406" t="s">
        <v>994</v>
      </c>
      <c r="C46" s="406" t="s">
        <v>1057</v>
      </c>
      <c r="D46" s="406" t="s">
        <v>30</v>
      </c>
      <c r="E46" s="406" t="s">
        <v>34</v>
      </c>
      <c r="F46" s="400">
        <v>9000.0</v>
      </c>
      <c r="G46" s="408">
        <v>1215000.0</v>
      </c>
      <c r="H46" s="408" t="s">
        <v>1039</v>
      </c>
      <c r="I46" s="408">
        <v>700000.0</v>
      </c>
      <c r="J46" s="408" t="s">
        <v>1040</v>
      </c>
      <c r="K46" s="408">
        <f t="shared" si="7"/>
        <v>515000</v>
      </c>
      <c r="L46" s="408">
        <v>0.0</v>
      </c>
      <c r="M46" s="408"/>
      <c r="N46" s="22" t="s">
        <v>1059</v>
      </c>
      <c r="O46" s="22"/>
    </row>
    <row r="47" ht="15.75" customHeight="1">
      <c r="K47" s="275">
        <f>SUM(K45:K46)</f>
        <v>915000</v>
      </c>
      <c r="L47" s="404">
        <f>SUM(L46)</f>
        <v>0</v>
      </c>
      <c r="M47" s="22"/>
    </row>
    <row r="48" ht="15.75" customHeight="1">
      <c r="K48" s="276">
        <f>K47-L47</f>
        <v>915000</v>
      </c>
      <c r="L48" s="168"/>
      <c r="M48" s="22"/>
    </row>
    <row r="49" ht="15.75" customHeight="1"/>
    <row r="50" ht="33.75" customHeight="1">
      <c r="C50" s="89" t="s">
        <v>0</v>
      </c>
      <c r="D50" s="89" t="s">
        <v>1</v>
      </c>
      <c r="E50" s="89" t="s">
        <v>2</v>
      </c>
      <c r="F50" s="90" t="s">
        <v>3</v>
      </c>
      <c r="G50" s="89" t="s">
        <v>4</v>
      </c>
      <c r="H50" s="91" t="s">
        <v>5</v>
      </c>
      <c r="I50" s="92" t="s">
        <v>6</v>
      </c>
      <c r="J50" s="92" t="s">
        <v>39</v>
      </c>
      <c r="K50" s="91" t="s">
        <v>7</v>
      </c>
      <c r="L50" s="91" t="s">
        <v>39</v>
      </c>
      <c r="M50" s="92" t="s">
        <v>8</v>
      </c>
      <c r="N50" s="92" t="s">
        <v>9</v>
      </c>
    </row>
    <row r="51" ht="15.75" customHeight="1">
      <c r="C51" s="178">
        <v>45408.0</v>
      </c>
      <c r="E51" s="17" t="s">
        <v>1057</v>
      </c>
      <c r="F51" s="17" t="s">
        <v>37</v>
      </c>
      <c r="G51" s="17" t="s">
        <v>66</v>
      </c>
      <c r="H51" s="409">
        <v>9000.0</v>
      </c>
      <c r="I51" s="100">
        <v>675000.0</v>
      </c>
      <c r="J51" s="199" t="s">
        <v>42</v>
      </c>
      <c r="K51" s="100">
        <v>350000.0</v>
      </c>
      <c r="L51" s="199" t="s">
        <v>42</v>
      </c>
      <c r="M51" s="100">
        <f t="shared" ref="M51:M53" si="8">I51-K51</f>
        <v>325000</v>
      </c>
      <c r="N51" s="100">
        <v>1180000.0</v>
      </c>
    </row>
    <row r="52" ht="15.75" customHeight="1">
      <c r="C52" s="178">
        <v>45411.0</v>
      </c>
      <c r="E52" s="17" t="s">
        <v>1057</v>
      </c>
      <c r="F52" s="17" t="s">
        <v>30</v>
      </c>
      <c r="G52" s="17" t="s">
        <v>66</v>
      </c>
      <c r="H52" s="409">
        <v>9000.0</v>
      </c>
      <c r="I52" s="100">
        <v>675000.0</v>
      </c>
      <c r="J52" s="199" t="s">
        <v>42</v>
      </c>
      <c r="K52" s="100">
        <v>350000.0</v>
      </c>
      <c r="L52" s="199" t="s">
        <v>42</v>
      </c>
      <c r="M52" s="100">
        <f t="shared" si="8"/>
        <v>325000</v>
      </c>
      <c r="N52" s="100">
        <v>9495000.0</v>
      </c>
    </row>
    <row r="53" ht="15.75" customHeight="1">
      <c r="C53" s="178">
        <v>45412.0</v>
      </c>
      <c r="E53" s="17" t="s">
        <v>1057</v>
      </c>
      <c r="F53" s="17" t="s">
        <v>30</v>
      </c>
      <c r="G53" s="17" t="s">
        <v>66</v>
      </c>
      <c r="H53" s="409">
        <v>9000.0</v>
      </c>
      <c r="I53" s="100">
        <v>675000.0</v>
      </c>
      <c r="J53" s="199" t="s">
        <v>42</v>
      </c>
      <c r="K53" s="100">
        <v>350000.0</v>
      </c>
      <c r="L53" s="199" t="s">
        <v>42</v>
      </c>
      <c r="M53" s="100">
        <f t="shared" si="8"/>
        <v>325000</v>
      </c>
      <c r="N53" s="7"/>
    </row>
    <row r="54" ht="15.75" customHeight="1">
      <c r="C54" s="7"/>
      <c r="D54" s="7"/>
      <c r="E54" s="7"/>
      <c r="F54" s="7"/>
      <c r="G54" s="17"/>
      <c r="H54" s="7"/>
      <c r="I54" s="100"/>
      <c r="J54" s="100"/>
      <c r="K54" s="100"/>
      <c r="L54" s="100"/>
      <c r="M54" s="52">
        <f t="shared" ref="M54:N54" si="9">SUM(M51:M53)</f>
        <v>975000</v>
      </c>
      <c r="N54" s="56">
        <f t="shared" si="9"/>
        <v>10675000</v>
      </c>
    </row>
    <row r="55" ht="15.75" customHeight="1">
      <c r="C55" s="7"/>
      <c r="D55" s="7"/>
      <c r="E55" s="7"/>
      <c r="F55" s="7"/>
      <c r="G55" s="17"/>
      <c r="H55" s="7"/>
      <c r="I55" s="100"/>
      <c r="J55" s="100"/>
      <c r="K55" s="100"/>
      <c r="L55" s="100"/>
      <c r="M55" s="33">
        <f>M54-N54</f>
        <v>-9700000</v>
      </c>
      <c r="N55" s="202"/>
    </row>
    <row r="56" ht="15.75" customHeight="1">
      <c r="C56" s="7"/>
      <c r="D56" s="7"/>
      <c r="E56" s="7"/>
      <c r="F56" s="7"/>
      <c r="G56" s="17"/>
      <c r="H56" s="7"/>
      <c r="I56" s="100"/>
      <c r="J56" s="100"/>
      <c r="K56" s="100"/>
      <c r="L56" s="100"/>
      <c r="M56" s="100"/>
      <c r="N56" s="7"/>
    </row>
    <row r="57" ht="15.75" customHeight="1">
      <c r="C57" s="7"/>
      <c r="D57" s="7"/>
      <c r="E57" s="7"/>
      <c r="F57" s="7"/>
      <c r="G57" s="17"/>
      <c r="H57" s="7"/>
      <c r="I57" s="100"/>
      <c r="J57" s="100"/>
      <c r="K57" s="100"/>
      <c r="L57" s="100"/>
      <c r="M57" s="100"/>
      <c r="N57" s="7"/>
    </row>
    <row r="58" ht="15.75" customHeight="1">
      <c r="C58" s="7"/>
      <c r="D58" s="7"/>
      <c r="E58" s="7"/>
      <c r="F58" s="7"/>
      <c r="G58" s="17"/>
      <c r="H58" s="7"/>
      <c r="I58" s="100"/>
      <c r="J58" s="100"/>
      <c r="K58" s="100"/>
      <c r="L58" s="100"/>
      <c r="M58" s="100"/>
      <c r="N58" s="7"/>
    </row>
    <row r="59" ht="15.75" customHeight="1">
      <c r="C59" s="7"/>
      <c r="D59" s="7"/>
      <c r="E59" s="7"/>
      <c r="F59" s="7"/>
      <c r="G59" s="17"/>
      <c r="H59" s="7"/>
      <c r="I59" s="100"/>
      <c r="J59" s="100"/>
      <c r="K59" s="100"/>
      <c r="L59" s="100"/>
      <c r="M59" s="100"/>
      <c r="N59" s="7"/>
    </row>
    <row r="60" ht="15.75" customHeight="1">
      <c r="G60" s="169"/>
      <c r="I60" s="410"/>
      <c r="J60" s="410"/>
      <c r="K60" s="410"/>
      <c r="L60" s="410"/>
      <c r="M60" s="410"/>
    </row>
    <row r="61" ht="15.75" customHeight="1">
      <c r="G61" s="169"/>
      <c r="I61" s="410"/>
      <c r="J61" s="410"/>
      <c r="K61" s="410"/>
      <c r="L61" s="410"/>
      <c r="M61" s="410"/>
    </row>
    <row r="62" ht="15.75" customHeight="1">
      <c r="G62" s="169"/>
      <c r="I62" s="410"/>
      <c r="J62" s="410"/>
      <c r="K62" s="410"/>
      <c r="L62" s="410"/>
      <c r="M62" s="410"/>
    </row>
    <row r="63" ht="15.75" customHeight="1">
      <c r="G63" s="169"/>
    </row>
    <row r="64" ht="15.75" customHeight="1">
      <c r="G64" s="169"/>
    </row>
    <row r="65" ht="15.75" customHeight="1">
      <c r="G65" s="169"/>
    </row>
    <row r="66" ht="15.75" customHeight="1">
      <c r="G66" s="169"/>
    </row>
    <row r="67" ht="15.75" customHeight="1">
      <c r="G67" s="169"/>
    </row>
    <row r="68" ht="15.75" customHeight="1">
      <c r="G68" s="169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50:$N$50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2.0"/>
    <col customWidth="1" min="3" max="3" width="11.0"/>
    <col customWidth="1" min="4" max="4" width="15.43"/>
    <col customWidth="1" min="5" max="5" width="30.86"/>
    <col customWidth="1" min="6" max="6" width="11.57"/>
    <col customWidth="1" min="7" max="7" width="15.57"/>
    <col customWidth="1" min="8" max="8" width="6.86"/>
    <col customWidth="1" min="9" max="9" width="14.0"/>
    <col customWidth="1" min="10" max="10" width="8.0"/>
    <col customWidth="1" min="11" max="11" width="15.14"/>
    <col customWidth="1" min="12" max="12" width="14.57"/>
    <col customWidth="1" min="13" max="13" width="26.43"/>
    <col customWidth="1" min="14" max="14" width="22.14"/>
  </cols>
  <sheetData>
    <row r="1" ht="24.0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6" t="s">
        <v>6</v>
      </c>
      <c r="H1" s="6"/>
      <c r="I1" s="4" t="s">
        <v>7</v>
      </c>
      <c r="J1" s="4"/>
      <c r="K1" s="6" t="s">
        <v>8</v>
      </c>
      <c r="L1" s="5" t="s">
        <v>9</v>
      </c>
    </row>
    <row r="2">
      <c r="A2" s="51">
        <v>45078.0</v>
      </c>
      <c r="B2" s="10" t="s">
        <v>994</v>
      </c>
      <c r="C2" s="11" t="s">
        <v>1060</v>
      </c>
      <c r="D2" s="11" t="s">
        <v>1061</v>
      </c>
      <c r="E2" s="11" t="s">
        <v>1062</v>
      </c>
      <c r="F2" s="12">
        <v>9000.0</v>
      </c>
      <c r="G2" s="16">
        <v>810000.0</v>
      </c>
      <c r="H2" s="16"/>
      <c r="I2" s="16">
        <v>400000.0</v>
      </c>
      <c r="J2" s="16"/>
      <c r="K2" s="16">
        <f t="shared" ref="K2:K20" si="1">G2-I2</f>
        <v>410000</v>
      </c>
      <c r="L2" s="16">
        <v>1415000.0</v>
      </c>
    </row>
    <row r="3">
      <c r="A3" s="51">
        <v>45080.0</v>
      </c>
      <c r="B3" s="10" t="s">
        <v>994</v>
      </c>
      <c r="C3" s="11" t="s">
        <v>1060</v>
      </c>
      <c r="D3" s="11" t="s">
        <v>12</v>
      </c>
      <c r="E3" s="11" t="s">
        <v>1063</v>
      </c>
      <c r="F3" s="12">
        <v>9000.0</v>
      </c>
      <c r="G3" s="16">
        <v>765000.0</v>
      </c>
      <c r="H3" s="16"/>
      <c r="I3" s="16">
        <v>450000.0</v>
      </c>
      <c r="J3" s="16"/>
      <c r="K3" s="16">
        <f t="shared" si="1"/>
        <v>315000</v>
      </c>
      <c r="L3" s="16"/>
    </row>
    <row r="4">
      <c r="A4" s="51">
        <v>45082.0</v>
      </c>
      <c r="B4" s="10" t="s">
        <v>726</v>
      </c>
      <c r="C4" s="11" t="s">
        <v>1060</v>
      </c>
      <c r="D4" s="11" t="s">
        <v>15</v>
      </c>
      <c r="E4" s="11" t="s">
        <v>1064</v>
      </c>
      <c r="F4" s="12">
        <v>9000.0</v>
      </c>
      <c r="G4" s="16">
        <v>1200000.0</v>
      </c>
      <c r="H4" s="16"/>
      <c r="I4" s="16">
        <v>640000.0</v>
      </c>
      <c r="J4" s="16"/>
      <c r="K4" s="16">
        <f t="shared" si="1"/>
        <v>560000</v>
      </c>
      <c r="L4" s="16"/>
    </row>
    <row r="5">
      <c r="A5" s="51">
        <v>45083.0</v>
      </c>
      <c r="B5" s="10" t="s">
        <v>994</v>
      </c>
      <c r="C5" s="11" t="s">
        <v>1060</v>
      </c>
      <c r="D5" s="11" t="s">
        <v>1061</v>
      </c>
      <c r="E5" s="12" t="s">
        <v>19</v>
      </c>
      <c r="F5" s="12">
        <v>9000.0</v>
      </c>
      <c r="G5" s="16">
        <v>1350000.0</v>
      </c>
      <c r="H5" s="16"/>
      <c r="I5" s="16">
        <v>800000.0</v>
      </c>
      <c r="J5" s="16"/>
      <c r="K5" s="16">
        <f t="shared" si="1"/>
        <v>550000</v>
      </c>
      <c r="L5" s="16"/>
    </row>
    <row r="6">
      <c r="A6" s="51">
        <v>45084.0</v>
      </c>
      <c r="B6" s="10" t="s">
        <v>994</v>
      </c>
      <c r="C6" s="11" t="s">
        <v>1060</v>
      </c>
      <c r="D6" s="11" t="s">
        <v>15</v>
      </c>
      <c r="E6" s="11" t="s">
        <v>1065</v>
      </c>
      <c r="F6" s="12">
        <v>9000.0</v>
      </c>
      <c r="G6" s="16">
        <v>1200000.0</v>
      </c>
      <c r="H6" s="16"/>
      <c r="I6" s="16">
        <v>640000.0</v>
      </c>
      <c r="J6" s="16"/>
      <c r="K6" s="16">
        <f t="shared" si="1"/>
        <v>560000</v>
      </c>
      <c r="L6" s="16"/>
    </row>
    <row r="7">
      <c r="A7" s="51">
        <v>45085.0</v>
      </c>
      <c r="B7" s="10" t="s">
        <v>994</v>
      </c>
      <c r="C7" s="11" t="s">
        <v>1060</v>
      </c>
      <c r="D7" s="11" t="s">
        <v>15</v>
      </c>
      <c r="E7" s="11" t="s">
        <v>1066</v>
      </c>
      <c r="F7" s="12">
        <v>9000.0</v>
      </c>
      <c r="G7" s="16">
        <v>900000.0</v>
      </c>
      <c r="H7" s="16"/>
      <c r="I7" s="16">
        <v>500000.0</v>
      </c>
      <c r="J7" s="16"/>
      <c r="K7" s="16">
        <f t="shared" si="1"/>
        <v>400000</v>
      </c>
      <c r="L7" s="16">
        <v>2120000.0</v>
      </c>
    </row>
    <row r="8">
      <c r="A8" s="51">
        <v>45086.0</v>
      </c>
      <c r="B8" s="10" t="s">
        <v>994</v>
      </c>
      <c r="C8" s="11" t="s">
        <v>1060</v>
      </c>
      <c r="D8" s="11" t="s">
        <v>15</v>
      </c>
      <c r="E8" s="11" t="s">
        <v>1067</v>
      </c>
      <c r="F8" s="12">
        <v>9000.0</v>
      </c>
      <c r="G8" s="16">
        <v>1080000.0</v>
      </c>
      <c r="H8" s="16"/>
      <c r="I8" s="16">
        <v>640000.0</v>
      </c>
      <c r="J8" s="16"/>
      <c r="K8" s="16">
        <f t="shared" si="1"/>
        <v>440000</v>
      </c>
      <c r="L8" s="16"/>
    </row>
    <row r="9">
      <c r="A9" s="51">
        <v>45087.0</v>
      </c>
      <c r="B9" s="10" t="s">
        <v>994</v>
      </c>
      <c r="C9" s="11" t="s">
        <v>1060</v>
      </c>
      <c r="D9" s="11" t="s">
        <v>12</v>
      </c>
      <c r="E9" s="11" t="s">
        <v>361</v>
      </c>
      <c r="F9" s="12">
        <v>9000.0</v>
      </c>
      <c r="G9" s="16">
        <v>1400000.0</v>
      </c>
      <c r="H9" s="16"/>
      <c r="I9" s="16">
        <v>900000.0</v>
      </c>
      <c r="J9" s="16"/>
      <c r="K9" s="16">
        <f t="shared" si="1"/>
        <v>500000</v>
      </c>
      <c r="L9" s="16"/>
    </row>
    <row r="10">
      <c r="A10" s="51">
        <v>45089.0</v>
      </c>
      <c r="B10" s="10" t="s">
        <v>994</v>
      </c>
      <c r="C10" s="11" t="s">
        <v>1060</v>
      </c>
      <c r="D10" s="11" t="s">
        <v>15</v>
      </c>
      <c r="E10" s="11" t="s">
        <v>16</v>
      </c>
      <c r="F10" s="12">
        <v>9000.0</v>
      </c>
      <c r="G10" s="16">
        <v>1215000.0</v>
      </c>
      <c r="H10" s="16"/>
      <c r="I10" s="16">
        <v>700000.0</v>
      </c>
      <c r="J10" s="16"/>
      <c r="K10" s="16">
        <f t="shared" si="1"/>
        <v>515000</v>
      </c>
      <c r="L10" s="16"/>
    </row>
    <row r="11">
      <c r="A11" s="51">
        <v>45090.0</v>
      </c>
      <c r="B11" s="10" t="s">
        <v>994</v>
      </c>
      <c r="C11" s="11" t="s">
        <v>1060</v>
      </c>
      <c r="D11" s="11" t="s">
        <v>12</v>
      </c>
      <c r="E11" s="11" t="s">
        <v>16</v>
      </c>
      <c r="F11" s="12">
        <v>9000.0</v>
      </c>
      <c r="G11" s="16">
        <v>1215000.0</v>
      </c>
      <c r="H11" s="16"/>
      <c r="I11" s="16">
        <v>700000.0</v>
      </c>
      <c r="J11" s="16"/>
      <c r="K11" s="16">
        <f t="shared" si="1"/>
        <v>515000</v>
      </c>
      <c r="L11" s="16">
        <v>116000.0</v>
      </c>
    </row>
    <row r="12">
      <c r="A12" s="51">
        <v>45091.0</v>
      </c>
      <c r="B12" s="10" t="s">
        <v>994</v>
      </c>
      <c r="C12" s="11" t="s">
        <v>1060</v>
      </c>
      <c r="D12" s="11" t="s">
        <v>15</v>
      </c>
      <c r="E12" s="11" t="s">
        <v>1064</v>
      </c>
      <c r="F12" s="357"/>
      <c r="G12" s="16">
        <v>1200000.0</v>
      </c>
      <c r="H12" s="16"/>
      <c r="I12" s="16">
        <v>640000.0</v>
      </c>
      <c r="J12" s="16"/>
      <c r="K12" s="16">
        <f t="shared" si="1"/>
        <v>560000</v>
      </c>
      <c r="L12" s="16">
        <v>1380000.0</v>
      </c>
    </row>
    <row r="13">
      <c r="A13" s="51">
        <v>45093.0</v>
      </c>
      <c r="B13" s="10" t="s">
        <v>994</v>
      </c>
      <c r="C13" s="11" t="s">
        <v>1060</v>
      </c>
      <c r="D13" s="11" t="s">
        <v>15</v>
      </c>
      <c r="E13" s="11" t="s">
        <v>1066</v>
      </c>
      <c r="F13" s="12">
        <v>9000.0</v>
      </c>
      <c r="G13" s="16">
        <v>900000.0</v>
      </c>
      <c r="H13" s="16"/>
      <c r="I13" s="16">
        <v>500000.0</v>
      </c>
      <c r="J13" s="16"/>
      <c r="K13" s="16">
        <f t="shared" si="1"/>
        <v>400000</v>
      </c>
      <c r="L13" s="16"/>
    </row>
    <row r="14">
      <c r="A14" s="51">
        <v>45094.0</v>
      </c>
      <c r="B14" s="10" t="s">
        <v>994</v>
      </c>
      <c r="C14" s="11" t="s">
        <v>1060</v>
      </c>
      <c r="D14" s="11" t="s">
        <v>1061</v>
      </c>
      <c r="E14" s="11" t="s">
        <v>19</v>
      </c>
      <c r="F14" s="357"/>
      <c r="G14" s="16">
        <v>1350000.0</v>
      </c>
      <c r="H14" s="16"/>
      <c r="I14" s="16">
        <v>800000.0</v>
      </c>
      <c r="J14" s="16"/>
      <c r="K14" s="16">
        <f t="shared" si="1"/>
        <v>550000</v>
      </c>
      <c r="L14" s="16"/>
      <c r="M14" s="411"/>
    </row>
    <row r="15">
      <c r="A15" s="51">
        <v>45096.0</v>
      </c>
      <c r="B15" s="10" t="s">
        <v>994</v>
      </c>
      <c r="C15" s="11" t="s">
        <v>1060</v>
      </c>
      <c r="D15" s="11" t="s">
        <v>15</v>
      </c>
      <c r="E15" s="11" t="s">
        <v>16</v>
      </c>
      <c r="F15" s="357"/>
      <c r="G15" s="16">
        <v>1215000.0</v>
      </c>
      <c r="H15" s="16"/>
      <c r="I15" s="16">
        <v>700000.0</v>
      </c>
      <c r="J15" s="16"/>
      <c r="K15" s="16">
        <f t="shared" si="1"/>
        <v>515000</v>
      </c>
      <c r="L15" s="16"/>
    </row>
    <row r="16">
      <c r="A16" s="51">
        <v>45097.0</v>
      </c>
      <c r="B16" s="10" t="s">
        <v>994</v>
      </c>
      <c r="C16" s="11" t="s">
        <v>1060</v>
      </c>
      <c r="D16" s="11" t="s">
        <v>1061</v>
      </c>
      <c r="E16" s="11" t="s">
        <v>705</v>
      </c>
      <c r="F16" s="11">
        <v>5000.0</v>
      </c>
      <c r="G16" s="16">
        <v>675000.0</v>
      </c>
      <c r="H16" s="16"/>
      <c r="I16" s="16">
        <v>350000.0</v>
      </c>
      <c r="J16" s="16"/>
      <c r="K16" s="16">
        <f t="shared" si="1"/>
        <v>325000</v>
      </c>
      <c r="L16" s="16"/>
    </row>
    <row r="17">
      <c r="A17" s="51">
        <v>45098.0</v>
      </c>
      <c r="B17" s="10" t="s">
        <v>994</v>
      </c>
      <c r="C17" s="11" t="s">
        <v>11</v>
      </c>
      <c r="D17" s="11" t="s">
        <v>15</v>
      </c>
      <c r="E17" s="11" t="s">
        <v>16</v>
      </c>
      <c r="F17" s="11">
        <v>9000.0</v>
      </c>
      <c r="G17" s="16">
        <v>1215000.0</v>
      </c>
      <c r="H17" s="16"/>
      <c r="I17" s="16">
        <v>700000.0</v>
      </c>
      <c r="J17" s="16"/>
      <c r="K17" s="16">
        <f t="shared" si="1"/>
        <v>515000</v>
      </c>
      <c r="L17" s="16"/>
    </row>
    <row r="18">
      <c r="A18" s="51">
        <v>45099.0</v>
      </c>
      <c r="B18" s="10" t="s">
        <v>994</v>
      </c>
      <c r="C18" s="11" t="s">
        <v>1060</v>
      </c>
      <c r="D18" s="11" t="s">
        <v>15</v>
      </c>
      <c r="E18" s="11" t="s">
        <v>1068</v>
      </c>
      <c r="F18" s="357"/>
      <c r="G18" s="16">
        <v>1080000.0</v>
      </c>
      <c r="H18" s="16"/>
      <c r="I18" s="16">
        <v>640000.0</v>
      </c>
      <c r="J18" s="16"/>
      <c r="K18" s="16">
        <f t="shared" si="1"/>
        <v>440000</v>
      </c>
      <c r="L18" s="16">
        <v>1012000.0</v>
      </c>
    </row>
    <row r="19">
      <c r="A19" s="51">
        <v>45100.0</v>
      </c>
      <c r="B19" s="10" t="s">
        <v>994</v>
      </c>
      <c r="C19" s="11" t="s">
        <v>1060</v>
      </c>
      <c r="D19" s="11" t="s">
        <v>15</v>
      </c>
      <c r="E19" s="11" t="s">
        <v>705</v>
      </c>
      <c r="F19" s="357"/>
      <c r="G19" s="16">
        <v>675000.0</v>
      </c>
      <c r="H19" s="16"/>
      <c r="I19" s="16">
        <v>350000.0</v>
      </c>
      <c r="J19" s="16"/>
      <c r="K19" s="16">
        <f t="shared" si="1"/>
        <v>325000</v>
      </c>
      <c r="L19" s="16">
        <v>106000.0</v>
      </c>
    </row>
    <row r="20">
      <c r="A20" s="51">
        <v>45101.0</v>
      </c>
      <c r="B20" s="10" t="s">
        <v>994</v>
      </c>
      <c r="C20" s="11" t="s">
        <v>1060</v>
      </c>
      <c r="D20" s="11" t="s">
        <v>12</v>
      </c>
      <c r="E20" s="11" t="s">
        <v>1068</v>
      </c>
      <c r="F20" s="357"/>
      <c r="G20" s="16">
        <v>1080000.0</v>
      </c>
      <c r="H20" s="16"/>
      <c r="I20" s="16">
        <v>640000.0</v>
      </c>
      <c r="J20" s="16"/>
      <c r="K20" s="16">
        <f t="shared" si="1"/>
        <v>440000</v>
      </c>
      <c r="L20" s="16">
        <v>565000.0</v>
      </c>
    </row>
    <row r="21" ht="15.75" customHeight="1">
      <c r="A21" s="412"/>
      <c r="B21" s="23"/>
      <c r="C21" s="23"/>
      <c r="D21" s="23"/>
      <c r="E21" s="23"/>
      <c r="F21" s="22"/>
      <c r="G21" s="22"/>
      <c r="H21" s="22"/>
      <c r="I21" s="22"/>
      <c r="J21" s="22"/>
      <c r="K21" s="249">
        <f t="shared" ref="K21:L21" si="2">SUM(K1:K20)</f>
        <v>8835000</v>
      </c>
      <c r="L21" s="29">
        <f t="shared" si="2"/>
        <v>6714000</v>
      </c>
    </row>
    <row r="22" ht="15.75" customHeight="1">
      <c r="A22" s="23"/>
      <c r="B22" s="23"/>
      <c r="C22" s="23"/>
      <c r="D22" s="23"/>
      <c r="E22" s="23"/>
      <c r="F22" s="22"/>
      <c r="G22" s="22"/>
      <c r="H22" s="22"/>
      <c r="I22" s="22"/>
      <c r="J22" s="22"/>
      <c r="K22" s="250">
        <f>K21-L21</f>
        <v>2121000</v>
      </c>
      <c r="L22" s="54"/>
    </row>
    <row r="23" ht="15.75" customHeight="1">
      <c r="A23" s="23"/>
      <c r="B23" s="23"/>
      <c r="C23" s="23"/>
      <c r="D23" s="23"/>
      <c r="E23" s="23"/>
      <c r="F23" s="22"/>
      <c r="G23" s="22"/>
      <c r="H23" s="22"/>
      <c r="I23" s="22"/>
      <c r="J23" s="22"/>
      <c r="K23" s="22"/>
      <c r="L23" s="31"/>
    </row>
    <row r="24" ht="35.25" customHeight="1">
      <c r="A24" s="2" t="s">
        <v>0</v>
      </c>
      <c r="B24" s="2" t="s">
        <v>1</v>
      </c>
      <c r="C24" s="2" t="s">
        <v>2</v>
      </c>
      <c r="D24" s="3" t="s">
        <v>3</v>
      </c>
      <c r="E24" s="2" t="s">
        <v>4</v>
      </c>
      <c r="F24" s="4" t="s">
        <v>5</v>
      </c>
      <c r="G24" s="6" t="s">
        <v>6</v>
      </c>
      <c r="H24" s="6"/>
      <c r="I24" s="4" t="s">
        <v>7</v>
      </c>
      <c r="J24" s="4"/>
      <c r="K24" s="6" t="s">
        <v>8</v>
      </c>
      <c r="L24" s="5" t="s">
        <v>9</v>
      </c>
    </row>
    <row r="25" ht="15.75" customHeight="1">
      <c r="A25" s="51">
        <v>45110.0</v>
      </c>
      <c r="B25" s="10" t="s">
        <v>994</v>
      </c>
      <c r="C25" s="11" t="s">
        <v>1069</v>
      </c>
      <c r="D25" s="11" t="s">
        <v>30</v>
      </c>
      <c r="E25" s="11" t="s">
        <v>714</v>
      </c>
      <c r="F25" s="12">
        <v>9000.0</v>
      </c>
      <c r="G25" s="16">
        <v>1215000.0</v>
      </c>
      <c r="H25" s="16"/>
      <c r="I25" s="16">
        <v>700000.0</v>
      </c>
      <c r="J25" s="16"/>
      <c r="K25" s="16">
        <f t="shared" ref="K25:K53" si="3">G25-I25</f>
        <v>515000</v>
      </c>
      <c r="L25" s="15"/>
    </row>
    <row r="26" ht="15.75" customHeight="1">
      <c r="A26" s="51">
        <v>45111.0</v>
      </c>
      <c r="B26" s="10" t="s">
        <v>994</v>
      </c>
      <c r="C26" s="11" t="s">
        <v>1069</v>
      </c>
      <c r="D26" s="11" t="s">
        <v>27</v>
      </c>
      <c r="E26" s="10" t="s">
        <v>1070</v>
      </c>
      <c r="F26" s="12">
        <v>9000.0</v>
      </c>
      <c r="G26" s="16">
        <v>1035000.0</v>
      </c>
      <c r="H26" s="16"/>
      <c r="I26" s="16">
        <v>600000.0</v>
      </c>
      <c r="J26" s="16"/>
      <c r="K26" s="16">
        <f t="shared" si="3"/>
        <v>435000</v>
      </c>
      <c r="L26" s="15"/>
    </row>
    <row r="27" ht="15.75" customHeight="1">
      <c r="A27" s="51">
        <v>45112.0</v>
      </c>
      <c r="B27" s="10" t="s">
        <v>994</v>
      </c>
      <c r="C27" s="11" t="s">
        <v>1069</v>
      </c>
      <c r="D27" s="11" t="s">
        <v>30</v>
      </c>
      <c r="E27" s="11" t="s">
        <v>712</v>
      </c>
      <c r="F27" s="12">
        <v>9000.0</v>
      </c>
      <c r="G27" s="16">
        <v>1450000.0</v>
      </c>
      <c r="H27" s="16"/>
      <c r="I27" s="16">
        <v>900000.0</v>
      </c>
      <c r="J27" s="16"/>
      <c r="K27" s="16">
        <f t="shared" si="3"/>
        <v>550000</v>
      </c>
      <c r="L27" s="16">
        <v>335000.0</v>
      </c>
    </row>
    <row r="28" ht="15.75" customHeight="1">
      <c r="A28" s="51">
        <v>45113.0</v>
      </c>
      <c r="B28" s="10" t="s">
        <v>994</v>
      </c>
      <c r="C28" s="11" t="s">
        <v>1069</v>
      </c>
      <c r="D28" s="11" t="s">
        <v>30</v>
      </c>
      <c r="E28" s="11" t="s">
        <v>1071</v>
      </c>
      <c r="F28" s="12">
        <v>9000.0</v>
      </c>
      <c r="G28" s="16">
        <v>675000.0</v>
      </c>
      <c r="H28" s="16"/>
      <c r="I28" s="16">
        <v>350000.0</v>
      </c>
      <c r="J28" s="16"/>
      <c r="K28" s="16">
        <f t="shared" si="3"/>
        <v>325000</v>
      </c>
      <c r="L28" s="15"/>
    </row>
    <row r="29" ht="15.75" customHeight="1">
      <c r="A29" s="51">
        <v>45114.0</v>
      </c>
      <c r="B29" s="10" t="s">
        <v>994</v>
      </c>
      <c r="C29" s="11" t="s">
        <v>1069</v>
      </c>
      <c r="D29" s="11" t="s">
        <v>30</v>
      </c>
      <c r="E29" s="11" t="s">
        <v>29</v>
      </c>
      <c r="F29" s="12">
        <v>9000.0</v>
      </c>
      <c r="G29" s="16">
        <v>1080000.0</v>
      </c>
      <c r="H29" s="16"/>
      <c r="I29" s="16">
        <v>640000.0</v>
      </c>
      <c r="J29" s="16"/>
      <c r="K29" s="16">
        <f t="shared" si="3"/>
        <v>440000</v>
      </c>
      <c r="L29" s="15"/>
    </row>
    <row r="30" ht="15.75" customHeight="1">
      <c r="A30" s="51">
        <v>45115.0</v>
      </c>
      <c r="B30" s="10" t="s">
        <v>994</v>
      </c>
      <c r="C30" s="11" t="s">
        <v>1069</v>
      </c>
      <c r="D30" s="11" t="s">
        <v>1072</v>
      </c>
      <c r="E30" s="10" t="s">
        <v>1070</v>
      </c>
      <c r="F30" s="12">
        <v>9000.0</v>
      </c>
      <c r="G30" s="16">
        <v>1035000.0</v>
      </c>
      <c r="H30" s="16"/>
      <c r="I30" s="16">
        <v>600000.0</v>
      </c>
      <c r="J30" s="16"/>
      <c r="K30" s="16">
        <f t="shared" si="3"/>
        <v>435000</v>
      </c>
      <c r="L30" s="15"/>
    </row>
    <row r="31" ht="15.75" customHeight="1">
      <c r="A31" s="51">
        <v>45117.0</v>
      </c>
      <c r="B31" s="10" t="s">
        <v>994</v>
      </c>
      <c r="C31" s="11"/>
      <c r="D31" s="11"/>
      <c r="E31" s="10"/>
      <c r="F31" s="12"/>
      <c r="G31" s="16"/>
      <c r="H31" s="16"/>
      <c r="I31" s="16"/>
      <c r="J31" s="16"/>
      <c r="K31" s="16">
        <f t="shared" si="3"/>
        <v>0</v>
      </c>
      <c r="L31" s="15">
        <v>78000.0</v>
      </c>
    </row>
    <row r="32" ht="15.75" customHeight="1">
      <c r="A32" s="51">
        <v>45117.0</v>
      </c>
      <c r="B32" s="11" t="s">
        <v>62</v>
      </c>
      <c r="C32" s="11" t="s">
        <v>1069</v>
      </c>
      <c r="D32" s="11" t="s">
        <v>30</v>
      </c>
      <c r="E32" s="11" t="s">
        <v>91</v>
      </c>
      <c r="F32" s="12">
        <v>8500.0</v>
      </c>
      <c r="G32" s="16">
        <v>1200000.0</v>
      </c>
      <c r="H32" s="16"/>
      <c r="I32" s="16">
        <v>640000.0</v>
      </c>
      <c r="J32" s="16"/>
      <c r="K32" s="16">
        <f t="shared" si="3"/>
        <v>560000</v>
      </c>
      <c r="L32" s="15">
        <v>805000.0</v>
      </c>
    </row>
    <row r="33" ht="15.75" customHeight="1">
      <c r="A33" s="51">
        <v>45118.0</v>
      </c>
      <c r="B33" s="11" t="s">
        <v>62</v>
      </c>
      <c r="C33" s="11" t="s">
        <v>1069</v>
      </c>
      <c r="D33" s="11" t="s">
        <v>30</v>
      </c>
      <c r="E33" s="11" t="s">
        <v>714</v>
      </c>
      <c r="F33" s="12">
        <v>9000.0</v>
      </c>
      <c r="G33" s="16">
        <v>1215000.0</v>
      </c>
      <c r="H33" s="16"/>
      <c r="I33" s="16">
        <v>700000.0</v>
      </c>
      <c r="J33" s="16"/>
      <c r="K33" s="16">
        <f t="shared" si="3"/>
        <v>515000</v>
      </c>
      <c r="L33" s="16"/>
    </row>
    <row r="34" ht="15.75" customHeight="1">
      <c r="A34" s="51">
        <v>45119.0</v>
      </c>
      <c r="B34" s="11" t="s">
        <v>62</v>
      </c>
      <c r="C34" s="11" t="s">
        <v>1069</v>
      </c>
      <c r="D34" s="11" t="s">
        <v>30</v>
      </c>
      <c r="E34" s="11" t="s">
        <v>1073</v>
      </c>
      <c r="F34" s="12">
        <v>9000.0</v>
      </c>
      <c r="G34" s="16">
        <v>1400000.0</v>
      </c>
      <c r="H34" s="16"/>
      <c r="I34" s="16">
        <v>900000.0</v>
      </c>
      <c r="J34" s="16"/>
      <c r="K34" s="16">
        <f t="shared" si="3"/>
        <v>500000</v>
      </c>
      <c r="L34" s="16"/>
    </row>
    <row r="35" ht="15.75" customHeight="1">
      <c r="A35" s="51">
        <v>45120.0</v>
      </c>
      <c r="B35" s="11" t="s">
        <v>62</v>
      </c>
      <c r="C35" s="11" t="s">
        <v>1069</v>
      </c>
      <c r="D35" s="11" t="s">
        <v>30</v>
      </c>
      <c r="E35" s="11" t="s">
        <v>714</v>
      </c>
      <c r="F35" s="12">
        <v>9000.0</v>
      </c>
      <c r="G35" s="16">
        <v>1215000.0</v>
      </c>
      <c r="H35" s="16"/>
      <c r="I35" s="16">
        <v>700000.0</v>
      </c>
      <c r="J35" s="16"/>
      <c r="K35" s="16">
        <f t="shared" si="3"/>
        <v>515000</v>
      </c>
      <c r="L35" s="16"/>
    </row>
    <row r="36" ht="15.75" customHeight="1">
      <c r="A36" s="51">
        <v>45121.0</v>
      </c>
      <c r="B36" s="11" t="s">
        <v>62</v>
      </c>
      <c r="C36" s="11" t="s">
        <v>1069</v>
      </c>
      <c r="D36" s="11" t="s">
        <v>30</v>
      </c>
      <c r="E36" s="11" t="s">
        <v>29</v>
      </c>
      <c r="F36" s="12">
        <v>9000.0</v>
      </c>
      <c r="G36" s="16">
        <v>1080000.0</v>
      </c>
      <c r="H36" s="16"/>
      <c r="I36" s="16">
        <v>640000.0</v>
      </c>
      <c r="J36" s="16"/>
      <c r="K36" s="16">
        <f t="shared" si="3"/>
        <v>440000</v>
      </c>
      <c r="L36" s="16"/>
    </row>
    <row r="37" ht="15.75" customHeight="1">
      <c r="A37" s="51">
        <v>45122.0</v>
      </c>
      <c r="B37" s="11" t="s">
        <v>62</v>
      </c>
      <c r="C37" s="11" t="s">
        <v>1069</v>
      </c>
      <c r="D37" s="11" t="s">
        <v>30</v>
      </c>
      <c r="E37" s="11" t="s">
        <v>714</v>
      </c>
      <c r="F37" s="12">
        <v>9000.0</v>
      </c>
      <c r="G37" s="16">
        <v>1215000.0</v>
      </c>
      <c r="H37" s="16"/>
      <c r="I37" s="16">
        <v>700000.0</v>
      </c>
      <c r="J37" s="16"/>
      <c r="K37" s="16">
        <f t="shared" si="3"/>
        <v>515000</v>
      </c>
      <c r="L37" s="16"/>
    </row>
    <row r="38" ht="15.75" customHeight="1">
      <c r="A38" s="51">
        <v>45123.0</v>
      </c>
      <c r="B38" s="11" t="s">
        <v>994</v>
      </c>
      <c r="C38" s="11"/>
      <c r="D38" s="11"/>
      <c r="E38" s="11"/>
      <c r="F38" s="12"/>
      <c r="G38" s="16"/>
      <c r="H38" s="16"/>
      <c r="I38" s="16"/>
      <c r="J38" s="16"/>
      <c r="K38" s="16">
        <f t="shared" si="3"/>
        <v>0</v>
      </c>
      <c r="L38" s="16">
        <v>850000.0</v>
      </c>
    </row>
    <row r="39" ht="15.75" customHeight="1">
      <c r="A39" s="51">
        <v>45124.0</v>
      </c>
      <c r="B39" s="11" t="s">
        <v>62</v>
      </c>
      <c r="C39" s="11" t="s">
        <v>1069</v>
      </c>
      <c r="D39" s="11" t="s">
        <v>30</v>
      </c>
      <c r="E39" s="10" t="s">
        <v>28</v>
      </c>
      <c r="F39" s="12">
        <v>8500.0</v>
      </c>
      <c r="G39" s="16">
        <v>1100000.0</v>
      </c>
      <c r="H39" s="16"/>
      <c r="I39" s="16">
        <v>640000.0</v>
      </c>
      <c r="J39" s="16"/>
      <c r="K39" s="16">
        <f t="shared" si="3"/>
        <v>460000</v>
      </c>
      <c r="L39" s="16"/>
    </row>
    <row r="40" ht="15.75" customHeight="1">
      <c r="A40" s="51">
        <v>45125.0</v>
      </c>
      <c r="B40" s="11" t="s">
        <v>62</v>
      </c>
      <c r="C40" s="11" t="s">
        <v>1069</v>
      </c>
      <c r="D40" s="11" t="s">
        <v>30</v>
      </c>
      <c r="E40" s="11" t="s">
        <v>1071</v>
      </c>
      <c r="F40" s="12">
        <v>9000.0</v>
      </c>
      <c r="G40" s="16">
        <v>675000.0</v>
      </c>
      <c r="H40" s="16"/>
      <c r="I40" s="16">
        <v>350000.0</v>
      </c>
      <c r="J40" s="16"/>
      <c r="K40" s="16">
        <f t="shared" si="3"/>
        <v>325000</v>
      </c>
      <c r="L40" s="16"/>
    </row>
    <row r="41" ht="15.75" customHeight="1">
      <c r="A41" s="51">
        <v>45125.0</v>
      </c>
      <c r="B41" s="11" t="s">
        <v>62</v>
      </c>
      <c r="C41" s="11" t="s">
        <v>1069</v>
      </c>
      <c r="D41" s="11" t="s">
        <v>30</v>
      </c>
      <c r="E41" s="11" t="s">
        <v>58</v>
      </c>
      <c r="F41" s="12">
        <v>9000.0</v>
      </c>
      <c r="G41" s="16">
        <v>900000.0</v>
      </c>
      <c r="H41" s="16"/>
      <c r="I41" s="16">
        <v>500000.0</v>
      </c>
      <c r="J41" s="16"/>
      <c r="K41" s="16">
        <f t="shared" si="3"/>
        <v>400000</v>
      </c>
      <c r="L41" s="16"/>
    </row>
    <row r="42" ht="15.75" customHeight="1">
      <c r="A42" s="51">
        <v>45126.0</v>
      </c>
      <c r="B42" s="11" t="s">
        <v>62</v>
      </c>
      <c r="C42" s="11"/>
      <c r="D42" s="11"/>
      <c r="E42" s="11"/>
      <c r="F42" s="12"/>
      <c r="G42" s="16"/>
      <c r="H42" s="16"/>
      <c r="I42" s="16"/>
      <c r="J42" s="16"/>
      <c r="K42" s="16">
        <f t="shared" si="3"/>
        <v>0</v>
      </c>
      <c r="L42" s="16">
        <v>245000.0</v>
      </c>
    </row>
    <row r="43" ht="15.75" customHeight="1">
      <c r="A43" s="51">
        <v>45127.0</v>
      </c>
      <c r="B43" s="11" t="s">
        <v>62</v>
      </c>
      <c r="C43" s="11" t="s">
        <v>1069</v>
      </c>
      <c r="D43" s="11" t="s">
        <v>30</v>
      </c>
      <c r="E43" s="11" t="s">
        <v>1074</v>
      </c>
      <c r="F43" s="12">
        <v>8500.0</v>
      </c>
      <c r="G43" s="16">
        <v>1230000.0</v>
      </c>
      <c r="H43" s="16"/>
      <c r="I43" s="16">
        <v>700000.0</v>
      </c>
      <c r="J43" s="16"/>
      <c r="K43" s="16">
        <f t="shared" si="3"/>
        <v>530000</v>
      </c>
      <c r="L43" s="16"/>
    </row>
    <row r="44" ht="15.75" customHeight="1">
      <c r="A44" s="51">
        <v>45128.0</v>
      </c>
      <c r="B44" s="11" t="s">
        <v>62</v>
      </c>
      <c r="C44" s="11" t="s">
        <v>1069</v>
      </c>
      <c r="D44" s="11" t="s">
        <v>30</v>
      </c>
      <c r="E44" s="11" t="s">
        <v>29</v>
      </c>
      <c r="F44" s="12">
        <v>9000.0</v>
      </c>
      <c r="G44" s="16">
        <v>1080000.0</v>
      </c>
      <c r="H44" s="16"/>
      <c r="I44" s="16">
        <v>640000.0</v>
      </c>
      <c r="J44" s="16"/>
      <c r="K44" s="16">
        <f t="shared" si="3"/>
        <v>440000</v>
      </c>
      <c r="L44" s="16"/>
    </row>
    <row r="45" ht="15.75" customHeight="1">
      <c r="A45" s="51">
        <v>45129.0</v>
      </c>
      <c r="B45" s="11" t="s">
        <v>1075</v>
      </c>
      <c r="C45" s="11"/>
      <c r="D45" s="11"/>
      <c r="E45" s="11"/>
      <c r="F45" s="12"/>
      <c r="G45" s="16"/>
      <c r="H45" s="16"/>
      <c r="I45" s="16"/>
      <c r="J45" s="16"/>
      <c r="K45" s="16">
        <f t="shared" si="3"/>
        <v>0</v>
      </c>
      <c r="L45" s="16">
        <v>2071000.0</v>
      </c>
    </row>
    <row r="46" ht="15.75" customHeight="1">
      <c r="A46" s="51">
        <v>45129.0</v>
      </c>
      <c r="B46" s="11" t="s">
        <v>62</v>
      </c>
      <c r="C46" s="11" t="s">
        <v>1069</v>
      </c>
      <c r="D46" s="11" t="s">
        <v>30</v>
      </c>
      <c r="E46" s="11" t="s">
        <v>29</v>
      </c>
      <c r="F46" s="12">
        <v>9000.0</v>
      </c>
      <c r="G46" s="16">
        <v>1080000.0</v>
      </c>
      <c r="H46" s="16"/>
      <c r="I46" s="16">
        <v>640000.0</v>
      </c>
      <c r="J46" s="16"/>
      <c r="K46" s="16">
        <f t="shared" si="3"/>
        <v>440000</v>
      </c>
      <c r="L46" s="16">
        <v>1720000.0</v>
      </c>
    </row>
    <row r="47" ht="15.75" customHeight="1">
      <c r="A47" s="51">
        <v>45131.0</v>
      </c>
      <c r="B47" s="11" t="s">
        <v>62</v>
      </c>
      <c r="C47" s="11" t="s">
        <v>1069</v>
      </c>
      <c r="D47" s="11" t="s">
        <v>30</v>
      </c>
      <c r="E47" s="11" t="s">
        <v>716</v>
      </c>
      <c r="F47" s="12">
        <v>9000.0</v>
      </c>
      <c r="G47" s="16">
        <v>975000.0</v>
      </c>
      <c r="H47" s="16"/>
      <c r="I47" s="16">
        <v>500000.0</v>
      </c>
      <c r="J47" s="16"/>
      <c r="K47" s="16">
        <f t="shared" si="3"/>
        <v>475000</v>
      </c>
      <c r="L47" s="16"/>
    </row>
    <row r="48" ht="15.75" customHeight="1">
      <c r="A48" s="51">
        <v>45132.0</v>
      </c>
      <c r="B48" s="11" t="s">
        <v>62</v>
      </c>
      <c r="C48" s="11" t="s">
        <v>1069</v>
      </c>
      <c r="D48" s="11" t="s">
        <v>37</v>
      </c>
      <c r="E48" s="11" t="s">
        <v>714</v>
      </c>
      <c r="F48" s="12">
        <v>9000.0</v>
      </c>
      <c r="G48" s="16">
        <v>1215000.0</v>
      </c>
      <c r="H48" s="16"/>
      <c r="I48" s="16">
        <v>700000.0</v>
      </c>
      <c r="J48" s="16"/>
      <c r="K48" s="16">
        <f t="shared" si="3"/>
        <v>515000</v>
      </c>
      <c r="L48" s="16"/>
    </row>
    <row r="49" ht="15.75" customHeight="1">
      <c r="A49" s="51">
        <v>45133.0</v>
      </c>
      <c r="B49" s="11" t="s">
        <v>62</v>
      </c>
      <c r="C49" s="11" t="s">
        <v>1069</v>
      </c>
      <c r="D49" s="11" t="s">
        <v>1076</v>
      </c>
      <c r="E49" s="11" t="s">
        <v>38</v>
      </c>
      <c r="F49" s="12">
        <v>9000.0</v>
      </c>
      <c r="G49" s="16">
        <v>1400000.0</v>
      </c>
      <c r="H49" s="16"/>
      <c r="I49" s="16">
        <v>900000.0</v>
      </c>
      <c r="J49" s="16"/>
      <c r="K49" s="16">
        <f t="shared" si="3"/>
        <v>500000</v>
      </c>
      <c r="L49" s="16"/>
    </row>
    <row r="50" ht="15.75" customHeight="1">
      <c r="A50" s="51">
        <v>45134.0</v>
      </c>
      <c r="B50" s="11" t="s">
        <v>62</v>
      </c>
      <c r="C50" s="11" t="s">
        <v>1069</v>
      </c>
      <c r="D50" s="11" t="s">
        <v>30</v>
      </c>
      <c r="E50" s="11" t="s">
        <v>28</v>
      </c>
      <c r="F50" s="12">
        <v>8500.0</v>
      </c>
      <c r="G50" s="16">
        <v>1100000.0</v>
      </c>
      <c r="H50" s="16"/>
      <c r="I50" s="16">
        <v>640000.0</v>
      </c>
      <c r="J50" s="16"/>
      <c r="K50" s="16">
        <f t="shared" si="3"/>
        <v>460000</v>
      </c>
      <c r="L50" s="16"/>
    </row>
    <row r="51" ht="15.75" customHeight="1">
      <c r="A51" s="51">
        <v>45135.0</v>
      </c>
      <c r="B51" s="11" t="s">
        <v>62</v>
      </c>
      <c r="C51" s="11" t="s">
        <v>1069</v>
      </c>
      <c r="D51" s="11" t="s">
        <v>82</v>
      </c>
      <c r="E51" s="11" t="s">
        <v>716</v>
      </c>
      <c r="F51" s="12">
        <v>9000.0</v>
      </c>
      <c r="G51" s="16">
        <v>975000.0</v>
      </c>
      <c r="H51" s="16"/>
      <c r="I51" s="16">
        <v>500000.0</v>
      </c>
      <c r="J51" s="16"/>
      <c r="K51" s="16">
        <f t="shared" si="3"/>
        <v>475000</v>
      </c>
      <c r="L51" s="16"/>
    </row>
    <row r="52" ht="15.75" customHeight="1">
      <c r="A52" s="51">
        <v>45136.0</v>
      </c>
      <c r="B52" s="11" t="s">
        <v>62</v>
      </c>
      <c r="C52" s="11" t="s">
        <v>1069</v>
      </c>
      <c r="D52" s="11" t="s">
        <v>82</v>
      </c>
      <c r="E52" s="11" t="s">
        <v>1077</v>
      </c>
      <c r="F52" s="12">
        <v>9000.0</v>
      </c>
      <c r="G52" s="16">
        <v>1300000.0</v>
      </c>
      <c r="H52" s="16"/>
      <c r="I52" s="16">
        <v>850000.0</v>
      </c>
      <c r="J52" s="16"/>
      <c r="K52" s="16">
        <f t="shared" si="3"/>
        <v>450000</v>
      </c>
      <c r="L52" s="16"/>
    </row>
    <row r="53" ht="15.75" customHeight="1">
      <c r="A53" s="51">
        <v>45138.0</v>
      </c>
      <c r="B53" s="11" t="s">
        <v>62</v>
      </c>
      <c r="C53" s="11" t="s">
        <v>1069</v>
      </c>
      <c r="D53" s="11" t="s">
        <v>30</v>
      </c>
      <c r="E53" s="11" t="s">
        <v>714</v>
      </c>
      <c r="F53" s="12">
        <v>9000.0</v>
      </c>
      <c r="G53" s="16">
        <v>1215000.0</v>
      </c>
      <c r="H53" s="16"/>
      <c r="I53" s="16">
        <v>700000.0</v>
      </c>
      <c r="J53" s="16"/>
      <c r="K53" s="16">
        <f t="shared" si="3"/>
        <v>515000</v>
      </c>
      <c r="L53" s="16"/>
    </row>
    <row r="54" ht="15.75" customHeight="1">
      <c r="A54" s="23"/>
      <c r="B54" s="23"/>
      <c r="C54" s="23"/>
      <c r="D54" s="23"/>
      <c r="E54" s="23"/>
      <c r="F54" s="22"/>
      <c r="G54" s="22"/>
      <c r="H54" s="22"/>
      <c r="I54" s="22"/>
      <c r="J54" s="22"/>
      <c r="K54" s="249">
        <f t="shared" ref="K54:L54" si="4">SUM(K25:K53)</f>
        <v>11730000</v>
      </c>
      <c r="L54" s="29">
        <f t="shared" si="4"/>
        <v>6104000</v>
      </c>
    </row>
    <row r="55" ht="15.75" customHeight="1">
      <c r="A55" s="23"/>
      <c r="B55" s="23"/>
      <c r="C55" s="23"/>
      <c r="D55" s="23"/>
      <c r="E55" s="23"/>
      <c r="F55" s="22"/>
      <c r="G55" s="22"/>
      <c r="H55" s="22"/>
      <c r="I55" s="22"/>
      <c r="J55" s="22"/>
      <c r="K55" s="231">
        <f>K54-L54</f>
        <v>5626000</v>
      </c>
      <c r="L55" s="31"/>
    </row>
    <row r="56" ht="15.75" customHeight="1">
      <c r="A56" s="23"/>
      <c r="B56" s="23"/>
      <c r="C56" s="23"/>
      <c r="D56" s="23"/>
      <c r="E56" s="23"/>
      <c r="F56" s="22"/>
      <c r="G56" s="22"/>
      <c r="H56" s="22"/>
      <c r="I56" s="22"/>
      <c r="J56" s="22"/>
      <c r="K56" s="22"/>
      <c r="L56" s="31"/>
    </row>
    <row r="57" ht="38.25" customHeight="1">
      <c r="A57" s="34" t="s">
        <v>0</v>
      </c>
      <c r="B57" s="35" t="s">
        <v>1</v>
      </c>
      <c r="C57" s="35" t="s">
        <v>2</v>
      </c>
      <c r="D57" s="36" t="s">
        <v>3</v>
      </c>
      <c r="E57" s="35" t="s">
        <v>4</v>
      </c>
      <c r="F57" s="37" t="s">
        <v>5</v>
      </c>
      <c r="G57" s="39" t="s">
        <v>6</v>
      </c>
      <c r="H57" s="39" t="s">
        <v>39</v>
      </c>
      <c r="I57" s="37" t="s">
        <v>7</v>
      </c>
      <c r="J57" s="37" t="s">
        <v>39</v>
      </c>
      <c r="K57" s="39" t="s">
        <v>8</v>
      </c>
      <c r="L57" s="40" t="s">
        <v>9</v>
      </c>
    </row>
    <row r="58" ht="15.75" customHeight="1">
      <c r="A58" s="41">
        <v>45139.0</v>
      </c>
      <c r="B58" s="42" t="s">
        <v>62</v>
      </c>
      <c r="C58" s="42" t="s">
        <v>1069</v>
      </c>
      <c r="D58" s="42" t="s">
        <v>30</v>
      </c>
      <c r="E58" s="42" t="s">
        <v>501</v>
      </c>
      <c r="F58" s="45">
        <v>8500.0</v>
      </c>
      <c r="G58" s="255">
        <v>1300000.0</v>
      </c>
      <c r="H58" s="49" t="s">
        <v>42</v>
      </c>
      <c r="I58" s="255">
        <v>800000.0</v>
      </c>
      <c r="J58" s="49" t="s">
        <v>42</v>
      </c>
      <c r="K58" s="255">
        <f t="shared" ref="K58:K65" si="5">G58-I58</f>
        <v>500000</v>
      </c>
      <c r="L58" s="255">
        <v>0.0</v>
      </c>
      <c r="N58" s="202"/>
    </row>
    <row r="59" ht="15.75" customHeight="1">
      <c r="A59" s="51">
        <v>45140.0</v>
      </c>
      <c r="B59" s="11" t="s">
        <v>62</v>
      </c>
      <c r="C59" s="11" t="s">
        <v>1069</v>
      </c>
      <c r="D59" s="11" t="s">
        <v>30</v>
      </c>
      <c r="E59" s="11" t="s">
        <v>34</v>
      </c>
      <c r="F59" s="12">
        <v>9000.0</v>
      </c>
      <c r="G59" s="16">
        <v>1215000.0</v>
      </c>
      <c r="H59" s="13" t="s">
        <v>44</v>
      </c>
      <c r="I59" s="16">
        <v>700000.0</v>
      </c>
      <c r="J59" s="13" t="s">
        <v>42</v>
      </c>
      <c r="K59" s="16">
        <f t="shared" si="5"/>
        <v>515000</v>
      </c>
      <c r="L59" s="16">
        <v>0.0</v>
      </c>
      <c r="N59" s="202"/>
    </row>
    <row r="60" ht="15.75" customHeight="1">
      <c r="A60" s="51">
        <v>45141.0</v>
      </c>
      <c r="B60" s="11" t="s">
        <v>62</v>
      </c>
      <c r="C60" s="11" t="s">
        <v>1069</v>
      </c>
      <c r="D60" s="11" t="s">
        <v>30</v>
      </c>
      <c r="E60" s="11" t="s">
        <v>32</v>
      </c>
      <c r="F60" s="12">
        <v>9000.0</v>
      </c>
      <c r="G60" s="16">
        <v>675000.0</v>
      </c>
      <c r="H60" s="13" t="s">
        <v>42</v>
      </c>
      <c r="I60" s="16">
        <v>350000.0</v>
      </c>
      <c r="J60" s="13" t="s">
        <v>42</v>
      </c>
      <c r="K60" s="16">
        <f t="shared" si="5"/>
        <v>325000</v>
      </c>
      <c r="L60" s="16">
        <v>0.0</v>
      </c>
      <c r="N60" s="202"/>
    </row>
    <row r="61" ht="15.75" customHeight="1">
      <c r="A61" s="51">
        <v>45141.0</v>
      </c>
      <c r="B61" s="11" t="s">
        <v>62</v>
      </c>
      <c r="C61" s="11" t="s">
        <v>1069</v>
      </c>
      <c r="D61" s="11" t="s">
        <v>30</v>
      </c>
      <c r="E61" s="11" t="s">
        <v>54</v>
      </c>
      <c r="F61" s="12">
        <v>9000.0</v>
      </c>
      <c r="G61" s="16">
        <v>1200000.0</v>
      </c>
      <c r="H61" s="13" t="s">
        <v>42</v>
      </c>
      <c r="I61" s="16">
        <v>640000.0</v>
      </c>
      <c r="J61" s="13" t="s">
        <v>42</v>
      </c>
      <c r="K61" s="16">
        <f t="shared" si="5"/>
        <v>560000</v>
      </c>
      <c r="L61" s="16">
        <v>105000.0</v>
      </c>
    </row>
    <row r="62" ht="15.75" customHeight="1">
      <c r="A62" s="51">
        <v>45142.0</v>
      </c>
      <c r="B62" s="11" t="s">
        <v>62</v>
      </c>
      <c r="C62" s="11" t="s">
        <v>1069</v>
      </c>
      <c r="D62" s="11" t="s">
        <v>45</v>
      </c>
      <c r="E62" s="11" t="s">
        <v>369</v>
      </c>
      <c r="F62" s="12">
        <v>9000.0</v>
      </c>
      <c r="G62" s="16">
        <v>1080000.0</v>
      </c>
      <c r="H62" s="13" t="s">
        <v>42</v>
      </c>
      <c r="I62" s="16">
        <v>640000.0</v>
      </c>
      <c r="J62" s="13" t="s">
        <v>42</v>
      </c>
      <c r="K62" s="16">
        <f t="shared" si="5"/>
        <v>440000</v>
      </c>
      <c r="L62" s="16">
        <v>0.0</v>
      </c>
    </row>
    <row r="63" ht="15.75" customHeight="1">
      <c r="A63" s="51">
        <v>45143.0</v>
      </c>
      <c r="B63" s="11" t="s">
        <v>62</v>
      </c>
      <c r="C63" s="11" t="s">
        <v>1069</v>
      </c>
      <c r="D63" s="11" t="s">
        <v>45</v>
      </c>
      <c r="E63" s="11" t="s">
        <v>91</v>
      </c>
      <c r="F63" s="12">
        <v>8500.0</v>
      </c>
      <c r="G63" s="16">
        <v>1200000.0</v>
      </c>
      <c r="H63" s="13" t="s">
        <v>42</v>
      </c>
      <c r="I63" s="16">
        <v>640000.0</v>
      </c>
      <c r="J63" s="13" t="s">
        <v>42</v>
      </c>
      <c r="K63" s="16">
        <f t="shared" si="5"/>
        <v>560000</v>
      </c>
      <c r="L63" s="16">
        <v>0.0</v>
      </c>
    </row>
    <row r="64" ht="15.75" customHeight="1">
      <c r="A64" s="51">
        <v>45145.0</v>
      </c>
      <c r="B64" s="11" t="s">
        <v>62</v>
      </c>
      <c r="C64" s="11" t="s">
        <v>1069</v>
      </c>
      <c r="D64" s="11" t="s">
        <v>45</v>
      </c>
      <c r="E64" s="11" t="s">
        <v>369</v>
      </c>
      <c r="F64" s="12">
        <v>9000.0</v>
      </c>
      <c r="G64" s="16">
        <v>1080000.0</v>
      </c>
      <c r="H64" s="13" t="s">
        <v>42</v>
      </c>
      <c r="I64" s="16">
        <v>640000.0</v>
      </c>
      <c r="J64" s="13" t="s">
        <v>42</v>
      </c>
      <c r="K64" s="16">
        <f t="shared" si="5"/>
        <v>440000</v>
      </c>
      <c r="L64" s="16">
        <v>0.0</v>
      </c>
    </row>
    <row r="65" ht="15.75" customHeight="1">
      <c r="A65" s="51">
        <v>45146.0</v>
      </c>
      <c r="B65" s="11" t="s">
        <v>62</v>
      </c>
      <c r="C65" s="11" t="s">
        <v>1069</v>
      </c>
      <c r="D65" s="11" t="s">
        <v>82</v>
      </c>
      <c r="E65" s="11" t="s">
        <v>1078</v>
      </c>
      <c r="F65" s="12">
        <v>9000.0</v>
      </c>
      <c r="G65" s="16">
        <v>1400000.0</v>
      </c>
      <c r="H65" s="13" t="s">
        <v>44</v>
      </c>
      <c r="I65" s="16">
        <v>900000.0</v>
      </c>
      <c r="J65" s="13" t="s">
        <v>42</v>
      </c>
      <c r="K65" s="16">
        <f t="shared" si="5"/>
        <v>500000</v>
      </c>
      <c r="L65" s="16">
        <v>480000.0</v>
      </c>
    </row>
    <row r="66" ht="15.75" customHeight="1">
      <c r="A66" s="51">
        <v>45147.0</v>
      </c>
      <c r="B66" s="11" t="s">
        <v>62</v>
      </c>
      <c r="C66" s="11" t="s">
        <v>1069</v>
      </c>
      <c r="D66" s="11"/>
      <c r="E66" s="11"/>
      <c r="F66" s="12"/>
      <c r="G66" s="16"/>
      <c r="H66" s="13"/>
      <c r="I66" s="16"/>
      <c r="J66" s="13"/>
      <c r="K66" s="16"/>
      <c r="L66" s="16">
        <v>65000.0</v>
      </c>
      <c r="M66" s="240" t="s">
        <v>1079</v>
      </c>
    </row>
    <row r="67" ht="15.75" customHeight="1">
      <c r="A67" s="51">
        <v>45148.0</v>
      </c>
      <c r="B67" s="11" t="s">
        <v>726</v>
      </c>
      <c r="C67" s="11" t="s">
        <v>1069</v>
      </c>
      <c r="D67" s="11" t="s">
        <v>40</v>
      </c>
      <c r="E67" s="11" t="s">
        <v>1080</v>
      </c>
      <c r="F67" s="12">
        <v>8500.0</v>
      </c>
      <c r="G67" s="16">
        <v>1100000.0</v>
      </c>
      <c r="H67" s="13" t="s">
        <v>42</v>
      </c>
      <c r="I67" s="16">
        <v>640000.0</v>
      </c>
      <c r="J67" s="13" t="s">
        <v>42</v>
      </c>
      <c r="K67" s="16">
        <f t="shared" ref="K67:K76" si="6">G67-I67</f>
        <v>460000</v>
      </c>
      <c r="L67" s="16">
        <v>315000.0</v>
      </c>
    </row>
    <row r="68" ht="15.75" customHeight="1">
      <c r="A68" s="51">
        <v>45150.0</v>
      </c>
      <c r="B68" s="11" t="s">
        <v>726</v>
      </c>
      <c r="C68" s="11" t="s">
        <v>1069</v>
      </c>
      <c r="D68" s="11" t="s">
        <v>30</v>
      </c>
      <c r="E68" s="11" t="s">
        <v>1081</v>
      </c>
      <c r="F68" s="12">
        <v>8500.0</v>
      </c>
      <c r="G68" s="16">
        <v>1230000.0</v>
      </c>
      <c r="H68" s="13" t="s">
        <v>44</v>
      </c>
      <c r="I68" s="16">
        <v>700000.0</v>
      </c>
      <c r="J68" s="13" t="s">
        <v>42</v>
      </c>
      <c r="K68" s="16">
        <f t="shared" si="6"/>
        <v>530000</v>
      </c>
      <c r="L68" s="16">
        <v>0.0</v>
      </c>
    </row>
    <row r="69" ht="15.75" customHeight="1">
      <c r="A69" s="51">
        <v>45152.0</v>
      </c>
      <c r="B69" s="11" t="s">
        <v>726</v>
      </c>
      <c r="C69" s="11" t="s">
        <v>1069</v>
      </c>
      <c r="D69" s="11" t="s">
        <v>40</v>
      </c>
      <c r="E69" s="11" t="s">
        <v>56</v>
      </c>
      <c r="F69" s="12">
        <v>9000.0</v>
      </c>
      <c r="G69" s="16">
        <v>1350000.0</v>
      </c>
      <c r="H69" s="13" t="s">
        <v>44</v>
      </c>
      <c r="I69" s="16">
        <v>800000.0</v>
      </c>
      <c r="J69" s="13" t="s">
        <v>42</v>
      </c>
      <c r="K69" s="16">
        <f t="shared" si="6"/>
        <v>550000</v>
      </c>
      <c r="L69" s="16">
        <v>0.0</v>
      </c>
    </row>
    <row r="70" ht="15.75" customHeight="1">
      <c r="A70" s="51">
        <v>45153.0</v>
      </c>
      <c r="B70" s="11" t="s">
        <v>726</v>
      </c>
      <c r="C70" s="11" t="s">
        <v>1069</v>
      </c>
      <c r="D70" s="11" t="s">
        <v>30</v>
      </c>
      <c r="E70" s="11" t="s">
        <v>54</v>
      </c>
      <c r="F70" s="12">
        <v>9000.0</v>
      </c>
      <c r="G70" s="16">
        <v>1200000.0</v>
      </c>
      <c r="H70" s="13" t="s">
        <v>42</v>
      </c>
      <c r="I70" s="16">
        <v>640000.0</v>
      </c>
      <c r="J70" s="13" t="s">
        <v>42</v>
      </c>
      <c r="K70" s="16">
        <f t="shared" si="6"/>
        <v>560000</v>
      </c>
      <c r="L70" s="16">
        <v>0.0</v>
      </c>
    </row>
    <row r="71" ht="15.75" customHeight="1">
      <c r="A71" s="51">
        <v>45154.0</v>
      </c>
      <c r="B71" s="11" t="s">
        <v>726</v>
      </c>
      <c r="C71" s="11" t="s">
        <v>1069</v>
      </c>
      <c r="D71" s="11" t="s">
        <v>82</v>
      </c>
      <c r="E71" s="11" t="s">
        <v>1078</v>
      </c>
      <c r="F71" s="12">
        <v>9000.0</v>
      </c>
      <c r="G71" s="16">
        <v>1400000.0</v>
      </c>
      <c r="H71" s="13" t="s">
        <v>44</v>
      </c>
      <c r="I71" s="16">
        <v>900000.0</v>
      </c>
      <c r="J71" s="13" t="s">
        <v>42</v>
      </c>
      <c r="K71" s="16">
        <f t="shared" si="6"/>
        <v>500000</v>
      </c>
      <c r="L71" s="16">
        <v>0.0</v>
      </c>
    </row>
    <row r="72" ht="15.75" customHeight="1">
      <c r="A72" s="51">
        <v>45156.0</v>
      </c>
      <c r="B72" s="11" t="s">
        <v>726</v>
      </c>
      <c r="C72" s="11" t="s">
        <v>1069</v>
      </c>
      <c r="D72" s="11" t="s">
        <v>30</v>
      </c>
      <c r="E72" s="11" t="s">
        <v>34</v>
      </c>
      <c r="F72" s="12">
        <v>9000.0</v>
      </c>
      <c r="G72" s="16">
        <v>1215000.0</v>
      </c>
      <c r="H72" s="13" t="s">
        <v>44</v>
      </c>
      <c r="I72" s="16">
        <v>700000.0</v>
      </c>
      <c r="J72" s="13" t="s">
        <v>42</v>
      </c>
      <c r="K72" s="16">
        <f t="shared" si="6"/>
        <v>515000</v>
      </c>
      <c r="L72" s="16">
        <v>0.0</v>
      </c>
    </row>
    <row r="73" ht="15.75" customHeight="1">
      <c r="A73" s="51">
        <v>45157.0</v>
      </c>
      <c r="B73" s="11" t="s">
        <v>726</v>
      </c>
      <c r="C73" s="11" t="s">
        <v>1069</v>
      </c>
      <c r="D73" s="11" t="s">
        <v>30</v>
      </c>
      <c r="E73" s="11" t="s">
        <v>32</v>
      </c>
      <c r="F73" s="12">
        <v>9000.0</v>
      </c>
      <c r="G73" s="16">
        <v>675000.0</v>
      </c>
      <c r="H73" s="13" t="s">
        <v>42</v>
      </c>
      <c r="I73" s="16">
        <v>350000.0</v>
      </c>
      <c r="J73" s="13" t="s">
        <v>42</v>
      </c>
      <c r="K73" s="16">
        <f t="shared" si="6"/>
        <v>325000</v>
      </c>
      <c r="L73" s="16">
        <v>0.0</v>
      </c>
    </row>
    <row r="74" ht="15.75" customHeight="1">
      <c r="A74" s="51">
        <v>45157.0</v>
      </c>
      <c r="B74" s="11" t="s">
        <v>726</v>
      </c>
      <c r="C74" s="11" t="s">
        <v>1069</v>
      </c>
      <c r="D74" s="11" t="s">
        <v>30</v>
      </c>
      <c r="E74" s="11" t="s">
        <v>1080</v>
      </c>
      <c r="F74" s="12">
        <v>8500.0</v>
      </c>
      <c r="G74" s="16">
        <v>1100000.0</v>
      </c>
      <c r="H74" s="13" t="s">
        <v>42</v>
      </c>
      <c r="I74" s="16">
        <v>640000.0</v>
      </c>
      <c r="J74" s="13" t="s">
        <v>42</v>
      </c>
      <c r="K74" s="16">
        <f t="shared" si="6"/>
        <v>460000</v>
      </c>
      <c r="L74" s="16">
        <v>0.0</v>
      </c>
    </row>
    <row r="75" ht="15.75" customHeight="1">
      <c r="A75" s="51">
        <v>45159.0</v>
      </c>
      <c r="B75" s="11" t="s">
        <v>726</v>
      </c>
      <c r="C75" s="11" t="s">
        <v>1069</v>
      </c>
      <c r="D75" s="11" t="s">
        <v>40</v>
      </c>
      <c r="E75" s="11" t="s">
        <v>1080</v>
      </c>
      <c r="F75" s="12">
        <v>8500.0</v>
      </c>
      <c r="G75" s="16">
        <v>1100000.0</v>
      </c>
      <c r="H75" s="13" t="s">
        <v>42</v>
      </c>
      <c r="I75" s="16">
        <v>640000.0</v>
      </c>
      <c r="J75" s="13" t="s">
        <v>42</v>
      </c>
      <c r="K75" s="16">
        <f t="shared" si="6"/>
        <v>460000</v>
      </c>
      <c r="L75" s="16">
        <v>0.0</v>
      </c>
    </row>
    <row r="76" ht="15.75" customHeight="1">
      <c r="A76" s="51">
        <v>45160.0</v>
      </c>
      <c r="B76" s="11" t="s">
        <v>726</v>
      </c>
      <c r="C76" s="11" t="s">
        <v>1069</v>
      </c>
      <c r="D76" s="11" t="s">
        <v>37</v>
      </c>
      <c r="E76" s="11" t="s">
        <v>43</v>
      </c>
      <c r="F76" s="12">
        <v>9000.0</v>
      </c>
      <c r="G76" s="16">
        <v>1350000.0</v>
      </c>
      <c r="H76" s="13" t="s">
        <v>44</v>
      </c>
      <c r="I76" s="16">
        <v>800000.0</v>
      </c>
      <c r="J76" s="13" t="s">
        <v>42</v>
      </c>
      <c r="K76" s="16">
        <f t="shared" si="6"/>
        <v>550000</v>
      </c>
      <c r="L76" s="16">
        <v>0.0</v>
      </c>
    </row>
    <row r="77" ht="15.75" customHeight="1">
      <c r="A77" s="51">
        <v>45161.0</v>
      </c>
      <c r="B77" s="11" t="s">
        <v>62</v>
      </c>
      <c r="C77" s="11" t="s">
        <v>1069</v>
      </c>
      <c r="D77" s="11"/>
      <c r="E77" s="11"/>
      <c r="F77" s="12"/>
      <c r="G77" s="16"/>
      <c r="H77" s="13"/>
      <c r="I77" s="16"/>
      <c r="J77" s="13"/>
      <c r="K77" s="16"/>
      <c r="L77" s="16">
        <v>490000.0</v>
      </c>
    </row>
    <row r="78" ht="15.75" customHeight="1">
      <c r="A78" s="51">
        <v>45161.0</v>
      </c>
      <c r="B78" s="11" t="s">
        <v>726</v>
      </c>
      <c r="C78" s="11" t="s">
        <v>1069</v>
      </c>
      <c r="D78" s="11" t="s">
        <v>40</v>
      </c>
      <c r="E78" s="11" t="s">
        <v>59</v>
      </c>
      <c r="F78" s="12">
        <v>9000.0</v>
      </c>
      <c r="G78" s="16">
        <v>900000.0</v>
      </c>
      <c r="H78" s="13" t="s">
        <v>44</v>
      </c>
      <c r="I78" s="16">
        <v>350000.0</v>
      </c>
      <c r="J78" s="13" t="s">
        <v>42</v>
      </c>
      <c r="K78" s="16">
        <f t="shared" ref="K78:K86" si="7">G78-I78</f>
        <v>550000</v>
      </c>
      <c r="L78" s="16">
        <v>0.0</v>
      </c>
    </row>
    <row r="79" ht="15.75" customHeight="1">
      <c r="A79" s="51">
        <v>45162.0</v>
      </c>
      <c r="B79" s="11" t="s">
        <v>726</v>
      </c>
      <c r="C79" s="11" t="s">
        <v>1069</v>
      </c>
      <c r="D79" s="11" t="s">
        <v>379</v>
      </c>
      <c r="E79" s="11" t="s">
        <v>368</v>
      </c>
      <c r="F79" s="12">
        <v>9000.0</v>
      </c>
      <c r="G79" s="16">
        <v>1035000.0</v>
      </c>
      <c r="H79" s="13" t="s">
        <v>42</v>
      </c>
      <c r="I79" s="16">
        <v>600000.0</v>
      </c>
      <c r="J79" s="13" t="s">
        <v>42</v>
      </c>
      <c r="K79" s="16">
        <f t="shared" si="7"/>
        <v>435000</v>
      </c>
      <c r="L79" s="16">
        <v>0.0</v>
      </c>
    </row>
    <row r="80" ht="15.75" customHeight="1">
      <c r="A80" s="51">
        <v>45162.0</v>
      </c>
      <c r="B80" s="11" t="s">
        <v>62</v>
      </c>
      <c r="C80" s="11" t="s">
        <v>1069</v>
      </c>
      <c r="D80" s="11"/>
      <c r="E80" s="11"/>
      <c r="F80" s="357"/>
      <c r="G80" s="357"/>
      <c r="H80" s="357"/>
      <c r="I80" s="357"/>
      <c r="J80" s="357"/>
      <c r="K80" s="16">
        <f t="shared" si="7"/>
        <v>0</v>
      </c>
      <c r="L80" s="16">
        <v>305000.0</v>
      </c>
    </row>
    <row r="81" ht="15.75" customHeight="1">
      <c r="A81" s="51">
        <v>45163.0</v>
      </c>
      <c r="B81" s="11" t="s">
        <v>726</v>
      </c>
      <c r="C81" s="11" t="s">
        <v>1069</v>
      </c>
      <c r="D81" s="11" t="s">
        <v>123</v>
      </c>
      <c r="E81" s="11" t="s">
        <v>368</v>
      </c>
      <c r="F81" s="12">
        <v>9000.0</v>
      </c>
      <c r="G81" s="16">
        <v>1035000.0</v>
      </c>
      <c r="H81" s="13" t="s">
        <v>42</v>
      </c>
      <c r="I81" s="16">
        <v>600000.0</v>
      </c>
      <c r="J81" s="13" t="s">
        <v>42</v>
      </c>
      <c r="K81" s="16">
        <f t="shared" si="7"/>
        <v>435000</v>
      </c>
      <c r="L81" s="16">
        <v>0.0</v>
      </c>
    </row>
    <row r="82" ht="15.75" customHeight="1">
      <c r="A82" s="51">
        <v>45164.0</v>
      </c>
      <c r="B82" s="11" t="s">
        <v>726</v>
      </c>
      <c r="C82" s="11" t="s">
        <v>1069</v>
      </c>
      <c r="D82" s="11" t="s">
        <v>40</v>
      </c>
      <c r="E82" s="11" t="s">
        <v>59</v>
      </c>
      <c r="F82" s="12">
        <v>9000.0</v>
      </c>
      <c r="G82" s="16">
        <v>720000.0</v>
      </c>
      <c r="H82" s="13" t="s">
        <v>44</v>
      </c>
      <c r="I82" s="16">
        <v>350000.0</v>
      </c>
      <c r="J82" s="13" t="s">
        <v>42</v>
      </c>
      <c r="K82" s="16">
        <f t="shared" si="7"/>
        <v>370000</v>
      </c>
      <c r="L82" s="16">
        <v>0.0</v>
      </c>
    </row>
    <row r="83" ht="15.75" customHeight="1">
      <c r="A83" s="51">
        <v>45166.0</v>
      </c>
      <c r="B83" s="11" t="s">
        <v>726</v>
      </c>
      <c r="C83" s="11" t="s">
        <v>1069</v>
      </c>
      <c r="D83" s="11" t="s">
        <v>30</v>
      </c>
      <c r="E83" s="11" t="s">
        <v>32</v>
      </c>
      <c r="F83" s="12">
        <v>9000.0</v>
      </c>
      <c r="G83" s="16">
        <v>675000.0</v>
      </c>
      <c r="H83" s="13" t="s">
        <v>42</v>
      </c>
      <c r="I83" s="16">
        <v>350000.0</v>
      </c>
      <c r="J83" s="13" t="s">
        <v>42</v>
      </c>
      <c r="K83" s="16">
        <f t="shared" si="7"/>
        <v>325000</v>
      </c>
      <c r="L83" s="16">
        <v>0.0</v>
      </c>
    </row>
    <row r="84" ht="15.75" customHeight="1">
      <c r="A84" s="51">
        <v>45167.0</v>
      </c>
      <c r="B84" s="11" t="s">
        <v>726</v>
      </c>
      <c r="C84" s="11" t="s">
        <v>1069</v>
      </c>
      <c r="D84" s="11" t="s">
        <v>30</v>
      </c>
      <c r="E84" s="11" t="s">
        <v>91</v>
      </c>
      <c r="F84" s="12">
        <v>8500.0</v>
      </c>
      <c r="G84" s="16">
        <v>1200000.0</v>
      </c>
      <c r="H84" s="13" t="s">
        <v>44</v>
      </c>
      <c r="I84" s="16">
        <v>640000.0</v>
      </c>
      <c r="J84" s="13" t="s">
        <v>44</v>
      </c>
      <c r="K84" s="16">
        <f t="shared" si="7"/>
        <v>560000</v>
      </c>
      <c r="L84" s="16">
        <v>0.0</v>
      </c>
    </row>
    <row r="85" ht="15.75" customHeight="1">
      <c r="A85" s="51">
        <v>45168.0</v>
      </c>
      <c r="B85" s="11" t="s">
        <v>726</v>
      </c>
      <c r="C85" s="11" t="s">
        <v>1069</v>
      </c>
      <c r="D85" s="11" t="s">
        <v>82</v>
      </c>
      <c r="E85" s="11" t="s">
        <v>1078</v>
      </c>
      <c r="F85" s="12">
        <v>9000.0</v>
      </c>
      <c r="G85" s="16">
        <v>1400000.0</v>
      </c>
      <c r="H85" s="13" t="s">
        <v>44</v>
      </c>
      <c r="I85" s="16">
        <v>900000.0</v>
      </c>
      <c r="J85" s="13" t="s">
        <v>44</v>
      </c>
      <c r="K85" s="16">
        <f t="shared" si="7"/>
        <v>500000</v>
      </c>
      <c r="L85" s="16">
        <v>0.0</v>
      </c>
    </row>
    <row r="86" ht="15.75" customHeight="1">
      <c r="A86" s="51">
        <v>45169.0</v>
      </c>
      <c r="B86" s="11" t="s">
        <v>726</v>
      </c>
      <c r="C86" s="11" t="s">
        <v>1069</v>
      </c>
      <c r="D86" s="11" t="s">
        <v>30</v>
      </c>
      <c r="E86" s="11" t="s">
        <v>369</v>
      </c>
      <c r="F86" s="12">
        <v>9000.0</v>
      </c>
      <c r="G86" s="16">
        <v>1080000.0</v>
      </c>
      <c r="H86" s="13" t="s">
        <v>44</v>
      </c>
      <c r="I86" s="16">
        <v>640000.0</v>
      </c>
      <c r="J86" s="13" t="s">
        <v>44</v>
      </c>
      <c r="K86" s="16">
        <f t="shared" si="7"/>
        <v>440000</v>
      </c>
      <c r="L86" s="16">
        <v>0.0</v>
      </c>
    </row>
    <row r="87" ht="15.75" customHeight="1">
      <c r="A87" s="23"/>
      <c r="B87" s="23"/>
      <c r="C87" s="23"/>
      <c r="D87" s="23"/>
      <c r="E87" s="23"/>
      <c r="F87" s="22"/>
      <c r="G87" s="22"/>
      <c r="H87" s="22"/>
      <c r="I87" s="22"/>
      <c r="J87" s="22"/>
      <c r="K87" s="251">
        <f t="shared" ref="K87:L87" si="8">SUM(K58:K86)</f>
        <v>12365000</v>
      </c>
      <c r="L87" s="53">
        <f t="shared" si="8"/>
        <v>1760000</v>
      </c>
    </row>
    <row r="88" ht="15.75" customHeight="1">
      <c r="A88" s="23"/>
      <c r="B88" s="23"/>
      <c r="C88" s="23"/>
      <c r="D88" s="23"/>
      <c r="E88" s="23"/>
      <c r="F88" s="22"/>
      <c r="G88" s="22"/>
      <c r="H88" s="22"/>
      <c r="I88" s="22"/>
      <c r="J88" s="22"/>
      <c r="K88" s="231">
        <f>K87-L87</f>
        <v>10605000</v>
      </c>
      <c r="L88" s="31"/>
    </row>
    <row r="89" ht="15.75" customHeight="1">
      <c r="A89" s="23"/>
      <c r="B89" s="23"/>
      <c r="C89" s="23"/>
      <c r="D89" s="23"/>
      <c r="E89" s="23"/>
      <c r="F89" s="22"/>
      <c r="G89" s="22"/>
      <c r="H89" s="22"/>
      <c r="I89" s="22"/>
      <c r="J89" s="22"/>
      <c r="K89" s="22"/>
      <c r="L89" s="31"/>
    </row>
    <row r="90" ht="34.5" customHeight="1">
      <c r="A90" s="257" t="s">
        <v>0</v>
      </c>
      <c r="B90" s="258" t="s">
        <v>1</v>
      </c>
      <c r="C90" s="258" t="s">
        <v>2</v>
      </c>
      <c r="D90" s="259" t="s">
        <v>3</v>
      </c>
      <c r="E90" s="258" t="s">
        <v>4</v>
      </c>
      <c r="F90" s="260" t="s">
        <v>5</v>
      </c>
      <c r="G90" s="262" t="s">
        <v>6</v>
      </c>
      <c r="H90" s="262" t="s">
        <v>39</v>
      </c>
      <c r="I90" s="260" t="s">
        <v>7</v>
      </c>
      <c r="J90" s="260" t="s">
        <v>39</v>
      </c>
      <c r="K90" s="262" t="s">
        <v>8</v>
      </c>
      <c r="L90" s="265" t="s">
        <v>9</v>
      </c>
    </row>
    <row r="91" ht="15.75" customHeight="1">
      <c r="A91" s="51">
        <v>45170.0</v>
      </c>
      <c r="B91" s="11" t="s">
        <v>726</v>
      </c>
      <c r="C91" s="11" t="s">
        <v>1069</v>
      </c>
      <c r="D91" s="11" t="s">
        <v>50</v>
      </c>
      <c r="E91" s="11" t="s">
        <v>368</v>
      </c>
      <c r="F91" s="12">
        <v>9000.0</v>
      </c>
      <c r="G91" s="16">
        <v>990000.0</v>
      </c>
      <c r="H91" s="13" t="s">
        <v>44</v>
      </c>
      <c r="I91" s="16">
        <v>550000.0</v>
      </c>
      <c r="J91" s="13" t="s">
        <v>44</v>
      </c>
      <c r="K91" s="16">
        <f t="shared" ref="K91:K115" si="9">G91-I91</f>
        <v>440000</v>
      </c>
      <c r="L91" s="16">
        <v>0.0</v>
      </c>
    </row>
    <row r="92" ht="15.75" customHeight="1">
      <c r="A92" s="51">
        <v>45173.0</v>
      </c>
      <c r="B92" s="11" t="s">
        <v>726</v>
      </c>
      <c r="C92" s="11" t="s">
        <v>1069</v>
      </c>
      <c r="D92" s="11" t="s">
        <v>40</v>
      </c>
      <c r="E92" s="11" t="s">
        <v>868</v>
      </c>
      <c r="F92" s="12">
        <v>9000.0</v>
      </c>
      <c r="G92" s="16">
        <v>1350000.0</v>
      </c>
      <c r="H92" s="13" t="s">
        <v>44</v>
      </c>
      <c r="I92" s="16">
        <v>800000.0</v>
      </c>
      <c r="J92" s="13" t="s">
        <v>44</v>
      </c>
      <c r="K92" s="16">
        <f t="shared" si="9"/>
        <v>550000</v>
      </c>
      <c r="L92" s="16">
        <v>0.0</v>
      </c>
    </row>
    <row r="93" ht="15.75" customHeight="1">
      <c r="A93" s="51">
        <v>45174.0</v>
      </c>
      <c r="B93" s="11" t="s">
        <v>726</v>
      </c>
      <c r="C93" s="11" t="s">
        <v>1069</v>
      </c>
      <c r="D93" s="11" t="s">
        <v>50</v>
      </c>
      <c r="E93" s="11" t="s">
        <v>34</v>
      </c>
      <c r="F93" s="12">
        <v>9000.0</v>
      </c>
      <c r="G93" s="16">
        <v>1215000.0</v>
      </c>
      <c r="H93" s="13" t="s">
        <v>44</v>
      </c>
      <c r="I93" s="16">
        <v>700000.0</v>
      </c>
      <c r="J93" s="13" t="s">
        <v>44</v>
      </c>
      <c r="K93" s="16">
        <f t="shared" si="9"/>
        <v>515000</v>
      </c>
      <c r="L93" s="16">
        <v>0.0</v>
      </c>
    </row>
    <row r="94" ht="15.75" customHeight="1">
      <c r="A94" s="51">
        <v>45175.0</v>
      </c>
      <c r="B94" s="11" t="s">
        <v>726</v>
      </c>
      <c r="C94" s="11" t="s">
        <v>1069</v>
      </c>
      <c r="D94" s="11" t="s">
        <v>40</v>
      </c>
      <c r="E94" s="11" t="s">
        <v>59</v>
      </c>
      <c r="F94" s="12">
        <v>9000.0</v>
      </c>
      <c r="G94" s="16">
        <v>720000.0</v>
      </c>
      <c r="H94" s="13" t="s">
        <v>44</v>
      </c>
      <c r="I94" s="16">
        <v>350000.0</v>
      </c>
      <c r="J94" s="13" t="s">
        <v>44</v>
      </c>
      <c r="K94" s="16">
        <f t="shared" si="9"/>
        <v>370000</v>
      </c>
      <c r="L94" s="16">
        <v>0.0</v>
      </c>
    </row>
    <row r="95" ht="15.75" customHeight="1">
      <c r="A95" s="51">
        <v>45175.0</v>
      </c>
      <c r="B95" s="11" t="s">
        <v>726</v>
      </c>
      <c r="C95" s="11" t="s">
        <v>1069</v>
      </c>
      <c r="D95" s="11" t="s">
        <v>40</v>
      </c>
      <c r="E95" s="11" t="s">
        <v>1082</v>
      </c>
      <c r="F95" s="12">
        <v>8500.0</v>
      </c>
      <c r="G95" s="16">
        <v>1100000.0</v>
      </c>
      <c r="H95" s="13" t="s">
        <v>44</v>
      </c>
      <c r="I95" s="16">
        <v>640000.0</v>
      </c>
      <c r="J95" s="13" t="s">
        <v>44</v>
      </c>
      <c r="K95" s="16">
        <f t="shared" si="9"/>
        <v>460000</v>
      </c>
      <c r="L95" s="16">
        <v>0.0</v>
      </c>
    </row>
    <row r="96" ht="15.75" customHeight="1">
      <c r="A96" s="51">
        <v>45176.0</v>
      </c>
      <c r="B96" s="11" t="s">
        <v>726</v>
      </c>
      <c r="C96" s="11" t="s">
        <v>1069</v>
      </c>
      <c r="D96" s="11" t="s">
        <v>50</v>
      </c>
      <c r="E96" s="11" t="s">
        <v>34</v>
      </c>
      <c r="F96" s="12">
        <v>9000.0</v>
      </c>
      <c r="G96" s="16">
        <v>1215000.0</v>
      </c>
      <c r="H96" s="13" t="s">
        <v>44</v>
      </c>
      <c r="I96" s="16">
        <v>700000.0</v>
      </c>
      <c r="J96" s="13" t="s">
        <v>44</v>
      </c>
      <c r="K96" s="16">
        <f t="shared" si="9"/>
        <v>515000</v>
      </c>
      <c r="L96" s="16">
        <v>0.0</v>
      </c>
    </row>
    <row r="97" ht="15.75" customHeight="1">
      <c r="A97" s="51">
        <v>45177.0</v>
      </c>
      <c r="B97" s="11" t="s">
        <v>726</v>
      </c>
      <c r="C97" s="11" t="s">
        <v>1069</v>
      </c>
      <c r="D97" s="11" t="s">
        <v>40</v>
      </c>
      <c r="E97" s="11" t="s">
        <v>59</v>
      </c>
      <c r="F97" s="12">
        <v>9000.0</v>
      </c>
      <c r="G97" s="16">
        <v>820000.0</v>
      </c>
      <c r="H97" s="13" t="s">
        <v>44</v>
      </c>
      <c r="I97" s="16">
        <v>350000.0</v>
      </c>
      <c r="J97" s="13" t="s">
        <v>44</v>
      </c>
      <c r="K97" s="16">
        <f t="shared" si="9"/>
        <v>470000</v>
      </c>
      <c r="L97" s="16">
        <v>0.0</v>
      </c>
    </row>
    <row r="98" ht="15.75" customHeight="1">
      <c r="A98" s="51">
        <v>45178.0</v>
      </c>
      <c r="B98" s="11" t="s">
        <v>726</v>
      </c>
      <c r="C98" s="11" t="s">
        <v>1069</v>
      </c>
      <c r="D98" s="11" t="s">
        <v>50</v>
      </c>
      <c r="E98" s="11" t="s">
        <v>1083</v>
      </c>
      <c r="F98" s="12">
        <v>9000.0</v>
      </c>
      <c r="G98" s="16">
        <v>1400000.0</v>
      </c>
      <c r="H98" s="13" t="s">
        <v>44</v>
      </c>
      <c r="I98" s="16">
        <v>900000.0</v>
      </c>
      <c r="J98" s="13" t="s">
        <v>44</v>
      </c>
      <c r="K98" s="16">
        <f t="shared" si="9"/>
        <v>500000</v>
      </c>
      <c r="L98" s="16">
        <v>0.0</v>
      </c>
    </row>
    <row r="99" ht="15.75" customHeight="1">
      <c r="A99" s="51">
        <v>45180.0</v>
      </c>
      <c r="B99" s="11" t="s">
        <v>726</v>
      </c>
      <c r="C99" s="11" t="s">
        <v>1069</v>
      </c>
      <c r="D99" s="11" t="s">
        <v>40</v>
      </c>
      <c r="E99" s="11" t="s">
        <v>43</v>
      </c>
      <c r="F99" s="12">
        <v>9000.0</v>
      </c>
      <c r="G99" s="16">
        <v>1350000.0</v>
      </c>
      <c r="H99" s="13" t="s">
        <v>44</v>
      </c>
      <c r="I99" s="16">
        <v>800000.0</v>
      </c>
      <c r="J99" s="13" t="s">
        <v>42</v>
      </c>
      <c r="K99" s="16">
        <f t="shared" si="9"/>
        <v>550000</v>
      </c>
      <c r="L99" s="16">
        <v>0.0</v>
      </c>
    </row>
    <row r="100" ht="15.75" customHeight="1">
      <c r="A100" s="51">
        <v>45181.0</v>
      </c>
      <c r="B100" s="11" t="s">
        <v>726</v>
      </c>
      <c r="C100" s="11" t="s">
        <v>1069</v>
      </c>
      <c r="D100" s="11" t="s">
        <v>50</v>
      </c>
      <c r="E100" s="11" t="s">
        <v>34</v>
      </c>
      <c r="F100" s="12">
        <v>9000.0</v>
      </c>
      <c r="G100" s="16">
        <v>1215000.0</v>
      </c>
      <c r="H100" s="13" t="s">
        <v>44</v>
      </c>
      <c r="I100" s="16">
        <v>700000.0</v>
      </c>
      <c r="J100" s="13" t="s">
        <v>44</v>
      </c>
      <c r="K100" s="16">
        <f t="shared" si="9"/>
        <v>515000</v>
      </c>
      <c r="L100" s="16">
        <v>0.0</v>
      </c>
    </row>
    <row r="101" ht="15.75" customHeight="1">
      <c r="A101" s="51">
        <v>45182.0</v>
      </c>
      <c r="B101" s="11" t="s">
        <v>726</v>
      </c>
      <c r="C101" s="11" t="s">
        <v>1069</v>
      </c>
      <c r="D101" s="11" t="s">
        <v>30</v>
      </c>
      <c r="E101" s="11" t="s">
        <v>76</v>
      </c>
      <c r="F101" s="12">
        <v>9000.0</v>
      </c>
      <c r="G101" s="16">
        <v>1300000.0</v>
      </c>
      <c r="H101" s="13" t="s">
        <v>42</v>
      </c>
      <c r="I101" s="16">
        <v>850000.0</v>
      </c>
      <c r="J101" s="13" t="s">
        <v>44</v>
      </c>
      <c r="K101" s="16">
        <f t="shared" si="9"/>
        <v>450000</v>
      </c>
      <c r="L101" s="16">
        <v>0.0</v>
      </c>
    </row>
    <row r="102" ht="15.75" customHeight="1">
      <c r="A102" s="51">
        <v>45183.0</v>
      </c>
      <c r="B102" s="11" t="s">
        <v>726</v>
      </c>
      <c r="C102" s="11" t="s">
        <v>1069</v>
      </c>
      <c r="D102" s="11" t="s">
        <v>50</v>
      </c>
      <c r="E102" s="11" t="s">
        <v>86</v>
      </c>
      <c r="F102" s="12">
        <v>9000.0</v>
      </c>
      <c r="G102" s="16">
        <v>975000.0</v>
      </c>
      <c r="H102" s="13" t="s">
        <v>42</v>
      </c>
      <c r="I102" s="16">
        <v>500000.0</v>
      </c>
      <c r="J102" s="13" t="s">
        <v>42</v>
      </c>
      <c r="K102" s="16">
        <f t="shared" si="9"/>
        <v>475000</v>
      </c>
      <c r="L102" s="16">
        <v>0.0</v>
      </c>
    </row>
    <row r="103" ht="15.75" customHeight="1">
      <c r="A103" s="51">
        <v>45184.0</v>
      </c>
      <c r="B103" s="11" t="s">
        <v>726</v>
      </c>
      <c r="C103" s="11" t="s">
        <v>1069</v>
      </c>
      <c r="D103" s="11" t="s">
        <v>40</v>
      </c>
      <c r="E103" s="11" t="s">
        <v>76</v>
      </c>
      <c r="F103" s="12">
        <v>9000.0</v>
      </c>
      <c r="G103" s="278">
        <v>1300000.0</v>
      </c>
      <c r="H103" s="13"/>
      <c r="I103" s="16">
        <v>850000.0</v>
      </c>
      <c r="J103" s="13" t="s">
        <v>42</v>
      </c>
      <c r="K103" s="16">
        <f t="shared" si="9"/>
        <v>450000</v>
      </c>
      <c r="L103" s="16">
        <v>0.0</v>
      </c>
      <c r="M103" s="174" t="s">
        <v>1084</v>
      </c>
    </row>
    <row r="104" ht="15.75" customHeight="1">
      <c r="A104" s="51">
        <v>45185.0</v>
      </c>
      <c r="B104" s="11" t="s">
        <v>726</v>
      </c>
      <c r="C104" s="11" t="s">
        <v>1069</v>
      </c>
      <c r="D104" s="11" t="s">
        <v>50</v>
      </c>
      <c r="E104" s="11" t="s">
        <v>387</v>
      </c>
      <c r="F104" s="12">
        <v>9000.0</v>
      </c>
      <c r="G104" s="16">
        <v>1400000.0</v>
      </c>
      <c r="H104" s="13" t="s">
        <v>44</v>
      </c>
      <c r="I104" s="16">
        <v>900000.0</v>
      </c>
      <c r="J104" s="13" t="s">
        <v>42</v>
      </c>
      <c r="K104" s="16">
        <f t="shared" si="9"/>
        <v>500000</v>
      </c>
      <c r="L104" s="16">
        <v>0.0</v>
      </c>
    </row>
    <row r="105" ht="15.75" customHeight="1">
      <c r="A105" s="51">
        <v>45187.0</v>
      </c>
      <c r="B105" s="11" t="s">
        <v>726</v>
      </c>
      <c r="C105" s="11" t="s">
        <v>1069</v>
      </c>
      <c r="D105" s="11" t="s">
        <v>50</v>
      </c>
      <c r="E105" s="11" t="s">
        <v>34</v>
      </c>
      <c r="F105" s="12">
        <v>9000.0</v>
      </c>
      <c r="G105" s="16">
        <v>1215000.0</v>
      </c>
      <c r="H105" s="13" t="s">
        <v>44</v>
      </c>
      <c r="I105" s="16">
        <v>700000.0</v>
      </c>
      <c r="J105" s="13" t="s">
        <v>42</v>
      </c>
      <c r="K105" s="16">
        <f t="shared" si="9"/>
        <v>515000</v>
      </c>
      <c r="L105" s="16">
        <v>0.0</v>
      </c>
    </row>
    <row r="106" ht="15.75" customHeight="1">
      <c r="A106" s="51">
        <v>45188.0</v>
      </c>
      <c r="B106" s="11" t="s">
        <v>726</v>
      </c>
      <c r="C106" s="11" t="s">
        <v>1069</v>
      </c>
      <c r="D106" s="11" t="s">
        <v>50</v>
      </c>
      <c r="E106" s="11" t="s">
        <v>86</v>
      </c>
      <c r="F106" s="12">
        <v>9000.0</v>
      </c>
      <c r="G106" s="16">
        <v>975000.0</v>
      </c>
      <c r="H106" s="13" t="s">
        <v>42</v>
      </c>
      <c r="I106" s="16">
        <v>500000.0</v>
      </c>
      <c r="J106" s="13" t="s">
        <v>42</v>
      </c>
      <c r="K106" s="16">
        <f t="shared" si="9"/>
        <v>475000</v>
      </c>
      <c r="L106" s="16">
        <v>0.0</v>
      </c>
    </row>
    <row r="107" ht="15.75" customHeight="1">
      <c r="A107" s="51">
        <v>45189.0</v>
      </c>
      <c r="B107" s="11" t="s">
        <v>726</v>
      </c>
      <c r="C107" s="11" t="s">
        <v>1069</v>
      </c>
      <c r="D107" s="11" t="s">
        <v>37</v>
      </c>
      <c r="E107" s="11" t="s">
        <v>43</v>
      </c>
      <c r="F107" s="12">
        <v>9000.0</v>
      </c>
      <c r="G107" s="16">
        <v>1350000.0</v>
      </c>
      <c r="H107" s="13" t="s">
        <v>44</v>
      </c>
      <c r="I107" s="16">
        <v>800000.0</v>
      </c>
      <c r="J107" s="13" t="s">
        <v>42</v>
      </c>
      <c r="K107" s="16">
        <f t="shared" si="9"/>
        <v>550000</v>
      </c>
      <c r="L107" s="16">
        <v>0.0</v>
      </c>
    </row>
    <row r="108" ht="15.75" customHeight="1">
      <c r="A108" s="51">
        <v>45190.0</v>
      </c>
      <c r="B108" s="11" t="s">
        <v>726</v>
      </c>
      <c r="C108" s="11" t="s">
        <v>1069</v>
      </c>
      <c r="D108" s="11" t="s">
        <v>30</v>
      </c>
      <c r="E108" s="11" t="s">
        <v>54</v>
      </c>
      <c r="F108" s="12">
        <v>9000.0</v>
      </c>
      <c r="G108" s="16">
        <v>1200000.0</v>
      </c>
      <c r="H108" s="13" t="s">
        <v>42</v>
      </c>
      <c r="I108" s="16">
        <v>640000.0</v>
      </c>
      <c r="J108" s="13" t="s">
        <v>44</v>
      </c>
      <c r="K108" s="16">
        <f t="shared" si="9"/>
        <v>560000</v>
      </c>
      <c r="L108" s="16">
        <v>0.0</v>
      </c>
    </row>
    <row r="109" ht="15.75" customHeight="1">
      <c r="A109" s="51">
        <v>45192.0</v>
      </c>
      <c r="B109" s="11" t="s">
        <v>726</v>
      </c>
      <c r="C109" s="11" t="s">
        <v>1069</v>
      </c>
      <c r="D109" s="11" t="s">
        <v>123</v>
      </c>
      <c r="E109" s="11" t="s">
        <v>86</v>
      </c>
      <c r="F109" s="12">
        <v>9000.0</v>
      </c>
      <c r="G109" s="16">
        <v>975000.0</v>
      </c>
      <c r="H109" s="13" t="s">
        <v>42</v>
      </c>
      <c r="I109" s="16">
        <v>500000.0</v>
      </c>
      <c r="J109" s="13" t="s">
        <v>42</v>
      </c>
      <c r="K109" s="16">
        <f t="shared" si="9"/>
        <v>475000</v>
      </c>
      <c r="L109" s="16">
        <v>0.0</v>
      </c>
    </row>
    <row r="110" ht="15.75" customHeight="1">
      <c r="A110" s="51">
        <v>45194.0</v>
      </c>
      <c r="B110" s="11" t="s">
        <v>726</v>
      </c>
      <c r="C110" s="11" t="s">
        <v>1069</v>
      </c>
      <c r="D110" s="11" t="s">
        <v>30</v>
      </c>
      <c r="E110" s="11" t="s">
        <v>76</v>
      </c>
      <c r="F110" s="12">
        <v>9000.0</v>
      </c>
      <c r="G110" s="16">
        <v>1300000.0</v>
      </c>
      <c r="H110" s="13" t="s">
        <v>42</v>
      </c>
      <c r="I110" s="16">
        <v>850000.0</v>
      </c>
      <c r="J110" s="13" t="s">
        <v>42</v>
      </c>
      <c r="K110" s="16">
        <f t="shared" si="9"/>
        <v>450000</v>
      </c>
      <c r="L110" s="16">
        <v>0.0</v>
      </c>
    </row>
    <row r="111" ht="15.75" customHeight="1">
      <c r="A111" s="51">
        <v>45195.0</v>
      </c>
      <c r="B111" s="11" t="s">
        <v>726</v>
      </c>
      <c r="C111" s="11" t="s">
        <v>1069</v>
      </c>
      <c r="D111" s="11" t="s">
        <v>50</v>
      </c>
      <c r="E111" s="11" t="s">
        <v>387</v>
      </c>
      <c r="F111" s="12">
        <v>9000.0</v>
      </c>
      <c r="G111" s="16">
        <v>1400000.0</v>
      </c>
      <c r="H111" s="13" t="s">
        <v>44</v>
      </c>
      <c r="I111" s="16">
        <v>900000.0</v>
      </c>
      <c r="J111" s="13" t="s">
        <v>42</v>
      </c>
      <c r="K111" s="16">
        <f t="shared" si="9"/>
        <v>500000</v>
      </c>
      <c r="L111" s="16">
        <v>0.0</v>
      </c>
    </row>
    <row r="112" ht="15.75" customHeight="1">
      <c r="A112" s="51">
        <v>45196.0</v>
      </c>
      <c r="B112" s="11" t="s">
        <v>726</v>
      </c>
      <c r="C112" s="11" t="s">
        <v>1069</v>
      </c>
      <c r="D112" s="11" t="s">
        <v>30</v>
      </c>
      <c r="E112" s="11" t="s">
        <v>1085</v>
      </c>
      <c r="F112" s="12">
        <v>8500.0</v>
      </c>
      <c r="G112" s="16">
        <v>1200000.0</v>
      </c>
      <c r="H112" s="13" t="s">
        <v>42</v>
      </c>
      <c r="I112" s="16">
        <v>640000.0</v>
      </c>
      <c r="J112" s="13" t="s">
        <v>42</v>
      </c>
      <c r="K112" s="16">
        <f t="shared" si="9"/>
        <v>560000</v>
      </c>
      <c r="L112" s="16">
        <v>0.0</v>
      </c>
    </row>
    <row r="113" ht="15.75" customHeight="1">
      <c r="A113" s="51">
        <v>45198.0</v>
      </c>
      <c r="B113" s="11" t="s">
        <v>62</v>
      </c>
      <c r="C113" s="11" t="s">
        <v>1069</v>
      </c>
      <c r="D113" s="11" t="s">
        <v>30</v>
      </c>
      <c r="E113" s="11" t="s">
        <v>32</v>
      </c>
      <c r="F113" s="12">
        <v>9000.0</v>
      </c>
      <c r="G113" s="16">
        <v>675000.0</v>
      </c>
      <c r="H113" s="13" t="s">
        <v>42</v>
      </c>
      <c r="I113" s="16">
        <v>350000.0</v>
      </c>
      <c r="J113" s="13" t="s">
        <v>42</v>
      </c>
      <c r="K113" s="16">
        <f t="shared" si="9"/>
        <v>325000</v>
      </c>
      <c r="L113" s="16">
        <v>0.0</v>
      </c>
    </row>
    <row r="114" ht="15.75" customHeight="1">
      <c r="A114" s="51">
        <v>45198.0</v>
      </c>
      <c r="B114" s="11" t="s">
        <v>726</v>
      </c>
      <c r="C114" s="11" t="s">
        <v>1069</v>
      </c>
      <c r="D114" s="11" t="s">
        <v>30</v>
      </c>
      <c r="E114" s="11" t="s">
        <v>55</v>
      </c>
      <c r="F114" s="12">
        <v>8500.0</v>
      </c>
      <c r="G114" s="16">
        <v>1235000.0</v>
      </c>
      <c r="H114" s="13" t="s">
        <v>44</v>
      </c>
      <c r="I114" s="16">
        <v>700000.0</v>
      </c>
      <c r="J114" s="13" t="s">
        <v>42</v>
      </c>
      <c r="K114" s="16">
        <f t="shared" si="9"/>
        <v>535000</v>
      </c>
      <c r="L114" s="16">
        <v>0.0</v>
      </c>
    </row>
    <row r="115" ht="15.75" customHeight="1">
      <c r="A115" s="51">
        <v>45199.0</v>
      </c>
      <c r="B115" s="11" t="s">
        <v>726</v>
      </c>
      <c r="C115" s="11" t="s">
        <v>1069</v>
      </c>
      <c r="D115" s="11" t="s">
        <v>30</v>
      </c>
      <c r="E115" s="11" t="s">
        <v>1082</v>
      </c>
      <c r="F115" s="12">
        <v>8500.0</v>
      </c>
      <c r="G115" s="16">
        <v>1100000.0</v>
      </c>
      <c r="H115" s="13" t="s">
        <v>42</v>
      </c>
      <c r="I115" s="16">
        <v>640000.0</v>
      </c>
      <c r="J115" s="13" t="s">
        <v>42</v>
      </c>
      <c r="K115" s="16">
        <f t="shared" si="9"/>
        <v>460000</v>
      </c>
      <c r="L115" s="16">
        <v>0.0</v>
      </c>
    </row>
    <row r="116" ht="15.75" customHeight="1">
      <c r="A116" s="23"/>
      <c r="B116" s="23"/>
      <c r="C116" s="23"/>
      <c r="D116" s="23"/>
      <c r="E116" s="23"/>
      <c r="F116" s="22"/>
      <c r="G116" s="22"/>
      <c r="H116" s="22"/>
      <c r="I116" s="22"/>
      <c r="J116" s="22"/>
      <c r="K116" s="251">
        <f>SUM(K91:K115)</f>
        <v>12165000</v>
      </c>
      <c r="L116" s="53">
        <f>SUM(L91:L111)</f>
        <v>0</v>
      </c>
    </row>
    <row r="117" ht="15.75" customHeight="1">
      <c r="A117" s="23"/>
      <c r="B117" s="23"/>
      <c r="C117" s="23"/>
      <c r="D117" s="23"/>
      <c r="E117" s="23"/>
      <c r="F117" s="22"/>
      <c r="G117" s="22"/>
      <c r="H117" s="22"/>
      <c r="I117" s="22"/>
      <c r="J117" s="22"/>
      <c r="K117" s="231">
        <f>K116-L116</f>
        <v>12165000</v>
      </c>
      <c r="L117" s="54"/>
    </row>
    <row r="118" ht="38.25" customHeight="1">
      <c r="A118" s="257" t="s">
        <v>0</v>
      </c>
      <c r="B118" s="258" t="s">
        <v>1</v>
      </c>
      <c r="C118" s="258" t="s">
        <v>2</v>
      </c>
      <c r="D118" s="259" t="s">
        <v>3</v>
      </c>
      <c r="E118" s="258" t="s">
        <v>4</v>
      </c>
      <c r="F118" s="260" t="s">
        <v>5</v>
      </c>
      <c r="G118" s="262" t="s">
        <v>6</v>
      </c>
      <c r="H118" s="262" t="s">
        <v>39</v>
      </c>
      <c r="I118" s="260" t="s">
        <v>7</v>
      </c>
      <c r="J118" s="260" t="s">
        <v>39</v>
      </c>
      <c r="K118" s="262" t="s">
        <v>8</v>
      </c>
      <c r="L118" s="265" t="s">
        <v>9</v>
      </c>
    </row>
    <row r="119" ht="15.75" customHeight="1">
      <c r="A119" s="51">
        <v>45201.0</v>
      </c>
      <c r="B119" s="11" t="s">
        <v>726</v>
      </c>
      <c r="C119" s="11" t="s">
        <v>1069</v>
      </c>
      <c r="D119" s="11" t="s">
        <v>37</v>
      </c>
      <c r="E119" s="11" t="s">
        <v>86</v>
      </c>
      <c r="F119" s="12">
        <v>9000.0</v>
      </c>
      <c r="G119" s="62">
        <v>975000.0</v>
      </c>
      <c r="H119" s="62" t="s">
        <v>42</v>
      </c>
      <c r="I119" s="63">
        <v>500000.0</v>
      </c>
      <c r="J119" s="11" t="s">
        <v>42</v>
      </c>
      <c r="K119" s="62">
        <f t="shared" ref="K119:K142" si="10">G119-I119</f>
        <v>475000</v>
      </c>
      <c r="L119" s="16">
        <v>0.0</v>
      </c>
    </row>
    <row r="120" ht="15.75" customHeight="1">
      <c r="A120" s="51">
        <v>45202.0</v>
      </c>
      <c r="B120" s="11" t="s">
        <v>726</v>
      </c>
      <c r="C120" s="11" t="s">
        <v>1069</v>
      </c>
      <c r="D120" s="11" t="s">
        <v>40</v>
      </c>
      <c r="E120" s="11" t="s">
        <v>76</v>
      </c>
      <c r="F120" s="12">
        <v>8500.0</v>
      </c>
      <c r="G120" s="62">
        <v>1300000.0</v>
      </c>
      <c r="H120" s="11" t="s">
        <v>42</v>
      </c>
      <c r="I120" s="63">
        <v>850000.0</v>
      </c>
      <c r="J120" s="11" t="s">
        <v>42</v>
      </c>
      <c r="K120" s="62">
        <f t="shared" si="10"/>
        <v>450000</v>
      </c>
      <c r="L120" s="16">
        <v>0.0</v>
      </c>
    </row>
    <row r="121" ht="15.75" customHeight="1">
      <c r="A121" s="51">
        <v>45203.0</v>
      </c>
      <c r="B121" s="11" t="s">
        <v>726</v>
      </c>
      <c r="C121" s="11" t="s">
        <v>1069</v>
      </c>
      <c r="D121" s="11" t="s">
        <v>37</v>
      </c>
      <c r="E121" s="11" t="s">
        <v>59</v>
      </c>
      <c r="F121" s="12">
        <v>9000.0</v>
      </c>
      <c r="G121" s="62">
        <v>720000.0</v>
      </c>
      <c r="H121" s="63" t="s">
        <v>44</v>
      </c>
      <c r="I121" s="63">
        <v>350000.0</v>
      </c>
      <c r="J121" s="11" t="s">
        <v>42</v>
      </c>
      <c r="K121" s="62">
        <f t="shared" si="10"/>
        <v>370000</v>
      </c>
      <c r="L121" s="16">
        <v>0.0</v>
      </c>
    </row>
    <row r="122" ht="15.75" customHeight="1">
      <c r="A122" s="51">
        <v>45203.0</v>
      </c>
      <c r="B122" s="11" t="s">
        <v>726</v>
      </c>
      <c r="C122" s="11" t="s">
        <v>1069</v>
      </c>
      <c r="D122" s="11" t="s">
        <v>385</v>
      </c>
      <c r="E122" s="11" t="s">
        <v>722</v>
      </c>
      <c r="F122" s="12">
        <v>10000.0</v>
      </c>
      <c r="G122" s="62">
        <v>850000.0</v>
      </c>
      <c r="H122" s="63" t="s">
        <v>44</v>
      </c>
      <c r="I122" s="63">
        <v>450000.0</v>
      </c>
      <c r="J122" s="11" t="s">
        <v>42</v>
      </c>
      <c r="K122" s="62">
        <f t="shared" si="10"/>
        <v>400000</v>
      </c>
      <c r="L122" s="16">
        <v>0.0</v>
      </c>
    </row>
    <row r="123" ht="15.75" customHeight="1">
      <c r="A123" s="51">
        <v>45204.0</v>
      </c>
      <c r="B123" s="11" t="s">
        <v>726</v>
      </c>
      <c r="C123" s="11" t="s">
        <v>1069</v>
      </c>
      <c r="D123" s="11" t="s">
        <v>385</v>
      </c>
      <c r="E123" s="11" t="s">
        <v>386</v>
      </c>
      <c r="F123" s="12">
        <v>10000.0</v>
      </c>
      <c r="G123" s="62">
        <v>1000000.0</v>
      </c>
      <c r="H123" s="63" t="s">
        <v>44</v>
      </c>
      <c r="I123" s="63">
        <v>550000.0</v>
      </c>
      <c r="J123" s="11" t="s">
        <v>42</v>
      </c>
      <c r="K123" s="62">
        <f t="shared" si="10"/>
        <v>450000</v>
      </c>
      <c r="L123" s="16">
        <v>0.0</v>
      </c>
    </row>
    <row r="124" ht="15.75" customHeight="1">
      <c r="A124" s="51">
        <v>45205.0</v>
      </c>
      <c r="B124" s="11" t="s">
        <v>726</v>
      </c>
      <c r="C124" s="11" t="s">
        <v>1069</v>
      </c>
      <c r="D124" s="11" t="s">
        <v>30</v>
      </c>
      <c r="E124" s="11" t="s">
        <v>54</v>
      </c>
      <c r="F124" s="12">
        <v>9000.0</v>
      </c>
      <c r="G124" s="62">
        <v>1200000.0</v>
      </c>
      <c r="H124" s="63" t="s">
        <v>42</v>
      </c>
      <c r="I124" s="63">
        <v>640000.0</v>
      </c>
      <c r="J124" s="11" t="s">
        <v>42</v>
      </c>
      <c r="K124" s="62">
        <f t="shared" si="10"/>
        <v>560000</v>
      </c>
      <c r="L124" s="16">
        <v>0.0</v>
      </c>
    </row>
    <row r="125" ht="15.75" customHeight="1">
      <c r="A125" s="51">
        <v>45206.0</v>
      </c>
      <c r="B125" s="11" t="s">
        <v>726</v>
      </c>
      <c r="C125" s="11" t="s">
        <v>1069</v>
      </c>
      <c r="D125" s="11" t="s">
        <v>37</v>
      </c>
      <c r="E125" s="11" t="s">
        <v>728</v>
      </c>
      <c r="F125" s="12">
        <v>9000.0</v>
      </c>
      <c r="G125" s="62">
        <v>750000.0</v>
      </c>
      <c r="H125" s="63" t="s">
        <v>44</v>
      </c>
      <c r="I125" s="63">
        <v>350000.0</v>
      </c>
      <c r="J125" s="11" t="s">
        <v>42</v>
      </c>
      <c r="K125" s="62">
        <f t="shared" si="10"/>
        <v>400000</v>
      </c>
      <c r="L125" s="16">
        <v>0.0</v>
      </c>
    </row>
    <row r="126" ht="15.75" customHeight="1">
      <c r="A126" s="51">
        <v>45208.0</v>
      </c>
      <c r="B126" s="11" t="s">
        <v>726</v>
      </c>
      <c r="C126" s="11" t="s">
        <v>1069</v>
      </c>
      <c r="D126" s="11" t="s">
        <v>30</v>
      </c>
      <c r="E126" s="11" t="s">
        <v>59</v>
      </c>
      <c r="F126" s="12">
        <v>9000.0</v>
      </c>
      <c r="G126" s="62">
        <v>720000.0</v>
      </c>
      <c r="H126" s="63" t="s">
        <v>44</v>
      </c>
      <c r="I126" s="63">
        <v>350000.0</v>
      </c>
      <c r="J126" s="11" t="s">
        <v>44</v>
      </c>
      <c r="K126" s="62">
        <f t="shared" si="10"/>
        <v>370000</v>
      </c>
      <c r="L126" s="16">
        <v>0.0</v>
      </c>
    </row>
    <row r="127" ht="15.75" customHeight="1">
      <c r="A127" s="51">
        <v>45209.0</v>
      </c>
      <c r="B127" s="11" t="s">
        <v>726</v>
      </c>
      <c r="C127" s="11" t="s">
        <v>1069</v>
      </c>
      <c r="D127" s="11" t="s">
        <v>50</v>
      </c>
      <c r="E127" s="11" t="s">
        <v>1086</v>
      </c>
      <c r="F127" s="12">
        <v>9000.0</v>
      </c>
      <c r="G127" s="62">
        <v>1125000.0</v>
      </c>
      <c r="H127" s="63" t="s">
        <v>42</v>
      </c>
      <c r="I127" s="63">
        <v>640000.0</v>
      </c>
      <c r="J127" s="11" t="s">
        <v>42</v>
      </c>
      <c r="K127" s="62">
        <f t="shared" si="10"/>
        <v>485000</v>
      </c>
      <c r="L127" s="16">
        <v>0.0</v>
      </c>
    </row>
    <row r="128" ht="15.75" customHeight="1">
      <c r="A128" s="51">
        <v>45210.0</v>
      </c>
      <c r="B128" s="11" t="s">
        <v>726</v>
      </c>
      <c r="C128" s="11" t="s">
        <v>1069</v>
      </c>
      <c r="D128" s="11" t="s">
        <v>37</v>
      </c>
      <c r="E128" s="11" t="s">
        <v>86</v>
      </c>
      <c r="F128" s="12">
        <v>9000.0</v>
      </c>
      <c r="G128" s="62">
        <v>975000.0</v>
      </c>
      <c r="H128" s="63" t="s">
        <v>42</v>
      </c>
      <c r="I128" s="63">
        <v>500000.0</v>
      </c>
      <c r="J128" s="11" t="s">
        <v>42</v>
      </c>
      <c r="K128" s="62">
        <f t="shared" si="10"/>
        <v>475000</v>
      </c>
      <c r="L128" s="16">
        <v>0.0</v>
      </c>
    </row>
    <row r="129" ht="15.75" customHeight="1">
      <c r="A129" s="51">
        <v>45211.0</v>
      </c>
      <c r="B129" s="11" t="s">
        <v>726</v>
      </c>
      <c r="C129" s="11" t="s">
        <v>1069</v>
      </c>
      <c r="D129" s="11" t="s">
        <v>37</v>
      </c>
      <c r="E129" s="11" t="s">
        <v>34</v>
      </c>
      <c r="F129" s="12">
        <v>9000.0</v>
      </c>
      <c r="G129" s="62">
        <v>1215000.0</v>
      </c>
      <c r="H129" s="63" t="s">
        <v>44</v>
      </c>
      <c r="I129" s="63">
        <v>700000.0</v>
      </c>
      <c r="J129" s="11" t="s">
        <v>42</v>
      </c>
      <c r="K129" s="62">
        <f t="shared" si="10"/>
        <v>515000</v>
      </c>
      <c r="L129" s="16">
        <v>4600000.0</v>
      </c>
      <c r="M129" s="94"/>
    </row>
    <row r="130" ht="15.75" customHeight="1">
      <c r="A130" s="51">
        <v>45212.0</v>
      </c>
      <c r="B130" s="11" t="s">
        <v>726</v>
      </c>
      <c r="C130" s="11" t="s">
        <v>1069</v>
      </c>
      <c r="D130" s="11" t="s">
        <v>30</v>
      </c>
      <c r="E130" s="11" t="s">
        <v>32</v>
      </c>
      <c r="F130" s="12">
        <v>9000.0</v>
      </c>
      <c r="G130" s="62">
        <v>675000.0</v>
      </c>
      <c r="H130" s="63" t="s">
        <v>42</v>
      </c>
      <c r="I130" s="63">
        <v>350000.0</v>
      </c>
      <c r="J130" s="11" t="s">
        <v>42</v>
      </c>
      <c r="K130" s="62">
        <f t="shared" si="10"/>
        <v>325000</v>
      </c>
      <c r="L130" s="16">
        <v>0.0</v>
      </c>
    </row>
    <row r="131" ht="15.75" customHeight="1">
      <c r="A131" s="51">
        <v>45212.0</v>
      </c>
      <c r="B131" s="11" t="s">
        <v>726</v>
      </c>
      <c r="C131" s="11" t="s">
        <v>1069</v>
      </c>
      <c r="D131" s="11" t="s">
        <v>50</v>
      </c>
      <c r="E131" s="11" t="s">
        <v>1087</v>
      </c>
      <c r="F131" s="12">
        <v>9000.0</v>
      </c>
      <c r="G131" s="62">
        <v>1000000.0</v>
      </c>
      <c r="H131" s="62" t="s">
        <v>42</v>
      </c>
      <c r="I131" s="63">
        <v>550000.0</v>
      </c>
      <c r="J131" s="11" t="s">
        <v>42</v>
      </c>
      <c r="K131" s="62">
        <f t="shared" si="10"/>
        <v>450000</v>
      </c>
      <c r="L131" s="16">
        <v>0.0</v>
      </c>
    </row>
    <row r="132" ht="15.75" customHeight="1">
      <c r="A132" s="51">
        <v>45213.0</v>
      </c>
      <c r="B132" s="11" t="s">
        <v>726</v>
      </c>
      <c r="C132" s="11" t="s">
        <v>1069</v>
      </c>
      <c r="D132" s="11" t="s">
        <v>50</v>
      </c>
      <c r="E132" s="11" t="s">
        <v>86</v>
      </c>
      <c r="F132" s="12">
        <v>9000.0</v>
      </c>
      <c r="G132" s="62">
        <v>975000.0</v>
      </c>
      <c r="H132" s="62" t="s">
        <v>42</v>
      </c>
      <c r="I132" s="63">
        <v>500000.0</v>
      </c>
      <c r="J132" s="11" t="s">
        <v>42</v>
      </c>
      <c r="K132" s="62">
        <f t="shared" si="10"/>
        <v>475000</v>
      </c>
      <c r="L132" s="16">
        <v>0.0</v>
      </c>
    </row>
    <row r="133" ht="15.75" customHeight="1">
      <c r="A133" s="51">
        <v>45215.0</v>
      </c>
      <c r="B133" s="11" t="s">
        <v>726</v>
      </c>
      <c r="C133" s="11" t="s">
        <v>1069</v>
      </c>
      <c r="D133" s="11" t="s">
        <v>30</v>
      </c>
      <c r="E133" s="11" t="s">
        <v>34</v>
      </c>
      <c r="F133" s="12">
        <v>9000.0</v>
      </c>
      <c r="G133" s="62">
        <v>1215000.0</v>
      </c>
      <c r="H133" s="63" t="s">
        <v>44</v>
      </c>
      <c r="I133" s="63">
        <v>700000.0</v>
      </c>
      <c r="J133" s="11" t="s">
        <v>42</v>
      </c>
      <c r="K133" s="62">
        <f t="shared" si="10"/>
        <v>515000</v>
      </c>
      <c r="L133" s="16">
        <v>0.0</v>
      </c>
    </row>
    <row r="134" ht="15.75" customHeight="1">
      <c r="A134" s="51">
        <v>45216.0</v>
      </c>
      <c r="B134" s="11" t="s">
        <v>726</v>
      </c>
      <c r="C134" s="11" t="s">
        <v>1069</v>
      </c>
      <c r="D134" s="11" t="s">
        <v>30</v>
      </c>
      <c r="E134" s="11" t="s">
        <v>1082</v>
      </c>
      <c r="F134" s="12">
        <v>8500.0</v>
      </c>
      <c r="G134" s="62">
        <v>1100000.0</v>
      </c>
      <c r="H134" s="62" t="s">
        <v>42</v>
      </c>
      <c r="I134" s="63">
        <v>640000.0</v>
      </c>
      <c r="J134" s="11" t="s">
        <v>42</v>
      </c>
      <c r="K134" s="62">
        <f t="shared" si="10"/>
        <v>460000</v>
      </c>
      <c r="L134" s="16">
        <v>0.0</v>
      </c>
    </row>
    <row r="135" ht="15.75" customHeight="1">
      <c r="A135" s="51">
        <v>45217.0</v>
      </c>
      <c r="B135" s="11" t="s">
        <v>726</v>
      </c>
      <c r="C135" s="11" t="s">
        <v>1069</v>
      </c>
      <c r="D135" s="11" t="s">
        <v>30</v>
      </c>
      <c r="E135" s="11" t="s">
        <v>381</v>
      </c>
      <c r="F135" s="12">
        <v>9000.0</v>
      </c>
      <c r="G135" s="16">
        <v>820000.0</v>
      </c>
      <c r="H135" s="13" t="s">
        <v>44</v>
      </c>
      <c r="I135" s="13">
        <v>350000.0</v>
      </c>
      <c r="J135" s="13" t="s">
        <v>42</v>
      </c>
      <c r="K135" s="16">
        <f t="shared" si="10"/>
        <v>470000</v>
      </c>
      <c r="L135" s="62">
        <v>0.0</v>
      </c>
    </row>
    <row r="136" ht="15.75" customHeight="1">
      <c r="A136" s="51">
        <v>45217.0</v>
      </c>
      <c r="B136" s="11" t="s">
        <v>726</v>
      </c>
      <c r="C136" s="11" t="s">
        <v>1069</v>
      </c>
      <c r="D136" s="11" t="s">
        <v>30</v>
      </c>
      <c r="E136" s="11" t="s">
        <v>61</v>
      </c>
      <c r="F136" s="12">
        <v>9000.0</v>
      </c>
      <c r="G136" s="16">
        <v>675000.0</v>
      </c>
      <c r="H136" s="13" t="s">
        <v>44</v>
      </c>
      <c r="I136" s="13">
        <v>350000.0</v>
      </c>
      <c r="J136" s="13" t="s">
        <v>42</v>
      </c>
      <c r="K136" s="16">
        <f t="shared" si="10"/>
        <v>325000</v>
      </c>
      <c r="L136" s="62">
        <v>0.0</v>
      </c>
    </row>
    <row r="137" ht="15.75" customHeight="1">
      <c r="A137" s="51">
        <v>45218.0</v>
      </c>
      <c r="B137" s="11" t="s">
        <v>726</v>
      </c>
      <c r="C137" s="11" t="s">
        <v>1069</v>
      </c>
      <c r="D137" s="11" t="s">
        <v>30</v>
      </c>
      <c r="E137" s="11" t="s">
        <v>61</v>
      </c>
      <c r="F137" s="12">
        <v>9000.0</v>
      </c>
      <c r="G137" s="16">
        <v>675000.0</v>
      </c>
      <c r="H137" s="13" t="s">
        <v>44</v>
      </c>
      <c r="I137" s="13">
        <v>350000.0</v>
      </c>
      <c r="J137" s="13" t="s">
        <v>42</v>
      </c>
      <c r="K137" s="16">
        <f t="shared" si="10"/>
        <v>325000</v>
      </c>
      <c r="L137" s="62">
        <v>0.0</v>
      </c>
    </row>
    <row r="138" ht="15.75" customHeight="1">
      <c r="A138" s="51">
        <v>45218.0</v>
      </c>
      <c r="B138" s="11" t="s">
        <v>726</v>
      </c>
      <c r="C138" s="11" t="s">
        <v>1069</v>
      </c>
      <c r="D138" s="11" t="s">
        <v>37</v>
      </c>
      <c r="E138" s="11" t="s">
        <v>69</v>
      </c>
      <c r="F138" s="12">
        <v>9000.0</v>
      </c>
      <c r="G138" s="16">
        <v>900000.0</v>
      </c>
      <c r="H138" s="13" t="s">
        <v>42</v>
      </c>
      <c r="I138" s="13">
        <v>500000.0</v>
      </c>
      <c r="J138" s="13" t="s">
        <v>42</v>
      </c>
      <c r="K138" s="16">
        <f t="shared" si="10"/>
        <v>400000</v>
      </c>
      <c r="L138" s="62">
        <v>0.0</v>
      </c>
    </row>
    <row r="139" ht="15.75" customHeight="1">
      <c r="A139" s="51">
        <v>45219.0</v>
      </c>
      <c r="B139" s="11" t="s">
        <v>726</v>
      </c>
      <c r="C139" s="11" t="s">
        <v>1069</v>
      </c>
      <c r="D139" s="11" t="s">
        <v>30</v>
      </c>
      <c r="E139" s="11" t="s">
        <v>32</v>
      </c>
      <c r="F139" s="12">
        <v>9000.0</v>
      </c>
      <c r="G139" s="16">
        <v>675000.0</v>
      </c>
      <c r="H139" s="13" t="s">
        <v>42</v>
      </c>
      <c r="I139" s="13">
        <v>350000.0</v>
      </c>
      <c r="J139" s="13" t="s">
        <v>42</v>
      </c>
      <c r="K139" s="16">
        <f t="shared" si="10"/>
        <v>325000</v>
      </c>
      <c r="L139" s="62">
        <v>0.0</v>
      </c>
    </row>
    <row r="140" ht="15.75" customHeight="1">
      <c r="A140" s="51">
        <v>45219.0</v>
      </c>
      <c r="B140" s="11" t="s">
        <v>726</v>
      </c>
      <c r="C140" s="11" t="s">
        <v>1069</v>
      </c>
      <c r="D140" s="11" t="s">
        <v>30</v>
      </c>
      <c r="E140" s="11" t="s">
        <v>107</v>
      </c>
      <c r="F140" s="12">
        <v>9000.0</v>
      </c>
      <c r="G140" s="16">
        <v>1125000.0</v>
      </c>
      <c r="H140" s="13" t="s">
        <v>42</v>
      </c>
      <c r="I140" s="13">
        <v>640000.0</v>
      </c>
      <c r="J140" s="13" t="s">
        <v>42</v>
      </c>
      <c r="K140" s="16">
        <f t="shared" si="10"/>
        <v>485000</v>
      </c>
      <c r="L140" s="62">
        <v>0.0</v>
      </c>
    </row>
    <row r="141" ht="15.75" customHeight="1">
      <c r="A141" s="51">
        <v>45220.0</v>
      </c>
      <c r="B141" s="11" t="s">
        <v>726</v>
      </c>
      <c r="C141" s="11" t="s">
        <v>1069</v>
      </c>
      <c r="D141" s="11" t="s">
        <v>30</v>
      </c>
      <c r="E141" s="11" t="s">
        <v>57</v>
      </c>
      <c r="F141" s="12">
        <v>9000.0</v>
      </c>
      <c r="G141" s="16">
        <v>1080000.0</v>
      </c>
      <c r="H141" s="13" t="s">
        <v>42</v>
      </c>
      <c r="I141" s="13">
        <v>640000.0</v>
      </c>
      <c r="J141" s="13" t="s">
        <v>42</v>
      </c>
      <c r="K141" s="16">
        <f t="shared" si="10"/>
        <v>440000</v>
      </c>
      <c r="L141" s="62">
        <v>0.0</v>
      </c>
    </row>
    <row r="142" ht="15.75" customHeight="1">
      <c r="A142" s="51">
        <v>45222.0</v>
      </c>
      <c r="B142" s="11" t="s">
        <v>726</v>
      </c>
      <c r="C142" s="11" t="s">
        <v>1069</v>
      </c>
      <c r="D142" s="11" t="s">
        <v>37</v>
      </c>
      <c r="E142" s="11" t="s">
        <v>1088</v>
      </c>
      <c r="F142" s="12">
        <v>9000.0</v>
      </c>
      <c r="G142" s="16">
        <v>720000.0</v>
      </c>
      <c r="H142" s="13" t="s">
        <v>44</v>
      </c>
      <c r="I142" s="13">
        <v>350000.0</v>
      </c>
      <c r="J142" s="13" t="s">
        <v>42</v>
      </c>
      <c r="K142" s="16">
        <f t="shared" si="10"/>
        <v>370000</v>
      </c>
      <c r="L142" s="62">
        <v>0.0</v>
      </c>
    </row>
    <row r="143" ht="15.75" customHeight="1">
      <c r="A143" s="51">
        <v>45222.0</v>
      </c>
      <c r="B143" s="11" t="s">
        <v>62</v>
      </c>
      <c r="C143" s="11" t="s">
        <v>995</v>
      </c>
      <c r="D143" s="11"/>
      <c r="E143" s="11"/>
      <c r="F143" s="12"/>
      <c r="G143" s="16"/>
      <c r="H143" s="13"/>
      <c r="I143" s="13"/>
      <c r="J143" s="13"/>
      <c r="K143" s="16"/>
      <c r="L143" s="62">
        <v>520000.0</v>
      </c>
    </row>
    <row r="144" ht="15.75" customHeight="1">
      <c r="A144" s="51">
        <v>45222.0</v>
      </c>
      <c r="B144" s="11" t="s">
        <v>62</v>
      </c>
      <c r="C144" s="11" t="s">
        <v>995</v>
      </c>
      <c r="D144" s="11"/>
      <c r="E144" s="11"/>
      <c r="F144" s="12"/>
      <c r="G144" s="16"/>
      <c r="H144" s="13"/>
      <c r="I144" s="13"/>
      <c r="J144" s="13"/>
      <c r="K144" s="16"/>
      <c r="L144" s="62">
        <v>125000.0</v>
      </c>
      <c r="M144" s="22" t="s">
        <v>1089</v>
      </c>
    </row>
    <row r="145" ht="15.75" customHeight="1">
      <c r="A145" s="51">
        <v>45223.0</v>
      </c>
      <c r="B145" s="11" t="s">
        <v>726</v>
      </c>
      <c r="C145" s="11" t="s">
        <v>1090</v>
      </c>
      <c r="D145" s="11" t="s">
        <v>30</v>
      </c>
      <c r="E145" s="11" t="s">
        <v>378</v>
      </c>
      <c r="F145" s="12">
        <v>8500.0</v>
      </c>
      <c r="G145" s="16">
        <v>1100000.0</v>
      </c>
      <c r="H145" s="13" t="s">
        <v>42</v>
      </c>
      <c r="I145" s="13">
        <v>640000.0</v>
      </c>
      <c r="J145" s="13" t="s">
        <v>42</v>
      </c>
      <c r="K145" s="16">
        <f t="shared" ref="K145:K149" si="11">G145-I145</f>
        <v>460000</v>
      </c>
      <c r="L145" s="62">
        <v>0.0</v>
      </c>
    </row>
    <row r="146" ht="15.75" customHeight="1">
      <c r="A146" s="51">
        <v>45226.0</v>
      </c>
      <c r="B146" s="11" t="s">
        <v>726</v>
      </c>
      <c r="C146" s="11" t="s">
        <v>1090</v>
      </c>
      <c r="D146" s="11" t="s">
        <v>71</v>
      </c>
      <c r="E146" s="11" t="s">
        <v>1088</v>
      </c>
      <c r="F146" s="12">
        <v>9000.0</v>
      </c>
      <c r="G146" s="16">
        <v>820000.0</v>
      </c>
      <c r="H146" s="13" t="s">
        <v>44</v>
      </c>
      <c r="I146" s="13">
        <v>350000.0</v>
      </c>
      <c r="J146" s="13" t="s">
        <v>42</v>
      </c>
      <c r="K146" s="16">
        <f t="shared" si="11"/>
        <v>470000</v>
      </c>
      <c r="L146" s="62">
        <v>0.0</v>
      </c>
    </row>
    <row r="147" ht="15.75" customHeight="1">
      <c r="A147" s="51">
        <v>45227.0</v>
      </c>
      <c r="B147" s="11" t="s">
        <v>726</v>
      </c>
      <c r="C147" s="11" t="s">
        <v>1090</v>
      </c>
      <c r="D147" s="11" t="s">
        <v>30</v>
      </c>
      <c r="E147" s="11" t="s">
        <v>57</v>
      </c>
      <c r="F147" s="12">
        <v>9000.0</v>
      </c>
      <c r="G147" s="16">
        <v>1080000.0</v>
      </c>
      <c r="H147" s="13" t="s">
        <v>42</v>
      </c>
      <c r="I147" s="13">
        <v>640000.0</v>
      </c>
      <c r="J147" s="13" t="s">
        <v>42</v>
      </c>
      <c r="K147" s="16">
        <f t="shared" si="11"/>
        <v>440000</v>
      </c>
      <c r="L147" s="62">
        <v>0.0</v>
      </c>
    </row>
    <row r="148" ht="15.75" customHeight="1">
      <c r="A148" s="51">
        <v>45229.0</v>
      </c>
      <c r="B148" s="11" t="s">
        <v>726</v>
      </c>
      <c r="C148" s="11" t="s">
        <v>1090</v>
      </c>
      <c r="D148" s="11" t="s">
        <v>71</v>
      </c>
      <c r="E148" s="11" t="s">
        <v>86</v>
      </c>
      <c r="F148" s="12">
        <v>9000.0</v>
      </c>
      <c r="G148" s="16">
        <v>975000.0</v>
      </c>
      <c r="H148" s="13" t="s">
        <v>42</v>
      </c>
      <c r="I148" s="13">
        <v>500000.0</v>
      </c>
      <c r="J148" s="13" t="s">
        <v>42</v>
      </c>
      <c r="K148" s="16">
        <f t="shared" si="11"/>
        <v>475000</v>
      </c>
      <c r="L148" s="62">
        <v>0.0</v>
      </c>
    </row>
    <row r="149" ht="15.75" customHeight="1">
      <c r="A149" s="51">
        <v>45230.0</v>
      </c>
      <c r="B149" s="11" t="s">
        <v>726</v>
      </c>
      <c r="C149" s="11" t="s">
        <v>1090</v>
      </c>
      <c r="D149" s="11" t="s">
        <v>30</v>
      </c>
      <c r="E149" s="11" t="s">
        <v>34</v>
      </c>
      <c r="F149" s="12">
        <v>9000.0</v>
      </c>
      <c r="G149" s="62">
        <v>1215000.0</v>
      </c>
      <c r="H149" s="63" t="s">
        <v>44</v>
      </c>
      <c r="I149" s="63">
        <v>700000.0</v>
      </c>
      <c r="J149" s="11" t="s">
        <v>42</v>
      </c>
      <c r="K149" s="62">
        <f t="shared" si="11"/>
        <v>515000</v>
      </c>
      <c r="L149" s="16">
        <v>0.0</v>
      </c>
    </row>
    <row r="150" ht="15.75" customHeight="1">
      <c r="A150" s="23"/>
      <c r="B150" s="23"/>
      <c r="C150" s="23"/>
      <c r="D150" s="23"/>
      <c r="E150" s="23"/>
      <c r="F150" s="22"/>
      <c r="G150" s="22"/>
      <c r="H150" s="22"/>
      <c r="I150" s="22"/>
      <c r="J150" s="23"/>
      <c r="K150" s="275">
        <f t="shared" ref="K150:L150" si="12">SUM(K119:K149)</f>
        <v>12675000</v>
      </c>
      <c r="L150" s="404">
        <f t="shared" si="12"/>
        <v>5245000</v>
      </c>
    </row>
    <row r="151" ht="15.75" customHeight="1">
      <c r="A151" s="23"/>
      <c r="B151" s="23"/>
      <c r="C151" s="23"/>
      <c r="D151" s="23"/>
      <c r="E151" s="23"/>
      <c r="F151" s="22"/>
      <c r="G151" s="22"/>
      <c r="H151" s="22"/>
      <c r="I151" s="22"/>
      <c r="J151" s="23"/>
      <c r="K151" s="276">
        <f>K150-L150</f>
        <v>7430000</v>
      </c>
      <c r="L151" s="54"/>
    </row>
    <row r="152" ht="15.75" customHeight="1">
      <c r="A152" s="169"/>
      <c r="B152" s="169"/>
      <c r="C152" s="169"/>
      <c r="D152" s="169"/>
      <c r="E152" s="169"/>
      <c r="J152" s="169"/>
      <c r="L152" s="202"/>
    </row>
    <row r="153" ht="33.0" customHeight="1">
      <c r="A153" s="257" t="s">
        <v>0</v>
      </c>
      <c r="B153" s="258" t="s">
        <v>1</v>
      </c>
      <c r="C153" s="258" t="s">
        <v>2</v>
      </c>
      <c r="D153" s="259" t="s">
        <v>3</v>
      </c>
      <c r="E153" s="258" t="s">
        <v>4</v>
      </c>
      <c r="F153" s="260" t="s">
        <v>5</v>
      </c>
      <c r="G153" s="262" t="s">
        <v>6</v>
      </c>
      <c r="H153" s="262" t="s">
        <v>39</v>
      </c>
      <c r="I153" s="260" t="s">
        <v>7</v>
      </c>
      <c r="J153" s="260" t="s">
        <v>39</v>
      </c>
      <c r="K153" s="262" t="s">
        <v>8</v>
      </c>
      <c r="L153" s="265" t="s">
        <v>9</v>
      </c>
    </row>
    <row r="154" ht="15.75" customHeight="1">
      <c r="A154" s="51">
        <v>45231.0</v>
      </c>
      <c r="B154" s="63" t="s">
        <v>726</v>
      </c>
      <c r="C154" s="63" t="s">
        <v>1090</v>
      </c>
      <c r="D154" s="63" t="s">
        <v>30</v>
      </c>
      <c r="E154" s="63" t="s">
        <v>59</v>
      </c>
      <c r="F154" s="12">
        <v>9000.0</v>
      </c>
      <c r="G154" s="62">
        <v>770000.0</v>
      </c>
      <c r="H154" s="63" t="s">
        <v>44</v>
      </c>
      <c r="I154" s="62">
        <v>350000.0</v>
      </c>
      <c r="J154" s="63" t="s">
        <v>42</v>
      </c>
      <c r="K154" s="62">
        <f t="shared" ref="K154:K165" si="13">G154-I154</f>
        <v>420000</v>
      </c>
      <c r="L154" s="62">
        <v>0.0</v>
      </c>
    </row>
    <row r="155" ht="15.75" customHeight="1">
      <c r="A155" s="51">
        <v>45232.0</v>
      </c>
      <c r="B155" s="63" t="s">
        <v>726</v>
      </c>
      <c r="C155" s="63" t="s">
        <v>1090</v>
      </c>
      <c r="D155" s="63" t="s">
        <v>71</v>
      </c>
      <c r="E155" s="63" t="s">
        <v>72</v>
      </c>
      <c r="F155" s="12">
        <v>9000.0</v>
      </c>
      <c r="G155" s="62">
        <v>1215000.0</v>
      </c>
      <c r="H155" s="63" t="s">
        <v>44</v>
      </c>
      <c r="I155" s="62">
        <v>700000.0</v>
      </c>
      <c r="J155" s="63" t="s">
        <v>42</v>
      </c>
      <c r="K155" s="62">
        <f t="shared" si="13"/>
        <v>515000</v>
      </c>
      <c r="L155" s="62">
        <v>0.0</v>
      </c>
    </row>
    <row r="156" ht="15.75" customHeight="1">
      <c r="A156" s="51">
        <v>45233.0</v>
      </c>
      <c r="B156" s="63" t="s">
        <v>726</v>
      </c>
      <c r="C156" s="63" t="s">
        <v>1090</v>
      </c>
      <c r="D156" s="11" t="s">
        <v>30</v>
      </c>
      <c r="E156" s="11" t="s">
        <v>79</v>
      </c>
      <c r="F156" s="12">
        <v>8500.0</v>
      </c>
      <c r="G156" s="13">
        <v>1100000.0</v>
      </c>
      <c r="H156" s="63" t="s">
        <v>42</v>
      </c>
      <c r="I156" s="62">
        <v>640000.0</v>
      </c>
      <c r="J156" s="63" t="s">
        <v>42</v>
      </c>
      <c r="K156" s="62">
        <f t="shared" si="13"/>
        <v>460000</v>
      </c>
      <c r="L156" s="62">
        <v>725000.0</v>
      </c>
    </row>
    <row r="157" ht="15.75" customHeight="1">
      <c r="A157" s="51">
        <v>45234.0</v>
      </c>
      <c r="B157" s="63" t="s">
        <v>726</v>
      </c>
      <c r="C157" s="63" t="s">
        <v>1090</v>
      </c>
      <c r="D157" s="63" t="s">
        <v>30</v>
      </c>
      <c r="E157" s="63" t="s">
        <v>57</v>
      </c>
      <c r="F157" s="12">
        <v>9000.0</v>
      </c>
      <c r="G157" s="62">
        <v>1080000.0</v>
      </c>
      <c r="H157" s="62"/>
      <c r="I157" s="62">
        <v>640000.0</v>
      </c>
      <c r="J157" s="63" t="s">
        <v>42</v>
      </c>
      <c r="K157" s="62">
        <f t="shared" si="13"/>
        <v>440000</v>
      </c>
      <c r="L157" s="62">
        <v>0.0</v>
      </c>
    </row>
    <row r="158" ht="15.75" customHeight="1">
      <c r="A158" s="51">
        <v>45236.0</v>
      </c>
      <c r="B158" s="63" t="s">
        <v>726</v>
      </c>
      <c r="C158" s="63" t="s">
        <v>1090</v>
      </c>
      <c r="D158" s="63" t="s">
        <v>37</v>
      </c>
      <c r="E158" s="63" t="s">
        <v>86</v>
      </c>
      <c r="F158" s="12">
        <v>9000.0</v>
      </c>
      <c r="G158" s="62">
        <v>975000.0</v>
      </c>
      <c r="H158" s="62"/>
      <c r="I158" s="62">
        <v>500000.0</v>
      </c>
      <c r="J158" s="62"/>
      <c r="K158" s="62">
        <f t="shared" si="13"/>
        <v>475000</v>
      </c>
      <c r="L158" s="62">
        <v>0.0</v>
      </c>
    </row>
    <row r="159" ht="15.75" customHeight="1">
      <c r="A159" s="51">
        <v>45237.0</v>
      </c>
      <c r="B159" s="63" t="s">
        <v>726</v>
      </c>
      <c r="C159" s="63" t="s">
        <v>1090</v>
      </c>
      <c r="D159" s="63" t="s">
        <v>71</v>
      </c>
      <c r="E159" s="63" t="s">
        <v>59</v>
      </c>
      <c r="F159" s="12">
        <v>9000.0</v>
      </c>
      <c r="G159" s="62">
        <v>820000.0</v>
      </c>
      <c r="H159" s="63" t="s">
        <v>44</v>
      </c>
      <c r="I159" s="62">
        <v>350000.0</v>
      </c>
      <c r="J159" s="62"/>
      <c r="K159" s="62">
        <f t="shared" si="13"/>
        <v>470000</v>
      </c>
      <c r="L159" s="62">
        <v>0.0</v>
      </c>
    </row>
    <row r="160" ht="15.75" customHeight="1">
      <c r="A160" s="51">
        <v>45238.0</v>
      </c>
      <c r="B160" s="63" t="s">
        <v>726</v>
      </c>
      <c r="C160" s="63" t="s">
        <v>1090</v>
      </c>
      <c r="D160" s="63" t="s">
        <v>30</v>
      </c>
      <c r="E160" s="63" t="s">
        <v>79</v>
      </c>
      <c r="F160" s="12">
        <v>7500.0</v>
      </c>
      <c r="G160" s="62">
        <v>1100000.0</v>
      </c>
      <c r="H160" s="62"/>
      <c r="I160" s="62">
        <v>640000.0</v>
      </c>
      <c r="J160" s="62"/>
      <c r="K160" s="62">
        <f t="shared" si="13"/>
        <v>460000</v>
      </c>
      <c r="L160" s="62">
        <v>0.0</v>
      </c>
    </row>
    <row r="161" ht="15.75" customHeight="1">
      <c r="A161" s="51">
        <v>45243.0</v>
      </c>
      <c r="B161" s="63" t="s">
        <v>726</v>
      </c>
      <c r="C161" s="63" t="s">
        <v>1090</v>
      </c>
      <c r="D161" s="63" t="s">
        <v>30</v>
      </c>
      <c r="E161" s="63" t="s">
        <v>79</v>
      </c>
      <c r="F161" s="12">
        <v>8500.0</v>
      </c>
      <c r="G161" s="62">
        <v>1100000.0</v>
      </c>
      <c r="H161" s="62"/>
      <c r="I161" s="62">
        <v>640000.0</v>
      </c>
      <c r="J161" s="62"/>
      <c r="K161" s="62">
        <f t="shared" si="13"/>
        <v>460000</v>
      </c>
      <c r="L161" s="62">
        <v>0.0</v>
      </c>
    </row>
    <row r="162" ht="15.75" customHeight="1">
      <c r="A162" s="51">
        <v>45244.0</v>
      </c>
      <c r="B162" s="63" t="s">
        <v>726</v>
      </c>
      <c r="C162" s="63" t="s">
        <v>1090</v>
      </c>
      <c r="D162" s="63" t="s">
        <v>71</v>
      </c>
      <c r="E162" s="63" t="s">
        <v>407</v>
      </c>
      <c r="F162" s="12">
        <v>9000.0</v>
      </c>
      <c r="G162" s="62">
        <v>820000.0</v>
      </c>
      <c r="H162" s="62"/>
      <c r="I162" s="62">
        <v>350000.0</v>
      </c>
      <c r="J162" s="62"/>
      <c r="K162" s="62">
        <f t="shared" si="13"/>
        <v>470000</v>
      </c>
      <c r="L162" s="62">
        <v>0.0</v>
      </c>
    </row>
    <row r="163" ht="15.75" customHeight="1">
      <c r="A163" s="51">
        <v>45245.0</v>
      </c>
      <c r="B163" s="63" t="s">
        <v>726</v>
      </c>
      <c r="C163" s="63" t="s">
        <v>1090</v>
      </c>
      <c r="D163" s="63" t="s">
        <v>30</v>
      </c>
      <c r="E163" s="63" t="s">
        <v>79</v>
      </c>
      <c r="F163" s="12">
        <v>8500.0</v>
      </c>
      <c r="G163" s="62">
        <v>1100000.0</v>
      </c>
      <c r="H163" s="62"/>
      <c r="I163" s="62">
        <v>640000.0</v>
      </c>
      <c r="J163" s="62"/>
      <c r="K163" s="62">
        <f t="shared" si="13"/>
        <v>460000</v>
      </c>
      <c r="L163" s="62">
        <v>0.0</v>
      </c>
    </row>
    <row r="164" ht="15.75" customHeight="1">
      <c r="A164" s="51">
        <v>45247.0</v>
      </c>
      <c r="B164" s="63" t="s">
        <v>726</v>
      </c>
      <c r="C164" s="63" t="s">
        <v>1090</v>
      </c>
      <c r="D164" s="63" t="s">
        <v>71</v>
      </c>
      <c r="E164" s="63" t="s">
        <v>86</v>
      </c>
      <c r="F164" s="12">
        <v>9000.0</v>
      </c>
      <c r="G164" s="62">
        <v>975000.0</v>
      </c>
      <c r="H164" s="62"/>
      <c r="I164" s="62">
        <v>500000.0</v>
      </c>
      <c r="J164" s="62"/>
      <c r="K164" s="62">
        <f t="shared" si="13"/>
        <v>475000</v>
      </c>
      <c r="L164" s="62">
        <v>0.0</v>
      </c>
    </row>
    <row r="165" ht="15.75" customHeight="1">
      <c r="A165" s="51">
        <v>45248.0</v>
      </c>
      <c r="B165" s="63" t="s">
        <v>726</v>
      </c>
      <c r="C165" s="63" t="s">
        <v>1090</v>
      </c>
      <c r="D165" s="63" t="s">
        <v>37</v>
      </c>
      <c r="E165" s="63" t="s">
        <v>54</v>
      </c>
      <c r="F165" s="12">
        <v>9000.0</v>
      </c>
      <c r="G165" s="62">
        <v>1200000.0</v>
      </c>
      <c r="H165" s="62"/>
      <c r="I165" s="62">
        <v>640000.0</v>
      </c>
      <c r="J165" s="62"/>
      <c r="K165" s="62">
        <f t="shared" si="13"/>
        <v>560000</v>
      </c>
      <c r="L165" s="62">
        <v>0.0</v>
      </c>
    </row>
    <row r="166" ht="15.75" customHeight="1">
      <c r="A166" s="169"/>
      <c r="B166" s="169"/>
      <c r="C166" s="169"/>
      <c r="D166" s="169"/>
      <c r="E166" s="169"/>
      <c r="K166" s="275">
        <f t="shared" ref="K166:L166" si="14">SUM(K154:K165)</f>
        <v>5665000</v>
      </c>
      <c r="L166" s="404">
        <f t="shared" si="14"/>
        <v>725000</v>
      </c>
    </row>
    <row r="167" ht="15.75" customHeight="1">
      <c r="A167" s="169"/>
      <c r="B167" s="169"/>
      <c r="C167" s="169"/>
      <c r="D167" s="169"/>
      <c r="E167" s="169"/>
      <c r="K167" s="276">
        <f>K166-L166</f>
        <v>4940000</v>
      </c>
      <c r="L167" s="54"/>
    </row>
    <row r="168" ht="15.75" customHeight="1">
      <c r="A168" s="169"/>
      <c r="B168" s="169"/>
      <c r="C168" s="169"/>
      <c r="D168" s="169"/>
      <c r="E168" s="169"/>
      <c r="L168" s="202"/>
    </row>
    <row r="169" ht="15.75" customHeight="1">
      <c r="A169" s="169"/>
      <c r="B169" s="169"/>
      <c r="C169" s="169"/>
      <c r="D169" s="169"/>
      <c r="E169" s="169"/>
      <c r="L169" s="202"/>
    </row>
    <row r="170" ht="15.75" customHeight="1">
      <c r="A170" s="169"/>
      <c r="B170" s="169"/>
      <c r="C170" s="169"/>
      <c r="D170" s="169"/>
      <c r="E170" s="169"/>
      <c r="L170" s="202"/>
    </row>
    <row r="171" ht="15.75" customHeight="1">
      <c r="A171" s="169"/>
      <c r="B171" s="169"/>
      <c r="C171" s="169"/>
      <c r="D171" s="169"/>
      <c r="E171" s="169"/>
      <c r="L171" s="202"/>
    </row>
    <row r="172" ht="15.75" customHeight="1">
      <c r="A172" s="169"/>
      <c r="B172" s="169"/>
      <c r="C172" s="169"/>
      <c r="D172" s="169"/>
      <c r="E172" s="169"/>
      <c r="L172" s="202"/>
    </row>
    <row r="173" ht="15.75" customHeight="1">
      <c r="A173" s="169"/>
      <c r="B173" s="169"/>
      <c r="C173" s="169"/>
      <c r="D173" s="169"/>
      <c r="E173" s="169"/>
      <c r="L173" s="202"/>
    </row>
    <row r="174" ht="15.75" customHeight="1">
      <c r="A174" s="169"/>
      <c r="B174" s="169"/>
      <c r="C174" s="169"/>
      <c r="D174" s="169"/>
      <c r="E174" s="169"/>
      <c r="L174" s="202"/>
    </row>
    <row r="175" ht="15.75" customHeight="1">
      <c r="A175" s="169"/>
      <c r="B175" s="169"/>
      <c r="C175" s="169"/>
      <c r="D175" s="169"/>
      <c r="E175" s="169"/>
      <c r="L175" s="202"/>
    </row>
    <row r="176" ht="15.75" customHeight="1">
      <c r="A176" s="169"/>
      <c r="B176" s="169"/>
      <c r="C176" s="169"/>
      <c r="D176" s="169"/>
      <c r="E176" s="169"/>
      <c r="L176" s="202"/>
    </row>
    <row r="177" ht="15.75" customHeight="1">
      <c r="A177" s="169"/>
      <c r="B177" s="169"/>
      <c r="C177" s="169"/>
      <c r="D177" s="169"/>
      <c r="E177" s="169"/>
      <c r="L177" s="202"/>
    </row>
    <row r="178" ht="15.75" customHeight="1">
      <c r="A178" s="169"/>
      <c r="B178" s="169"/>
      <c r="C178" s="169"/>
      <c r="D178" s="169"/>
      <c r="E178" s="169"/>
      <c r="L178" s="202"/>
    </row>
    <row r="179" ht="15.75" customHeight="1">
      <c r="A179" s="169"/>
      <c r="B179" s="169"/>
      <c r="C179" s="169"/>
      <c r="D179" s="169"/>
      <c r="E179" s="169"/>
      <c r="L179" s="202"/>
    </row>
    <row r="180" ht="15.75" customHeight="1">
      <c r="A180" s="169"/>
      <c r="B180" s="169"/>
      <c r="C180" s="169"/>
      <c r="D180" s="169"/>
      <c r="E180" s="169"/>
      <c r="L180" s="202"/>
    </row>
    <row r="181" ht="15.75" customHeight="1">
      <c r="A181" s="169"/>
      <c r="B181" s="169"/>
      <c r="C181" s="169"/>
      <c r="D181" s="169"/>
      <c r="E181" s="169"/>
      <c r="L181" s="202"/>
    </row>
    <row r="182" ht="15.75" customHeight="1">
      <c r="A182" s="169"/>
      <c r="B182" s="169"/>
      <c r="C182" s="169"/>
      <c r="D182" s="169"/>
      <c r="E182" s="169"/>
      <c r="L182" s="202"/>
    </row>
    <row r="183" ht="15.75" customHeight="1">
      <c r="A183" s="169"/>
      <c r="B183" s="169"/>
      <c r="C183" s="169"/>
      <c r="D183" s="169"/>
      <c r="E183" s="169"/>
      <c r="L183" s="202"/>
    </row>
    <row r="184" ht="15.75" customHeight="1">
      <c r="A184" s="169"/>
      <c r="B184" s="169"/>
      <c r="C184" s="169"/>
      <c r="D184" s="169"/>
      <c r="E184" s="169"/>
      <c r="L184" s="202"/>
    </row>
    <row r="185" ht="15.75" customHeight="1">
      <c r="A185" s="169"/>
      <c r="B185" s="169"/>
      <c r="C185" s="169"/>
      <c r="D185" s="169"/>
      <c r="E185" s="169"/>
      <c r="L185" s="202"/>
    </row>
    <row r="186" ht="15.75" customHeight="1">
      <c r="A186" s="169"/>
      <c r="B186" s="169"/>
      <c r="C186" s="169"/>
      <c r="D186" s="169"/>
      <c r="E186" s="169"/>
      <c r="L186" s="202"/>
    </row>
    <row r="187" ht="15.75" customHeight="1">
      <c r="A187" s="169"/>
      <c r="B187" s="169"/>
      <c r="C187" s="169"/>
      <c r="D187" s="169"/>
      <c r="E187" s="169"/>
      <c r="L187" s="202"/>
    </row>
    <row r="188" ht="15.75" customHeight="1">
      <c r="A188" s="169"/>
      <c r="B188" s="169"/>
      <c r="C188" s="169"/>
      <c r="D188" s="169"/>
      <c r="E188" s="169"/>
      <c r="L188" s="202"/>
    </row>
    <row r="189" ht="15.75" customHeight="1">
      <c r="A189" s="169"/>
      <c r="B189" s="169"/>
      <c r="C189" s="169"/>
      <c r="D189" s="169"/>
      <c r="E189" s="169"/>
      <c r="L189" s="202"/>
    </row>
    <row r="190" ht="15.75" customHeight="1">
      <c r="A190" s="169"/>
      <c r="B190" s="169"/>
      <c r="C190" s="169"/>
      <c r="D190" s="169"/>
      <c r="E190" s="169"/>
      <c r="L190" s="202"/>
    </row>
    <row r="191" ht="15.75" customHeight="1">
      <c r="A191" s="169"/>
      <c r="B191" s="169"/>
      <c r="C191" s="169"/>
      <c r="D191" s="169"/>
      <c r="E191" s="169"/>
      <c r="L191" s="202"/>
    </row>
    <row r="192" ht="15.75" customHeight="1">
      <c r="A192" s="169"/>
      <c r="B192" s="169"/>
      <c r="C192" s="169"/>
      <c r="D192" s="169"/>
      <c r="E192" s="169"/>
      <c r="L192" s="202"/>
    </row>
    <row r="193" ht="15.75" customHeight="1">
      <c r="A193" s="169"/>
      <c r="B193" s="169"/>
      <c r="C193" s="169"/>
      <c r="D193" s="169"/>
      <c r="E193" s="169"/>
      <c r="L193" s="202"/>
    </row>
    <row r="194" ht="15.75" customHeight="1">
      <c r="A194" s="169"/>
      <c r="B194" s="169"/>
      <c r="C194" s="169"/>
      <c r="D194" s="169"/>
      <c r="E194" s="169"/>
      <c r="L194" s="202"/>
    </row>
    <row r="195" ht="15.75" customHeight="1">
      <c r="A195" s="169"/>
      <c r="B195" s="169"/>
      <c r="C195" s="169"/>
      <c r="D195" s="169"/>
      <c r="E195" s="169"/>
      <c r="L195" s="202"/>
    </row>
    <row r="196" ht="15.75" customHeight="1">
      <c r="A196" s="169"/>
      <c r="B196" s="169"/>
      <c r="C196" s="169"/>
      <c r="D196" s="169"/>
      <c r="E196" s="169"/>
      <c r="L196" s="202"/>
    </row>
    <row r="197" ht="15.75" customHeight="1">
      <c r="A197" s="169"/>
      <c r="B197" s="169"/>
      <c r="C197" s="169"/>
      <c r="D197" s="169"/>
      <c r="E197" s="169"/>
      <c r="L197" s="202"/>
    </row>
    <row r="198" ht="15.75" customHeight="1">
      <c r="A198" s="169"/>
      <c r="B198" s="169"/>
      <c r="C198" s="169"/>
      <c r="D198" s="169"/>
      <c r="E198" s="169"/>
      <c r="L198" s="202"/>
    </row>
    <row r="199" ht="15.75" customHeight="1">
      <c r="A199" s="169"/>
      <c r="B199" s="169"/>
      <c r="C199" s="169"/>
      <c r="D199" s="169"/>
      <c r="E199" s="169"/>
      <c r="L199" s="202"/>
    </row>
    <row r="200" ht="15.75" customHeight="1">
      <c r="A200" s="169"/>
      <c r="B200" s="169"/>
      <c r="C200" s="169"/>
      <c r="D200" s="169"/>
      <c r="E200" s="169"/>
      <c r="L200" s="202"/>
    </row>
    <row r="201" ht="15.75" customHeight="1">
      <c r="A201" s="169"/>
      <c r="B201" s="169"/>
      <c r="C201" s="169"/>
      <c r="D201" s="169"/>
      <c r="E201" s="169"/>
      <c r="L201" s="202"/>
    </row>
    <row r="202" ht="15.75" customHeight="1">
      <c r="A202" s="169"/>
      <c r="B202" s="169"/>
      <c r="C202" s="169"/>
      <c r="D202" s="169"/>
      <c r="E202" s="169"/>
      <c r="L202" s="202"/>
    </row>
    <row r="203" ht="15.75" customHeight="1">
      <c r="A203" s="169"/>
      <c r="B203" s="169"/>
      <c r="C203" s="169"/>
      <c r="D203" s="169"/>
      <c r="E203" s="169"/>
      <c r="L203" s="202"/>
    </row>
    <row r="204" ht="15.75" customHeight="1">
      <c r="A204" s="169"/>
      <c r="B204" s="169"/>
      <c r="C204" s="169"/>
      <c r="D204" s="169"/>
      <c r="E204" s="169"/>
      <c r="L204" s="202"/>
    </row>
    <row r="205" ht="15.75" customHeight="1">
      <c r="A205" s="169"/>
      <c r="B205" s="169"/>
      <c r="C205" s="169"/>
      <c r="D205" s="169"/>
      <c r="E205" s="169"/>
      <c r="L205" s="202"/>
    </row>
    <row r="206" ht="15.75" customHeight="1">
      <c r="A206" s="169"/>
      <c r="B206" s="169"/>
      <c r="C206" s="169"/>
      <c r="D206" s="169"/>
      <c r="E206" s="169"/>
      <c r="L206" s="202"/>
    </row>
    <row r="207" ht="15.75" customHeight="1">
      <c r="A207" s="169"/>
      <c r="B207" s="169"/>
      <c r="C207" s="169"/>
      <c r="D207" s="169"/>
      <c r="E207" s="169"/>
      <c r="L207" s="202"/>
    </row>
    <row r="208" ht="15.75" customHeight="1">
      <c r="A208" s="169"/>
      <c r="B208" s="169"/>
      <c r="C208" s="169"/>
      <c r="D208" s="169"/>
      <c r="E208" s="169"/>
      <c r="L208" s="202"/>
    </row>
    <row r="209" ht="15.75" customHeight="1">
      <c r="A209" s="169"/>
      <c r="B209" s="169"/>
      <c r="C209" s="169"/>
      <c r="D209" s="169"/>
      <c r="E209" s="169"/>
      <c r="L209" s="202"/>
    </row>
    <row r="210" ht="15.75" customHeight="1">
      <c r="A210" s="169"/>
      <c r="B210" s="169"/>
      <c r="C210" s="169"/>
      <c r="D210" s="169"/>
      <c r="E210" s="169"/>
      <c r="L210" s="202"/>
    </row>
    <row r="211" ht="15.75" customHeight="1">
      <c r="A211" s="169"/>
      <c r="B211" s="169"/>
      <c r="C211" s="169"/>
      <c r="D211" s="169"/>
      <c r="E211" s="169"/>
      <c r="L211" s="202"/>
    </row>
    <row r="212" ht="15.75" customHeight="1">
      <c r="A212" s="169"/>
      <c r="B212" s="169"/>
      <c r="C212" s="169"/>
      <c r="D212" s="169"/>
      <c r="E212" s="169"/>
      <c r="L212" s="202"/>
    </row>
    <row r="213" ht="15.75" customHeight="1">
      <c r="A213" s="169"/>
      <c r="B213" s="169"/>
      <c r="C213" s="169"/>
      <c r="D213" s="169"/>
      <c r="E213" s="169"/>
      <c r="L213" s="202"/>
    </row>
    <row r="214" ht="15.75" customHeight="1">
      <c r="A214" s="169"/>
      <c r="B214" s="169"/>
      <c r="C214" s="169"/>
      <c r="D214" s="169"/>
      <c r="E214" s="169"/>
      <c r="L214" s="202"/>
    </row>
    <row r="215" ht="15.75" customHeight="1">
      <c r="A215" s="169"/>
      <c r="B215" s="169"/>
      <c r="C215" s="169"/>
      <c r="D215" s="169"/>
      <c r="E215" s="169"/>
      <c r="L215" s="202"/>
    </row>
    <row r="216" ht="15.75" customHeight="1">
      <c r="A216" s="169"/>
      <c r="B216" s="169"/>
      <c r="C216" s="169"/>
      <c r="D216" s="169"/>
      <c r="E216" s="169"/>
      <c r="L216" s="202"/>
    </row>
    <row r="217" ht="15.75" customHeight="1">
      <c r="A217" s="169"/>
      <c r="B217" s="169"/>
      <c r="C217" s="169"/>
      <c r="D217" s="169"/>
      <c r="E217" s="169"/>
      <c r="L217" s="202"/>
    </row>
    <row r="218" ht="15.75" customHeight="1">
      <c r="A218" s="169"/>
      <c r="B218" s="169"/>
      <c r="C218" s="169"/>
      <c r="D218" s="169"/>
      <c r="E218" s="169"/>
      <c r="L218" s="202"/>
    </row>
    <row r="219" ht="15.75" customHeight="1">
      <c r="A219" s="169"/>
      <c r="B219" s="169"/>
      <c r="C219" s="169"/>
      <c r="D219" s="169"/>
      <c r="E219" s="169"/>
      <c r="L219" s="202"/>
    </row>
    <row r="220" ht="15.75" customHeight="1">
      <c r="A220" s="169"/>
      <c r="B220" s="169"/>
      <c r="C220" s="169"/>
      <c r="D220" s="169"/>
      <c r="E220" s="169"/>
      <c r="L220" s="202"/>
    </row>
    <row r="221" ht="15.75" customHeight="1">
      <c r="A221" s="169"/>
      <c r="B221" s="169"/>
      <c r="C221" s="169"/>
      <c r="D221" s="169"/>
      <c r="E221" s="169"/>
      <c r="L221" s="202"/>
    </row>
    <row r="222" ht="15.75" customHeight="1">
      <c r="A222" s="169"/>
      <c r="B222" s="169"/>
      <c r="C222" s="169"/>
      <c r="D222" s="169"/>
      <c r="E222" s="169"/>
      <c r="L222" s="202"/>
    </row>
    <row r="223" ht="15.75" customHeight="1">
      <c r="A223" s="169"/>
      <c r="B223" s="169"/>
      <c r="C223" s="169"/>
      <c r="D223" s="169"/>
      <c r="E223" s="169"/>
      <c r="L223" s="202"/>
    </row>
    <row r="224" ht="15.75" customHeight="1">
      <c r="A224" s="169"/>
      <c r="B224" s="169"/>
      <c r="C224" s="169"/>
      <c r="D224" s="169"/>
      <c r="E224" s="169"/>
      <c r="L224" s="202"/>
    </row>
    <row r="225" ht="15.75" customHeight="1">
      <c r="A225" s="169"/>
      <c r="B225" s="169"/>
      <c r="C225" s="169"/>
      <c r="D225" s="169"/>
      <c r="E225" s="169"/>
      <c r="L225" s="202"/>
    </row>
    <row r="226" ht="15.75" customHeight="1">
      <c r="A226" s="169"/>
      <c r="B226" s="169"/>
      <c r="C226" s="169"/>
      <c r="D226" s="169"/>
      <c r="E226" s="169"/>
      <c r="L226" s="202"/>
    </row>
    <row r="227" ht="15.75" customHeight="1">
      <c r="A227" s="169"/>
      <c r="B227" s="169"/>
      <c r="C227" s="169"/>
      <c r="D227" s="169"/>
      <c r="E227" s="169"/>
      <c r="L227" s="202"/>
    </row>
    <row r="228" ht="15.75" customHeight="1">
      <c r="A228" s="169"/>
      <c r="B228" s="169"/>
      <c r="C228" s="169"/>
      <c r="D228" s="169"/>
      <c r="E228" s="169"/>
      <c r="L228" s="202"/>
    </row>
    <row r="229" ht="15.75" customHeight="1">
      <c r="A229" s="169"/>
      <c r="B229" s="169"/>
      <c r="C229" s="169"/>
      <c r="D229" s="169"/>
      <c r="E229" s="169"/>
      <c r="L229" s="202"/>
    </row>
    <row r="230" ht="15.75" customHeight="1">
      <c r="A230" s="169"/>
      <c r="B230" s="169"/>
      <c r="C230" s="169"/>
      <c r="D230" s="169"/>
      <c r="E230" s="169"/>
      <c r="L230" s="202"/>
    </row>
    <row r="231" ht="15.75" customHeight="1">
      <c r="A231" s="169"/>
      <c r="B231" s="169"/>
      <c r="C231" s="169"/>
      <c r="D231" s="169"/>
      <c r="E231" s="169"/>
      <c r="L231" s="202"/>
    </row>
    <row r="232" ht="15.75" customHeight="1">
      <c r="A232" s="169"/>
      <c r="B232" s="169"/>
      <c r="C232" s="169"/>
      <c r="D232" s="169"/>
      <c r="E232" s="169"/>
      <c r="L232" s="202"/>
    </row>
    <row r="233" ht="15.75" customHeight="1">
      <c r="A233" s="169"/>
      <c r="B233" s="169"/>
      <c r="C233" s="169"/>
      <c r="D233" s="169"/>
      <c r="E233" s="169"/>
      <c r="L233" s="202"/>
    </row>
    <row r="234" ht="15.75" customHeight="1">
      <c r="A234" s="169"/>
      <c r="B234" s="169"/>
      <c r="C234" s="169"/>
      <c r="D234" s="169"/>
      <c r="E234" s="169"/>
      <c r="L234" s="202"/>
    </row>
    <row r="235" ht="15.75" customHeight="1">
      <c r="A235" s="169"/>
      <c r="B235" s="169"/>
      <c r="C235" s="169"/>
      <c r="D235" s="169"/>
      <c r="E235" s="169"/>
      <c r="L235" s="202"/>
    </row>
    <row r="236" ht="15.75" customHeight="1">
      <c r="A236" s="169"/>
      <c r="B236" s="169"/>
      <c r="C236" s="169"/>
      <c r="D236" s="169"/>
      <c r="E236" s="169"/>
      <c r="L236" s="202"/>
    </row>
    <row r="237" ht="15.75" customHeight="1">
      <c r="A237" s="169"/>
      <c r="B237" s="169"/>
      <c r="C237" s="169"/>
      <c r="D237" s="169"/>
      <c r="E237" s="169"/>
      <c r="L237" s="202"/>
    </row>
    <row r="238" ht="15.75" customHeight="1">
      <c r="A238" s="169"/>
      <c r="B238" s="169"/>
      <c r="C238" s="169"/>
      <c r="D238" s="169"/>
      <c r="E238" s="169"/>
      <c r="L238" s="202"/>
    </row>
    <row r="239" ht="15.75" customHeight="1">
      <c r="A239" s="169"/>
      <c r="B239" s="169"/>
      <c r="C239" s="169"/>
      <c r="D239" s="169"/>
      <c r="E239" s="169"/>
      <c r="L239" s="202"/>
    </row>
    <row r="240" ht="15.75" customHeight="1">
      <c r="A240" s="169"/>
      <c r="B240" s="169"/>
      <c r="C240" s="169"/>
      <c r="D240" s="169"/>
      <c r="E240" s="169"/>
      <c r="L240" s="202"/>
    </row>
    <row r="241" ht="15.75" customHeight="1">
      <c r="A241" s="169"/>
      <c r="B241" s="169"/>
      <c r="C241" s="169"/>
      <c r="D241" s="169"/>
      <c r="E241" s="169"/>
      <c r="L241" s="202"/>
    </row>
    <row r="242" ht="15.75" customHeight="1">
      <c r="A242" s="169"/>
      <c r="B242" s="169"/>
      <c r="C242" s="169"/>
      <c r="D242" s="169"/>
      <c r="E242" s="169"/>
      <c r="L242" s="202"/>
    </row>
    <row r="243" ht="15.75" customHeight="1">
      <c r="A243" s="169"/>
      <c r="B243" s="169"/>
      <c r="C243" s="169"/>
      <c r="D243" s="169"/>
      <c r="E243" s="169"/>
      <c r="L243" s="202"/>
    </row>
    <row r="244" ht="15.75" customHeight="1">
      <c r="A244" s="169"/>
      <c r="B244" s="169"/>
      <c r="C244" s="169"/>
      <c r="D244" s="169"/>
      <c r="E244" s="169"/>
      <c r="L244" s="202"/>
    </row>
    <row r="245" ht="15.75" customHeight="1">
      <c r="A245" s="169"/>
      <c r="B245" s="169"/>
      <c r="C245" s="169"/>
      <c r="D245" s="169"/>
      <c r="E245" s="169"/>
      <c r="L245" s="202"/>
    </row>
    <row r="246" ht="15.75" customHeight="1">
      <c r="A246" s="169"/>
      <c r="B246" s="169"/>
      <c r="C246" s="169"/>
      <c r="D246" s="169"/>
      <c r="E246" s="169"/>
      <c r="L246" s="202"/>
    </row>
    <row r="247" ht="15.75" customHeight="1">
      <c r="A247" s="169"/>
      <c r="B247" s="169"/>
      <c r="C247" s="169"/>
      <c r="D247" s="169"/>
      <c r="E247" s="169"/>
      <c r="L247" s="202"/>
    </row>
    <row r="248" ht="15.75" customHeight="1">
      <c r="A248" s="169"/>
      <c r="B248" s="169"/>
      <c r="C248" s="169"/>
      <c r="D248" s="169"/>
      <c r="E248" s="169"/>
      <c r="L248" s="202"/>
    </row>
    <row r="249" ht="15.75" customHeight="1">
      <c r="A249" s="169"/>
      <c r="B249" s="169"/>
      <c r="C249" s="169"/>
      <c r="D249" s="169"/>
      <c r="E249" s="169"/>
      <c r="L249" s="202"/>
    </row>
    <row r="250" ht="15.75" customHeight="1">
      <c r="A250" s="169"/>
      <c r="B250" s="169"/>
      <c r="C250" s="169"/>
      <c r="D250" s="169"/>
      <c r="E250" s="169"/>
      <c r="L250" s="202"/>
    </row>
    <row r="251" ht="15.75" customHeight="1">
      <c r="A251" s="169"/>
      <c r="B251" s="169"/>
      <c r="C251" s="169"/>
      <c r="D251" s="169"/>
      <c r="E251" s="169"/>
      <c r="L251" s="202"/>
    </row>
    <row r="252" ht="15.75" customHeight="1">
      <c r="A252" s="169"/>
      <c r="B252" s="169"/>
      <c r="C252" s="169"/>
      <c r="D252" s="169"/>
      <c r="E252" s="169"/>
      <c r="L252" s="202"/>
    </row>
    <row r="253" ht="15.75" customHeight="1">
      <c r="A253" s="169"/>
      <c r="B253" s="169"/>
      <c r="C253" s="169"/>
      <c r="D253" s="169"/>
      <c r="E253" s="169"/>
      <c r="L253" s="202"/>
    </row>
    <row r="254" ht="15.75" customHeight="1">
      <c r="A254" s="169"/>
      <c r="B254" s="169"/>
      <c r="C254" s="169"/>
      <c r="D254" s="169"/>
      <c r="E254" s="169"/>
      <c r="L254" s="202"/>
    </row>
    <row r="255" ht="15.75" customHeight="1">
      <c r="A255" s="169"/>
      <c r="B255" s="169"/>
      <c r="C255" s="169"/>
      <c r="D255" s="169"/>
      <c r="E255" s="169"/>
      <c r="L255" s="202"/>
    </row>
    <row r="256" ht="15.75" customHeight="1">
      <c r="A256" s="169"/>
      <c r="B256" s="169"/>
      <c r="C256" s="169"/>
      <c r="D256" s="169"/>
      <c r="E256" s="169"/>
      <c r="L256" s="202"/>
    </row>
    <row r="257" ht="15.75" customHeight="1">
      <c r="A257" s="169"/>
      <c r="B257" s="169"/>
      <c r="C257" s="169"/>
      <c r="D257" s="169"/>
      <c r="E257" s="169"/>
      <c r="L257" s="202"/>
    </row>
    <row r="258" ht="15.75" customHeight="1">
      <c r="A258" s="169"/>
      <c r="B258" s="169"/>
      <c r="C258" s="169"/>
      <c r="D258" s="169"/>
      <c r="E258" s="169"/>
      <c r="L258" s="202"/>
    </row>
    <row r="259" ht="15.75" customHeight="1">
      <c r="A259" s="169"/>
      <c r="B259" s="169"/>
      <c r="C259" s="169"/>
      <c r="D259" s="169"/>
      <c r="E259" s="169"/>
      <c r="L259" s="202"/>
    </row>
    <row r="260" ht="15.75" customHeight="1">
      <c r="A260" s="169"/>
      <c r="B260" s="169"/>
      <c r="C260" s="169"/>
      <c r="D260" s="169"/>
      <c r="E260" s="169"/>
      <c r="L260" s="202"/>
    </row>
    <row r="261" ht="15.75" customHeight="1">
      <c r="A261" s="169"/>
      <c r="B261" s="169"/>
      <c r="C261" s="169"/>
      <c r="D261" s="169"/>
      <c r="E261" s="169"/>
      <c r="L261" s="202"/>
    </row>
    <row r="262" ht="15.75" customHeight="1">
      <c r="A262" s="169"/>
      <c r="B262" s="169"/>
      <c r="C262" s="169"/>
      <c r="D262" s="169"/>
      <c r="E262" s="169"/>
      <c r="L262" s="202"/>
    </row>
    <row r="263" ht="15.75" customHeight="1">
      <c r="A263" s="169"/>
      <c r="B263" s="169"/>
      <c r="C263" s="169"/>
      <c r="D263" s="169"/>
      <c r="E263" s="169"/>
      <c r="L263" s="202"/>
    </row>
    <row r="264" ht="15.75" customHeight="1">
      <c r="A264" s="169"/>
      <c r="B264" s="169"/>
      <c r="C264" s="169"/>
      <c r="D264" s="169"/>
      <c r="E264" s="169"/>
      <c r="L264" s="202"/>
    </row>
    <row r="265" ht="15.75" customHeight="1">
      <c r="A265" s="169"/>
      <c r="B265" s="169"/>
      <c r="C265" s="169"/>
      <c r="D265" s="169"/>
      <c r="E265" s="169"/>
      <c r="L265" s="202"/>
    </row>
    <row r="266" ht="15.75" customHeight="1">
      <c r="A266" s="169"/>
      <c r="B266" s="169"/>
      <c r="C266" s="169"/>
      <c r="D266" s="169"/>
      <c r="E266" s="169"/>
      <c r="L266" s="202"/>
    </row>
    <row r="267" ht="15.75" customHeight="1">
      <c r="A267" s="169"/>
      <c r="B267" s="169"/>
      <c r="C267" s="169"/>
      <c r="D267" s="169"/>
      <c r="E267" s="169"/>
      <c r="L267" s="202"/>
    </row>
    <row r="268" ht="15.75" customHeight="1">
      <c r="A268" s="169"/>
      <c r="B268" s="169"/>
      <c r="C268" s="169"/>
      <c r="D268" s="169"/>
      <c r="E268" s="169"/>
      <c r="L268" s="202"/>
    </row>
    <row r="269" ht="15.75" customHeight="1">
      <c r="A269" s="169"/>
      <c r="B269" s="169"/>
      <c r="C269" s="169"/>
      <c r="D269" s="169"/>
      <c r="E269" s="169"/>
      <c r="L269" s="202"/>
    </row>
    <row r="270" ht="15.75" customHeight="1">
      <c r="A270" s="169"/>
      <c r="B270" s="169"/>
      <c r="C270" s="169"/>
      <c r="D270" s="169"/>
      <c r="E270" s="169"/>
      <c r="L270" s="202"/>
    </row>
    <row r="271" ht="15.75" customHeight="1">
      <c r="A271" s="169"/>
      <c r="B271" s="169"/>
      <c r="C271" s="169"/>
      <c r="D271" s="169"/>
      <c r="E271" s="169"/>
      <c r="L271" s="202"/>
    </row>
    <row r="272" ht="15.75" customHeight="1">
      <c r="A272" s="169"/>
      <c r="B272" s="169"/>
      <c r="C272" s="169"/>
      <c r="D272" s="169"/>
      <c r="E272" s="169"/>
      <c r="L272" s="202"/>
    </row>
    <row r="273" ht="15.75" customHeight="1">
      <c r="A273" s="169"/>
      <c r="B273" s="169"/>
      <c r="C273" s="169"/>
      <c r="D273" s="169"/>
      <c r="E273" s="169"/>
      <c r="L273" s="202"/>
    </row>
    <row r="274" ht="15.75" customHeight="1">
      <c r="A274" s="169"/>
      <c r="B274" s="169"/>
      <c r="C274" s="169"/>
      <c r="D274" s="169"/>
      <c r="E274" s="169"/>
      <c r="L274" s="202"/>
    </row>
    <row r="275" ht="15.75" customHeight="1">
      <c r="A275" s="169"/>
      <c r="B275" s="169"/>
      <c r="C275" s="169"/>
      <c r="D275" s="169"/>
      <c r="E275" s="169"/>
      <c r="L275" s="202"/>
    </row>
    <row r="276" ht="15.75" customHeight="1">
      <c r="A276" s="169"/>
      <c r="B276" s="169"/>
      <c r="C276" s="169"/>
      <c r="D276" s="169"/>
      <c r="E276" s="169"/>
      <c r="L276" s="202"/>
    </row>
    <row r="277" ht="15.75" customHeight="1">
      <c r="A277" s="169"/>
      <c r="B277" s="169"/>
      <c r="C277" s="169"/>
      <c r="D277" s="169"/>
      <c r="E277" s="169"/>
      <c r="L277" s="202"/>
    </row>
    <row r="278" ht="15.75" customHeight="1">
      <c r="A278" s="169"/>
      <c r="B278" s="169"/>
      <c r="C278" s="169"/>
      <c r="D278" s="169"/>
      <c r="E278" s="169"/>
      <c r="L278" s="202"/>
    </row>
    <row r="279" ht="15.75" customHeight="1">
      <c r="A279" s="169"/>
      <c r="B279" s="169"/>
      <c r="C279" s="169"/>
      <c r="D279" s="169"/>
      <c r="E279" s="169"/>
      <c r="L279" s="202"/>
    </row>
    <row r="280" ht="15.75" customHeight="1">
      <c r="A280" s="169"/>
      <c r="B280" s="169"/>
      <c r="C280" s="169"/>
      <c r="D280" s="169"/>
      <c r="E280" s="169"/>
      <c r="L280" s="202"/>
    </row>
    <row r="281" ht="15.75" customHeight="1">
      <c r="A281" s="169"/>
      <c r="B281" s="169"/>
      <c r="C281" s="169"/>
      <c r="D281" s="169"/>
      <c r="E281" s="169"/>
      <c r="L281" s="202"/>
    </row>
    <row r="282" ht="15.75" customHeight="1">
      <c r="A282" s="169"/>
      <c r="B282" s="169"/>
      <c r="C282" s="169"/>
      <c r="D282" s="169"/>
      <c r="E282" s="169"/>
      <c r="L282" s="202"/>
    </row>
    <row r="283" ht="15.75" customHeight="1">
      <c r="A283" s="169"/>
      <c r="B283" s="169"/>
      <c r="C283" s="169"/>
      <c r="D283" s="169"/>
      <c r="E283" s="169"/>
      <c r="L283" s="202"/>
    </row>
    <row r="284" ht="15.75" customHeight="1">
      <c r="A284" s="169"/>
      <c r="B284" s="169"/>
      <c r="C284" s="169"/>
      <c r="D284" s="169"/>
      <c r="E284" s="169"/>
      <c r="L284" s="202"/>
    </row>
    <row r="285" ht="15.75" customHeight="1">
      <c r="A285" s="169"/>
      <c r="B285" s="169"/>
      <c r="C285" s="169"/>
      <c r="D285" s="169"/>
      <c r="E285" s="169"/>
      <c r="L285" s="202"/>
    </row>
    <row r="286" ht="15.75" customHeight="1">
      <c r="A286" s="169"/>
      <c r="B286" s="169"/>
      <c r="C286" s="169"/>
      <c r="D286" s="169"/>
      <c r="E286" s="169"/>
      <c r="L286" s="202"/>
    </row>
    <row r="287" ht="15.75" customHeight="1">
      <c r="A287" s="169"/>
      <c r="B287" s="169"/>
      <c r="C287" s="169"/>
      <c r="D287" s="169"/>
      <c r="E287" s="169"/>
      <c r="L287" s="202"/>
    </row>
    <row r="288" ht="15.75" customHeight="1">
      <c r="A288" s="169"/>
      <c r="B288" s="169"/>
      <c r="C288" s="169"/>
      <c r="D288" s="169"/>
      <c r="E288" s="169"/>
      <c r="L288" s="202"/>
    </row>
    <row r="289" ht="15.75" customHeight="1">
      <c r="A289" s="169"/>
      <c r="B289" s="169"/>
      <c r="C289" s="169"/>
      <c r="D289" s="169"/>
      <c r="E289" s="169"/>
      <c r="L289" s="202"/>
    </row>
    <row r="290" ht="15.75" customHeight="1">
      <c r="A290" s="169"/>
      <c r="B290" s="169"/>
      <c r="C290" s="169"/>
      <c r="D290" s="169"/>
      <c r="E290" s="169"/>
      <c r="L290" s="202"/>
    </row>
    <row r="291" ht="15.75" customHeight="1">
      <c r="A291" s="169"/>
      <c r="B291" s="169"/>
      <c r="C291" s="169"/>
      <c r="D291" s="169"/>
      <c r="E291" s="169"/>
      <c r="L291" s="202"/>
    </row>
    <row r="292" ht="15.75" customHeight="1">
      <c r="A292" s="169"/>
      <c r="B292" s="169"/>
      <c r="C292" s="169"/>
      <c r="D292" s="169"/>
      <c r="E292" s="169"/>
      <c r="L292" s="202"/>
    </row>
    <row r="293" ht="15.75" customHeight="1">
      <c r="A293" s="169"/>
      <c r="B293" s="169"/>
      <c r="C293" s="169"/>
      <c r="D293" s="169"/>
      <c r="E293" s="169"/>
      <c r="L293" s="202"/>
    </row>
    <row r="294" ht="15.75" customHeight="1">
      <c r="A294" s="169"/>
      <c r="B294" s="169"/>
      <c r="C294" s="169"/>
      <c r="D294" s="169"/>
      <c r="E294" s="169"/>
      <c r="L294" s="202"/>
    </row>
    <row r="295" ht="15.75" customHeight="1">
      <c r="A295" s="169"/>
      <c r="B295" s="169"/>
      <c r="C295" s="169"/>
      <c r="D295" s="169"/>
      <c r="E295" s="169"/>
      <c r="L295" s="202"/>
    </row>
    <row r="296" ht="15.75" customHeight="1">
      <c r="A296" s="169"/>
      <c r="B296" s="169"/>
      <c r="C296" s="169"/>
      <c r="D296" s="169"/>
      <c r="E296" s="169"/>
      <c r="L296" s="202"/>
    </row>
    <row r="297" ht="15.75" customHeight="1">
      <c r="A297" s="169"/>
      <c r="B297" s="169"/>
      <c r="C297" s="169"/>
      <c r="D297" s="169"/>
      <c r="E297" s="169"/>
      <c r="L297" s="202"/>
    </row>
    <row r="298" ht="15.75" customHeight="1">
      <c r="A298" s="169"/>
      <c r="B298" s="169"/>
      <c r="C298" s="169"/>
      <c r="D298" s="169"/>
      <c r="E298" s="169"/>
      <c r="L298" s="202"/>
    </row>
    <row r="299" ht="15.75" customHeight="1">
      <c r="A299" s="169"/>
      <c r="B299" s="169"/>
      <c r="C299" s="169"/>
      <c r="D299" s="169"/>
      <c r="E299" s="169"/>
      <c r="L299" s="202"/>
    </row>
    <row r="300" ht="15.75" customHeight="1">
      <c r="A300" s="169"/>
      <c r="B300" s="169"/>
      <c r="C300" s="169"/>
      <c r="D300" s="169"/>
      <c r="E300" s="169"/>
      <c r="L300" s="202"/>
    </row>
    <row r="301" ht="15.75" customHeight="1">
      <c r="A301" s="169"/>
      <c r="B301" s="169"/>
      <c r="C301" s="169"/>
      <c r="D301" s="169"/>
      <c r="E301" s="169"/>
      <c r="L301" s="202"/>
    </row>
    <row r="302" ht="15.75" customHeight="1">
      <c r="A302" s="169"/>
      <c r="B302" s="169"/>
      <c r="C302" s="169"/>
      <c r="D302" s="169"/>
      <c r="E302" s="169"/>
      <c r="L302" s="202"/>
    </row>
    <row r="303" ht="15.75" customHeight="1">
      <c r="A303" s="169"/>
      <c r="B303" s="169"/>
      <c r="C303" s="169"/>
      <c r="D303" s="169"/>
      <c r="E303" s="169"/>
      <c r="L303" s="202"/>
    </row>
    <row r="304" ht="15.75" customHeight="1">
      <c r="A304" s="169"/>
      <c r="B304" s="169"/>
      <c r="C304" s="169"/>
      <c r="D304" s="169"/>
      <c r="E304" s="169"/>
      <c r="L304" s="202"/>
    </row>
    <row r="305" ht="15.75" customHeight="1">
      <c r="A305" s="169"/>
      <c r="B305" s="169"/>
      <c r="C305" s="169"/>
      <c r="D305" s="169"/>
      <c r="E305" s="169"/>
      <c r="L305" s="202"/>
    </row>
    <row r="306" ht="15.75" customHeight="1">
      <c r="A306" s="169"/>
      <c r="B306" s="169"/>
      <c r="C306" s="169"/>
      <c r="D306" s="169"/>
      <c r="E306" s="169"/>
      <c r="L306" s="202"/>
    </row>
    <row r="307" ht="15.75" customHeight="1">
      <c r="A307" s="169"/>
      <c r="B307" s="169"/>
      <c r="C307" s="169"/>
      <c r="D307" s="169"/>
      <c r="E307" s="169"/>
      <c r="L307" s="202"/>
    </row>
    <row r="308" ht="15.75" customHeight="1">
      <c r="A308" s="169"/>
      <c r="B308" s="169"/>
      <c r="C308" s="169"/>
      <c r="D308" s="169"/>
      <c r="E308" s="169"/>
      <c r="L308" s="202"/>
    </row>
    <row r="309" ht="15.75" customHeight="1">
      <c r="A309" s="169"/>
      <c r="B309" s="169"/>
      <c r="C309" s="169"/>
      <c r="D309" s="169"/>
      <c r="E309" s="169"/>
      <c r="L309" s="202"/>
    </row>
    <row r="310" ht="15.75" customHeight="1">
      <c r="A310" s="169"/>
      <c r="B310" s="169"/>
      <c r="C310" s="169"/>
      <c r="D310" s="169"/>
      <c r="E310" s="169"/>
      <c r="L310" s="202"/>
    </row>
    <row r="311" ht="15.75" customHeight="1">
      <c r="A311" s="169"/>
      <c r="B311" s="169"/>
      <c r="C311" s="169"/>
      <c r="D311" s="169"/>
      <c r="E311" s="169"/>
      <c r="L311" s="202"/>
    </row>
    <row r="312" ht="15.75" customHeight="1">
      <c r="A312" s="169"/>
      <c r="B312" s="169"/>
      <c r="C312" s="169"/>
      <c r="D312" s="169"/>
      <c r="E312" s="169"/>
      <c r="L312" s="202"/>
    </row>
    <row r="313" ht="15.75" customHeight="1">
      <c r="A313" s="169"/>
      <c r="B313" s="169"/>
      <c r="C313" s="169"/>
      <c r="D313" s="169"/>
      <c r="E313" s="169"/>
      <c r="L313" s="202"/>
    </row>
    <row r="314" ht="15.75" customHeight="1">
      <c r="A314" s="169"/>
      <c r="B314" s="169"/>
      <c r="C314" s="169"/>
      <c r="D314" s="169"/>
      <c r="E314" s="169"/>
      <c r="L314" s="202"/>
    </row>
    <row r="315" ht="15.75" customHeight="1">
      <c r="A315" s="169"/>
      <c r="B315" s="169"/>
      <c r="C315" s="169"/>
      <c r="D315" s="169"/>
      <c r="E315" s="169"/>
      <c r="L315" s="202"/>
    </row>
    <row r="316" ht="15.75" customHeight="1">
      <c r="A316" s="169"/>
      <c r="B316" s="169"/>
      <c r="C316" s="169"/>
      <c r="D316" s="169"/>
      <c r="E316" s="169"/>
      <c r="L316" s="202"/>
    </row>
    <row r="317" ht="15.75" customHeight="1">
      <c r="A317" s="169"/>
      <c r="B317" s="169"/>
      <c r="C317" s="169"/>
      <c r="D317" s="169"/>
      <c r="E317" s="169"/>
      <c r="L317" s="202"/>
    </row>
    <row r="318" ht="15.75" customHeight="1">
      <c r="A318" s="169"/>
      <c r="B318" s="169"/>
      <c r="C318" s="169"/>
      <c r="D318" s="169"/>
      <c r="E318" s="169"/>
      <c r="L318" s="202"/>
    </row>
    <row r="319" ht="15.75" customHeight="1">
      <c r="A319" s="169"/>
      <c r="B319" s="169"/>
      <c r="C319" s="169"/>
      <c r="D319" s="169"/>
      <c r="E319" s="169"/>
      <c r="L319" s="202"/>
    </row>
    <row r="320" ht="15.75" customHeight="1">
      <c r="A320" s="169"/>
      <c r="B320" s="169"/>
      <c r="C320" s="169"/>
      <c r="D320" s="169"/>
      <c r="E320" s="169"/>
      <c r="L320" s="202"/>
    </row>
    <row r="321" ht="15.75" customHeight="1">
      <c r="A321" s="169"/>
      <c r="B321" s="169"/>
      <c r="C321" s="169"/>
      <c r="D321" s="169"/>
      <c r="E321" s="169"/>
      <c r="L321" s="202"/>
    </row>
    <row r="322" ht="15.75" customHeight="1">
      <c r="A322" s="169"/>
      <c r="B322" s="169"/>
      <c r="C322" s="169"/>
      <c r="D322" s="169"/>
      <c r="E322" s="169"/>
      <c r="L322" s="202"/>
    </row>
    <row r="323" ht="15.75" customHeight="1">
      <c r="A323" s="169"/>
      <c r="B323" s="169"/>
      <c r="C323" s="169"/>
      <c r="D323" s="169"/>
      <c r="E323" s="169"/>
      <c r="L323" s="202"/>
    </row>
    <row r="324" ht="15.75" customHeight="1">
      <c r="A324" s="169"/>
      <c r="B324" s="169"/>
      <c r="C324" s="169"/>
      <c r="D324" s="169"/>
      <c r="E324" s="169"/>
      <c r="L324" s="202"/>
    </row>
    <row r="325" ht="15.75" customHeight="1">
      <c r="A325" s="169"/>
      <c r="B325" s="169"/>
      <c r="C325" s="169"/>
      <c r="D325" s="169"/>
      <c r="E325" s="169"/>
      <c r="L325" s="202"/>
    </row>
    <row r="326" ht="15.75" customHeight="1">
      <c r="A326" s="169"/>
      <c r="B326" s="169"/>
      <c r="C326" s="169"/>
      <c r="D326" s="169"/>
      <c r="E326" s="169"/>
      <c r="L326" s="202"/>
    </row>
    <row r="327" ht="15.75" customHeight="1">
      <c r="A327" s="169"/>
      <c r="B327" s="169"/>
      <c r="C327" s="169"/>
      <c r="D327" s="169"/>
      <c r="E327" s="169"/>
      <c r="L327" s="202"/>
    </row>
    <row r="328" ht="15.75" customHeight="1">
      <c r="A328" s="169"/>
      <c r="B328" s="169"/>
      <c r="C328" s="169"/>
      <c r="D328" s="169"/>
      <c r="E328" s="169"/>
      <c r="L328" s="202"/>
    </row>
    <row r="329" ht="15.75" customHeight="1">
      <c r="A329" s="169"/>
      <c r="B329" s="169"/>
      <c r="C329" s="169"/>
      <c r="D329" s="169"/>
      <c r="E329" s="169"/>
      <c r="L329" s="202"/>
    </row>
    <row r="330" ht="15.75" customHeight="1">
      <c r="A330" s="169"/>
      <c r="B330" s="169"/>
      <c r="C330" s="169"/>
      <c r="D330" s="169"/>
      <c r="E330" s="169"/>
      <c r="L330" s="202"/>
    </row>
    <row r="331" ht="15.75" customHeight="1">
      <c r="A331" s="169"/>
      <c r="B331" s="169"/>
      <c r="C331" s="169"/>
      <c r="D331" s="169"/>
      <c r="E331" s="169"/>
      <c r="L331" s="202"/>
    </row>
    <row r="332" ht="15.75" customHeight="1">
      <c r="A332" s="169"/>
      <c r="B332" s="169"/>
      <c r="C332" s="169"/>
      <c r="D332" s="169"/>
      <c r="E332" s="169"/>
      <c r="L332" s="202"/>
    </row>
    <row r="333" ht="15.75" customHeight="1">
      <c r="A333" s="169"/>
      <c r="B333" s="169"/>
      <c r="C333" s="169"/>
      <c r="D333" s="169"/>
      <c r="E333" s="169"/>
      <c r="L333" s="202"/>
    </row>
    <row r="334" ht="15.75" customHeight="1">
      <c r="A334" s="169"/>
      <c r="B334" s="169"/>
      <c r="C334" s="169"/>
      <c r="D334" s="169"/>
      <c r="E334" s="169"/>
      <c r="L334" s="202"/>
    </row>
    <row r="335" ht="15.75" customHeight="1">
      <c r="A335" s="169"/>
      <c r="B335" s="169"/>
      <c r="C335" s="169"/>
      <c r="D335" s="169"/>
      <c r="E335" s="169"/>
      <c r="L335" s="202"/>
    </row>
    <row r="336" ht="15.75" customHeight="1">
      <c r="A336" s="169"/>
      <c r="B336" s="169"/>
      <c r="C336" s="169"/>
      <c r="D336" s="169"/>
      <c r="E336" s="169"/>
      <c r="L336" s="202"/>
    </row>
    <row r="337" ht="15.75" customHeight="1">
      <c r="A337" s="169"/>
      <c r="B337" s="169"/>
      <c r="C337" s="169"/>
      <c r="D337" s="169"/>
      <c r="E337" s="169"/>
      <c r="L337" s="202"/>
    </row>
    <row r="338" ht="15.75" customHeight="1">
      <c r="A338" s="169"/>
      <c r="B338" s="169"/>
      <c r="C338" s="169"/>
      <c r="D338" s="169"/>
      <c r="E338" s="169"/>
      <c r="L338" s="202"/>
    </row>
    <row r="339" ht="15.75" customHeight="1">
      <c r="A339" s="169"/>
      <c r="B339" s="169"/>
      <c r="C339" s="169"/>
      <c r="D339" s="169"/>
      <c r="E339" s="169"/>
      <c r="L339" s="202"/>
    </row>
    <row r="340" ht="15.75" customHeight="1">
      <c r="A340" s="169"/>
      <c r="B340" s="169"/>
      <c r="C340" s="169"/>
      <c r="D340" s="169"/>
      <c r="E340" s="169"/>
      <c r="L340" s="202"/>
    </row>
    <row r="341" ht="15.75" customHeight="1">
      <c r="A341" s="169"/>
      <c r="B341" s="169"/>
      <c r="C341" s="169"/>
      <c r="D341" s="169"/>
      <c r="E341" s="169"/>
      <c r="L341" s="202"/>
    </row>
    <row r="342" ht="15.75" customHeight="1">
      <c r="A342" s="169"/>
      <c r="B342" s="169"/>
      <c r="C342" s="169"/>
      <c r="D342" s="169"/>
      <c r="E342" s="169"/>
      <c r="L342" s="202"/>
    </row>
    <row r="343" ht="15.75" customHeight="1">
      <c r="A343" s="169"/>
      <c r="B343" s="169"/>
      <c r="C343" s="169"/>
      <c r="D343" s="169"/>
      <c r="E343" s="169"/>
      <c r="L343" s="202"/>
    </row>
    <row r="344" ht="15.75" customHeight="1">
      <c r="A344" s="169"/>
      <c r="B344" s="169"/>
      <c r="C344" s="169"/>
      <c r="D344" s="169"/>
      <c r="E344" s="169"/>
      <c r="L344" s="202"/>
    </row>
    <row r="345" ht="15.75" customHeight="1">
      <c r="A345" s="169"/>
      <c r="B345" s="169"/>
      <c r="C345" s="169"/>
      <c r="D345" s="169"/>
      <c r="E345" s="169"/>
      <c r="L345" s="202"/>
    </row>
    <row r="346" ht="15.75" customHeight="1">
      <c r="A346" s="169"/>
      <c r="B346" s="169"/>
      <c r="C346" s="169"/>
      <c r="D346" s="169"/>
      <c r="E346" s="169"/>
      <c r="L346" s="202"/>
    </row>
    <row r="347" ht="15.75" customHeight="1">
      <c r="A347" s="169"/>
      <c r="B347" s="169"/>
      <c r="C347" s="169"/>
      <c r="D347" s="169"/>
      <c r="E347" s="169"/>
      <c r="L347" s="202"/>
    </row>
    <row r="348" ht="15.75" customHeight="1">
      <c r="A348" s="169"/>
      <c r="B348" s="169"/>
      <c r="C348" s="169"/>
      <c r="D348" s="169"/>
      <c r="E348" s="169"/>
      <c r="L348" s="202"/>
    </row>
    <row r="349" ht="15.75" customHeight="1">
      <c r="A349" s="169"/>
      <c r="B349" s="169"/>
      <c r="C349" s="169"/>
      <c r="D349" s="169"/>
      <c r="E349" s="169"/>
      <c r="L349" s="202"/>
    </row>
    <row r="350" ht="15.75" customHeight="1">
      <c r="A350" s="169"/>
      <c r="B350" s="169"/>
      <c r="C350" s="169"/>
      <c r="D350" s="169"/>
      <c r="E350" s="169"/>
      <c r="L350" s="202"/>
    </row>
    <row r="351" ht="15.75" customHeight="1">
      <c r="A351" s="169"/>
      <c r="B351" s="169"/>
      <c r="C351" s="169"/>
      <c r="D351" s="169"/>
      <c r="E351" s="169"/>
      <c r="L351" s="202"/>
    </row>
    <row r="352" ht="15.75" customHeight="1">
      <c r="A352" s="169"/>
      <c r="B352" s="169"/>
      <c r="C352" s="169"/>
      <c r="D352" s="169"/>
      <c r="E352" s="169"/>
      <c r="L352" s="202"/>
    </row>
    <row r="353" ht="15.75" customHeight="1">
      <c r="A353" s="169"/>
      <c r="B353" s="169"/>
      <c r="C353" s="169"/>
      <c r="D353" s="169"/>
      <c r="E353" s="169"/>
      <c r="L353" s="202"/>
    </row>
    <row r="354" ht="15.75" customHeight="1">
      <c r="A354" s="169"/>
      <c r="B354" s="169"/>
      <c r="C354" s="169"/>
      <c r="D354" s="169"/>
      <c r="E354" s="169"/>
      <c r="L354" s="202"/>
    </row>
    <row r="355" ht="15.75" customHeight="1">
      <c r="A355" s="169"/>
      <c r="B355" s="169"/>
      <c r="C355" s="169"/>
      <c r="D355" s="169"/>
      <c r="E355" s="169"/>
      <c r="L355" s="202"/>
    </row>
    <row r="356" ht="15.75" customHeight="1">
      <c r="A356" s="169"/>
      <c r="B356" s="169"/>
      <c r="C356" s="169"/>
      <c r="D356" s="169"/>
      <c r="E356" s="169"/>
      <c r="L356" s="202"/>
    </row>
    <row r="357" ht="15.75" customHeight="1">
      <c r="A357" s="169"/>
      <c r="B357" s="169"/>
      <c r="C357" s="169"/>
      <c r="D357" s="169"/>
      <c r="E357" s="169"/>
      <c r="L357" s="202"/>
    </row>
    <row r="358" ht="15.75" customHeight="1">
      <c r="A358" s="169"/>
      <c r="B358" s="169"/>
      <c r="C358" s="169"/>
      <c r="D358" s="169"/>
      <c r="E358" s="169"/>
      <c r="L358" s="202"/>
    </row>
    <row r="359" ht="15.75" customHeight="1">
      <c r="A359" s="169"/>
      <c r="B359" s="169"/>
      <c r="C359" s="169"/>
      <c r="D359" s="169"/>
      <c r="E359" s="169"/>
      <c r="L359" s="202"/>
    </row>
    <row r="360" ht="15.75" customHeight="1">
      <c r="A360" s="169"/>
      <c r="B360" s="169"/>
      <c r="C360" s="169"/>
      <c r="D360" s="169"/>
      <c r="E360" s="169"/>
      <c r="L360" s="202"/>
    </row>
    <row r="361" ht="15.75" customHeight="1">
      <c r="A361" s="169"/>
      <c r="B361" s="169"/>
      <c r="C361" s="169"/>
      <c r="D361" s="169"/>
      <c r="E361" s="169"/>
      <c r="L361" s="202"/>
    </row>
    <row r="362" ht="15.75" customHeight="1">
      <c r="A362" s="169"/>
      <c r="B362" s="169"/>
      <c r="C362" s="169"/>
      <c r="D362" s="169"/>
      <c r="E362" s="169"/>
      <c r="L362" s="202"/>
    </row>
    <row r="363" ht="15.75" customHeight="1">
      <c r="A363" s="169"/>
      <c r="B363" s="169"/>
      <c r="C363" s="169"/>
      <c r="D363" s="169"/>
      <c r="E363" s="169"/>
      <c r="L363" s="202"/>
    </row>
    <row r="364" ht="15.75" customHeight="1">
      <c r="A364" s="169"/>
      <c r="B364" s="169"/>
      <c r="C364" s="169"/>
      <c r="D364" s="169"/>
      <c r="E364" s="169"/>
      <c r="L364" s="202"/>
    </row>
    <row r="365" ht="15.75" customHeight="1">
      <c r="A365" s="169"/>
      <c r="B365" s="169"/>
      <c r="C365" s="169"/>
      <c r="D365" s="169"/>
      <c r="E365" s="169"/>
      <c r="L365" s="202"/>
    </row>
    <row r="366" ht="15.75" customHeight="1">
      <c r="A366" s="169"/>
      <c r="B366" s="169"/>
      <c r="C366" s="169"/>
      <c r="D366" s="169"/>
      <c r="E366" s="169"/>
      <c r="L366" s="202"/>
    </row>
    <row r="367" ht="15.75" customHeight="1">
      <c r="A367" s="169"/>
      <c r="B367" s="169"/>
      <c r="C367" s="169"/>
      <c r="D367" s="169"/>
      <c r="E367" s="169"/>
      <c r="L367" s="202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4.86"/>
    <col customWidth="1" min="3" max="3" width="12.71"/>
    <col customWidth="1" min="4" max="4" width="23.0"/>
    <col customWidth="1" min="5" max="5" width="29.0"/>
    <col customWidth="1" min="6" max="6" width="11.86"/>
    <col customWidth="1" min="7" max="7" width="15.57"/>
    <col customWidth="1" min="8" max="8" width="8.14"/>
    <col customWidth="1" min="9" max="9" width="14.29"/>
    <col customWidth="1" min="10" max="10" width="8.43"/>
    <col customWidth="1" min="11" max="11" width="14.57"/>
    <col customWidth="1" min="12" max="12" width="14.86"/>
    <col customWidth="1" min="13" max="15" width="8.71"/>
  </cols>
  <sheetData>
    <row r="1" ht="30.7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6" t="s">
        <v>6</v>
      </c>
      <c r="H1" s="6"/>
      <c r="I1" s="4" t="s">
        <v>7</v>
      </c>
      <c r="J1" s="4"/>
      <c r="K1" s="6" t="s">
        <v>8</v>
      </c>
      <c r="L1" s="6" t="s">
        <v>9</v>
      </c>
      <c r="M1" s="22"/>
      <c r="N1" s="22"/>
      <c r="O1" s="22"/>
    </row>
    <row r="2">
      <c r="A2" s="51">
        <v>45080.0</v>
      </c>
      <c r="B2" s="10" t="s">
        <v>62</v>
      </c>
      <c r="C2" s="11" t="s">
        <v>1091</v>
      </c>
      <c r="D2" s="11" t="s">
        <v>355</v>
      </c>
      <c r="E2" s="11" t="s">
        <v>1092</v>
      </c>
      <c r="F2" s="12">
        <v>9000.0</v>
      </c>
      <c r="G2" s="16">
        <v>975000.0</v>
      </c>
      <c r="H2" s="16"/>
      <c r="I2" s="16">
        <v>500000.0</v>
      </c>
      <c r="J2" s="16"/>
      <c r="K2" s="16">
        <f t="shared" ref="K2:K22" si="1">G2-I2</f>
        <v>475000</v>
      </c>
      <c r="L2" s="16">
        <v>298000.0</v>
      </c>
      <c r="M2" s="22"/>
      <c r="N2" s="22"/>
      <c r="O2" s="22"/>
    </row>
    <row r="3">
      <c r="A3" s="51">
        <v>45082.0</v>
      </c>
      <c r="B3" s="10" t="s">
        <v>62</v>
      </c>
      <c r="C3" s="11" t="s">
        <v>1091</v>
      </c>
      <c r="D3" s="11" t="s">
        <v>12</v>
      </c>
      <c r="E3" s="11" t="s">
        <v>19</v>
      </c>
      <c r="F3" s="12">
        <v>9000.0</v>
      </c>
      <c r="G3" s="16">
        <v>1350000.0</v>
      </c>
      <c r="H3" s="16"/>
      <c r="I3" s="16">
        <v>800000.0</v>
      </c>
      <c r="J3" s="16"/>
      <c r="K3" s="16">
        <f t="shared" si="1"/>
        <v>550000</v>
      </c>
      <c r="L3" s="16">
        <v>2235000.0</v>
      </c>
      <c r="M3" s="22"/>
      <c r="N3" s="22"/>
      <c r="O3" s="22"/>
    </row>
    <row r="4">
      <c r="A4" s="51">
        <v>45083.0</v>
      </c>
      <c r="B4" s="10" t="s">
        <v>62</v>
      </c>
      <c r="C4" s="11" t="s">
        <v>1091</v>
      </c>
      <c r="D4" s="11" t="s">
        <v>355</v>
      </c>
      <c r="E4" s="11" t="s">
        <v>16</v>
      </c>
      <c r="F4" s="12">
        <v>9000.0</v>
      </c>
      <c r="G4" s="16">
        <v>1215000.0</v>
      </c>
      <c r="H4" s="16"/>
      <c r="I4" s="16">
        <v>700000.0</v>
      </c>
      <c r="J4" s="16"/>
      <c r="K4" s="16">
        <f t="shared" si="1"/>
        <v>515000</v>
      </c>
      <c r="L4" s="357"/>
      <c r="M4" s="22"/>
      <c r="N4" s="22"/>
      <c r="O4" s="22"/>
    </row>
    <row r="5">
      <c r="A5" s="51">
        <v>45084.0</v>
      </c>
      <c r="B5" s="10" t="s">
        <v>62</v>
      </c>
      <c r="C5" s="11" t="s">
        <v>1091</v>
      </c>
      <c r="D5" s="11" t="s">
        <v>12</v>
      </c>
      <c r="E5" s="12" t="s">
        <v>17</v>
      </c>
      <c r="F5" s="12">
        <v>9000.0</v>
      </c>
      <c r="G5" s="16">
        <v>1400000.0</v>
      </c>
      <c r="H5" s="16"/>
      <c r="I5" s="16">
        <v>900000.0</v>
      </c>
      <c r="J5" s="16"/>
      <c r="K5" s="16">
        <f t="shared" si="1"/>
        <v>500000</v>
      </c>
      <c r="L5" s="16"/>
      <c r="M5" s="22"/>
      <c r="N5" s="22"/>
      <c r="O5" s="22"/>
    </row>
    <row r="6">
      <c r="A6" s="51">
        <v>45086.0</v>
      </c>
      <c r="B6" s="10" t="s">
        <v>726</v>
      </c>
      <c r="C6" s="11" t="s">
        <v>1091</v>
      </c>
      <c r="D6" s="11" t="s">
        <v>355</v>
      </c>
      <c r="E6" s="11" t="s">
        <v>704</v>
      </c>
      <c r="F6" s="12">
        <v>9500.0</v>
      </c>
      <c r="G6" s="16">
        <v>720000.0</v>
      </c>
      <c r="H6" s="16"/>
      <c r="I6" s="16">
        <v>350000.0</v>
      </c>
      <c r="J6" s="16"/>
      <c r="K6" s="16">
        <f t="shared" si="1"/>
        <v>370000</v>
      </c>
      <c r="L6" s="16">
        <v>100000.0</v>
      </c>
      <c r="M6" s="22"/>
      <c r="N6" s="22"/>
      <c r="O6" s="22"/>
    </row>
    <row r="7">
      <c r="A7" s="51">
        <v>45089.0</v>
      </c>
      <c r="B7" s="10" t="s">
        <v>389</v>
      </c>
      <c r="C7" s="11" t="s">
        <v>1091</v>
      </c>
      <c r="D7" s="11" t="s">
        <v>12</v>
      </c>
      <c r="E7" s="11" t="s">
        <v>1092</v>
      </c>
      <c r="F7" s="12">
        <v>9000.0</v>
      </c>
      <c r="G7" s="16">
        <v>975000.0</v>
      </c>
      <c r="H7" s="16"/>
      <c r="I7" s="16">
        <v>500000.0</v>
      </c>
      <c r="J7" s="16"/>
      <c r="K7" s="16">
        <f t="shared" si="1"/>
        <v>475000</v>
      </c>
      <c r="L7" s="16">
        <v>500000.0</v>
      </c>
      <c r="M7" s="22"/>
      <c r="N7" s="22"/>
      <c r="O7" s="22"/>
    </row>
    <row r="8">
      <c r="A8" s="51">
        <v>45090.0</v>
      </c>
      <c r="B8" s="10" t="s">
        <v>389</v>
      </c>
      <c r="C8" s="11" t="s">
        <v>1091</v>
      </c>
      <c r="D8" s="11" t="s">
        <v>15</v>
      </c>
      <c r="E8" s="11" t="s">
        <v>704</v>
      </c>
      <c r="F8" s="12">
        <v>9000.0</v>
      </c>
      <c r="G8" s="413" t="s">
        <v>24</v>
      </c>
      <c r="H8" s="16"/>
      <c r="I8" s="16">
        <v>350000.0</v>
      </c>
      <c r="J8" s="16"/>
      <c r="K8" s="16" t="str">
        <f t="shared" si="1"/>
        <v>#VALUE!</v>
      </c>
      <c r="L8" s="357"/>
      <c r="M8" s="22"/>
      <c r="N8" s="22"/>
      <c r="O8" s="22"/>
    </row>
    <row r="9">
      <c r="A9" s="51">
        <v>45091.0</v>
      </c>
      <c r="B9" s="10" t="s">
        <v>389</v>
      </c>
      <c r="C9" s="11" t="s">
        <v>1091</v>
      </c>
      <c r="D9" s="11" t="s">
        <v>15</v>
      </c>
      <c r="E9" s="11" t="s">
        <v>1093</v>
      </c>
      <c r="F9" s="12">
        <v>9000.0</v>
      </c>
      <c r="G9" s="16">
        <v>675000.0</v>
      </c>
      <c r="H9" s="16"/>
      <c r="I9" s="16">
        <v>375000.0</v>
      </c>
      <c r="J9" s="16"/>
      <c r="K9" s="16">
        <f t="shared" si="1"/>
        <v>300000</v>
      </c>
      <c r="L9" s="357"/>
      <c r="M9" s="22"/>
      <c r="N9" s="22"/>
      <c r="O9" s="22"/>
    </row>
    <row r="10">
      <c r="A10" s="51">
        <v>45092.0</v>
      </c>
      <c r="B10" s="10" t="s">
        <v>389</v>
      </c>
      <c r="C10" s="11" t="s">
        <v>1091</v>
      </c>
      <c r="D10" s="11" t="s">
        <v>15</v>
      </c>
      <c r="E10" s="11" t="s">
        <v>1068</v>
      </c>
      <c r="F10" s="12">
        <v>9000.0</v>
      </c>
      <c r="G10" s="16">
        <v>1080000.0</v>
      </c>
      <c r="H10" s="16"/>
      <c r="I10" s="16">
        <v>640000.0</v>
      </c>
      <c r="J10" s="16"/>
      <c r="K10" s="16">
        <f t="shared" si="1"/>
        <v>440000</v>
      </c>
      <c r="L10" s="357"/>
      <c r="M10" s="22"/>
      <c r="N10" s="22"/>
      <c r="O10" s="22"/>
    </row>
    <row r="11">
      <c r="A11" s="51">
        <v>45093.0</v>
      </c>
      <c r="B11" s="10" t="s">
        <v>389</v>
      </c>
      <c r="C11" s="11" t="s">
        <v>1091</v>
      </c>
      <c r="D11" s="11" t="s">
        <v>15</v>
      </c>
      <c r="E11" s="11" t="s">
        <v>1068</v>
      </c>
      <c r="F11" s="12">
        <v>9000.0</v>
      </c>
      <c r="G11" s="16">
        <v>1080000.0</v>
      </c>
      <c r="H11" s="16"/>
      <c r="I11" s="16">
        <v>640000.0</v>
      </c>
      <c r="J11" s="16"/>
      <c r="K11" s="16">
        <f t="shared" si="1"/>
        <v>440000</v>
      </c>
      <c r="L11" s="357"/>
      <c r="M11" s="22"/>
      <c r="N11" s="22"/>
      <c r="O11" s="22"/>
    </row>
    <row r="12">
      <c r="A12" s="51">
        <v>45094.0</v>
      </c>
      <c r="B12" s="10" t="s">
        <v>389</v>
      </c>
      <c r="C12" s="11" t="s">
        <v>1091</v>
      </c>
      <c r="D12" s="11" t="s">
        <v>12</v>
      </c>
      <c r="E12" s="11" t="s">
        <v>1092</v>
      </c>
      <c r="F12" s="12">
        <v>9000.0</v>
      </c>
      <c r="G12" s="16">
        <v>975000.0</v>
      </c>
      <c r="H12" s="16"/>
      <c r="I12" s="16">
        <v>500000.0</v>
      </c>
      <c r="J12" s="16"/>
      <c r="K12" s="16">
        <f t="shared" si="1"/>
        <v>475000</v>
      </c>
      <c r="L12" s="357"/>
      <c r="M12" s="22"/>
      <c r="N12" s="22"/>
      <c r="O12" s="22"/>
    </row>
    <row r="13">
      <c r="A13" s="51">
        <v>45096.0</v>
      </c>
      <c r="B13" s="10" t="s">
        <v>389</v>
      </c>
      <c r="C13" s="11" t="s">
        <v>1091</v>
      </c>
      <c r="D13" s="11" t="s">
        <v>15</v>
      </c>
      <c r="E13" s="11" t="s">
        <v>1094</v>
      </c>
      <c r="F13" s="12">
        <v>8500.0</v>
      </c>
      <c r="G13" s="16">
        <v>750000.0</v>
      </c>
      <c r="H13" s="16"/>
      <c r="I13" s="16">
        <v>350000.0</v>
      </c>
      <c r="J13" s="16"/>
      <c r="K13" s="16">
        <f t="shared" si="1"/>
        <v>400000</v>
      </c>
      <c r="L13" s="357"/>
      <c r="M13" s="22"/>
      <c r="N13" s="22"/>
      <c r="O13" s="22"/>
    </row>
    <row r="14">
      <c r="A14" s="51">
        <v>45097.0</v>
      </c>
      <c r="B14" s="10" t="s">
        <v>389</v>
      </c>
      <c r="C14" s="11" t="s">
        <v>1091</v>
      </c>
      <c r="D14" s="11" t="s">
        <v>355</v>
      </c>
      <c r="E14" s="11" t="s">
        <v>699</v>
      </c>
      <c r="F14" s="12">
        <v>8500.0</v>
      </c>
      <c r="G14" s="16">
        <v>1200000.0</v>
      </c>
      <c r="H14" s="16"/>
      <c r="I14" s="16">
        <v>640000.0</v>
      </c>
      <c r="J14" s="16"/>
      <c r="K14" s="16">
        <f t="shared" si="1"/>
        <v>560000</v>
      </c>
      <c r="L14" s="357"/>
      <c r="M14" s="22"/>
      <c r="N14" s="22"/>
      <c r="O14" s="22"/>
    </row>
    <row r="15">
      <c r="A15" s="51">
        <v>45098.0</v>
      </c>
      <c r="B15" s="10" t="s">
        <v>389</v>
      </c>
      <c r="C15" s="11" t="s">
        <v>1091</v>
      </c>
      <c r="D15" s="11" t="s">
        <v>12</v>
      </c>
      <c r="E15" s="11" t="s">
        <v>22</v>
      </c>
      <c r="F15" s="12">
        <v>8500.0</v>
      </c>
      <c r="G15" s="16">
        <v>1100000.0</v>
      </c>
      <c r="H15" s="16"/>
      <c r="I15" s="16">
        <v>640000.0</v>
      </c>
      <c r="J15" s="16"/>
      <c r="K15" s="16">
        <f t="shared" si="1"/>
        <v>460000</v>
      </c>
      <c r="L15" s="357"/>
      <c r="M15" s="22"/>
      <c r="N15" s="22"/>
      <c r="O15" s="22"/>
    </row>
    <row r="16">
      <c r="A16" s="51">
        <v>45099.0</v>
      </c>
      <c r="B16" s="11"/>
      <c r="C16" s="11"/>
      <c r="D16" s="11" t="s">
        <v>15</v>
      </c>
      <c r="E16" s="11" t="s">
        <v>359</v>
      </c>
      <c r="F16" s="357"/>
      <c r="G16" s="16">
        <v>1300000.0</v>
      </c>
      <c r="H16" s="16"/>
      <c r="I16" s="16">
        <v>850000.0</v>
      </c>
      <c r="J16" s="16"/>
      <c r="K16" s="16">
        <f t="shared" si="1"/>
        <v>450000</v>
      </c>
      <c r="L16" s="357"/>
      <c r="M16" s="22"/>
      <c r="N16" s="22"/>
      <c r="O16" s="22"/>
    </row>
    <row r="17">
      <c r="A17" s="51">
        <v>45100.0</v>
      </c>
      <c r="B17" s="10" t="s">
        <v>389</v>
      </c>
      <c r="C17" s="11" t="s">
        <v>1091</v>
      </c>
      <c r="D17" s="11" t="s">
        <v>15</v>
      </c>
      <c r="E17" s="11" t="s">
        <v>1093</v>
      </c>
      <c r="F17" s="357"/>
      <c r="G17" s="16">
        <v>675000.0</v>
      </c>
      <c r="H17" s="16"/>
      <c r="I17" s="16">
        <v>375000.0</v>
      </c>
      <c r="J17" s="16"/>
      <c r="K17" s="16">
        <f t="shared" si="1"/>
        <v>300000</v>
      </c>
      <c r="L17" s="357"/>
      <c r="M17" s="22"/>
      <c r="N17" s="22"/>
      <c r="O17" s="22"/>
    </row>
    <row r="18">
      <c r="A18" s="51">
        <v>45101.0</v>
      </c>
      <c r="B18" s="10" t="s">
        <v>389</v>
      </c>
      <c r="C18" s="11" t="s">
        <v>1091</v>
      </c>
      <c r="D18" s="11" t="s">
        <v>12</v>
      </c>
      <c r="E18" s="11" t="s">
        <v>361</v>
      </c>
      <c r="F18" s="357"/>
      <c r="G18" s="16">
        <v>1400000.0</v>
      </c>
      <c r="H18" s="16"/>
      <c r="I18" s="16">
        <v>900000.0</v>
      </c>
      <c r="J18" s="16"/>
      <c r="K18" s="16">
        <f t="shared" si="1"/>
        <v>500000</v>
      </c>
      <c r="L18" s="357"/>
      <c r="M18" s="22"/>
      <c r="N18" s="22"/>
      <c r="O18" s="22"/>
    </row>
    <row r="19">
      <c r="A19" s="51">
        <v>45103.0</v>
      </c>
      <c r="B19" s="10" t="s">
        <v>389</v>
      </c>
      <c r="C19" s="11" t="s">
        <v>1091</v>
      </c>
      <c r="D19" s="11" t="s">
        <v>15</v>
      </c>
      <c r="E19" s="11" t="s">
        <v>1095</v>
      </c>
      <c r="F19" s="357"/>
      <c r="G19" s="16">
        <v>900000.0</v>
      </c>
      <c r="H19" s="16"/>
      <c r="I19" s="16">
        <v>500000.0</v>
      </c>
      <c r="J19" s="16"/>
      <c r="K19" s="16">
        <f t="shared" si="1"/>
        <v>400000</v>
      </c>
      <c r="L19" s="16">
        <v>200000.0</v>
      </c>
      <c r="M19" s="22"/>
      <c r="N19" s="22"/>
      <c r="O19" s="22"/>
    </row>
    <row r="20">
      <c r="A20" s="51">
        <v>45104.0</v>
      </c>
      <c r="B20" s="10" t="s">
        <v>389</v>
      </c>
      <c r="C20" s="11" t="s">
        <v>1091</v>
      </c>
      <c r="D20" s="11" t="s">
        <v>15</v>
      </c>
      <c r="E20" s="11" t="s">
        <v>20</v>
      </c>
      <c r="F20" s="357"/>
      <c r="G20" s="16">
        <v>1230000.0</v>
      </c>
      <c r="H20" s="16"/>
      <c r="I20" s="16">
        <v>700000.0</v>
      </c>
      <c r="J20" s="16"/>
      <c r="K20" s="16">
        <f t="shared" si="1"/>
        <v>530000</v>
      </c>
      <c r="L20" s="357"/>
      <c r="M20" s="22"/>
      <c r="N20" s="22"/>
      <c r="O20" s="22"/>
    </row>
    <row r="21" ht="15.75" customHeight="1">
      <c r="A21" s="51">
        <v>45107.0</v>
      </c>
      <c r="B21" s="10" t="s">
        <v>389</v>
      </c>
      <c r="C21" s="11" t="s">
        <v>1091</v>
      </c>
      <c r="D21" s="11" t="s">
        <v>15</v>
      </c>
      <c r="E21" s="11" t="s">
        <v>1096</v>
      </c>
      <c r="F21" s="357"/>
      <c r="G21" s="16">
        <v>675000.0</v>
      </c>
      <c r="H21" s="16"/>
      <c r="I21" s="16">
        <v>375000.0</v>
      </c>
      <c r="J21" s="16"/>
      <c r="K21" s="16">
        <f t="shared" si="1"/>
        <v>300000</v>
      </c>
      <c r="L21" s="357"/>
      <c r="M21" s="22"/>
      <c r="N21" s="22"/>
      <c r="O21" s="22"/>
    </row>
    <row r="22" ht="15.75" customHeight="1">
      <c r="A22" s="51">
        <v>45107.0</v>
      </c>
      <c r="B22" s="10" t="s">
        <v>389</v>
      </c>
      <c r="C22" s="11" t="s">
        <v>1091</v>
      </c>
      <c r="D22" s="11" t="s">
        <v>15</v>
      </c>
      <c r="E22" s="11" t="s">
        <v>705</v>
      </c>
      <c r="F22" s="357"/>
      <c r="G22" s="16">
        <v>675000.0</v>
      </c>
      <c r="H22" s="16"/>
      <c r="I22" s="16">
        <v>350000.0</v>
      </c>
      <c r="J22" s="16"/>
      <c r="K22" s="16">
        <f t="shared" si="1"/>
        <v>325000</v>
      </c>
      <c r="L22" s="357"/>
      <c r="M22" s="22"/>
      <c r="N22" s="22"/>
      <c r="O22" s="22"/>
    </row>
    <row r="23" ht="15.75" customHeight="1">
      <c r="A23" s="23"/>
      <c r="B23" s="23"/>
      <c r="C23" s="23"/>
      <c r="D23" s="23"/>
      <c r="E23" s="23"/>
      <c r="F23" s="22"/>
      <c r="G23" s="22"/>
      <c r="H23" s="22"/>
      <c r="I23" s="22"/>
      <c r="J23" s="22"/>
      <c r="K23" s="249" t="str">
        <f t="shared" ref="K23:L23" si="2">SUM(K2:K22)</f>
        <v>#VALUE!</v>
      </c>
      <c r="L23" s="29">
        <f t="shared" si="2"/>
        <v>3333000</v>
      </c>
      <c r="M23" s="22"/>
      <c r="N23" s="22"/>
      <c r="O23" s="22"/>
    </row>
    <row r="24" ht="15.75" customHeight="1">
      <c r="A24" s="23"/>
      <c r="B24" s="23"/>
      <c r="C24" s="23"/>
      <c r="D24" s="23"/>
      <c r="E24" s="23"/>
      <c r="F24" s="22"/>
      <c r="G24" s="22"/>
      <c r="H24" s="22"/>
      <c r="I24" s="22"/>
      <c r="J24" s="22"/>
      <c r="K24" s="250" t="str">
        <f>SUM(K23)-SUM(L23)</f>
        <v>#VALUE!</v>
      </c>
      <c r="L24" s="168"/>
      <c r="M24" s="22"/>
      <c r="N24" s="22"/>
      <c r="O24" s="22"/>
    </row>
    <row r="25" ht="15.75" customHeight="1">
      <c r="A25" s="23"/>
      <c r="B25" s="23"/>
      <c r="C25" s="23"/>
      <c r="D25" s="23"/>
      <c r="E25" s="23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ht="32.25" customHeight="1">
      <c r="A26" s="2" t="s">
        <v>0</v>
      </c>
      <c r="B26" s="2" t="s">
        <v>1</v>
      </c>
      <c r="C26" s="2" t="s">
        <v>2</v>
      </c>
      <c r="D26" s="3" t="s">
        <v>3</v>
      </c>
      <c r="E26" s="2" t="s">
        <v>4</v>
      </c>
      <c r="F26" s="4" t="s">
        <v>5</v>
      </c>
      <c r="G26" s="6" t="s">
        <v>6</v>
      </c>
      <c r="H26" s="6"/>
      <c r="I26" s="4" t="s">
        <v>7</v>
      </c>
      <c r="J26" s="4"/>
      <c r="K26" s="6" t="s">
        <v>8</v>
      </c>
      <c r="L26" s="6" t="s">
        <v>9</v>
      </c>
      <c r="M26" s="22"/>
      <c r="N26" s="22"/>
      <c r="O26" s="22"/>
    </row>
    <row r="27" ht="15.75" customHeight="1">
      <c r="A27" s="51">
        <v>45108.0</v>
      </c>
      <c r="B27" s="10" t="s">
        <v>389</v>
      </c>
      <c r="C27" s="11" t="s">
        <v>1097</v>
      </c>
      <c r="D27" s="11" t="s">
        <v>37</v>
      </c>
      <c r="E27" s="11" t="s">
        <v>36</v>
      </c>
      <c r="F27" s="12">
        <v>9000.0</v>
      </c>
      <c r="G27" s="16">
        <v>1350000.0</v>
      </c>
      <c r="H27" s="16"/>
      <c r="I27" s="16">
        <v>800000.0</v>
      </c>
      <c r="J27" s="16"/>
      <c r="K27" s="16">
        <f t="shared" ref="K27:K28" si="3">G27-I27</f>
        <v>550000</v>
      </c>
      <c r="L27" s="10"/>
      <c r="M27" s="22"/>
      <c r="N27" s="22"/>
      <c r="O27" s="22"/>
    </row>
    <row r="28" ht="15.75" customHeight="1">
      <c r="A28" s="51">
        <v>45110.0</v>
      </c>
      <c r="B28" s="10" t="s">
        <v>389</v>
      </c>
      <c r="C28" s="11" t="s">
        <v>1097</v>
      </c>
      <c r="D28" s="11" t="s">
        <v>27</v>
      </c>
      <c r="E28" s="11" t="s">
        <v>718</v>
      </c>
      <c r="F28" s="12">
        <v>9000.0</v>
      </c>
      <c r="G28" s="16">
        <v>1400000.0</v>
      </c>
      <c r="H28" s="16"/>
      <c r="I28" s="16">
        <v>900000.0</v>
      </c>
      <c r="J28" s="16"/>
      <c r="K28" s="16">
        <f t="shared" si="3"/>
        <v>500000</v>
      </c>
      <c r="L28" s="16">
        <v>30000.0</v>
      </c>
      <c r="M28" s="22"/>
      <c r="N28" s="22"/>
      <c r="O28" s="22"/>
    </row>
    <row r="29" ht="15.75" customHeight="1">
      <c r="A29" s="51">
        <v>45111.0</v>
      </c>
      <c r="B29" s="10"/>
      <c r="C29" s="11"/>
      <c r="D29" s="11"/>
      <c r="E29" s="11"/>
      <c r="F29" s="12"/>
      <c r="G29" s="16"/>
      <c r="H29" s="16"/>
      <c r="I29" s="16"/>
      <c r="J29" s="16"/>
      <c r="K29" s="16"/>
      <c r="L29" s="16">
        <v>130000.0</v>
      </c>
      <c r="M29" s="22"/>
      <c r="N29" s="22"/>
      <c r="O29" s="22"/>
    </row>
    <row r="30" ht="15.75" customHeight="1">
      <c r="A30" s="51">
        <v>45112.0</v>
      </c>
      <c r="B30" s="10" t="s">
        <v>389</v>
      </c>
      <c r="C30" s="11" t="s">
        <v>1097</v>
      </c>
      <c r="D30" s="11" t="s">
        <v>37</v>
      </c>
      <c r="E30" s="11" t="s">
        <v>36</v>
      </c>
      <c r="F30" s="12">
        <v>9000.0</v>
      </c>
      <c r="G30" s="16">
        <v>1350000.0</v>
      </c>
      <c r="H30" s="16"/>
      <c r="I30" s="16">
        <v>800000.0</v>
      </c>
      <c r="J30" s="16"/>
      <c r="K30" s="16">
        <f t="shared" ref="K30:K37" si="4">G30-I30</f>
        <v>550000</v>
      </c>
      <c r="L30" s="10"/>
      <c r="M30" s="22"/>
      <c r="N30" s="22"/>
      <c r="O30" s="22"/>
    </row>
    <row r="31" ht="15.75" customHeight="1">
      <c r="A31" s="51">
        <v>45114.0</v>
      </c>
      <c r="B31" s="10" t="s">
        <v>389</v>
      </c>
      <c r="C31" s="11" t="s">
        <v>1097</v>
      </c>
      <c r="D31" s="11" t="s">
        <v>30</v>
      </c>
      <c r="E31" s="11" t="s">
        <v>28</v>
      </c>
      <c r="F31" s="12">
        <v>8500.0</v>
      </c>
      <c r="G31" s="16">
        <v>1100000.0</v>
      </c>
      <c r="H31" s="16"/>
      <c r="I31" s="16">
        <v>640000.0</v>
      </c>
      <c r="J31" s="16"/>
      <c r="K31" s="16">
        <f t="shared" si="4"/>
        <v>460000</v>
      </c>
      <c r="L31" s="10"/>
      <c r="M31" s="22"/>
      <c r="N31" s="22"/>
      <c r="O31" s="22"/>
    </row>
    <row r="32" ht="15.75" customHeight="1">
      <c r="A32" s="51">
        <v>45115.0</v>
      </c>
      <c r="B32" s="10" t="s">
        <v>389</v>
      </c>
      <c r="C32" s="11" t="s">
        <v>1097</v>
      </c>
      <c r="D32" s="11" t="s">
        <v>27</v>
      </c>
      <c r="E32" s="11" t="s">
        <v>28</v>
      </c>
      <c r="F32" s="12">
        <v>8500.0</v>
      </c>
      <c r="G32" s="16">
        <v>1100000.0</v>
      </c>
      <c r="H32" s="16"/>
      <c r="I32" s="16">
        <v>640000.0</v>
      </c>
      <c r="J32" s="16"/>
      <c r="K32" s="16">
        <f t="shared" si="4"/>
        <v>460000</v>
      </c>
      <c r="L32" s="10"/>
      <c r="M32" s="22"/>
      <c r="N32" s="22"/>
      <c r="O32" s="22"/>
    </row>
    <row r="33" ht="15.75" customHeight="1">
      <c r="A33" s="51">
        <v>45117.0</v>
      </c>
      <c r="B33" s="10" t="s">
        <v>389</v>
      </c>
      <c r="C33" s="11" t="s">
        <v>1097</v>
      </c>
      <c r="D33" s="11" t="s">
        <v>30</v>
      </c>
      <c r="E33" s="11" t="s">
        <v>1098</v>
      </c>
      <c r="F33" s="12">
        <v>9000.0</v>
      </c>
      <c r="G33" s="16">
        <v>720000.0</v>
      </c>
      <c r="H33" s="16"/>
      <c r="I33" s="16">
        <v>350000.0</v>
      </c>
      <c r="J33" s="16"/>
      <c r="K33" s="16">
        <f t="shared" si="4"/>
        <v>370000</v>
      </c>
      <c r="L33" s="16">
        <v>103000.0</v>
      </c>
      <c r="M33" s="22"/>
      <c r="N33" s="22"/>
      <c r="O33" s="22"/>
    </row>
    <row r="34" ht="15.75" customHeight="1">
      <c r="A34" s="51">
        <v>45118.0</v>
      </c>
      <c r="B34" s="10" t="s">
        <v>389</v>
      </c>
      <c r="C34" s="11" t="s">
        <v>1097</v>
      </c>
      <c r="D34" s="11" t="s">
        <v>30</v>
      </c>
      <c r="E34" s="11" t="s">
        <v>1099</v>
      </c>
      <c r="F34" s="12">
        <v>9000.0</v>
      </c>
      <c r="G34" s="16">
        <v>675000.0</v>
      </c>
      <c r="H34" s="16"/>
      <c r="I34" s="16">
        <v>375000.0</v>
      </c>
      <c r="J34" s="16"/>
      <c r="K34" s="16">
        <f t="shared" si="4"/>
        <v>300000</v>
      </c>
      <c r="L34" s="16">
        <v>1125000.0</v>
      </c>
      <c r="M34" s="22"/>
      <c r="N34" s="22"/>
      <c r="O34" s="22"/>
    </row>
    <row r="35" ht="15.75" customHeight="1">
      <c r="A35" s="51">
        <v>45119.0</v>
      </c>
      <c r="B35" s="10" t="s">
        <v>389</v>
      </c>
      <c r="C35" s="11" t="s">
        <v>1097</v>
      </c>
      <c r="D35" s="11" t="s">
        <v>383</v>
      </c>
      <c r="E35" s="11" t="s">
        <v>86</v>
      </c>
      <c r="F35" s="12">
        <v>9000.0</v>
      </c>
      <c r="G35" s="16">
        <v>975000.0</v>
      </c>
      <c r="H35" s="16"/>
      <c r="I35" s="16">
        <v>500000.0</v>
      </c>
      <c r="J35" s="16"/>
      <c r="K35" s="16">
        <f t="shared" si="4"/>
        <v>475000</v>
      </c>
      <c r="L35" s="357"/>
      <c r="M35" s="22"/>
      <c r="N35" s="22"/>
      <c r="O35" s="22"/>
    </row>
    <row r="36" ht="15.75" customHeight="1">
      <c r="A36" s="51">
        <v>45120.0</v>
      </c>
      <c r="B36" s="10" t="s">
        <v>389</v>
      </c>
      <c r="C36" s="11" t="s">
        <v>1097</v>
      </c>
      <c r="D36" s="11" t="s">
        <v>27</v>
      </c>
      <c r="E36" s="11" t="s">
        <v>718</v>
      </c>
      <c r="F36" s="12">
        <v>9000.0</v>
      </c>
      <c r="G36" s="16">
        <v>1400000.0</v>
      </c>
      <c r="H36" s="16"/>
      <c r="I36" s="16">
        <v>900000.0</v>
      </c>
      <c r="J36" s="16"/>
      <c r="K36" s="16">
        <f t="shared" si="4"/>
        <v>500000</v>
      </c>
      <c r="L36" s="357"/>
      <c r="M36" s="22"/>
      <c r="N36" s="22"/>
      <c r="O36" s="22"/>
    </row>
    <row r="37" ht="15.75" customHeight="1">
      <c r="A37" s="51">
        <v>45125.0</v>
      </c>
      <c r="B37" s="10" t="s">
        <v>389</v>
      </c>
      <c r="C37" s="11" t="s">
        <v>1097</v>
      </c>
      <c r="D37" s="11" t="s">
        <v>30</v>
      </c>
      <c r="E37" s="11" t="s">
        <v>1098</v>
      </c>
      <c r="F37" s="12">
        <v>9000.0</v>
      </c>
      <c r="G37" s="16">
        <v>675000.0</v>
      </c>
      <c r="H37" s="16"/>
      <c r="I37" s="16">
        <v>350000.0</v>
      </c>
      <c r="J37" s="16"/>
      <c r="K37" s="16">
        <f t="shared" si="4"/>
        <v>325000</v>
      </c>
      <c r="L37" s="357"/>
      <c r="M37" s="22"/>
      <c r="N37" s="22"/>
      <c r="O37" s="22"/>
    </row>
    <row r="38" ht="15.75" customHeight="1">
      <c r="A38" s="51">
        <v>45127.0</v>
      </c>
      <c r="B38" s="11"/>
      <c r="C38" s="11"/>
      <c r="D38" s="11"/>
      <c r="E38" s="11"/>
      <c r="F38" s="357"/>
      <c r="G38" s="357"/>
      <c r="H38" s="357"/>
      <c r="I38" s="357"/>
      <c r="J38" s="357"/>
      <c r="K38" s="357"/>
      <c r="L38" s="16">
        <v>300000.0</v>
      </c>
      <c r="M38" s="22"/>
      <c r="N38" s="22"/>
      <c r="O38" s="22"/>
    </row>
    <row r="39" ht="15.75" customHeight="1">
      <c r="A39" s="51">
        <v>45132.0</v>
      </c>
      <c r="B39" s="11" t="s">
        <v>389</v>
      </c>
      <c r="C39" s="11"/>
      <c r="D39" s="11"/>
      <c r="E39" s="11"/>
      <c r="F39" s="357"/>
      <c r="G39" s="357"/>
      <c r="H39" s="357"/>
      <c r="I39" s="357"/>
      <c r="J39" s="357"/>
      <c r="K39" s="357"/>
      <c r="L39" s="16">
        <v>221000.0</v>
      </c>
      <c r="M39" s="22"/>
      <c r="N39" s="22"/>
      <c r="O39" s="22"/>
    </row>
    <row r="40" ht="15.75" customHeight="1">
      <c r="A40" s="51">
        <v>45138.0</v>
      </c>
      <c r="B40" s="11" t="s">
        <v>389</v>
      </c>
      <c r="C40" s="11"/>
      <c r="D40" s="11"/>
      <c r="E40" s="11"/>
      <c r="F40" s="357"/>
      <c r="G40" s="357"/>
      <c r="H40" s="357"/>
      <c r="I40" s="357"/>
      <c r="J40" s="357"/>
      <c r="K40" s="357"/>
      <c r="L40" s="16">
        <v>160000.0</v>
      </c>
      <c r="M40" s="22"/>
      <c r="N40" s="22"/>
      <c r="O40" s="22"/>
    </row>
    <row r="41" ht="15.75" customHeight="1">
      <c r="A41" s="23"/>
      <c r="B41" s="23"/>
      <c r="C41" s="23"/>
      <c r="D41" s="23"/>
      <c r="E41" s="23"/>
      <c r="F41" s="22"/>
      <c r="G41" s="22"/>
      <c r="H41" s="22"/>
      <c r="I41" s="22"/>
      <c r="J41" s="22"/>
      <c r="K41" s="249">
        <f t="shared" ref="K41:L41" si="5">SUM(K27:K40)</f>
        <v>4490000</v>
      </c>
      <c r="L41" s="29">
        <f t="shared" si="5"/>
        <v>2069000</v>
      </c>
      <c r="M41" s="22"/>
      <c r="N41" s="22"/>
      <c r="O41" s="22"/>
    </row>
    <row r="42" ht="15.75" customHeight="1">
      <c r="A42" s="23"/>
      <c r="B42" s="23"/>
      <c r="C42" s="23"/>
      <c r="D42" s="23"/>
      <c r="E42" s="23"/>
      <c r="F42" s="22"/>
      <c r="G42" s="22"/>
      <c r="H42" s="22"/>
      <c r="I42" s="22"/>
      <c r="J42" s="22"/>
      <c r="K42" s="231">
        <f>K41-L41</f>
        <v>2421000</v>
      </c>
      <c r="L42" s="22"/>
      <c r="M42" s="22"/>
      <c r="N42" s="22"/>
      <c r="O42" s="22"/>
    </row>
    <row r="43" ht="15.75" customHeight="1">
      <c r="A43" s="23"/>
      <c r="B43" s="23"/>
      <c r="C43" s="23"/>
      <c r="D43" s="23"/>
      <c r="E43" s="23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ht="28.5" customHeight="1">
      <c r="A44" s="161" t="s">
        <v>0</v>
      </c>
      <c r="B44" s="161" t="s">
        <v>1</v>
      </c>
      <c r="C44" s="161" t="s">
        <v>2</v>
      </c>
      <c r="D44" s="162" t="s">
        <v>3</v>
      </c>
      <c r="E44" s="161" t="s">
        <v>4</v>
      </c>
      <c r="F44" s="163" t="s">
        <v>5</v>
      </c>
      <c r="G44" s="414" t="s">
        <v>6</v>
      </c>
      <c r="H44" s="414" t="s">
        <v>39</v>
      </c>
      <c r="I44" s="163" t="s">
        <v>7</v>
      </c>
      <c r="J44" s="163" t="s">
        <v>39</v>
      </c>
      <c r="K44" s="414" t="s">
        <v>8</v>
      </c>
      <c r="L44" s="414" t="s">
        <v>9</v>
      </c>
      <c r="M44" s="22"/>
      <c r="N44" s="22"/>
      <c r="O44" s="22"/>
    </row>
    <row r="45" ht="15.75" customHeight="1">
      <c r="A45" s="41">
        <v>45139.0</v>
      </c>
      <c r="B45" s="42" t="s">
        <v>389</v>
      </c>
      <c r="C45" s="42" t="s">
        <v>1097</v>
      </c>
      <c r="D45" s="415"/>
      <c r="E45" s="416"/>
      <c r="F45" s="417"/>
      <c r="G45" s="418"/>
      <c r="H45" s="418"/>
      <c r="I45" s="417"/>
      <c r="J45" s="417"/>
      <c r="K45" s="418"/>
      <c r="L45" s="255">
        <v>370000.0</v>
      </c>
      <c r="M45" s="22" t="s">
        <v>1100</v>
      </c>
      <c r="N45" s="22"/>
      <c r="O45" s="22"/>
    </row>
    <row r="46" ht="15.75" customHeight="1">
      <c r="A46" s="51">
        <v>45143.0</v>
      </c>
      <c r="B46" s="11" t="s">
        <v>389</v>
      </c>
      <c r="C46" s="11" t="s">
        <v>1097</v>
      </c>
      <c r="D46" s="11" t="s">
        <v>45</v>
      </c>
      <c r="E46" s="11" t="s">
        <v>34</v>
      </c>
      <c r="F46" s="12">
        <v>9000.0</v>
      </c>
      <c r="G46" s="16">
        <v>1215000.0</v>
      </c>
      <c r="H46" s="16" t="s">
        <v>44</v>
      </c>
      <c r="I46" s="16">
        <v>700000.0</v>
      </c>
      <c r="J46" s="16" t="s">
        <v>42</v>
      </c>
      <c r="K46" s="16">
        <f>G46-I46</f>
        <v>515000</v>
      </c>
      <c r="L46" s="16">
        <v>100000.0</v>
      </c>
      <c r="M46" s="22" t="s">
        <v>1101</v>
      </c>
      <c r="N46" s="22"/>
      <c r="O46" s="22"/>
    </row>
    <row r="47" ht="15.75" customHeight="1">
      <c r="A47" s="51">
        <v>45146.0</v>
      </c>
      <c r="B47" s="11" t="s">
        <v>389</v>
      </c>
      <c r="C47" s="11" t="s">
        <v>1097</v>
      </c>
      <c r="D47" s="11"/>
      <c r="E47" s="11"/>
      <c r="F47" s="12"/>
      <c r="G47" s="16"/>
      <c r="H47" s="16"/>
      <c r="I47" s="16"/>
      <c r="J47" s="16"/>
      <c r="K47" s="16"/>
      <c r="L47" s="16">
        <v>70000.0</v>
      </c>
      <c r="M47" s="22" t="s">
        <v>1102</v>
      </c>
      <c r="N47" s="22"/>
      <c r="O47" s="22"/>
    </row>
    <row r="48" ht="15.75" customHeight="1">
      <c r="A48" s="51">
        <v>45147.0</v>
      </c>
      <c r="B48" s="11" t="s">
        <v>726</v>
      </c>
      <c r="C48" s="11" t="s">
        <v>1097</v>
      </c>
      <c r="D48" s="11" t="s">
        <v>45</v>
      </c>
      <c r="E48" s="11" t="s">
        <v>717</v>
      </c>
      <c r="F48" s="12">
        <v>10000.0</v>
      </c>
      <c r="G48" s="16">
        <v>900000.0</v>
      </c>
      <c r="H48" s="16" t="s">
        <v>44</v>
      </c>
      <c r="I48" s="16">
        <v>350000.0</v>
      </c>
      <c r="J48" s="16" t="s">
        <v>42</v>
      </c>
      <c r="K48" s="16">
        <f>G48-I48</f>
        <v>550000</v>
      </c>
      <c r="L48" s="16">
        <v>0.0</v>
      </c>
      <c r="M48" s="22"/>
      <c r="N48" s="22"/>
      <c r="O48" s="22"/>
    </row>
    <row r="49" ht="15.75" customHeight="1">
      <c r="A49" s="51">
        <v>45157.0</v>
      </c>
      <c r="B49" s="11" t="s">
        <v>389</v>
      </c>
      <c r="C49" s="11" t="s">
        <v>1097</v>
      </c>
      <c r="D49" s="11"/>
      <c r="E49" s="11"/>
      <c r="F49" s="12"/>
      <c r="G49" s="16"/>
      <c r="H49" s="16"/>
      <c r="I49" s="16"/>
      <c r="J49" s="16"/>
      <c r="K49" s="16"/>
      <c r="L49" s="16">
        <v>776000.0</v>
      </c>
      <c r="M49" s="22"/>
      <c r="N49" s="22"/>
      <c r="O49" s="22"/>
    </row>
    <row r="50" ht="15.75" customHeight="1">
      <c r="A50" s="51">
        <v>45158.0</v>
      </c>
      <c r="B50" s="11" t="s">
        <v>389</v>
      </c>
      <c r="C50" s="11"/>
      <c r="D50" s="11"/>
      <c r="E50" s="11"/>
      <c r="F50" s="12"/>
      <c r="G50" s="16"/>
      <c r="H50" s="16"/>
      <c r="I50" s="16"/>
      <c r="J50" s="16"/>
      <c r="K50" s="16"/>
      <c r="L50" s="16">
        <v>60000.0</v>
      </c>
      <c r="M50" s="22"/>
      <c r="N50" s="22"/>
      <c r="O50" s="22"/>
    </row>
    <row r="51" ht="15.75" customHeight="1">
      <c r="A51" s="51">
        <v>45159.0</v>
      </c>
      <c r="B51" s="11" t="s">
        <v>389</v>
      </c>
      <c r="C51" s="11" t="s">
        <v>1097</v>
      </c>
      <c r="D51" s="11" t="s">
        <v>30</v>
      </c>
      <c r="E51" s="11" t="s">
        <v>55</v>
      </c>
      <c r="F51" s="12">
        <v>8500.0</v>
      </c>
      <c r="G51" s="16">
        <v>1240000.0</v>
      </c>
      <c r="H51" s="16" t="s">
        <v>44</v>
      </c>
      <c r="I51" s="16">
        <v>700000.0</v>
      </c>
      <c r="J51" s="16" t="s">
        <v>42</v>
      </c>
      <c r="K51" s="16">
        <f t="shared" ref="K51:K58" si="6">G51-I51</f>
        <v>540000</v>
      </c>
      <c r="L51" s="16">
        <v>0.0</v>
      </c>
      <c r="M51" s="22"/>
      <c r="N51" s="22"/>
      <c r="O51" s="22"/>
    </row>
    <row r="52" ht="15.75" customHeight="1">
      <c r="A52" s="51">
        <v>45161.0</v>
      </c>
      <c r="B52" s="11" t="s">
        <v>389</v>
      </c>
      <c r="C52" s="11" t="s">
        <v>1097</v>
      </c>
      <c r="D52" s="11"/>
      <c r="E52" s="11"/>
      <c r="F52" s="357"/>
      <c r="G52" s="357"/>
      <c r="H52" s="357"/>
      <c r="I52" s="357"/>
      <c r="J52" s="357"/>
      <c r="K52" s="16">
        <f t="shared" si="6"/>
        <v>0</v>
      </c>
      <c r="L52" s="16">
        <v>526500.0</v>
      </c>
      <c r="M52" s="22"/>
      <c r="N52" s="22"/>
      <c r="O52" s="22"/>
    </row>
    <row r="53" ht="15.75" customHeight="1">
      <c r="A53" s="51">
        <v>45161.0</v>
      </c>
      <c r="B53" s="11" t="s">
        <v>389</v>
      </c>
      <c r="C53" s="11" t="s">
        <v>1097</v>
      </c>
      <c r="D53" s="11"/>
      <c r="E53" s="11"/>
      <c r="F53" s="357"/>
      <c r="G53" s="357"/>
      <c r="H53" s="357"/>
      <c r="I53" s="357"/>
      <c r="J53" s="357"/>
      <c r="K53" s="16">
        <f t="shared" si="6"/>
        <v>0</v>
      </c>
      <c r="L53" s="16">
        <v>100000.0</v>
      </c>
      <c r="M53" s="22" t="s">
        <v>1101</v>
      </c>
      <c r="N53" s="22"/>
      <c r="O53" s="22"/>
    </row>
    <row r="54" ht="15.75" customHeight="1">
      <c r="A54" s="51">
        <v>45164.0</v>
      </c>
      <c r="B54" s="11" t="s">
        <v>389</v>
      </c>
      <c r="C54" s="11" t="s">
        <v>1097</v>
      </c>
      <c r="D54" s="11" t="s">
        <v>30</v>
      </c>
      <c r="E54" s="11" t="s">
        <v>52</v>
      </c>
      <c r="F54" s="12">
        <v>9000.0</v>
      </c>
      <c r="G54" s="16">
        <v>1080000.0</v>
      </c>
      <c r="H54" s="16" t="s">
        <v>42</v>
      </c>
      <c r="I54" s="16">
        <v>640000.0</v>
      </c>
      <c r="J54" s="16" t="s">
        <v>44</v>
      </c>
      <c r="K54" s="16">
        <f t="shared" si="6"/>
        <v>440000</v>
      </c>
      <c r="L54" s="16">
        <v>200000.0</v>
      </c>
      <c r="M54" s="22"/>
      <c r="N54" s="22"/>
      <c r="O54" s="22"/>
    </row>
    <row r="55" ht="15.75" customHeight="1">
      <c r="A55" s="51">
        <v>45166.0</v>
      </c>
      <c r="B55" s="11" t="s">
        <v>389</v>
      </c>
      <c r="C55" s="11" t="s">
        <v>1097</v>
      </c>
      <c r="D55" s="11" t="s">
        <v>40</v>
      </c>
      <c r="E55" s="11" t="s">
        <v>34</v>
      </c>
      <c r="F55" s="12">
        <v>9000.0</v>
      </c>
      <c r="G55" s="16">
        <v>1215000.0</v>
      </c>
      <c r="H55" s="16" t="s">
        <v>44</v>
      </c>
      <c r="I55" s="16">
        <v>700000.0</v>
      </c>
      <c r="J55" s="16" t="s">
        <v>42</v>
      </c>
      <c r="K55" s="16">
        <f t="shared" si="6"/>
        <v>515000</v>
      </c>
      <c r="L55" s="16">
        <v>0.0</v>
      </c>
      <c r="M55" s="22"/>
      <c r="N55" s="22"/>
      <c r="O55" s="22"/>
    </row>
    <row r="56" ht="15.75" customHeight="1">
      <c r="A56" s="51">
        <v>45167.0</v>
      </c>
      <c r="B56" s="11" t="s">
        <v>389</v>
      </c>
      <c r="C56" s="11" t="s">
        <v>1097</v>
      </c>
      <c r="D56" s="11" t="s">
        <v>37</v>
      </c>
      <c r="E56" s="11" t="s">
        <v>1103</v>
      </c>
      <c r="F56" s="12">
        <v>9000.0</v>
      </c>
      <c r="G56" s="16">
        <v>975000.0</v>
      </c>
      <c r="H56" s="16" t="s">
        <v>42</v>
      </c>
      <c r="I56" s="16">
        <v>500000.0</v>
      </c>
      <c r="J56" s="16" t="s">
        <v>42</v>
      </c>
      <c r="K56" s="16">
        <f t="shared" si="6"/>
        <v>475000</v>
      </c>
      <c r="L56" s="16">
        <v>0.0</v>
      </c>
      <c r="M56" s="22"/>
      <c r="N56" s="22"/>
      <c r="O56" s="22"/>
    </row>
    <row r="57" ht="15.75" customHeight="1">
      <c r="A57" s="51">
        <v>45168.0</v>
      </c>
      <c r="B57" s="11" t="s">
        <v>389</v>
      </c>
      <c r="C57" s="11" t="s">
        <v>1097</v>
      </c>
      <c r="D57" s="11" t="s">
        <v>40</v>
      </c>
      <c r="E57" s="11" t="s">
        <v>76</v>
      </c>
      <c r="F57" s="12">
        <v>9000.0</v>
      </c>
      <c r="G57" s="16">
        <v>1300000.0</v>
      </c>
      <c r="H57" s="16" t="s">
        <v>42</v>
      </c>
      <c r="I57" s="16">
        <v>850000.0</v>
      </c>
      <c r="J57" s="16" t="s">
        <v>42</v>
      </c>
      <c r="K57" s="16">
        <f t="shared" si="6"/>
        <v>450000</v>
      </c>
      <c r="L57" s="16">
        <v>0.0</v>
      </c>
      <c r="M57" s="22"/>
      <c r="N57" s="22"/>
      <c r="O57" s="22"/>
    </row>
    <row r="58" ht="15.75" customHeight="1">
      <c r="A58" s="51">
        <v>45169.0</v>
      </c>
      <c r="B58" s="11" t="s">
        <v>389</v>
      </c>
      <c r="C58" s="11" t="s">
        <v>1097</v>
      </c>
      <c r="D58" s="11" t="s">
        <v>40</v>
      </c>
      <c r="E58" s="11" t="s">
        <v>87</v>
      </c>
      <c r="F58" s="12">
        <v>9000.0</v>
      </c>
      <c r="G58" s="16">
        <v>1400000.0</v>
      </c>
      <c r="H58" s="16" t="s">
        <v>42</v>
      </c>
      <c r="I58" s="16">
        <v>900000.0</v>
      </c>
      <c r="J58" s="16" t="s">
        <v>42</v>
      </c>
      <c r="K58" s="16">
        <f t="shared" si="6"/>
        <v>500000</v>
      </c>
      <c r="L58" s="16">
        <v>0.0</v>
      </c>
      <c r="M58" s="22"/>
      <c r="N58" s="22"/>
      <c r="O58" s="22"/>
    </row>
    <row r="59" ht="15.75" customHeight="1">
      <c r="A59" s="23"/>
      <c r="B59" s="23"/>
      <c r="C59" s="23"/>
      <c r="D59" s="23"/>
      <c r="E59" s="23"/>
      <c r="F59" s="22"/>
      <c r="G59" s="22"/>
      <c r="H59" s="22"/>
      <c r="I59" s="22"/>
      <c r="J59" s="22"/>
      <c r="K59" s="251">
        <f>SUM(K46:K58)</f>
        <v>3985000</v>
      </c>
      <c r="L59" s="53">
        <f>SUM(L45:L58)</f>
        <v>2202500</v>
      </c>
      <c r="M59" s="22"/>
      <c r="N59" s="22"/>
      <c r="O59" s="22"/>
    </row>
    <row r="60" ht="15.75" customHeight="1">
      <c r="A60" s="23"/>
      <c r="B60" s="23"/>
      <c r="C60" s="23"/>
      <c r="D60" s="23"/>
      <c r="E60" s="23"/>
      <c r="F60" s="22"/>
      <c r="G60" s="22"/>
      <c r="H60" s="22"/>
      <c r="I60" s="22"/>
      <c r="J60" s="22"/>
      <c r="K60" s="231">
        <f>K59-L59</f>
        <v>1782500</v>
      </c>
      <c r="L60" s="22"/>
      <c r="M60" s="22"/>
      <c r="N60" s="22"/>
      <c r="O60" s="22"/>
    </row>
    <row r="61" ht="15.75" customHeight="1">
      <c r="A61" s="23"/>
      <c r="B61" s="23"/>
      <c r="C61" s="23"/>
      <c r="D61" s="23"/>
      <c r="E61" s="23"/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 ht="30.0" customHeight="1">
      <c r="A62" s="2" t="s">
        <v>0</v>
      </c>
      <c r="B62" s="2" t="s">
        <v>1</v>
      </c>
      <c r="C62" s="2" t="s">
        <v>2</v>
      </c>
      <c r="D62" s="3" t="s">
        <v>3</v>
      </c>
      <c r="E62" s="2" t="s">
        <v>4</v>
      </c>
      <c r="F62" s="4" t="s">
        <v>5</v>
      </c>
      <c r="G62" s="6" t="s">
        <v>6</v>
      </c>
      <c r="H62" s="6" t="s">
        <v>39</v>
      </c>
      <c r="I62" s="4" t="s">
        <v>7</v>
      </c>
      <c r="J62" s="4" t="s">
        <v>39</v>
      </c>
      <c r="K62" s="6" t="s">
        <v>8</v>
      </c>
      <c r="L62" s="6" t="s">
        <v>9</v>
      </c>
      <c r="M62" s="22"/>
      <c r="N62" s="22"/>
      <c r="O62" s="22"/>
    </row>
    <row r="63" ht="15.75" customHeight="1">
      <c r="A63" s="51">
        <v>45170.0</v>
      </c>
      <c r="B63" s="11" t="s">
        <v>389</v>
      </c>
      <c r="C63" s="11" t="s">
        <v>1097</v>
      </c>
      <c r="D63" s="11" t="s">
        <v>40</v>
      </c>
      <c r="E63" s="11" t="s">
        <v>378</v>
      </c>
      <c r="F63" s="12">
        <v>8500.0</v>
      </c>
      <c r="G63" s="16">
        <v>1100000.0</v>
      </c>
      <c r="H63" s="16" t="s">
        <v>42</v>
      </c>
      <c r="I63" s="16">
        <v>640000.0</v>
      </c>
      <c r="J63" s="16" t="s">
        <v>42</v>
      </c>
      <c r="K63" s="16">
        <f>G63-I63</f>
        <v>460000</v>
      </c>
      <c r="L63" s="16">
        <v>0.0</v>
      </c>
      <c r="M63" s="22"/>
      <c r="N63" s="22"/>
      <c r="O63" s="22"/>
    </row>
    <row r="64" ht="15.75" customHeight="1">
      <c r="A64" s="51">
        <v>45171.0</v>
      </c>
      <c r="B64" s="11" t="s">
        <v>389</v>
      </c>
      <c r="C64" s="11" t="s">
        <v>1097</v>
      </c>
      <c r="D64" s="11"/>
      <c r="E64" s="11"/>
      <c r="F64" s="357"/>
      <c r="G64" s="357"/>
      <c r="H64" s="357"/>
      <c r="I64" s="357"/>
      <c r="J64" s="357"/>
      <c r="K64" s="357"/>
      <c r="L64" s="16">
        <v>320000.0</v>
      </c>
      <c r="M64" s="22"/>
      <c r="N64" s="22"/>
      <c r="O64" s="22"/>
    </row>
    <row r="65" ht="15.75" customHeight="1">
      <c r="A65" s="51">
        <v>45172.0</v>
      </c>
      <c r="B65" s="11" t="s">
        <v>389</v>
      </c>
      <c r="C65" s="11" t="s">
        <v>1097</v>
      </c>
      <c r="D65" s="11"/>
      <c r="E65" s="11"/>
      <c r="F65" s="357"/>
      <c r="G65" s="357"/>
      <c r="H65" s="357"/>
      <c r="I65" s="357"/>
      <c r="J65" s="357"/>
      <c r="K65" s="357"/>
      <c r="L65" s="16">
        <v>1780000.0</v>
      </c>
      <c r="M65" s="22"/>
      <c r="N65" s="22"/>
      <c r="O65" s="22"/>
    </row>
    <row r="66" ht="15.75" customHeight="1">
      <c r="A66" s="51">
        <v>45173.0</v>
      </c>
      <c r="B66" s="11" t="s">
        <v>389</v>
      </c>
      <c r="C66" s="11" t="s">
        <v>1097</v>
      </c>
      <c r="D66" s="11" t="s">
        <v>45</v>
      </c>
      <c r="E66" s="11" t="s">
        <v>384</v>
      </c>
      <c r="F66" s="12">
        <v>9000.0</v>
      </c>
      <c r="G66" s="16">
        <v>1125000.0</v>
      </c>
      <c r="H66" s="16" t="s">
        <v>42</v>
      </c>
      <c r="I66" s="16">
        <v>640000.0</v>
      </c>
      <c r="J66" s="16" t="s">
        <v>42</v>
      </c>
      <c r="K66" s="16">
        <f t="shared" ref="K66:K68" si="7">G66-I66</f>
        <v>485000</v>
      </c>
      <c r="L66" s="16">
        <v>0.0</v>
      </c>
      <c r="M66" s="22"/>
      <c r="N66" s="22"/>
      <c r="O66" s="22"/>
    </row>
    <row r="67" ht="15.75" customHeight="1">
      <c r="A67" s="51">
        <v>45174.0</v>
      </c>
      <c r="B67" s="11" t="s">
        <v>389</v>
      </c>
      <c r="C67" s="11" t="s">
        <v>1097</v>
      </c>
      <c r="D67" s="11" t="s">
        <v>30</v>
      </c>
      <c r="E67" s="11" t="s">
        <v>70</v>
      </c>
      <c r="F67" s="12">
        <v>9000.0</v>
      </c>
      <c r="G67" s="16">
        <v>1200000.0</v>
      </c>
      <c r="H67" s="16" t="s">
        <v>42</v>
      </c>
      <c r="I67" s="16">
        <v>640000.0</v>
      </c>
      <c r="J67" s="16" t="s">
        <v>42</v>
      </c>
      <c r="K67" s="16">
        <f t="shared" si="7"/>
        <v>560000</v>
      </c>
      <c r="L67" s="16">
        <v>0.0</v>
      </c>
      <c r="M67" s="22"/>
      <c r="N67" s="22" t="s">
        <v>1104</v>
      </c>
      <c r="O67" s="22"/>
    </row>
    <row r="68" ht="15.75" customHeight="1">
      <c r="A68" s="51">
        <v>45175.0</v>
      </c>
      <c r="B68" s="11" t="s">
        <v>389</v>
      </c>
      <c r="C68" s="11" t="s">
        <v>1097</v>
      </c>
      <c r="D68" s="11" t="s">
        <v>45</v>
      </c>
      <c r="E68" s="11" t="s">
        <v>1105</v>
      </c>
      <c r="F68" s="12">
        <v>9000.0</v>
      </c>
      <c r="G68" s="16">
        <v>1035000.0</v>
      </c>
      <c r="H68" s="16" t="s">
        <v>42</v>
      </c>
      <c r="I68" s="16">
        <v>600000.0</v>
      </c>
      <c r="J68" s="16" t="s">
        <v>42</v>
      </c>
      <c r="K68" s="16">
        <f t="shared" si="7"/>
        <v>435000</v>
      </c>
      <c r="L68" s="16">
        <v>0.0</v>
      </c>
      <c r="M68" s="22"/>
      <c r="N68" s="22"/>
      <c r="O68" s="22"/>
    </row>
    <row r="69" ht="15.75" customHeight="1">
      <c r="A69" s="23"/>
      <c r="B69" s="23"/>
      <c r="C69" s="23"/>
      <c r="D69" s="23"/>
      <c r="E69" s="23"/>
      <c r="F69" s="22"/>
      <c r="G69" s="22"/>
      <c r="H69" s="22"/>
      <c r="I69" s="22"/>
      <c r="J69" s="22"/>
      <c r="K69" s="251">
        <f t="shared" ref="K69:L69" si="8">SUM(K63:K68)</f>
        <v>1940000</v>
      </c>
      <c r="L69" s="53">
        <f t="shared" si="8"/>
        <v>2100000</v>
      </c>
      <c r="M69" s="22"/>
      <c r="N69" s="22"/>
      <c r="O69" s="22"/>
    </row>
    <row r="70" ht="15.75" customHeight="1">
      <c r="A70" s="23"/>
      <c r="B70" s="23"/>
      <c r="C70" s="23"/>
      <c r="D70" s="23"/>
      <c r="E70" s="23"/>
      <c r="F70" s="22"/>
      <c r="G70" s="22"/>
      <c r="H70" s="22"/>
      <c r="I70" s="22"/>
      <c r="J70" s="22"/>
      <c r="K70" s="231">
        <f>K69-L69</f>
        <v>-160000</v>
      </c>
      <c r="L70" s="168"/>
      <c r="M70" s="22"/>
      <c r="N70" s="22"/>
      <c r="O70" s="22"/>
    </row>
    <row r="71" ht="15.75" customHeight="1">
      <c r="A71" s="23"/>
      <c r="B71" s="23"/>
      <c r="C71" s="23"/>
      <c r="D71" s="23"/>
      <c r="E71" s="23"/>
      <c r="F71" s="22"/>
      <c r="G71" s="22"/>
      <c r="H71" s="22"/>
      <c r="I71" s="22"/>
      <c r="J71" s="22"/>
      <c r="K71" s="54"/>
      <c r="L71" s="168"/>
      <c r="M71" s="22"/>
      <c r="N71" s="22"/>
      <c r="O71" s="22"/>
    </row>
    <row r="72" ht="24.0" customHeight="1">
      <c r="A72" s="2" t="s">
        <v>0</v>
      </c>
      <c r="B72" s="2" t="s">
        <v>1</v>
      </c>
      <c r="C72" s="2" t="s">
        <v>2</v>
      </c>
      <c r="D72" s="3" t="s">
        <v>3</v>
      </c>
      <c r="E72" s="2" t="s">
        <v>4</v>
      </c>
      <c r="F72" s="4" t="s">
        <v>5</v>
      </c>
      <c r="G72" s="6" t="s">
        <v>6</v>
      </c>
      <c r="H72" s="6" t="s">
        <v>39</v>
      </c>
      <c r="I72" s="4" t="s">
        <v>7</v>
      </c>
      <c r="J72" s="4" t="s">
        <v>39</v>
      </c>
      <c r="K72" s="6" t="s">
        <v>8</v>
      </c>
      <c r="L72" s="6" t="s">
        <v>9</v>
      </c>
      <c r="M72" s="22"/>
      <c r="N72" s="22"/>
      <c r="O72" s="22"/>
    </row>
    <row r="73" ht="15.75" customHeight="1">
      <c r="A73" s="51">
        <v>45214.0</v>
      </c>
      <c r="B73" s="11" t="s">
        <v>1106</v>
      </c>
      <c r="C73" s="11"/>
      <c r="D73" s="11"/>
      <c r="E73" s="11"/>
      <c r="F73" s="357"/>
      <c r="G73" s="357"/>
      <c r="H73" s="357"/>
      <c r="I73" s="357"/>
      <c r="J73" s="357"/>
      <c r="K73" s="357"/>
      <c r="L73" s="62">
        <v>1.035E7</v>
      </c>
      <c r="M73" s="168"/>
    </row>
    <row r="74" ht="15.75" customHeight="1">
      <c r="A74" s="51">
        <v>45214.0</v>
      </c>
      <c r="B74" s="11" t="s">
        <v>1106</v>
      </c>
      <c r="C74" s="11" t="s">
        <v>995</v>
      </c>
      <c r="D74" s="11"/>
      <c r="E74" s="11"/>
      <c r="F74" s="357"/>
      <c r="G74" s="357"/>
      <c r="H74" s="357"/>
      <c r="I74" s="357"/>
      <c r="J74" s="357"/>
      <c r="K74" s="357"/>
      <c r="L74" s="62">
        <v>210000.0</v>
      </c>
      <c r="M74" s="168"/>
    </row>
    <row r="75" ht="15.75" customHeight="1">
      <c r="A75" s="51">
        <v>45224.0</v>
      </c>
      <c r="B75" s="11" t="s">
        <v>390</v>
      </c>
      <c r="C75" s="11" t="s">
        <v>995</v>
      </c>
      <c r="D75" s="11"/>
      <c r="E75" s="11"/>
      <c r="F75" s="357"/>
      <c r="G75" s="357"/>
      <c r="H75" s="357"/>
      <c r="I75" s="357"/>
      <c r="J75" s="357"/>
      <c r="K75" s="357"/>
      <c r="L75" s="62">
        <v>633000.0</v>
      </c>
      <c r="M75" s="168"/>
    </row>
    <row r="76" ht="15.75" customHeight="1">
      <c r="A76" s="169"/>
      <c r="B76" s="169"/>
      <c r="C76" s="169"/>
      <c r="D76" s="169"/>
      <c r="E76" s="169"/>
      <c r="K76" s="251">
        <f t="shared" ref="K76:L76" si="9">SUM(K73:K75)</f>
        <v>0</v>
      </c>
      <c r="L76" s="53">
        <f t="shared" si="9"/>
        <v>11193000</v>
      </c>
    </row>
    <row r="77" ht="15.75" customHeight="1">
      <c r="A77" s="169"/>
      <c r="B77" s="169"/>
      <c r="C77" s="169"/>
      <c r="D77" s="169"/>
      <c r="E77" s="169"/>
      <c r="K77" s="231">
        <f>K76-L76</f>
        <v>-11193000</v>
      </c>
      <c r="L77" s="168"/>
    </row>
    <row r="78" ht="27.75" customHeight="1">
      <c r="A78" s="2" t="s">
        <v>0</v>
      </c>
      <c r="B78" s="2" t="s">
        <v>1</v>
      </c>
      <c r="C78" s="2" t="s">
        <v>2</v>
      </c>
      <c r="D78" s="3" t="s">
        <v>3</v>
      </c>
      <c r="E78" s="2" t="s">
        <v>4</v>
      </c>
      <c r="F78" s="4" t="s">
        <v>5</v>
      </c>
      <c r="G78" s="6" t="s">
        <v>6</v>
      </c>
      <c r="H78" s="6" t="s">
        <v>39</v>
      </c>
      <c r="I78" s="4" t="s">
        <v>7</v>
      </c>
      <c r="J78" s="4" t="s">
        <v>39</v>
      </c>
      <c r="K78" s="6" t="s">
        <v>8</v>
      </c>
      <c r="L78" s="6" t="s">
        <v>9</v>
      </c>
    </row>
    <row r="79" ht="15.75" customHeight="1">
      <c r="A79" s="51">
        <v>45318.0</v>
      </c>
      <c r="B79" s="11" t="s">
        <v>1107</v>
      </c>
      <c r="C79" s="11" t="s">
        <v>1097</v>
      </c>
      <c r="D79" s="11" t="s">
        <v>383</v>
      </c>
      <c r="E79" s="11" t="s">
        <v>397</v>
      </c>
      <c r="F79" s="12">
        <v>9000.0</v>
      </c>
      <c r="G79" s="62">
        <v>765000.0</v>
      </c>
      <c r="H79" s="63" t="s">
        <v>44</v>
      </c>
      <c r="I79" s="62">
        <v>450000.0</v>
      </c>
      <c r="J79" s="63" t="s">
        <v>44</v>
      </c>
      <c r="K79" s="62">
        <f>G79-I79</f>
        <v>315000</v>
      </c>
      <c r="L79" s="62">
        <v>0.0</v>
      </c>
    </row>
    <row r="80" ht="15.75" customHeight="1">
      <c r="A80" s="51">
        <v>45319.0</v>
      </c>
      <c r="B80" s="11" t="s">
        <v>1107</v>
      </c>
      <c r="C80" s="11" t="s">
        <v>1097</v>
      </c>
      <c r="D80" s="11"/>
      <c r="E80" s="11"/>
      <c r="F80" s="12"/>
      <c r="G80" s="62"/>
      <c r="H80" s="62"/>
      <c r="I80" s="62"/>
      <c r="J80" s="63"/>
      <c r="K80" s="62"/>
      <c r="L80" s="62">
        <v>443000.0</v>
      </c>
    </row>
    <row r="81" ht="15.75" customHeight="1">
      <c r="A81" s="51">
        <v>45320.0</v>
      </c>
      <c r="B81" s="11" t="s">
        <v>1107</v>
      </c>
      <c r="C81" s="11" t="s">
        <v>1097</v>
      </c>
      <c r="D81" s="11" t="s">
        <v>383</v>
      </c>
      <c r="E81" s="11" t="s">
        <v>407</v>
      </c>
      <c r="F81" s="12">
        <v>9000.0</v>
      </c>
      <c r="G81" s="62">
        <v>720000.0</v>
      </c>
      <c r="H81" s="63" t="s">
        <v>42</v>
      </c>
      <c r="I81" s="62">
        <v>350000.0</v>
      </c>
      <c r="J81" s="63" t="s">
        <v>42</v>
      </c>
      <c r="K81" s="62">
        <f t="shared" ref="K81:K85" si="10">G81-I81</f>
        <v>370000</v>
      </c>
      <c r="L81" s="62">
        <v>100000.0</v>
      </c>
      <c r="M81" s="168" t="s">
        <v>1108</v>
      </c>
    </row>
    <row r="82" ht="15.75" customHeight="1">
      <c r="A82" s="51">
        <v>45320.0</v>
      </c>
      <c r="B82" s="11" t="s">
        <v>1107</v>
      </c>
      <c r="C82" s="11" t="s">
        <v>1097</v>
      </c>
      <c r="D82" s="11" t="s">
        <v>383</v>
      </c>
      <c r="E82" s="11" t="s">
        <v>56</v>
      </c>
      <c r="F82" s="12">
        <v>9000.0</v>
      </c>
      <c r="G82" s="62">
        <v>1350000.0</v>
      </c>
      <c r="H82" s="63" t="s">
        <v>44</v>
      </c>
      <c r="I82" s="62">
        <v>800000.0</v>
      </c>
      <c r="J82" s="63" t="s">
        <v>42</v>
      </c>
      <c r="K82" s="62">
        <f t="shared" si="10"/>
        <v>550000</v>
      </c>
      <c r="L82" s="62">
        <v>570000.0</v>
      </c>
    </row>
    <row r="83" ht="15.75" customHeight="1">
      <c r="A83" s="51">
        <v>45321.0</v>
      </c>
      <c r="B83" s="11" t="s">
        <v>1107</v>
      </c>
      <c r="C83" s="11" t="s">
        <v>1097</v>
      </c>
      <c r="D83" s="11"/>
      <c r="E83" s="11"/>
      <c r="F83" s="357"/>
      <c r="G83" s="62"/>
      <c r="H83" s="62"/>
      <c r="I83" s="62"/>
      <c r="J83" s="62"/>
      <c r="K83" s="62">
        <f t="shared" si="10"/>
        <v>0</v>
      </c>
      <c r="L83" s="62">
        <v>1015000.0</v>
      </c>
    </row>
    <row r="84" ht="15.75" customHeight="1">
      <c r="A84" s="51">
        <v>45322.0</v>
      </c>
      <c r="B84" s="11" t="s">
        <v>1107</v>
      </c>
      <c r="C84" s="11" t="s">
        <v>1097</v>
      </c>
      <c r="D84" s="11" t="s">
        <v>30</v>
      </c>
      <c r="E84" s="11" t="s">
        <v>66</v>
      </c>
      <c r="F84" s="12">
        <v>9000.0</v>
      </c>
      <c r="G84" s="62">
        <v>675000.0</v>
      </c>
      <c r="H84" s="63" t="s">
        <v>42</v>
      </c>
      <c r="I84" s="62">
        <v>350000.0</v>
      </c>
      <c r="J84" s="63" t="s">
        <v>42</v>
      </c>
      <c r="K84" s="62">
        <f t="shared" si="10"/>
        <v>325000</v>
      </c>
      <c r="L84" s="62"/>
      <c r="M84" s="168" t="s">
        <v>1109</v>
      </c>
    </row>
    <row r="85" ht="15.75" customHeight="1">
      <c r="A85" s="11"/>
      <c r="B85" s="11"/>
      <c r="C85" s="11" t="s">
        <v>1097</v>
      </c>
      <c r="D85" s="11"/>
      <c r="E85" s="11"/>
      <c r="F85" s="357"/>
      <c r="G85" s="62"/>
      <c r="H85" s="62"/>
      <c r="I85" s="62"/>
      <c r="J85" s="62"/>
      <c r="K85" s="62">
        <f t="shared" si="10"/>
        <v>0</v>
      </c>
      <c r="L85" s="62"/>
    </row>
    <row r="86" ht="15.75" customHeight="1">
      <c r="A86" s="169"/>
      <c r="B86" s="169"/>
      <c r="C86" s="169"/>
      <c r="D86" s="169"/>
      <c r="E86" s="169"/>
      <c r="G86" s="410"/>
      <c r="H86" s="410"/>
      <c r="I86" s="410"/>
      <c r="J86" s="410"/>
      <c r="K86" s="275">
        <f t="shared" ref="K86:L86" si="11">SUM(K79:K85)</f>
        <v>1560000</v>
      </c>
      <c r="L86" s="404">
        <f t="shared" si="11"/>
        <v>2128000</v>
      </c>
    </row>
    <row r="87" ht="15.75" customHeight="1">
      <c r="A87" s="169"/>
      <c r="B87" s="169"/>
      <c r="C87" s="169"/>
      <c r="D87" s="169"/>
      <c r="E87" s="169"/>
      <c r="K87" s="276">
        <f>K86-L86</f>
        <v>-568000</v>
      </c>
    </row>
    <row r="88" ht="24.0" customHeight="1">
      <c r="A88" s="2" t="s">
        <v>0</v>
      </c>
      <c r="B88" s="2" t="s">
        <v>1</v>
      </c>
      <c r="C88" s="2" t="s">
        <v>2</v>
      </c>
      <c r="D88" s="3" t="s">
        <v>3</v>
      </c>
      <c r="E88" s="2" t="s">
        <v>4</v>
      </c>
      <c r="F88" s="4" t="s">
        <v>5</v>
      </c>
      <c r="G88" s="6" t="s">
        <v>6</v>
      </c>
      <c r="H88" s="6" t="s">
        <v>39</v>
      </c>
      <c r="I88" s="4" t="s">
        <v>7</v>
      </c>
      <c r="J88" s="4" t="s">
        <v>39</v>
      </c>
      <c r="K88" s="6" t="s">
        <v>8</v>
      </c>
      <c r="L88" s="6" t="s">
        <v>9</v>
      </c>
    </row>
    <row r="89" ht="15.75" customHeight="1">
      <c r="A89" s="64">
        <v>45323.0</v>
      </c>
      <c r="B89" s="65" t="s">
        <v>1107</v>
      </c>
      <c r="C89" s="65" t="s">
        <v>1097</v>
      </c>
      <c r="D89" s="65" t="s">
        <v>40</v>
      </c>
      <c r="E89" s="65" t="s">
        <v>407</v>
      </c>
      <c r="F89" s="66">
        <v>9000.0</v>
      </c>
      <c r="G89" s="419">
        <v>720000.0</v>
      </c>
      <c r="H89" s="420" t="s">
        <v>42</v>
      </c>
      <c r="I89" s="419">
        <v>350000.0</v>
      </c>
      <c r="J89" s="65" t="s">
        <v>42</v>
      </c>
      <c r="K89" s="419">
        <f t="shared" ref="K89:K94" si="12">G89-I89</f>
        <v>370000</v>
      </c>
      <c r="L89" s="419">
        <v>75000.0</v>
      </c>
    </row>
    <row r="90" ht="15.75" customHeight="1">
      <c r="A90" s="64">
        <v>45324.0</v>
      </c>
      <c r="B90" s="65" t="s">
        <v>1107</v>
      </c>
      <c r="C90" s="65" t="s">
        <v>1097</v>
      </c>
      <c r="D90" s="65" t="s">
        <v>40</v>
      </c>
      <c r="E90" s="65" t="s">
        <v>34</v>
      </c>
      <c r="F90" s="66">
        <v>9000.0</v>
      </c>
      <c r="G90" s="419">
        <v>1215000.0</v>
      </c>
      <c r="H90" s="420" t="s">
        <v>44</v>
      </c>
      <c r="I90" s="419">
        <v>700000.0</v>
      </c>
      <c r="J90" s="65" t="s">
        <v>42</v>
      </c>
      <c r="K90" s="419">
        <f t="shared" si="12"/>
        <v>515000</v>
      </c>
      <c r="L90" s="419">
        <v>2310000.0</v>
      </c>
    </row>
    <row r="91" ht="15.75" customHeight="1">
      <c r="A91" s="64">
        <v>45325.0</v>
      </c>
      <c r="B91" s="65" t="s">
        <v>1107</v>
      </c>
      <c r="C91" s="65" t="s">
        <v>1097</v>
      </c>
      <c r="D91" s="65" t="s">
        <v>40</v>
      </c>
      <c r="E91" s="65" t="s">
        <v>1110</v>
      </c>
      <c r="F91" s="66">
        <v>9000.0</v>
      </c>
      <c r="G91" s="419">
        <v>1200000.0</v>
      </c>
      <c r="H91" s="65" t="s">
        <v>44</v>
      </c>
      <c r="I91" s="419">
        <v>640000.0</v>
      </c>
      <c r="J91" s="65" t="s">
        <v>42</v>
      </c>
      <c r="K91" s="419">
        <f t="shared" si="12"/>
        <v>560000</v>
      </c>
      <c r="L91" s="421"/>
    </row>
    <row r="92" ht="15.75" customHeight="1">
      <c r="A92" s="64">
        <v>45327.0</v>
      </c>
      <c r="B92" s="65" t="s">
        <v>1107</v>
      </c>
      <c r="C92" s="65" t="s">
        <v>1097</v>
      </c>
      <c r="D92" s="65" t="s">
        <v>30</v>
      </c>
      <c r="E92" s="65" t="s">
        <v>1051</v>
      </c>
      <c r="F92" s="66">
        <v>9000.0</v>
      </c>
      <c r="G92" s="419">
        <v>900000.0</v>
      </c>
      <c r="H92" s="420" t="s">
        <v>42</v>
      </c>
      <c r="I92" s="420">
        <v>500000.0</v>
      </c>
      <c r="J92" s="65" t="s">
        <v>42</v>
      </c>
      <c r="K92" s="419">
        <f t="shared" si="12"/>
        <v>400000</v>
      </c>
      <c r="L92" s="419">
        <v>83000.0</v>
      </c>
    </row>
    <row r="93" ht="15.75" customHeight="1">
      <c r="A93" s="64">
        <v>45328.0</v>
      </c>
      <c r="B93" s="65" t="s">
        <v>1107</v>
      </c>
      <c r="C93" s="65" t="s">
        <v>1097</v>
      </c>
      <c r="D93" s="65" t="s">
        <v>40</v>
      </c>
      <c r="E93" s="65" t="s">
        <v>727</v>
      </c>
      <c r="F93" s="66">
        <v>9000.0</v>
      </c>
      <c r="G93" s="419">
        <v>990000.0</v>
      </c>
      <c r="H93" s="420" t="s">
        <v>42</v>
      </c>
      <c r="I93" s="420">
        <v>550000.0</v>
      </c>
      <c r="J93" s="65" t="s">
        <v>42</v>
      </c>
      <c r="K93" s="419">
        <f t="shared" si="12"/>
        <v>440000</v>
      </c>
      <c r="L93" s="419">
        <v>235000.0</v>
      </c>
    </row>
    <row r="94" ht="15.75" customHeight="1">
      <c r="A94" s="64">
        <v>45329.0</v>
      </c>
      <c r="B94" s="65" t="s">
        <v>1107</v>
      </c>
      <c r="C94" s="65" t="s">
        <v>1097</v>
      </c>
      <c r="D94" s="65" t="s">
        <v>40</v>
      </c>
      <c r="E94" s="65" t="s">
        <v>727</v>
      </c>
      <c r="F94" s="66">
        <v>9000.0</v>
      </c>
      <c r="G94" s="419">
        <v>990000.0</v>
      </c>
      <c r="H94" s="65" t="s">
        <v>42</v>
      </c>
      <c r="I94" s="420">
        <v>550000.0</v>
      </c>
      <c r="J94" s="65" t="s">
        <v>42</v>
      </c>
      <c r="K94" s="419">
        <f t="shared" si="12"/>
        <v>440000</v>
      </c>
      <c r="L94" s="421"/>
    </row>
    <row r="95" ht="15.75" customHeight="1">
      <c r="A95" s="64">
        <v>45330.0</v>
      </c>
      <c r="B95" s="65" t="s">
        <v>1107</v>
      </c>
      <c r="C95" s="65" t="s">
        <v>1097</v>
      </c>
      <c r="D95" s="65"/>
      <c r="E95" s="65"/>
      <c r="F95" s="66"/>
      <c r="G95" s="419"/>
      <c r="H95" s="65"/>
      <c r="I95" s="420"/>
      <c r="J95" s="65"/>
      <c r="K95" s="419"/>
      <c r="L95" s="419">
        <v>1607000.0</v>
      </c>
    </row>
    <row r="96" ht="15.75" customHeight="1">
      <c r="A96" s="64">
        <v>45331.0</v>
      </c>
      <c r="B96" s="65" t="s">
        <v>1107</v>
      </c>
      <c r="C96" s="65" t="s">
        <v>1097</v>
      </c>
      <c r="D96" s="65" t="s">
        <v>30</v>
      </c>
      <c r="E96" s="65" t="s">
        <v>407</v>
      </c>
      <c r="F96" s="66">
        <v>9000.0</v>
      </c>
      <c r="G96" s="419">
        <v>900000.0</v>
      </c>
      <c r="H96" s="420" t="s">
        <v>44</v>
      </c>
      <c r="I96" s="420">
        <v>350000.0</v>
      </c>
      <c r="J96" s="65" t="s">
        <v>42</v>
      </c>
      <c r="K96" s="419">
        <f>G96-I96</f>
        <v>550000</v>
      </c>
      <c r="L96" s="421"/>
      <c r="M96" s="168"/>
    </row>
    <row r="97" ht="15.75" customHeight="1">
      <c r="A97" s="64">
        <v>45333.0</v>
      </c>
      <c r="B97" s="65" t="s">
        <v>1107</v>
      </c>
      <c r="C97" s="65" t="s">
        <v>1097</v>
      </c>
      <c r="D97" s="65"/>
      <c r="E97" s="65"/>
      <c r="F97" s="66"/>
      <c r="G97" s="419"/>
      <c r="H97" s="420"/>
      <c r="I97" s="420"/>
      <c r="J97" s="65"/>
      <c r="K97" s="419"/>
      <c r="L97" s="419">
        <v>130000.0</v>
      </c>
      <c r="M97" s="168"/>
    </row>
    <row r="98" ht="15.75" customHeight="1">
      <c r="A98" s="64">
        <v>45334.0</v>
      </c>
      <c r="B98" s="65" t="s">
        <v>1107</v>
      </c>
      <c r="C98" s="65" t="s">
        <v>1097</v>
      </c>
      <c r="D98" s="65" t="s">
        <v>30</v>
      </c>
      <c r="E98" s="65" t="s">
        <v>407</v>
      </c>
      <c r="F98" s="66">
        <v>9000.0</v>
      </c>
      <c r="G98" s="419">
        <v>850000.0</v>
      </c>
      <c r="H98" s="420" t="s">
        <v>44</v>
      </c>
      <c r="I98" s="420">
        <v>350000.0</v>
      </c>
      <c r="J98" s="65" t="s">
        <v>42</v>
      </c>
      <c r="K98" s="419">
        <f t="shared" ref="K98:K105" si="13">G98-I98</f>
        <v>500000</v>
      </c>
      <c r="L98" s="421"/>
    </row>
    <row r="99" ht="15.75" customHeight="1">
      <c r="A99" s="64">
        <v>45335.0</v>
      </c>
      <c r="B99" s="65" t="s">
        <v>1107</v>
      </c>
      <c r="C99" s="65" t="s">
        <v>1097</v>
      </c>
      <c r="D99" s="65" t="s">
        <v>30</v>
      </c>
      <c r="E99" s="65" t="s">
        <v>66</v>
      </c>
      <c r="F99" s="66">
        <v>9000.0</v>
      </c>
      <c r="G99" s="419">
        <v>675000.0</v>
      </c>
      <c r="H99" s="420" t="s">
        <v>42</v>
      </c>
      <c r="I99" s="420">
        <v>350000.0</v>
      </c>
      <c r="J99" s="420" t="s">
        <v>42</v>
      </c>
      <c r="K99" s="419">
        <f t="shared" si="13"/>
        <v>325000</v>
      </c>
      <c r="L99" s="421"/>
    </row>
    <row r="100" ht="15.75" customHeight="1">
      <c r="A100" s="64">
        <v>45335.0</v>
      </c>
      <c r="B100" s="65" t="s">
        <v>1107</v>
      </c>
      <c r="C100" s="65" t="s">
        <v>1097</v>
      </c>
      <c r="D100" s="65" t="s">
        <v>37</v>
      </c>
      <c r="E100" s="65" t="s">
        <v>1111</v>
      </c>
      <c r="F100" s="66">
        <v>9000.0</v>
      </c>
      <c r="G100" s="419">
        <v>1200000.0</v>
      </c>
      <c r="H100" s="420" t="s">
        <v>42</v>
      </c>
      <c r="I100" s="420">
        <v>640000.0</v>
      </c>
      <c r="J100" s="65" t="s">
        <v>42</v>
      </c>
      <c r="K100" s="419">
        <f t="shared" si="13"/>
        <v>560000</v>
      </c>
      <c r="L100" s="419">
        <v>1788000.0</v>
      </c>
    </row>
    <row r="101" ht="15.75" customHeight="1">
      <c r="A101" s="64">
        <v>45337.0</v>
      </c>
      <c r="B101" s="65" t="s">
        <v>1107</v>
      </c>
      <c r="C101" s="65" t="s">
        <v>1097</v>
      </c>
      <c r="D101" s="65" t="s">
        <v>30</v>
      </c>
      <c r="E101" s="65" t="s">
        <v>34</v>
      </c>
      <c r="F101" s="66">
        <v>9000.0</v>
      </c>
      <c r="G101" s="419">
        <v>1215000.0</v>
      </c>
      <c r="H101" s="420" t="s">
        <v>44</v>
      </c>
      <c r="I101" s="420">
        <v>700000.0</v>
      </c>
      <c r="J101" s="420" t="s">
        <v>42</v>
      </c>
      <c r="K101" s="419">
        <f t="shared" si="13"/>
        <v>515000</v>
      </c>
      <c r="L101" s="419">
        <v>420000.0</v>
      </c>
    </row>
    <row r="102" ht="15.75" customHeight="1">
      <c r="A102" s="64">
        <v>45338.0</v>
      </c>
      <c r="B102" s="65" t="s">
        <v>1107</v>
      </c>
      <c r="C102" s="65" t="s">
        <v>1097</v>
      </c>
      <c r="D102" s="65" t="s">
        <v>30</v>
      </c>
      <c r="E102" s="65" t="s">
        <v>407</v>
      </c>
      <c r="F102" s="66">
        <v>9000.0</v>
      </c>
      <c r="G102" s="419">
        <v>720000.0</v>
      </c>
      <c r="H102" s="420" t="s">
        <v>44</v>
      </c>
      <c r="I102" s="419">
        <v>350000.0</v>
      </c>
      <c r="J102" s="65" t="s">
        <v>42</v>
      </c>
      <c r="K102" s="419">
        <f t="shared" si="13"/>
        <v>370000</v>
      </c>
      <c r="L102" s="419">
        <v>320000.0</v>
      </c>
    </row>
    <row r="103" ht="15.75" customHeight="1">
      <c r="A103" s="64">
        <v>45339.0</v>
      </c>
      <c r="B103" s="65" t="s">
        <v>1107</v>
      </c>
      <c r="C103" s="65" t="s">
        <v>1097</v>
      </c>
      <c r="D103" s="65" t="s">
        <v>383</v>
      </c>
      <c r="E103" s="65" t="s">
        <v>89</v>
      </c>
      <c r="F103" s="66">
        <v>9000.0</v>
      </c>
      <c r="G103" s="419">
        <v>990000.0</v>
      </c>
      <c r="H103" s="419" t="s">
        <v>856</v>
      </c>
      <c r="I103" s="419">
        <v>550000.0</v>
      </c>
      <c r="J103" s="65" t="s">
        <v>44</v>
      </c>
      <c r="K103" s="419">
        <f t="shared" si="13"/>
        <v>440000</v>
      </c>
      <c r="L103" s="421"/>
    </row>
    <row r="104" ht="15.75" customHeight="1">
      <c r="A104" s="64">
        <v>45341.0</v>
      </c>
      <c r="B104" s="65" t="s">
        <v>1107</v>
      </c>
      <c r="C104" s="65" t="s">
        <v>1097</v>
      </c>
      <c r="D104" s="65" t="s">
        <v>30</v>
      </c>
      <c r="E104" s="65" t="s">
        <v>89</v>
      </c>
      <c r="F104" s="66">
        <v>9000.0</v>
      </c>
      <c r="G104" s="419">
        <v>990000.0</v>
      </c>
      <c r="H104" s="419" t="s">
        <v>42</v>
      </c>
      <c r="I104" s="419">
        <v>550000.0</v>
      </c>
      <c r="J104" s="65" t="s">
        <v>42</v>
      </c>
      <c r="K104" s="419">
        <f t="shared" si="13"/>
        <v>440000</v>
      </c>
      <c r="L104" s="419">
        <v>175000.0</v>
      </c>
    </row>
    <row r="105" ht="15.75" customHeight="1">
      <c r="A105" s="64">
        <v>45343.0</v>
      </c>
      <c r="B105" s="65" t="s">
        <v>1107</v>
      </c>
      <c r="C105" s="65" t="s">
        <v>1097</v>
      </c>
      <c r="D105" s="65"/>
      <c r="E105" s="65"/>
      <c r="F105" s="421"/>
      <c r="G105" s="421"/>
      <c r="H105" s="421"/>
      <c r="I105" s="421"/>
      <c r="J105" s="421"/>
      <c r="K105" s="419">
        <f t="shared" si="13"/>
        <v>0</v>
      </c>
      <c r="L105" s="419">
        <v>322000.0</v>
      </c>
    </row>
    <row r="106" ht="15.75" customHeight="1">
      <c r="A106" s="64">
        <v>45344.0</v>
      </c>
      <c r="B106" s="65" t="s">
        <v>1107</v>
      </c>
      <c r="C106" s="65" t="s">
        <v>1097</v>
      </c>
      <c r="D106" s="65"/>
      <c r="E106" s="65"/>
      <c r="F106" s="421"/>
      <c r="G106" s="421"/>
      <c r="H106" s="421"/>
      <c r="I106" s="421"/>
      <c r="J106" s="421"/>
      <c r="K106" s="419"/>
      <c r="L106" s="419">
        <v>75000.0</v>
      </c>
    </row>
    <row r="107" ht="15.75" customHeight="1">
      <c r="A107" s="64">
        <v>45345.0</v>
      </c>
      <c r="B107" s="65" t="s">
        <v>1107</v>
      </c>
      <c r="C107" s="65" t="s">
        <v>1097</v>
      </c>
      <c r="D107" s="65" t="s">
        <v>37</v>
      </c>
      <c r="E107" s="65" t="s">
        <v>66</v>
      </c>
      <c r="F107" s="66">
        <v>9000.0</v>
      </c>
      <c r="G107" s="419">
        <v>675000.0</v>
      </c>
      <c r="H107" s="420" t="s">
        <v>42</v>
      </c>
      <c r="I107" s="419">
        <v>350000.0</v>
      </c>
      <c r="J107" s="419" t="s">
        <v>42</v>
      </c>
      <c r="K107" s="419">
        <f t="shared" ref="K107:K111" si="14">G107-I107</f>
        <v>325000</v>
      </c>
      <c r="L107" s="419"/>
    </row>
    <row r="108" ht="15.75" customHeight="1">
      <c r="A108" s="64">
        <v>45349.0</v>
      </c>
      <c r="B108" s="65" t="s">
        <v>1107</v>
      </c>
      <c r="C108" s="65" t="s">
        <v>1097</v>
      </c>
      <c r="D108" s="65" t="s">
        <v>40</v>
      </c>
      <c r="E108" s="65" t="s">
        <v>66</v>
      </c>
      <c r="F108" s="66">
        <v>9000.0</v>
      </c>
      <c r="G108" s="419">
        <v>675000.0</v>
      </c>
      <c r="H108" s="420" t="s">
        <v>42</v>
      </c>
      <c r="I108" s="419">
        <v>350000.0</v>
      </c>
      <c r="J108" s="419" t="s">
        <v>42</v>
      </c>
      <c r="K108" s="419">
        <f t="shared" si="14"/>
        <v>325000</v>
      </c>
      <c r="L108" s="419">
        <v>55000.0</v>
      </c>
    </row>
    <row r="109" ht="15.75" customHeight="1">
      <c r="A109" s="64">
        <v>45350.0</v>
      </c>
      <c r="B109" s="65" t="s">
        <v>390</v>
      </c>
      <c r="C109" s="65" t="s">
        <v>1097</v>
      </c>
      <c r="D109" s="65" t="s">
        <v>37</v>
      </c>
      <c r="E109" s="65" t="s">
        <v>728</v>
      </c>
      <c r="F109" s="66">
        <v>9000.0</v>
      </c>
      <c r="G109" s="419">
        <v>720000.0</v>
      </c>
      <c r="H109" s="420" t="s">
        <v>44</v>
      </c>
      <c r="I109" s="419">
        <v>350000.0</v>
      </c>
      <c r="J109" s="419" t="s">
        <v>42</v>
      </c>
      <c r="K109" s="419">
        <f t="shared" si="14"/>
        <v>370000</v>
      </c>
      <c r="L109" s="419"/>
    </row>
    <row r="110" ht="15.75" customHeight="1">
      <c r="A110" s="64">
        <v>45351.0</v>
      </c>
      <c r="B110" s="65" t="s">
        <v>390</v>
      </c>
      <c r="C110" s="65" t="s">
        <v>1097</v>
      </c>
      <c r="D110" s="65" t="s">
        <v>30</v>
      </c>
      <c r="E110" s="65" t="s">
        <v>465</v>
      </c>
      <c r="F110" s="66">
        <v>9000.0</v>
      </c>
      <c r="G110" s="419">
        <v>675000.0</v>
      </c>
      <c r="H110" s="420" t="s">
        <v>44</v>
      </c>
      <c r="I110" s="419">
        <v>400000.0</v>
      </c>
      <c r="J110" s="419" t="s">
        <v>42</v>
      </c>
      <c r="K110" s="419">
        <f t="shared" si="14"/>
        <v>275000</v>
      </c>
      <c r="L110" s="419"/>
    </row>
    <row r="111" ht="15.75" customHeight="1">
      <c r="A111" s="64">
        <v>45351.0</v>
      </c>
      <c r="B111" s="65" t="s">
        <v>390</v>
      </c>
      <c r="C111" s="65" t="s">
        <v>1097</v>
      </c>
      <c r="D111" s="65" t="s">
        <v>30</v>
      </c>
      <c r="E111" s="65" t="s">
        <v>66</v>
      </c>
      <c r="F111" s="66">
        <v>9000.0</v>
      </c>
      <c r="G111" s="419">
        <v>675000.0</v>
      </c>
      <c r="H111" s="420" t="s">
        <v>856</v>
      </c>
      <c r="I111" s="419">
        <v>350000.0</v>
      </c>
      <c r="J111" s="419" t="s">
        <v>42</v>
      </c>
      <c r="K111" s="419">
        <f t="shared" si="14"/>
        <v>325000</v>
      </c>
      <c r="L111" s="419"/>
    </row>
    <row r="112" ht="15.75" customHeight="1">
      <c r="A112" s="169"/>
      <c r="B112" s="169"/>
      <c r="C112" s="169"/>
      <c r="D112" s="169"/>
      <c r="E112" s="169"/>
      <c r="K112" s="275">
        <f t="shared" ref="K112:L112" si="15">SUM(K89:K111)</f>
        <v>8045000</v>
      </c>
      <c r="L112" s="404">
        <f t="shared" si="15"/>
        <v>7595000</v>
      </c>
    </row>
    <row r="113" ht="15.75" customHeight="1">
      <c r="A113" s="169"/>
      <c r="B113" s="169"/>
      <c r="C113" s="169"/>
      <c r="D113" s="169"/>
      <c r="E113" s="169"/>
      <c r="K113" s="276">
        <f>K112-L112</f>
        <v>450000</v>
      </c>
    </row>
    <row r="114" ht="15.75" customHeight="1">
      <c r="A114" s="169"/>
      <c r="B114" s="169"/>
      <c r="C114" s="169"/>
      <c r="D114" s="169"/>
      <c r="E114" s="169"/>
      <c r="K114" s="363"/>
    </row>
    <row r="115" ht="15.75" customHeight="1">
      <c r="A115" s="169"/>
      <c r="B115" s="169"/>
      <c r="C115" s="169"/>
      <c r="D115" s="169"/>
      <c r="E115" s="169"/>
      <c r="K115" s="363"/>
    </row>
    <row r="116" ht="23.25" customHeight="1">
      <c r="A116" s="2" t="s">
        <v>0</v>
      </c>
      <c r="B116" s="2" t="s">
        <v>1</v>
      </c>
      <c r="C116" s="2" t="s">
        <v>2</v>
      </c>
      <c r="D116" s="3" t="s">
        <v>3</v>
      </c>
      <c r="E116" s="2" t="s">
        <v>4</v>
      </c>
      <c r="F116" s="4" t="s">
        <v>5</v>
      </c>
      <c r="G116" s="6" t="s">
        <v>6</v>
      </c>
      <c r="H116" s="6" t="s">
        <v>39</v>
      </c>
      <c r="I116" s="4" t="s">
        <v>7</v>
      </c>
      <c r="J116" s="4" t="s">
        <v>39</v>
      </c>
      <c r="K116" s="6" t="s">
        <v>8</v>
      </c>
      <c r="L116" s="6" t="s">
        <v>9</v>
      </c>
    </row>
    <row r="117" ht="15.75" customHeight="1">
      <c r="A117" s="71">
        <v>45352.0</v>
      </c>
      <c r="B117" s="72" t="s">
        <v>390</v>
      </c>
      <c r="C117" s="72" t="s">
        <v>1097</v>
      </c>
      <c r="D117" s="72" t="s">
        <v>1112</v>
      </c>
      <c r="E117" s="72" t="s">
        <v>103</v>
      </c>
      <c r="F117" s="179">
        <v>9000.0</v>
      </c>
      <c r="G117" s="283">
        <v>675000.0</v>
      </c>
      <c r="H117" s="182" t="s">
        <v>42</v>
      </c>
      <c r="I117" s="283">
        <v>375000.0</v>
      </c>
      <c r="J117" s="182" t="s">
        <v>42</v>
      </c>
      <c r="K117" s="283">
        <f t="shared" ref="K117:K139" si="16">G117-I117</f>
        <v>300000</v>
      </c>
      <c r="L117" s="283"/>
    </row>
    <row r="118" ht="15.75" customHeight="1">
      <c r="A118" s="71">
        <v>45352.0</v>
      </c>
      <c r="B118" s="72" t="s">
        <v>390</v>
      </c>
      <c r="C118" s="72" t="s">
        <v>1097</v>
      </c>
      <c r="D118" s="72" t="s">
        <v>92</v>
      </c>
      <c r="E118" s="72" t="s">
        <v>54</v>
      </c>
      <c r="F118" s="179">
        <v>9000.0</v>
      </c>
      <c r="G118" s="283">
        <v>1200000.0</v>
      </c>
      <c r="H118" s="182" t="s">
        <v>42</v>
      </c>
      <c r="I118" s="283">
        <v>640000.0</v>
      </c>
      <c r="J118" s="182" t="s">
        <v>42</v>
      </c>
      <c r="K118" s="283">
        <f t="shared" si="16"/>
        <v>560000</v>
      </c>
      <c r="L118" s="283"/>
    </row>
    <row r="119" ht="15.75" customHeight="1">
      <c r="A119" s="71">
        <v>45353.0</v>
      </c>
      <c r="B119" s="72" t="s">
        <v>390</v>
      </c>
      <c r="C119" s="72" t="s">
        <v>1097</v>
      </c>
      <c r="D119" s="72" t="s">
        <v>92</v>
      </c>
      <c r="E119" s="72" t="s">
        <v>34</v>
      </c>
      <c r="F119" s="179">
        <v>9000.0</v>
      </c>
      <c r="G119" s="283">
        <v>1215000.0</v>
      </c>
      <c r="H119" s="182" t="s">
        <v>44</v>
      </c>
      <c r="I119" s="283">
        <v>700000.0</v>
      </c>
      <c r="J119" s="182" t="s">
        <v>42</v>
      </c>
      <c r="K119" s="283">
        <f t="shared" si="16"/>
        <v>515000</v>
      </c>
      <c r="L119" s="283">
        <v>245000.0</v>
      </c>
    </row>
    <row r="120" ht="15.75" customHeight="1">
      <c r="A120" s="71">
        <v>45356.0</v>
      </c>
      <c r="B120" s="72" t="s">
        <v>390</v>
      </c>
      <c r="C120" s="72" t="s">
        <v>1097</v>
      </c>
      <c r="D120" s="72" t="s">
        <v>30</v>
      </c>
      <c r="E120" s="72" t="s">
        <v>89</v>
      </c>
      <c r="F120" s="179">
        <v>9000.0</v>
      </c>
      <c r="G120" s="283">
        <v>990000.0</v>
      </c>
      <c r="H120" s="182" t="s">
        <v>42</v>
      </c>
      <c r="I120" s="283">
        <v>550000.0</v>
      </c>
      <c r="J120" s="182" t="s">
        <v>42</v>
      </c>
      <c r="K120" s="283">
        <f t="shared" si="16"/>
        <v>440000</v>
      </c>
      <c r="L120" s="283"/>
      <c r="M120" s="94"/>
    </row>
    <row r="121" ht="15.75" customHeight="1">
      <c r="A121" s="71">
        <v>45357.0</v>
      </c>
      <c r="B121" s="72" t="s">
        <v>390</v>
      </c>
      <c r="C121" s="72" t="s">
        <v>1097</v>
      </c>
      <c r="D121" s="72" t="s">
        <v>30</v>
      </c>
      <c r="E121" s="72" t="s">
        <v>465</v>
      </c>
      <c r="F121" s="179">
        <v>9000.0</v>
      </c>
      <c r="G121" s="283">
        <v>700000.0</v>
      </c>
      <c r="H121" s="182" t="s">
        <v>42</v>
      </c>
      <c r="I121" s="283">
        <v>400000.0</v>
      </c>
      <c r="J121" s="182" t="s">
        <v>42</v>
      </c>
      <c r="K121" s="283">
        <f t="shared" si="16"/>
        <v>300000</v>
      </c>
      <c r="L121" s="283"/>
    </row>
    <row r="122" ht="15.75" customHeight="1">
      <c r="A122" s="71">
        <v>45358.0</v>
      </c>
      <c r="B122" s="72" t="s">
        <v>390</v>
      </c>
      <c r="C122" s="72" t="s">
        <v>1097</v>
      </c>
      <c r="D122" s="72" t="s">
        <v>30</v>
      </c>
      <c r="E122" s="77" t="s">
        <v>66</v>
      </c>
      <c r="F122" s="179">
        <v>9000.0</v>
      </c>
      <c r="G122" s="283">
        <v>675000.0</v>
      </c>
      <c r="H122" s="182" t="s">
        <v>42</v>
      </c>
      <c r="I122" s="283">
        <v>350000.0</v>
      </c>
      <c r="J122" s="182" t="s">
        <v>42</v>
      </c>
      <c r="K122" s="283">
        <f t="shared" si="16"/>
        <v>325000</v>
      </c>
      <c r="L122" s="283"/>
    </row>
    <row r="123" ht="15.75" customHeight="1">
      <c r="A123" s="71">
        <v>45358.0</v>
      </c>
      <c r="B123" s="72" t="s">
        <v>390</v>
      </c>
      <c r="C123" s="72" t="s">
        <v>1097</v>
      </c>
      <c r="D123" s="72"/>
      <c r="E123" s="72" t="s">
        <v>1113</v>
      </c>
      <c r="F123" s="179"/>
      <c r="G123" s="283">
        <v>900000.0</v>
      </c>
      <c r="H123" s="283"/>
      <c r="I123" s="283">
        <v>540000.0</v>
      </c>
      <c r="J123" s="182"/>
      <c r="K123" s="283">
        <f t="shared" si="16"/>
        <v>360000</v>
      </c>
      <c r="L123" s="283"/>
    </row>
    <row r="124" ht="15.75" customHeight="1">
      <c r="A124" s="71">
        <v>45359.0</v>
      </c>
      <c r="B124" s="72" t="s">
        <v>390</v>
      </c>
      <c r="C124" s="72" t="s">
        <v>1097</v>
      </c>
      <c r="D124" s="72" t="s">
        <v>30</v>
      </c>
      <c r="E124" s="72" t="s">
        <v>89</v>
      </c>
      <c r="F124" s="179">
        <v>9000.0</v>
      </c>
      <c r="G124" s="283">
        <v>990000.0</v>
      </c>
      <c r="H124" s="182" t="s">
        <v>42</v>
      </c>
      <c r="I124" s="283">
        <v>550000.0</v>
      </c>
      <c r="J124" s="182" t="s">
        <v>42</v>
      </c>
      <c r="K124" s="283">
        <f t="shared" si="16"/>
        <v>440000</v>
      </c>
      <c r="L124" s="283"/>
    </row>
    <row r="125" ht="15.75" customHeight="1">
      <c r="A125" s="71">
        <v>45360.0</v>
      </c>
      <c r="B125" s="72" t="s">
        <v>390</v>
      </c>
      <c r="C125" s="72" t="s">
        <v>1097</v>
      </c>
      <c r="D125" s="72" t="s">
        <v>40</v>
      </c>
      <c r="E125" s="72" t="s">
        <v>89</v>
      </c>
      <c r="F125" s="179">
        <v>9000.0</v>
      </c>
      <c r="G125" s="283">
        <v>990000.0</v>
      </c>
      <c r="H125" s="182" t="s">
        <v>42</v>
      </c>
      <c r="I125" s="283">
        <v>550000.0</v>
      </c>
      <c r="J125" s="182" t="s">
        <v>44</v>
      </c>
      <c r="K125" s="283">
        <f t="shared" si="16"/>
        <v>440000</v>
      </c>
      <c r="L125" s="283"/>
    </row>
    <row r="126" ht="15.75" customHeight="1">
      <c r="A126" s="71">
        <v>45364.0</v>
      </c>
      <c r="B126" s="72" t="s">
        <v>390</v>
      </c>
      <c r="C126" s="72" t="s">
        <v>1097</v>
      </c>
      <c r="D126" s="72" t="s">
        <v>40</v>
      </c>
      <c r="E126" s="72" t="s">
        <v>103</v>
      </c>
      <c r="F126" s="179">
        <v>9000.0</v>
      </c>
      <c r="G126" s="283">
        <v>675000.0</v>
      </c>
      <c r="H126" s="182" t="s">
        <v>42</v>
      </c>
      <c r="I126" s="283">
        <v>375000.0</v>
      </c>
      <c r="J126" s="182" t="s">
        <v>42</v>
      </c>
      <c r="K126" s="283">
        <f t="shared" si="16"/>
        <v>300000</v>
      </c>
      <c r="L126" s="283"/>
    </row>
    <row r="127" ht="15.75" customHeight="1">
      <c r="A127" s="71">
        <v>45364.0</v>
      </c>
      <c r="B127" s="72" t="s">
        <v>390</v>
      </c>
      <c r="C127" s="72" t="s">
        <v>1097</v>
      </c>
      <c r="D127" s="72" t="s">
        <v>40</v>
      </c>
      <c r="E127" s="72" t="s">
        <v>76</v>
      </c>
      <c r="F127" s="179">
        <v>9000.0</v>
      </c>
      <c r="G127" s="283">
        <v>1300000.0</v>
      </c>
      <c r="H127" s="182" t="s">
        <v>42</v>
      </c>
      <c r="I127" s="283">
        <v>850000.0</v>
      </c>
      <c r="J127" s="182" t="s">
        <v>42</v>
      </c>
      <c r="K127" s="283">
        <f t="shared" si="16"/>
        <v>450000</v>
      </c>
      <c r="L127" s="283"/>
    </row>
    <row r="128" ht="15.75" customHeight="1">
      <c r="A128" s="71">
        <v>45365.0</v>
      </c>
      <c r="B128" s="72" t="s">
        <v>390</v>
      </c>
      <c r="C128" s="72" t="s">
        <v>1097</v>
      </c>
      <c r="D128" s="72" t="s">
        <v>40</v>
      </c>
      <c r="E128" s="72" t="s">
        <v>34</v>
      </c>
      <c r="F128" s="179">
        <v>9000.0</v>
      </c>
      <c r="G128" s="283">
        <v>1215000.0</v>
      </c>
      <c r="H128" s="182" t="s">
        <v>44</v>
      </c>
      <c r="I128" s="283">
        <v>700000.0</v>
      </c>
      <c r="J128" s="182" t="s">
        <v>42</v>
      </c>
      <c r="K128" s="283">
        <f t="shared" si="16"/>
        <v>515000</v>
      </c>
      <c r="L128" s="283">
        <v>270000.0</v>
      </c>
    </row>
    <row r="129" ht="15.75" customHeight="1">
      <c r="A129" s="71">
        <v>45369.0</v>
      </c>
      <c r="B129" s="72" t="s">
        <v>390</v>
      </c>
      <c r="C129" s="72" t="s">
        <v>1097</v>
      </c>
      <c r="D129" s="72" t="s">
        <v>92</v>
      </c>
      <c r="E129" s="72" t="s">
        <v>717</v>
      </c>
      <c r="F129" s="179">
        <v>9000.0</v>
      </c>
      <c r="G129" s="283">
        <v>900000.0</v>
      </c>
      <c r="H129" s="182" t="s">
        <v>44</v>
      </c>
      <c r="I129" s="283">
        <v>350000.0</v>
      </c>
      <c r="J129" s="182" t="s">
        <v>42</v>
      </c>
      <c r="K129" s="283">
        <f t="shared" si="16"/>
        <v>550000</v>
      </c>
      <c r="L129" s="283">
        <v>771000.0</v>
      </c>
    </row>
    <row r="130" ht="15.75" customHeight="1">
      <c r="A130" s="71">
        <v>45370.0</v>
      </c>
      <c r="B130" s="72" t="s">
        <v>390</v>
      </c>
      <c r="C130" s="72" t="s">
        <v>1097</v>
      </c>
      <c r="D130" s="72" t="s">
        <v>30</v>
      </c>
      <c r="E130" s="72" t="s">
        <v>463</v>
      </c>
      <c r="F130" s="179">
        <v>9000.0</v>
      </c>
      <c r="G130" s="283">
        <v>1100000.0</v>
      </c>
      <c r="H130" s="182" t="s">
        <v>42</v>
      </c>
      <c r="I130" s="283">
        <v>640000.0</v>
      </c>
      <c r="J130" s="182" t="s">
        <v>42</v>
      </c>
      <c r="K130" s="283">
        <f t="shared" si="16"/>
        <v>460000</v>
      </c>
      <c r="L130" s="283"/>
    </row>
    <row r="131" ht="15.75" customHeight="1">
      <c r="A131" s="71">
        <v>45370.0</v>
      </c>
      <c r="B131" s="72" t="s">
        <v>390</v>
      </c>
      <c r="C131" s="72" t="s">
        <v>1097</v>
      </c>
      <c r="D131" s="72" t="s">
        <v>99</v>
      </c>
      <c r="E131" s="72" t="s">
        <v>34</v>
      </c>
      <c r="F131" s="179">
        <v>9000.0</v>
      </c>
      <c r="G131" s="283">
        <v>1215000.0</v>
      </c>
      <c r="H131" s="182" t="s">
        <v>44</v>
      </c>
      <c r="I131" s="283">
        <v>700000.0</v>
      </c>
      <c r="J131" s="182" t="s">
        <v>42</v>
      </c>
      <c r="K131" s="283">
        <f t="shared" si="16"/>
        <v>515000</v>
      </c>
      <c r="L131" s="283"/>
    </row>
    <row r="132" ht="15.75" customHeight="1">
      <c r="A132" s="71">
        <v>45372.0</v>
      </c>
      <c r="B132" s="72" t="s">
        <v>390</v>
      </c>
      <c r="C132" s="72" t="s">
        <v>1097</v>
      </c>
      <c r="D132" s="72" t="s">
        <v>40</v>
      </c>
      <c r="E132" s="72" t="s">
        <v>89</v>
      </c>
      <c r="F132" s="179">
        <v>9000.0</v>
      </c>
      <c r="G132" s="283">
        <v>990000.0</v>
      </c>
      <c r="H132" s="182" t="s">
        <v>42</v>
      </c>
      <c r="I132" s="283">
        <v>500000.0</v>
      </c>
      <c r="J132" s="182" t="s">
        <v>42</v>
      </c>
      <c r="K132" s="283">
        <f t="shared" si="16"/>
        <v>490000</v>
      </c>
      <c r="L132" s="283">
        <v>240000.0</v>
      </c>
    </row>
    <row r="133" ht="15.75" customHeight="1">
      <c r="A133" s="71">
        <v>45373.0</v>
      </c>
      <c r="B133" s="72" t="s">
        <v>390</v>
      </c>
      <c r="C133" s="72" t="s">
        <v>1097</v>
      </c>
      <c r="D133" s="72" t="s">
        <v>92</v>
      </c>
      <c r="E133" s="72" t="s">
        <v>1114</v>
      </c>
      <c r="F133" s="179">
        <v>9000.0</v>
      </c>
      <c r="G133" s="422">
        <v>765000.0</v>
      </c>
      <c r="H133" s="182" t="s">
        <v>44</v>
      </c>
      <c r="I133" s="283">
        <v>450000.0</v>
      </c>
      <c r="J133" s="182" t="s">
        <v>42</v>
      </c>
      <c r="K133" s="283">
        <f t="shared" si="16"/>
        <v>315000</v>
      </c>
      <c r="L133" s="283"/>
    </row>
    <row r="134" ht="15.75" customHeight="1">
      <c r="A134" s="71">
        <v>45374.0</v>
      </c>
      <c r="B134" s="72" t="s">
        <v>390</v>
      </c>
      <c r="C134" s="72" t="s">
        <v>1097</v>
      </c>
      <c r="D134" s="72" t="s">
        <v>92</v>
      </c>
      <c r="E134" s="72" t="s">
        <v>107</v>
      </c>
      <c r="F134" s="179">
        <v>9000.0</v>
      </c>
      <c r="G134" s="283">
        <v>1125000.0</v>
      </c>
      <c r="H134" s="182" t="s">
        <v>42</v>
      </c>
      <c r="I134" s="283">
        <v>640000.0</v>
      </c>
      <c r="J134" s="182" t="s">
        <v>42</v>
      </c>
      <c r="K134" s="283">
        <f t="shared" si="16"/>
        <v>485000</v>
      </c>
      <c r="L134" s="283"/>
    </row>
    <row r="135" ht="15.75" customHeight="1">
      <c r="A135" s="71">
        <v>45376.0</v>
      </c>
      <c r="B135" s="72" t="s">
        <v>390</v>
      </c>
      <c r="C135" s="72" t="s">
        <v>1097</v>
      </c>
      <c r="D135" s="72" t="s">
        <v>92</v>
      </c>
      <c r="E135" s="72" t="s">
        <v>107</v>
      </c>
      <c r="F135" s="179">
        <v>9000.0</v>
      </c>
      <c r="G135" s="283">
        <v>1125000.0</v>
      </c>
      <c r="H135" s="182" t="s">
        <v>42</v>
      </c>
      <c r="I135" s="283">
        <v>640000.0</v>
      </c>
      <c r="J135" s="182" t="s">
        <v>42</v>
      </c>
      <c r="K135" s="283">
        <f t="shared" si="16"/>
        <v>485000</v>
      </c>
      <c r="L135" s="283"/>
    </row>
    <row r="136" ht="15.75" customHeight="1">
      <c r="A136" s="71">
        <v>45377.0</v>
      </c>
      <c r="B136" s="72" t="s">
        <v>390</v>
      </c>
      <c r="C136" s="72" t="s">
        <v>1097</v>
      </c>
      <c r="D136" s="72" t="s">
        <v>30</v>
      </c>
      <c r="E136" s="72" t="s">
        <v>107</v>
      </c>
      <c r="F136" s="179">
        <v>9000.0</v>
      </c>
      <c r="G136" s="283">
        <v>1125000.0</v>
      </c>
      <c r="H136" s="182" t="s">
        <v>42</v>
      </c>
      <c r="I136" s="283">
        <v>640000.0</v>
      </c>
      <c r="J136" s="182" t="s">
        <v>42</v>
      </c>
      <c r="K136" s="283">
        <f t="shared" si="16"/>
        <v>485000</v>
      </c>
      <c r="L136" s="283"/>
    </row>
    <row r="137" ht="15.75" customHeight="1">
      <c r="A137" s="71">
        <v>45378.0</v>
      </c>
      <c r="B137" s="72" t="s">
        <v>390</v>
      </c>
      <c r="C137" s="72" t="s">
        <v>1097</v>
      </c>
      <c r="D137" s="72" t="s">
        <v>92</v>
      </c>
      <c r="E137" s="72" t="s">
        <v>465</v>
      </c>
      <c r="F137" s="179">
        <v>9000.0</v>
      </c>
      <c r="G137" s="283">
        <v>700000.0</v>
      </c>
      <c r="H137" s="182" t="s">
        <v>42</v>
      </c>
      <c r="I137" s="283">
        <v>400000.0</v>
      </c>
      <c r="J137" s="182" t="s">
        <v>42</v>
      </c>
      <c r="K137" s="283">
        <f t="shared" si="16"/>
        <v>300000</v>
      </c>
      <c r="L137" s="283"/>
    </row>
    <row r="138" ht="15.75" customHeight="1">
      <c r="A138" s="71">
        <v>45379.0</v>
      </c>
      <c r="B138" s="72" t="s">
        <v>390</v>
      </c>
      <c r="C138" s="72" t="s">
        <v>1097</v>
      </c>
      <c r="D138" s="72" t="s">
        <v>123</v>
      </c>
      <c r="E138" s="72" t="s">
        <v>434</v>
      </c>
      <c r="F138" s="179">
        <v>9000.0</v>
      </c>
      <c r="G138" s="283">
        <v>1035000.0</v>
      </c>
      <c r="H138" s="182" t="s">
        <v>42</v>
      </c>
      <c r="I138" s="283">
        <v>600000.0</v>
      </c>
      <c r="J138" s="182" t="s">
        <v>42</v>
      </c>
      <c r="K138" s="283">
        <f t="shared" si="16"/>
        <v>435000</v>
      </c>
      <c r="L138" s="283"/>
    </row>
    <row r="139" ht="15.75" customHeight="1">
      <c r="A139" s="71">
        <v>45381.0</v>
      </c>
      <c r="B139" s="72" t="s">
        <v>390</v>
      </c>
      <c r="C139" s="72" t="s">
        <v>1097</v>
      </c>
      <c r="D139" s="72" t="s">
        <v>92</v>
      </c>
      <c r="E139" s="72" t="s">
        <v>717</v>
      </c>
      <c r="F139" s="179">
        <v>9000.0</v>
      </c>
      <c r="G139" s="283">
        <v>900000.0</v>
      </c>
      <c r="H139" s="182" t="s">
        <v>42</v>
      </c>
      <c r="I139" s="283">
        <v>350000.0</v>
      </c>
      <c r="J139" s="182" t="s">
        <v>42</v>
      </c>
      <c r="K139" s="283">
        <f t="shared" si="16"/>
        <v>550000</v>
      </c>
      <c r="L139" s="283">
        <v>1600000.0</v>
      </c>
    </row>
    <row r="140" ht="15.75" customHeight="1">
      <c r="A140" s="17"/>
      <c r="B140" s="17"/>
      <c r="C140" s="17"/>
      <c r="D140" s="17"/>
      <c r="E140" s="17"/>
      <c r="F140" s="7"/>
      <c r="G140" s="7"/>
      <c r="K140" s="275">
        <f t="shared" ref="K140:L140" si="17">SUM(K117:K139)</f>
        <v>10015000</v>
      </c>
      <c r="L140" s="404">
        <f t="shared" si="17"/>
        <v>3126000</v>
      </c>
    </row>
    <row r="141" ht="15.75" customHeight="1">
      <c r="A141" s="169"/>
      <c r="B141" s="169"/>
      <c r="C141" s="169"/>
      <c r="D141" s="169"/>
      <c r="E141" s="169"/>
      <c r="K141" s="276">
        <f>K140-L140</f>
        <v>6889000</v>
      </c>
    </row>
    <row r="142" ht="15.75" customHeight="1">
      <c r="A142" s="169"/>
      <c r="B142" s="169"/>
      <c r="C142" s="169"/>
      <c r="D142" s="169"/>
      <c r="E142" s="169"/>
    </row>
    <row r="143" ht="31.5" customHeight="1">
      <c r="A143" s="285" t="s">
        <v>0</v>
      </c>
      <c r="B143" s="285" t="s">
        <v>1</v>
      </c>
      <c r="C143" s="285" t="s">
        <v>2</v>
      </c>
      <c r="D143" s="286" t="s">
        <v>3</v>
      </c>
      <c r="E143" s="285" t="s">
        <v>4</v>
      </c>
      <c r="F143" s="287" t="s">
        <v>5</v>
      </c>
      <c r="G143" s="289" t="s">
        <v>6</v>
      </c>
      <c r="H143" s="289" t="s">
        <v>39</v>
      </c>
      <c r="I143" s="287" t="s">
        <v>7</v>
      </c>
      <c r="J143" s="287" t="s">
        <v>39</v>
      </c>
      <c r="K143" s="289" t="s">
        <v>8</v>
      </c>
      <c r="L143" s="289" t="s">
        <v>9</v>
      </c>
    </row>
    <row r="144" ht="15.75" customHeight="1">
      <c r="A144" s="86">
        <v>45383.0</v>
      </c>
      <c r="B144" s="17" t="s">
        <v>390</v>
      </c>
      <c r="C144" s="17" t="s">
        <v>1097</v>
      </c>
      <c r="D144" s="17" t="s">
        <v>37</v>
      </c>
      <c r="E144" s="17" t="s">
        <v>103</v>
      </c>
      <c r="F144" s="88">
        <v>9000.0</v>
      </c>
      <c r="G144" s="58">
        <v>675000.0</v>
      </c>
      <c r="H144" s="58" t="s">
        <v>42</v>
      </c>
      <c r="I144" s="60">
        <v>375000.0</v>
      </c>
      <c r="J144" s="60" t="s">
        <v>42</v>
      </c>
      <c r="K144" s="58">
        <f t="shared" ref="K144:K165" si="18">G144-I144</f>
        <v>300000</v>
      </c>
      <c r="L144" s="61"/>
    </row>
    <row r="145" ht="15.75" customHeight="1">
      <c r="A145" s="86">
        <v>45384.0</v>
      </c>
      <c r="B145" s="17" t="s">
        <v>390</v>
      </c>
      <c r="C145" s="17" t="s">
        <v>1097</v>
      </c>
      <c r="D145" s="17" t="s">
        <v>30</v>
      </c>
      <c r="E145" s="17" t="s">
        <v>103</v>
      </c>
      <c r="F145" s="88">
        <v>9000.0</v>
      </c>
      <c r="G145" s="58">
        <v>675000.0</v>
      </c>
      <c r="H145" s="58" t="s">
        <v>42</v>
      </c>
      <c r="I145" s="60">
        <v>375000.0</v>
      </c>
      <c r="J145" s="60" t="s">
        <v>42</v>
      </c>
      <c r="K145" s="58">
        <f t="shared" si="18"/>
        <v>300000</v>
      </c>
      <c r="L145" s="61"/>
    </row>
    <row r="146" ht="15.75" customHeight="1">
      <c r="A146" s="86">
        <v>45385.0</v>
      </c>
      <c r="B146" s="17" t="s">
        <v>390</v>
      </c>
      <c r="C146" s="17" t="s">
        <v>1097</v>
      </c>
      <c r="D146" s="17" t="s">
        <v>37</v>
      </c>
      <c r="E146" s="17" t="s">
        <v>199</v>
      </c>
      <c r="F146" s="88">
        <v>9000.0</v>
      </c>
      <c r="G146" s="58">
        <v>1125000.0</v>
      </c>
      <c r="H146" s="58" t="s">
        <v>42</v>
      </c>
      <c r="I146" s="60">
        <v>640000.0</v>
      </c>
      <c r="J146" s="60" t="s">
        <v>42</v>
      </c>
      <c r="K146" s="58">
        <f t="shared" si="18"/>
        <v>485000</v>
      </c>
      <c r="L146" s="61"/>
    </row>
    <row r="147" ht="15.75" customHeight="1">
      <c r="A147" s="86">
        <v>45386.0</v>
      </c>
      <c r="B147" s="17" t="s">
        <v>390</v>
      </c>
      <c r="C147" s="17" t="s">
        <v>1097</v>
      </c>
      <c r="D147" s="17" t="s">
        <v>37</v>
      </c>
      <c r="E147" s="17" t="s">
        <v>59</v>
      </c>
      <c r="F147" s="88">
        <v>9000.0</v>
      </c>
      <c r="G147" s="58">
        <v>900000.0</v>
      </c>
      <c r="H147" s="58" t="s">
        <v>44</v>
      </c>
      <c r="I147" s="60">
        <v>350000.0</v>
      </c>
      <c r="J147" s="60" t="s">
        <v>42</v>
      </c>
      <c r="K147" s="58">
        <f t="shared" si="18"/>
        <v>550000</v>
      </c>
      <c r="L147" s="61">
        <v>360000.0</v>
      </c>
    </row>
    <row r="148" ht="15.75" customHeight="1">
      <c r="A148" s="86">
        <v>45387.0</v>
      </c>
      <c r="B148" s="17" t="s">
        <v>390</v>
      </c>
      <c r="C148" s="17" t="s">
        <v>1097</v>
      </c>
      <c r="D148" s="17" t="s">
        <v>37</v>
      </c>
      <c r="E148" s="17" t="s">
        <v>59</v>
      </c>
      <c r="F148" s="88">
        <v>9000.0</v>
      </c>
      <c r="G148" s="58">
        <v>1100000.0</v>
      </c>
      <c r="H148" s="58" t="s">
        <v>44</v>
      </c>
      <c r="I148" s="60">
        <v>350000.0</v>
      </c>
      <c r="J148" s="60" t="s">
        <v>42</v>
      </c>
      <c r="K148" s="58">
        <f t="shared" si="18"/>
        <v>750000</v>
      </c>
      <c r="L148" s="61"/>
    </row>
    <row r="149" ht="15.75" customHeight="1">
      <c r="A149" s="86">
        <v>45388.0</v>
      </c>
      <c r="B149" s="17" t="s">
        <v>390</v>
      </c>
      <c r="C149" s="17" t="s">
        <v>1097</v>
      </c>
      <c r="D149" s="17" t="s">
        <v>37</v>
      </c>
      <c r="E149" s="17" t="s">
        <v>43</v>
      </c>
      <c r="F149" s="88">
        <v>9000.0</v>
      </c>
      <c r="G149" s="58">
        <v>1350000.0</v>
      </c>
      <c r="H149" s="58" t="s">
        <v>42</v>
      </c>
      <c r="I149" s="60">
        <v>800000.0</v>
      </c>
      <c r="J149" s="60" t="s">
        <v>42</v>
      </c>
      <c r="K149" s="58">
        <f t="shared" si="18"/>
        <v>550000</v>
      </c>
      <c r="L149" s="61"/>
    </row>
    <row r="150" ht="15.75" customHeight="1">
      <c r="A150" s="86">
        <v>45397.0</v>
      </c>
      <c r="B150" s="17" t="s">
        <v>390</v>
      </c>
      <c r="C150" s="17" t="s">
        <v>1097</v>
      </c>
      <c r="D150" s="17" t="s">
        <v>37</v>
      </c>
      <c r="E150" s="17" t="s">
        <v>66</v>
      </c>
      <c r="F150" s="88">
        <v>9000.0</v>
      </c>
      <c r="G150" s="58">
        <v>675000.0</v>
      </c>
      <c r="H150" s="58" t="s">
        <v>42</v>
      </c>
      <c r="I150" s="60">
        <v>350000.0</v>
      </c>
      <c r="J150" s="60" t="s">
        <v>42</v>
      </c>
      <c r="K150" s="58">
        <f t="shared" si="18"/>
        <v>325000</v>
      </c>
      <c r="L150" s="61">
        <v>150000.0</v>
      </c>
    </row>
    <row r="151" ht="15.75" customHeight="1">
      <c r="A151" s="86">
        <v>45398.0</v>
      </c>
      <c r="B151" s="17" t="s">
        <v>390</v>
      </c>
      <c r="C151" s="17" t="s">
        <v>1097</v>
      </c>
      <c r="D151" s="17" t="s">
        <v>37</v>
      </c>
      <c r="E151" s="17" t="s">
        <v>465</v>
      </c>
      <c r="F151" s="88">
        <v>9000.0</v>
      </c>
      <c r="G151" s="58">
        <v>700000.0</v>
      </c>
      <c r="H151" s="58" t="s">
        <v>42</v>
      </c>
      <c r="I151" s="60">
        <v>400000.0</v>
      </c>
      <c r="J151" s="60" t="s">
        <v>42</v>
      </c>
      <c r="K151" s="58">
        <f t="shared" si="18"/>
        <v>300000</v>
      </c>
      <c r="L151" s="61"/>
    </row>
    <row r="152" ht="15.75" customHeight="1">
      <c r="A152" s="86">
        <v>45398.0</v>
      </c>
      <c r="B152" s="17" t="s">
        <v>390</v>
      </c>
      <c r="C152" s="17" t="s">
        <v>1097</v>
      </c>
      <c r="D152" s="17" t="s">
        <v>37</v>
      </c>
      <c r="E152" s="17" t="s">
        <v>111</v>
      </c>
      <c r="F152" s="88">
        <v>9000.0</v>
      </c>
      <c r="G152" s="58">
        <v>990000.0</v>
      </c>
      <c r="H152" s="58" t="s">
        <v>42</v>
      </c>
      <c r="I152" s="60">
        <v>500000.0</v>
      </c>
      <c r="J152" s="60" t="s">
        <v>42</v>
      </c>
      <c r="K152" s="58">
        <f t="shared" si="18"/>
        <v>490000</v>
      </c>
      <c r="L152" s="61"/>
    </row>
    <row r="153" ht="15.75" customHeight="1">
      <c r="A153" s="86">
        <v>45399.0</v>
      </c>
      <c r="B153" s="17" t="s">
        <v>390</v>
      </c>
      <c r="C153" s="17" t="s">
        <v>1097</v>
      </c>
      <c r="D153" s="17" t="s">
        <v>30</v>
      </c>
      <c r="E153" s="17" t="s">
        <v>109</v>
      </c>
      <c r="F153" s="88">
        <v>9000.0</v>
      </c>
      <c r="G153" s="58">
        <v>720000.0</v>
      </c>
      <c r="H153" s="58" t="s">
        <v>42</v>
      </c>
      <c r="I153" s="60">
        <v>350000.0</v>
      </c>
      <c r="J153" s="60" t="s">
        <v>42</v>
      </c>
      <c r="K153" s="58">
        <f t="shared" si="18"/>
        <v>370000</v>
      </c>
      <c r="L153" s="61"/>
    </row>
    <row r="154" ht="15.75" customHeight="1">
      <c r="A154" s="86">
        <v>45399.0</v>
      </c>
      <c r="B154" s="17" t="s">
        <v>390</v>
      </c>
      <c r="C154" s="17" t="s">
        <v>1097</v>
      </c>
      <c r="D154" s="17" t="s">
        <v>30</v>
      </c>
      <c r="E154" s="17" t="s">
        <v>34</v>
      </c>
      <c r="F154" s="88">
        <v>9000.0</v>
      </c>
      <c r="G154" s="58">
        <v>1215000.0</v>
      </c>
      <c r="H154" s="58" t="s">
        <v>44</v>
      </c>
      <c r="I154" s="60">
        <v>700000.0</v>
      </c>
      <c r="J154" s="60" t="s">
        <v>42</v>
      </c>
      <c r="K154" s="58">
        <f t="shared" si="18"/>
        <v>515000</v>
      </c>
      <c r="L154" s="61"/>
    </row>
    <row r="155" ht="15.75" customHeight="1">
      <c r="A155" s="86">
        <v>45400.0</v>
      </c>
      <c r="B155" s="17" t="s">
        <v>390</v>
      </c>
      <c r="C155" s="17" t="s">
        <v>1097</v>
      </c>
      <c r="D155" s="17" t="s">
        <v>37</v>
      </c>
      <c r="E155" s="17" t="s">
        <v>43</v>
      </c>
      <c r="F155" s="87">
        <v>9000.0</v>
      </c>
      <c r="G155" s="58">
        <v>1350000.0</v>
      </c>
      <c r="H155" s="58" t="s">
        <v>44</v>
      </c>
      <c r="I155" s="60">
        <v>800000.0</v>
      </c>
      <c r="J155" s="60" t="s">
        <v>42</v>
      </c>
      <c r="K155" s="58">
        <f t="shared" si="18"/>
        <v>550000</v>
      </c>
      <c r="L155" s="61">
        <v>105000.0</v>
      </c>
    </row>
    <row r="156" ht="15.75" customHeight="1">
      <c r="A156" s="86">
        <v>45404.0</v>
      </c>
      <c r="B156" s="17" t="s">
        <v>390</v>
      </c>
      <c r="C156" s="17" t="s">
        <v>1097</v>
      </c>
      <c r="D156" s="17" t="s">
        <v>37</v>
      </c>
      <c r="E156" s="17" t="s">
        <v>43</v>
      </c>
      <c r="F156" s="87">
        <v>9000.0</v>
      </c>
      <c r="G156" s="58">
        <v>1350000.0</v>
      </c>
      <c r="H156" s="58" t="s">
        <v>44</v>
      </c>
      <c r="I156" s="60">
        <v>800000.0</v>
      </c>
      <c r="J156" s="60" t="s">
        <v>42</v>
      </c>
      <c r="K156" s="58">
        <f t="shared" si="18"/>
        <v>550000</v>
      </c>
      <c r="L156" s="61"/>
    </row>
    <row r="157" ht="15.75" customHeight="1">
      <c r="A157" s="86">
        <v>45405.0</v>
      </c>
      <c r="B157" s="17" t="s">
        <v>390</v>
      </c>
      <c r="C157" s="17" t="s">
        <v>1097</v>
      </c>
      <c r="D157" s="17" t="s">
        <v>37</v>
      </c>
      <c r="E157" s="17" t="s">
        <v>43</v>
      </c>
      <c r="F157" s="87">
        <v>9000.0</v>
      </c>
      <c r="G157" s="58">
        <v>1350000.0</v>
      </c>
      <c r="H157" s="58" t="s">
        <v>44</v>
      </c>
      <c r="I157" s="60">
        <v>800000.0</v>
      </c>
      <c r="J157" s="60" t="s">
        <v>42</v>
      </c>
      <c r="K157" s="58">
        <f t="shared" si="18"/>
        <v>550000</v>
      </c>
      <c r="L157" s="61">
        <v>75000.0</v>
      </c>
    </row>
    <row r="158" ht="15.75" customHeight="1">
      <c r="A158" s="86">
        <v>45406.0</v>
      </c>
      <c r="B158" s="17" t="s">
        <v>390</v>
      </c>
      <c r="C158" s="17" t="s">
        <v>1097</v>
      </c>
      <c r="D158" s="17" t="s">
        <v>40</v>
      </c>
      <c r="E158" s="17" t="s">
        <v>199</v>
      </c>
      <c r="F158" s="87">
        <v>9000.0</v>
      </c>
      <c r="G158" s="58">
        <v>1125000.0</v>
      </c>
      <c r="H158" s="58" t="s">
        <v>44</v>
      </c>
      <c r="I158" s="60">
        <v>640000.0</v>
      </c>
      <c r="J158" s="60" t="s">
        <v>42</v>
      </c>
      <c r="K158" s="58">
        <f t="shared" si="18"/>
        <v>485000</v>
      </c>
      <c r="L158" s="61"/>
      <c r="M158" s="168"/>
      <c r="N158" s="168"/>
    </row>
    <row r="159" ht="15.75" customHeight="1">
      <c r="A159" s="86">
        <v>45407.0</v>
      </c>
      <c r="B159" s="17" t="s">
        <v>390</v>
      </c>
      <c r="C159" s="17" t="s">
        <v>1097</v>
      </c>
      <c r="D159" s="17" t="s">
        <v>40</v>
      </c>
      <c r="E159" s="17" t="s">
        <v>118</v>
      </c>
      <c r="F159" s="87">
        <v>9000.0</v>
      </c>
      <c r="G159" s="58">
        <v>1000000.0</v>
      </c>
      <c r="H159" s="58" t="s">
        <v>44</v>
      </c>
      <c r="I159" s="60">
        <v>550000.0</v>
      </c>
      <c r="J159" s="60" t="s">
        <v>44</v>
      </c>
      <c r="K159" s="58">
        <f t="shared" si="18"/>
        <v>450000</v>
      </c>
      <c r="L159" s="61"/>
    </row>
    <row r="160" ht="15.75" customHeight="1">
      <c r="A160" s="86">
        <v>45408.0</v>
      </c>
      <c r="B160" s="17" t="s">
        <v>390</v>
      </c>
      <c r="C160" s="17" t="s">
        <v>1097</v>
      </c>
      <c r="D160" s="17" t="s">
        <v>40</v>
      </c>
      <c r="E160" s="17" t="s">
        <v>55</v>
      </c>
      <c r="F160" s="87">
        <v>8500.0</v>
      </c>
      <c r="G160" s="58">
        <v>1230000.0</v>
      </c>
      <c r="H160" s="58" t="s">
        <v>44</v>
      </c>
      <c r="I160" s="60">
        <v>700000.0</v>
      </c>
      <c r="J160" s="60" t="s">
        <v>44</v>
      </c>
      <c r="K160" s="58">
        <f t="shared" si="18"/>
        <v>530000</v>
      </c>
      <c r="L160" s="61"/>
    </row>
    <row r="161" ht="15.75" customHeight="1">
      <c r="A161" s="86">
        <v>45409.0</v>
      </c>
      <c r="B161" s="17" t="s">
        <v>390</v>
      </c>
      <c r="C161" s="17" t="s">
        <v>1097</v>
      </c>
      <c r="D161" s="17" t="s">
        <v>1115</v>
      </c>
      <c r="E161" s="17" t="s">
        <v>34</v>
      </c>
      <c r="F161" s="87">
        <v>9000.0</v>
      </c>
      <c r="G161" s="58">
        <v>1215000.0</v>
      </c>
      <c r="H161" s="58" t="s">
        <v>44</v>
      </c>
      <c r="I161" s="60">
        <v>700000.0</v>
      </c>
      <c r="J161" s="60" t="s">
        <v>44</v>
      </c>
      <c r="K161" s="58">
        <f t="shared" si="18"/>
        <v>515000</v>
      </c>
      <c r="L161" s="61"/>
    </row>
    <row r="162" ht="15.75" customHeight="1">
      <c r="A162" s="86">
        <v>45411.0</v>
      </c>
      <c r="B162" s="17" t="s">
        <v>390</v>
      </c>
      <c r="C162" s="17" t="s">
        <v>1097</v>
      </c>
      <c r="D162" s="17"/>
      <c r="E162" s="17"/>
      <c r="F162" s="87"/>
      <c r="G162" s="58"/>
      <c r="H162" s="58"/>
      <c r="I162" s="60"/>
      <c r="J162" s="60"/>
      <c r="K162" s="58">
        <f t="shared" si="18"/>
        <v>0</v>
      </c>
      <c r="L162" s="61">
        <v>200000.0</v>
      </c>
    </row>
    <row r="163" ht="15.75" customHeight="1">
      <c r="A163" s="86">
        <v>45411.0</v>
      </c>
      <c r="B163" s="17" t="s">
        <v>390</v>
      </c>
      <c r="C163" s="17" t="s">
        <v>1097</v>
      </c>
      <c r="D163" s="17" t="s">
        <v>40</v>
      </c>
      <c r="E163" s="17" t="s">
        <v>107</v>
      </c>
      <c r="F163" s="87">
        <v>9000.0</v>
      </c>
      <c r="G163" s="58">
        <v>1125000.0</v>
      </c>
      <c r="H163" s="58" t="s">
        <v>44</v>
      </c>
      <c r="I163" s="60">
        <v>640000.0</v>
      </c>
      <c r="J163" s="60" t="s">
        <v>42</v>
      </c>
      <c r="K163" s="58">
        <f t="shared" si="18"/>
        <v>485000</v>
      </c>
      <c r="L163" s="61"/>
    </row>
    <row r="164" ht="15.75" customHeight="1">
      <c r="A164" s="86">
        <v>45412.0</v>
      </c>
      <c r="B164" s="17" t="s">
        <v>390</v>
      </c>
      <c r="C164" s="17" t="s">
        <v>1097</v>
      </c>
      <c r="D164" s="17" t="s">
        <v>30</v>
      </c>
      <c r="E164" s="17" t="s">
        <v>410</v>
      </c>
      <c r="F164" s="87">
        <v>9000.0</v>
      </c>
      <c r="G164" s="58">
        <v>675000.0</v>
      </c>
      <c r="H164" s="58" t="s">
        <v>42</v>
      </c>
      <c r="I164" s="60">
        <v>350000.0</v>
      </c>
      <c r="J164" s="60" t="s">
        <v>44</v>
      </c>
      <c r="K164" s="58">
        <f t="shared" si="18"/>
        <v>325000</v>
      </c>
      <c r="L164" s="61"/>
    </row>
    <row r="165" ht="15.75" customHeight="1">
      <c r="A165" s="86">
        <v>45412.0</v>
      </c>
      <c r="B165" s="17" t="s">
        <v>390</v>
      </c>
      <c r="C165" s="17" t="s">
        <v>1097</v>
      </c>
      <c r="D165" s="17" t="s">
        <v>30</v>
      </c>
      <c r="E165" s="17" t="s">
        <v>54</v>
      </c>
      <c r="F165" s="87">
        <v>9000.0</v>
      </c>
      <c r="G165" s="58">
        <v>1200000.0</v>
      </c>
      <c r="H165" s="58" t="s">
        <v>44</v>
      </c>
      <c r="I165" s="60">
        <v>640000.0</v>
      </c>
      <c r="J165" s="60" t="s">
        <v>44</v>
      </c>
      <c r="K165" s="58">
        <f t="shared" si="18"/>
        <v>560000</v>
      </c>
      <c r="L165" s="61"/>
    </row>
    <row r="166" ht="15.75" customHeight="1">
      <c r="C166" s="169"/>
      <c r="D166" s="169"/>
      <c r="E166" s="169"/>
      <c r="F166" s="169"/>
      <c r="G166" s="173"/>
      <c r="H166" s="173"/>
      <c r="I166" s="193"/>
      <c r="J166" s="193"/>
      <c r="K166" s="52">
        <f>SUM(K144:K165)</f>
        <v>9935000</v>
      </c>
      <c r="L166" s="30">
        <f>SUM(L144:L164)</f>
        <v>890000</v>
      </c>
    </row>
    <row r="167" ht="15.75" customHeight="1">
      <c r="C167" s="169"/>
      <c r="D167" s="169"/>
      <c r="E167" s="169"/>
      <c r="F167" s="169"/>
      <c r="G167" s="173"/>
      <c r="H167" s="173"/>
      <c r="I167" s="193"/>
      <c r="J167" s="193"/>
      <c r="K167" s="33">
        <f>K166-L166</f>
        <v>9045000</v>
      </c>
      <c r="L167" s="202"/>
    </row>
    <row r="168" ht="15.75" customHeight="1">
      <c r="A168" s="169"/>
      <c r="B168" s="169"/>
      <c r="C168" s="169"/>
      <c r="D168" s="169"/>
      <c r="E168" s="169"/>
    </row>
    <row r="169" ht="31.5" customHeight="1">
      <c r="A169" s="89" t="s">
        <v>0</v>
      </c>
      <c r="B169" s="89" t="s">
        <v>1</v>
      </c>
      <c r="C169" s="89" t="s">
        <v>2</v>
      </c>
      <c r="D169" s="90" t="s">
        <v>3</v>
      </c>
      <c r="E169" s="89" t="s">
        <v>4</v>
      </c>
      <c r="F169" s="91" t="s">
        <v>5</v>
      </c>
      <c r="G169" s="92" t="s">
        <v>6</v>
      </c>
      <c r="H169" s="92" t="s">
        <v>39</v>
      </c>
      <c r="I169" s="91" t="s">
        <v>7</v>
      </c>
      <c r="J169" s="91" t="s">
        <v>39</v>
      </c>
      <c r="K169" s="92" t="s">
        <v>8</v>
      </c>
      <c r="L169" s="92" t="s">
        <v>9</v>
      </c>
    </row>
    <row r="170" ht="15.75" customHeight="1">
      <c r="A170" s="17" t="s">
        <v>412</v>
      </c>
      <c r="B170" s="17" t="s">
        <v>390</v>
      </c>
      <c r="C170" s="17" t="s">
        <v>1097</v>
      </c>
      <c r="D170" s="17" t="s">
        <v>37</v>
      </c>
      <c r="E170" s="17" t="s">
        <v>43</v>
      </c>
      <c r="F170" s="87">
        <v>9000.0</v>
      </c>
      <c r="G170" s="61">
        <v>1350000.0</v>
      </c>
      <c r="H170" s="58" t="s">
        <v>44</v>
      </c>
      <c r="I170" s="61">
        <v>800000.0</v>
      </c>
      <c r="J170" s="17" t="s">
        <v>44</v>
      </c>
      <c r="K170" s="61">
        <f t="shared" ref="K170:K189" si="19">G170-I170</f>
        <v>550000</v>
      </c>
      <c r="L170" s="7"/>
    </row>
    <row r="171" ht="15.75" customHeight="1">
      <c r="A171" s="17" t="s">
        <v>413</v>
      </c>
      <c r="B171" s="17" t="s">
        <v>390</v>
      </c>
      <c r="C171" s="17" t="s">
        <v>1097</v>
      </c>
      <c r="D171" s="17" t="s">
        <v>37</v>
      </c>
      <c r="E171" s="17" t="s">
        <v>43</v>
      </c>
      <c r="F171" s="87">
        <v>9000.0</v>
      </c>
      <c r="G171" s="61">
        <v>1350000.0</v>
      </c>
      <c r="H171" s="58" t="s">
        <v>44</v>
      </c>
      <c r="I171" s="61">
        <v>800000.0</v>
      </c>
      <c r="J171" s="17" t="s">
        <v>44</v>
      </c>
      <c r="K171" s="61">
        <f t="shared" si="19"/>
        <v>550000</v>
      </c>
      <c r="L171" s="100">
        <v>45000.0</v>
      </c>
    </row>
    <row r="172" ht="15.75" customHeight="1">
      <c r="A172" s="17" t="s">
        <v>1116</v>
      </c>
      <c r="B172" s="17" t="s">
        <v>390</v>
      </c>
      <c r="C172" s="17" t="s">
        <v>1097</v>
      </c>
      <c r="D172" s="17" t="s">
        <v>37</v>
      </c>
      <c r="E172" s="17" t="s">
        <v>94</v>
      </c>
      <c r="F172" s="87">
        <v>8500.0</v>
      </c>
      <c r="G172" s="61">
        <v>1200000.0</v>
      </c>
      <c r="H172" s="58" t="s">
        <v>42</v>
      </c>
      <c r="I172" s="61">
        <v>640000.0</v>
      </c>
      <c r="J172" s="17" t="s">
        <v>42</v>
      </c>
      <c r="K172" s="61">
        <f t="shared" si="19"/>
        <v>560000</v>
      </c>
      <c r="L172" s="100">
        <v>1676500.0</v>
      </c>
    </row>
    <row r="173" ht="15.75" customHeight="1">
      <c r="A173" s="17" t="s">
        <v>415</v>
      </c>
      <c r="B173" s="17" t="s">
        <v>390</v>
      </c>
      <c r="C173" s="17" t="s">
        <v>1097</v>
      </c>
      <c r="D173" s="17" t="s">
        <v>37</v>
      </c>
      <c r="E173" s="17" t="s">
        <v>1117</v>
      </c>
      <c r="F173" s="87">
        <v>9000.0</v>
      </c>
      <c r="G173" s="61">
        <v>1170000.0</v>
      </c>
      <c r="H173" s="58" t="s">
        <v>42</v>
      </c>
      <c r="I173" s="61">
        <v>640000.0</v>
      </c>
      <c r="J173" s="17" t="s">
        <v>42</v>
      </c>
      <c r="K173" s="61">
        <f t="shared" si="19"/>
        <v>530000</v>
      </c>
      <c r="L173" s="7"/>
      <c r="M173" s="240" t="s">
        <v>1118</v>
      </c>
    </row>
    <row r="174" ht="15.75" customHeight="1">
      <c r="A174" s="17" t="s">
        <v>416</v>
      </c>
      <c r="B174" s="17" t="s">
        <v>390</v>
      </c>
      <c r="C174" s="17" t="s">
        <v>1097</v>
      </c>
      <c r="D174" s="17" t="s">
        <v>37</v>
      </c>
      <c r="E174" s="17" t="s">
        <v>43</v>
      </c>
      <c r="F174" s="87">
        <v>9000.0</v>
      </c>
      <c r="G174" s="61">
        <v>1350000.0</v>
      </c>
      <c r="H174" s="58" t="s">
        <v>44</v>
      </c>
      <c r="I174" s="61">
        <v>800000.0</v>
      </c>
      <c r="J174" s="17" t="s">
        <v>42</v>
      </c>
      <c r="K174" s="61">
        <f t="shared" si="19"/>
        <v>550000</v>
      </c>
      <c r="L174" s="7"/>
    </row>
    <row r="175" ht="15.75" customHeight="1">
      <c r="A175" s="17" t="s">
        <v>418</v>
      </c>
      <c r="B175" s="17" t="s">
        <v>390</v>
      </c>
      <c r="C175" s="17" t="s">
        <v>1097</v>
      </c>
      <c r="D175" s="17" t="s">
        <v>37</v>
      </c>
      <c r="E175" s="17" t="s">
        <v>103</v>
      </c>
      <c r="F175" s="87">
        <v>9000.0</v>
      </c>
      <c r="G175" s="61">
        <v>675000.0</v>
      </c>
      <c r="H175" s="58" t="s">
        <v>44</v>
      </c>
      <c r="I175" s="61">
        <v>375000.0</v>
      </c>
      <c r="J175" s="17" t="s">
        <v>42</v>
      </c>
      <c r="K175" s="61">
        <f t="shared" si="19"/>
        <v>300000</v>
      </c>
      <c r="L175" s="100">
        <v>305000.0</v>
      </c>
      <c r="M175" s="94"/>
    </row>
    <row r="176" ht="15.75" customHeight="1">
      <c r="A176" s="17" t="s">
        <v>418</v>
      </c>
      <c r="B176" s="17" t="s">
        <v>390</v>
      </c>
      <c r="C176" s="17" t="s">
        <v>1097</v>
      </c>
      <c r="D176" s="17" t="s">
        <v>40</v>
      </c>
      <c r="E176" s="17" t="s">
        <v>397</v>
      </c>
      <c r="F176" s="87">
        <v>9000.0</v>
      </c>
      <c r="G176" s="61">
        <v>765000.0</v>
      </c>
      <c r="H176" s="58" t="s">
        <v>44</v>
      </c>
      <c r="I176" s="61">
        <v>450000.0</v>
      </c>
      <c r="J176" s="58" t="s">
        <v>44</v>
      </c>
      <c r="K176" s="61">
        <f t="shared" si="19"/>
        <v>315000</v>
      </c>
      <c r="L176" s="7"/>
    </row>
    <row r="177" ht="15.75" customHeight="1">
      <c r="A177" s="17" t="s">
        <v>419</v>
      </c>
      <c r="B177" s="17" t="s">
        <v>390</v>
      </c>
      <c r="C177" s="17" t="s">
        <v>1097</v>
      </c>
      <c r="D177" s="17" t="s">
        <v>1119</v>
      </c>
      <c r="E177" s="17" t="s">
        <v>161</v>
      </c>
      <c r="F177" s="87">
        <v>9000.0</v>
      </c>
      <c r="G177" s="61">
        <v>1215000.0</v>
      </c>
      <c r="H177" s="58" t="s">
        <v>44</v>
      </c>
      <c r="I177" s="61">
        <v>700000.0</v>
      </c>
      <c r="J177" s="17" t="s">
        <v>42</v>
      </c>
      <c r="K177" s="61">
        <f t="shared" si="19"/>
        <v>515000</v>
      </c>
      <c r="L177" s="7"/>
    </row>
    <row r="178" ht="15.75" customHeight="1">
      <c r="A178" s="17" t="s">
        <v>420</v>
      </c>
      <c r="B178" s="17" t="s">
        <v>390</v>
      </c>
      <c r="C178" s="17" t="s">
        <v>1097</v>
      </c>
      <c r="D178" s="17" t="s">
        <v>123</v>
      </c>
      <c r="E178" s="17" t="s">
        <v>118</v>
      </c>
      <c r="F178" s="87">
        <v>9000.0</v>
      </c>
      <c r="G178" s="61">
        <v>1000000.0</v>
      </c>
      <c r="H178" s="58" t="s">
        <v>44</v>
      </c>
      <c r="I178" s="61">
        <v>550000.0</v>
      </c>
      <c r="J178" s="17" t="s">
        <v>42</v>
      </c>
      <c r="K178" s="61">
        <f t="shared" si="19"/>
        <v>450000</v>
      </c>
      <c r="L178" s="7"/>
    </row>
    <row r="179" ht="15.75" customHeight="1">
      <c r="A179" s="17" t="s">
        <v>600</v>
      </c>
      <c r="B179" s="17" t="s">
        <v>390</v>
      </c>
      <c r="C179" s="17" t="s">
        <v>1097</v>
      </c>
      <c r="D179" s="17" t="s">
        <v>40</v>
      </c>
      <c r="E179" s="17" t="s">
        <v>66</v>
      </c>
      <c r="F179" s="87">
        <v>9000.0</v>
      </c>
      <c r="G179" s="61">
        <v>675000.0</v>
      </c>
      <c r="H179" s="58" t="s">
        <v>42</v>
      </c>
      <c r="I179" s="61">
        <v>350000.0</v>
      </c>
      <c r="J179" s="17" t="s">
        <v>42</v>
      </c>
      <c r="K179" s="61">
        <f t="shared" si="19"/>
        <v>325000</v>
      </c>
      <c r="L179" s="7"/>
    </row>
    <row r="180" ht="15.75" customHeight="1">
      <c r="A180" s="17" t="s">
        <v>600</v>
      </c>
      <c r="B180" s="17" t="s">
        <v>390</v>
      </c>
      <c r="C180" s="17" t="s">
        <v>1097</v>
      </c>
      <c r="D180" s="17" t="s">
        <v>40</v>
      </c>
      <c r="E180" s="17" t="s">
        <v>457</v>
      </c>
      <c r="F180" s="87">
        <v>9000.0</v>
      </c>
      <c r="G180" s="61">
        <v>1125000.0</v>
      </c>
      <c r="H180" s="58" t="s">
        <v>42</v>
      </c>
      <c r="I180" s="61">
        <v>640000.0</v>
      </c>
      <c r="J180" s="17" t="s">
        <v>42</v>
      </c>
      <c r="K180" s="61">
        <f t="shared" si="19"/>
        <v>485000</v>
      </c>
      <c r="L180" s="7"/>
    </row>
    <row r="181" ht="15.75" customHeight="1">
      <c r="A181" s="17" t="s">
        <v>422</v>
      </c>
      <c r="B181" s="17" t="s">
        <v>390</v>
      </c>
      <c r="C181" s="17" t="s">
        <v>1097</v>
      </c>
      <c r="D181" s="17" t="s">
        <v>123</v>
      </c>
      <c r="E181" s="17" t="s">
        <v>959</v>
      </c>
      <c r="F181" s="87">
        <v>9000.0</v>
      </c>
      <c r="G181" s="61">
        <v>720000.0</v>
      </c>
      <c r="H181" s="58" t="s">
        <v>42</v>
      </c>
      <c r="I181" s="61">
        <v>350000.0</v>
      </c>
      <c r="J181" s="17" t="s">
        <v>42</v>
      </c>
      <c r="K181" s="61">
        <f t="shared" si="19"/>
        <v>370000</v>
      </c>
      <c r="L181" s="7"/>
    </row>
    <row r="182" ht="15.75" customHeight="1">
      <c r="A182" s="17" t="s">
        <v>423</v>
      </c>
      <c r="B182" s="17" t="s">
        <v>390</v>
      </c>
      <c r="C182" s="17" t="s">
        <v>1097</v>
      </c>
      <c r="D182" s="17" t="s">
        <v>37</v>
      </c>
      <c r="E182" s="17" t="s">
        <v>397</v>
      </c>
      <c r="F182" s="87">
        <v>9000.0</v>
      </c>
      <c r="G182" s="61">
        <v>765000.0</v>
      </c>
      <c r="H182" s="58" t="s">
        <v>44</v>
      </c>
      <c r="I182" s="61">
        <v>450000.0</v>
      </c>
      <c r="J182" s="17" t="s">
        <v>42</v>
      </c>
      <c r="K182" s="61">
        <f t="shared" si="19"/>
        <v>315000</v>
      </c>
      <c r="L182" s="7"/>
    </row>
    <row r="183" ht="15.75" customHeight="1">
      <c r="A183" s="17" t="s">
        <v>424</v>
      </c>
      <c r="B183" s="17" t="s">
        <v>390</v>
      </c>
      <c r="C183" s="17" t="s">
        <v>1097</v>
      </c>
      <c r="D183" s="17" t="s">
        <v>37</v>
      </c>
      <c r="E183" s="17" t="s">
        <v>623</v>
      </c>
      <c r="F183" s="87">
        <v>9000.0</v>
      </c>
      <c r="G183" s="61">
        <v>765000.0</v>
      </c>
      <c r="H183" s="58" t="s">
        <v>44</v>
      </c>
      <c r="I183" s="61">
        <v>400000.0</v>
      </c>
      <c r="J183" s="17" t="s">
        <v>42</v>
      </c>
      <c r="K183" s="61">
        <f t="shared" si="19"/>
        <v>365000</v>
      </c>
      <c r="L183" s="100">
        <v>150000.0</v>
      </c>
    </row>
    <row r="184" ht="15.75" customHeight="1">
      <c r="A184" s="17" t="s">
        <v>425</v>
      </c>
      <c r="B184" s="17" t="s">
        <v>390</v>
      </c>
      <c r="C184" s="17" t="s">
        <v>1097</v>
      </c>
      <c r="D184" s="17" t="s">
        <v>40</v>
      </c>
      <c r="E184" s="17" t="s">
        <v>457</v>
      </c>
      <c r="F184" s="87">
        <v>9000.0</v>
      </c>
      <c r="G184" s="61">
        <v>1125000.0</v>
      </c>
      <c r="H184" s="17" t="s">
        <v>42</v>
      </c>
      <c r="I184" s="61">
        <v>640000.0</v>
      </c>
      <c r="J184" s="17" t="s">
        <v>42</v>
      </c>
      <c r="K184" s="61">
        <f t="shared" si="19"/>
        <v>485000</v>
      </c>
      <c r="L184" s="94"/>
    </row>
    <row r="185" ht="15.75" customHeight="1">
      <c r="A185" s="17" t="s">
        <v>601</v>
      </c>
      <c r="B185" s="17" t="s">
        <v>390</v>
      </c>
      <c r="C185" s="17" t="s">
        <v>1097</v>
      </c>
      <c r="D185" s="17" t="s">
        <v>40</v>
      </c>
      <c r="E185" s="17" t="s">
        <v>457</v>
      </c>
      <c r="F185" s="87">
        <v>9000.0</v>
      </c>
      <c r="G185" s="61">
        <v>1125000.0</v>
      </c>
      <c r="H185" s="17" t="s">
        <v>42</v>
      </c>
      <c r="I185" s="61">
        <v>640000.0</v>
      </c>
      <c r="J185" s="17" t="s">
        <v>42</v>
      </c>
      <c r="K185" s="61">
        <f t="shared" si="19"/>
        <v>485000</v>
      </c>
      <c r="L185" s="7"/>
    </row>
    <row r="186" ht="15.75" customHeight="1">
      <c r="A186" s="17" t="s">
        <v>426</v>
      </c>
      <c r="B186" s="17" t="s">
        <v>390</v>
      </c>
      <c r="C186" s="17" t="s">
        <v>1097</v>
      </c>
      <c r="D186" s="17" t="s">
        <v>37</v>
      </c>
      <c r="E186" s="17" t="s">
        <v>103</v>
      </c>
      <c r="F186" s="87">
        <v>9000.0</v>
      </c>
      <c r="G186" s="100">
        <v>675000.0</v>
      </c>
      <c r="H186" s="58" t="s">
        <v>44</v>
      </c>
      <c r="I186" s="100">
        <v>375000.0</v>
      </c>
      <c r="J186" s="17" t="s">
        <v>42</v>
      </c>
      <c r="K186" s="100">
        <f t="shared" si="19"/>
        <v>300000</v>
      </c>
      <c r="L186" s="7"/>
    </row>
    <row r="187" ht="15.75" customHeight="1">
      <c r="A187" s="17" t="s">
        <v>602</v>
      </c>
      <c r="B187" s="17" t="s">
        <v>390</v>
      </c>
      <c r="C187" s="17" t="s">
        <v>1097</v>
      </c>
      <c r="D187" s="17" t="s">
        <v>40</v>
      </c>
      <c r="E187" s="17" t="s">
        <v>457</v>
      </c>
      <c r="F187" s="87">
        <v>9000.0</v>
      </c>
      <c r="G187" s="61">
        <v>1125000.0</v>
      </c>
      <c r="H187" s="17" t="s">
        <v>42</v>
      </c>
      <c r="I187" s="61">
        <v>640000.0</v>
      </c>
      <c r="J187" s="17" t="s">
        <v>42</v>
      </c>
      <c r="K187" s="61">
        <f t="shared" si="19"/>
        <v>485000</v>
      </c>
      <c r="L187" s="7"/>
    </row>
    <row r="188" ht="15.75" customHeight="1">
      <c r="A188" s="17" t="s">
        <v>131</v>
      </c>
      <c r="B188" s="17" t="s">
        <v>390</v>
      </c>
      <c r="C188" s="17" t="s">
        <v>1097</v>
      </c>
      <c r="D188" s="17" t="s">
        <v>37</v>
      </c>
      <c r="E188" s="17" t="s">
        <v>108</v>
      </c>
      <c r="F188" s="87">
        <v>9000.0</v>
      </c>
      <c r="G188" s="100">
        <v>810000.0</v>
      </c>
      <c r="H188" s="17" t="s">
        <v>42</v>
      </c>
      <c r="I188" s="100">
        <v>450000.0</v>
      </c>
      <c r="J188" s="17" t="s">
        <v>42</v>
      </c>
      <c r="K188" s="61">
        <f t="shared" si="19"/>
        <v>360000</v>
      </c>
      <c r="L188" s="7"/>
    </row>
    <row r="189" ht="15.75" customHeight="1">
      <c r="A189" s="17" t="s">
        <v>131</v>
      </c>
      <c r="B189" s="17" t="s">
        <v>390</v>
      </c>
      <c r="C189" s="17" t="s">
        <v>1097</v>
      </c>
      <c r="D189" s="17" t="s">
        <v>71</v>
      </c>
      <c r="E189" s="17" t="s">
        <v>66</v>
      </c>
      <c r="F189" s="87">
        <v>10000.0</v>
      </c>
      <c r="G189" s="100">
        <v>750000.0</v>
      </c>
      <c r="H189" s="17" t="s">
        <v>42</v>
      </c>
      <c r="I189" s="100">
        <v>375000.0</v>
      </c>
      <c r="J189" s="17" t="s">
        <v>42</v>
      </c>
      <c r="K189" s="61">
        <f t="shared" si="19"/>
        <v>375000</v>
      </c>
      <c r="L189" s="100">
        <v>332500.0</v>
      </c>
    </row>
    <row r="190" ht="15.75" customHeight="1">
      <c r="A190" s="17"/>
      <c r="B190" s="17"/>
      <c r="C190" s="17"/>
      <c r="D190" s="17"/>
      <c r="E190" s="17"/>
      <c r="F190" s="7"/>
      <c r="G190" s="7"/>
      <c r="H190" s="7"/>
      <c r="I190" s="7"/>
      <c r="J190" s="7"/>
      <c r="K190" s="52">
        <f t="shared" ref="K190:L190" si="20">SUM(K170:K189)</f>
        <v>8670000</v>
      </c>
      <c r="L190" s="30">
        <f t="shared" si="20"/>
        <v>2509000</v>
      </c>
    </row>
    <row r="191" ht="15.75" customHeight="1">
      <c r="A191" s="17"/>
      <c r="B191" s="17"/>
      <c r="C191" s="17"/>
      <c r="D191" s="17"/>
      <c r="E191" s="17"/>
      <c r="F191" s="7"/>
      <c r="G191" s="7"/>
      <c r="H191" s="7"/>
      <c r="I191" s="7"/>
      <c r="J191" s="7"/>
      <c r="K191" s="33">
        <f>K190-L190</f>
        <v>6161000</v>
      </c>
      <c r="L191" s="202"/>
    </row>
    <row r="192" ht="15.75" customHeight="1">
      <c r="A192" s="169"/>
      <c r="B192" s="169"/>
      <c r="C192" s="169"/>
      <c r="D192" s="169"/>
      <c r="E192" s="169"/>
    </row>
    <row r="193" ht="30.0" customHeight="1">
      <c r="A193" s="89" t="s">
        <v>0</v>
      </c>
      <c r="B193" s="89" t="s">
        <v>1</v>
      </c>
      <c r="C193" s="89" t="s">
        <v>2</v>
      </c>
      <c r="D193" s="90" t="s">
        <v>3</v>
      </c>
      <c r="E193" s="89" t="s">
        <v>4</v>
      </c>
      <c r="F193" s="91" t="s">
        <v>5</v>
      </c>
      <c r="G193" s="92" t="s">
        <v>6</v>
      </c>
      <c r="H193" s="92" t="s">
        <v>39</v>
      </c>
      <c r="I193" s="91" t="s">
        <v>7</v>
      </c>
      <c r="J193" s="91" t="s">
        <v>39</v>
      </c>
      <c r="K193" s="92" t="s">
        <v>8</v>
      </c>
      <c r="L193" s="92" t="s">
        <v>9</v>
      </c>
    </row>
    <row r="194" ht="15.75" customHeight="1">
      <c r="A194" s="17" t="s">
        <v>429</v>
      </c>
      <c r="B194" s="17" t="s">
        <v>390</v>
      </c>
      <c r="C194" s="17" t="s">
        <v>1097</v>
      </c>
      <c r="D194" s="17" t="s">
        <v>30</v>
      </c>
      <c r="E194" s="17" t="s">
        <v>107</v>
      </c>
      <c r="F194" s="87">
        <v>9000.0</v>
      </c>
      <c r="G194" s="100">
        <v>1125000.0</v>
      </c>
      <c r="H194" s="17" t="s">
        <v>42</v>
      </c>
      <c r="I194" s="100">
        <v>640000.0</v>
      </c>
      <c r="J194" s="17" t="s">
        <v>42</v>
      </c>
      <c r="K194" s="100">
        <f t="shared" ref="K194:K214" si="21">G194-I194</f>
        <v>485000</v>
      </c>
      <c r="L194" s="100"/>
    </row>
    <row r="195" ht="15.75" customHeight="1">
      <c r="A195" s="17" t="s">
        <v>430</v>
      </c>
      <c r="B195" s="17" t="s">
        <v>390</v>
      </c>
      <c r="C195" s="17" t="s">
        <v>1097</v>
      </c>
      <c r="D195" s="17" t="s">
        <v>71</v>
      </c>
      <c r="E195" s="17" t="s">
        <v>161</v>
      </c>
      <c r="F195" s="87">
        <v>9000.0</v>
      </c>
      <c r="G195" s="100">
        <v>1215000.0</v>
      </c>
      <c r="H195" s="58" t="s">
        <v>44</v>
      </c>
      <c r="I195" s="100">
        <v>700000.0</v>
      </c>
      <c r="J195" s="17" t="s">
        <v>42</v>
      </c>
      <c r="K195" s="100">
        <f t="shared" si="21"/>
        <v>515000</v>
      </c>
      <c r="L195" s="100"/>
    </row>
    <row r="196" ht="15.75" customHeight="1">
      <c r="A196" s="17" t="s">
        <v>431</v>
      </c>
      <c r="B196" s="17" t="s">
        <v>390</v>
      </c>
      <c r="C196" s="17" t="s">
        <v>1097</v>
      </c>
      <c r="D196" s="17" t="s">
        <v>37</v>
      </c>
      <c r="E196" s="17" t="s">
        <v>108</v>
      </c>
      <c r="F196" s="87">
        <v>9000.0</v>
      </c>
      <c r="G196" s="100">
        <v>810000.0</v>
      </c>
      <c r="H196" s="17" t="s">
        <v>42</v>
      </c>
      <c r="I196" s="100">
        <v>450000.0</v>
      </c>
      <c r="J196" s="17" t="s">
        <v>42</v>
      </c>
      <c r="K196" s="100">
        <f t="shared" si="21"/>
        <v>360000</v>
      </c>
      <c r="L196" s="100"/>
    </row>
    <row r="197" ht="15.75" customHeight="1">
      <c r="A197" s="17" t="s">
        <v>431</v>
      </c>
      <c r="B197" s="17" t="s">
        <v>390</v>
      </c>
      <c r="C197" s="17" t="s">
        <v>1097</v>
      </c>
      <c r="D197" s="17" t="s">
        <v>37</v>
      </c>
      <c r="E197" s="17" t="s">
        <v>43</v>
      </c>
      <c r="F197" s="87">
        <v>9000.0</v>
      </c>
      <c r="G197" s="100">
        <v>1350000.0</v>
      </c>
      <c r="H197" s="17" t="s">
        <v>42</v>
      </c>
      <c r="I197" s="100">
        <v>800000.0</v>
      </c>
      <c r="J197" s="17" t="s">
        <v>42</v>
      </c>
      <c r="K197" s="100">
        <f t="shared" si="21"/>
        <v>550000</v>
      </c>
      <c r="L197" s="100">
        <v>204000.0</v>
      </c>
    </row>
    <row r="198" ht="15.75" customHeight="1">
      <c r="A198" s="17" t="s">
        <v>432</v>
      </c>
      <c r="B198" s="17" t="s">
        <v>390</v>
      </c>
      <c r="C198" s="17" t="s">
        <v>1097</v>
      </c>
      <c r="D198" s="17" t="s">
        <v>71</v>
      </c>
      <c r="E198" s="17" t="s">
        <v>59</v>
      </c>
      <c r="F198" s="87">
        <v>9000.0</v>
      </c>
      <c r="G198" s="100">
        <v>900000.0</v>
      </c>
      <c r="H198" s="58" t="s">
        <v>44</v>
      </c>
      <c r="I198" s="100">
        <v>350000.0</v>
      </c>
      <c r="J198" s="17" t="s">
        <v>42</v>
      </c>
      <c r="K198" s="100">
        <f t="shared" si="21"/>
        <v>550000</v>
      </c>
      <c r="L198" s="100"/>
    </row>
    <row r="199" ht="15.75" customHeight="1">
      <c r="A199" s="17" t="s">
        <v>432</v>
      </c>
      <c r="B199" s="17" t="s">
        <v>390</v>
      </c>
      <c r="C199" s="17" t="s">
        <v>1097</v>
      </c>
      <c r="D199" s="17" t="s">
        <v>30</v>
      </c>
      <c r="E199" s="17" t="s">
        <v>1120</v>
      </c>
      <c r="F199" s="87">
        <v>9000.0</v>
      </c>
      <c r="G199" s="100">
        <v>700000.0</v>
      </c>
      <c r="H199" s="17" t="s">
        <v>44</v>
      </c>
      <c r="I199" s="100">
        <v>375000.0</v>
      </c>
      <c r="J199" s="17" t="s">
        <v>42</v>
      </c>
      <c r="K199" s="100">
        <f t="shared" si="21"/>
        <v>325000</v>
      </c>
      <c r="L199" s="100"/>
    </row>
    <row r="200" ht="15.75" customHeight="1">
      <c r="A200" s="17" t="s">
        <v>433</v>
      </c>
      <c r="B200" s="17" t="s">
        <v>390</v>
      </c>
      <c r="C200" s="17" t="s">
        <v>1097</v>
      </c>
      <c r="D200" s="17" t="s">
        <v>30</v>
      </c>
      <c r="E200" s="17" t="s">
        <v>1051</v>
      </c>
      <c r="F200" s="87">
        <v>9000.0</v>
      </c>
      <c r="G200" s="100">
        <v>900000.0</v>
      </c>
      <c r="H200" s="17" t="s">
        <v>44</v>
      </c>
      <c r="I200" s="100">
        <v>500000.0</v>
      </c>
      <c r="J200" s="17" t="s">
        <v>44</v>
      </c>
      <c r="K200" s="100">
        <f t="shared" si="21"/>
        <v>400000</v>
      </c>
      <c r="L200" s="100">
        <v>225000.0</v>
      </c>
      <c r="N200" s="240" t="s">
        <v>24</v>
      </c>
    </row>
    <row r="201" ht="15.75" customHeight="1">
      <c r="A201" s="17" t="s">
        <v>607</v>
      </c>
      <c r="B201" s="17" t="s">
        <v>390</v>
      </c>
      <c r="C201" s="17" t="s">
        <v>1097</v>
      </c>
      <c r="D201" s="17" t="s">
        <v>96</v>
      </c>
      <c r="E201" s="17" t="s">
        <v>161</v>
      </c>
      <c r="F201" s="87">
        <v>9000.0</v>
      </c>
      <c r="G201" s="100">
        <v>1215000.0</v>
      </c>
      <c r="H201" s="17" t="s">
        <v>44</v>
      </c>
      <c r="I201" s="100">
        <v>700000.0</v>
      </c>
      <c r="J201" s="17" t="s">
        <v>44</v>
      </c>
      <c r="K201" s="100">
        <f t="shared" si="21"/>
        <v>515000</v>
      </c>
      <c r="L201" s="100"/>
    </row>
    <row r="202" ht="15.75" customHeight="1">
      <c r="A202" s="17" t="s">
        <v>608</v>
      </c>
      <c r="B202" s="17" t="s">
        <v>390</v>
      </c>
      <c r="C202" s="17" t="s">
        <v>1097</v>
      </c>
      <c r="D202" s="17" t="s">
        <v>1121</v>
      </c>
      <c r="E202" s="17" t="s">
        <v>161</v>
      </c>
      <c r="F202" s="87">
        <v>9000.0</v>
      </c>
      <c r="G202" s="100">
        <v>1215000.0</v>
      </c>
      <c r="H202" s="17" t="s">
        <v>44</v>
      </c>
      <c r="I202" s="100">
        <v>700000.0</v>
      </c>
      <c r="J202" s="17" t="s">
        <v>44</v>
      </c>
      <c r="K202" s="100">
        <f t="shared" si="21"/>
        <v>515000</v>
      </c>
      <c r="L202" s="100"/>
    </row>
    <row r="203" ht="15.75" customHeight="1">
      <c r="A203" s="17" t="s">
        <v>609</v>
      </c>
      <c r="B203" s="17" t="s">
        <v>390</v>
      </c>
      <c r="C203" s="17" t="s">
        <v>1097</v>
      </c>
      <c r="D203" s="17" t="s">
        <v>1122</v>
      </c>
      <c r="E203" s="17" t="s">
        <v>1123</v>
      </c>
      <c r="F203" s="87">
        <v>9000.0</v>
      </c>
      <c r="G203" s="100">
        <v>700000.0</v>
      </c>
      <c r="H203" s="17" t="s">
        <v>44</v>
      </c>
      <c r="I203" s="100">
        <v>450000.0</v>
      </c>
      <c r="J203" s="17" t="s">
        <v>42</v>
      </c>
      <c r="K203" s="100">
        <f t="shared" si="21"/>
        <v>250000</v>
      </c>
      <c r="L203" s="100"/>
      <c r="M203" s="174"/>
    </row>
    <row r="204" ht="15.75" customHeight="1">
      <c r="A204" s="17" t="s">
        <v>610</v>
      </c>
      <c r="B204" s="17" t="s">
        <v>390</v>
      </c>
      <c r="C204" s="17" t="s">
        <v>1097</v>
      </c>
      <c r="D204" s="17" t="s">
        <v>96</v>
      </c>
      <c r="E204" s="17" t="s">
        <v>41</v>
      </c>
      <c r="F204" s="87">
        <v>9000.0</v>
      </c>
      <c r="G204" s="100">
        <v>1450000.0</v>
      </c>
      <c r="H204" s="17" t="s">
        <v>42</v>
      </c>
      <c r="I204" s="100">
        <v>900000.0</v>
      </c>
      <c r="J204" s="17" t="s">
        <v>44</v>
      </c>
      <c r="K204" s="100">
        <f t="shared" si="21"/>
        <v>550000</v>
      </c>
      <c r="L204" s="100"/>
    </row>
    <row r="205" ht="15.75" customHeight="1">
      <c r="A205" s="17" t="s">
        <v>611</v>
      </c>
      <c r="B205" s="17" t="s">
        <v>390</v>
      </c>
      <c r="C205" s="17" t="s">
        <v>1097</v>
      </c>
      <c r="D205" s="17" t="s">
        <v>96</v>
      </c>
      <c r="E205" s="17" t="s">
        <v>107</v>
      </c>
      <c r="F205" s="87">
        <v>9000.0</v>
      </c>
      <c r="G205" s="100">
        <v>1125000.0</v>
      </c>
      <c r="H205" s="17" t="s">
        <v>42</v>
      </c>
      <c r="I205" s="100">
        <v>640000.0</v>
      </c>
      <c r="J205" s="17" t="s">
        <v>42</v>
      </c>
      <c r="K205" s="100">
        <f t="shared" si="21"/>
        <v>485000</v>
      </c>
      <c r="L205" s="100"/>
    </row>
    <row r="206" ht="15.75" customHeight="1">
      <c r="A206" s="17" t="s">
        <v>442</v>
      </c>
      <c r="B206" s="17" t="s">
        <v>390</v>
      </c>
      <c r="C206" s="17" t="s">
        <v>1097</v>
      </c>
      <c r="D206" s="17" t="s">
        <v>383</v>
      </c>
      <c r="E206" s="17" t="s">
        <v>959</v>
      </c>
      <c r="F206" s="87">
        <v>9000.0</v>
      </c>
      <c r="G206" s="100">
        <v>720000.0</v>
      </c>
      <c r="H206" s="17" t="s">
        <v>42</v>
      </c>
      <c r="I206" s="100">
        <v>350000.0</v>
      </c>
      <c r="J206" s="17" t="s">
        <v>42</v>
      </c>
      <c r="K206" s="100">
        <f t="shared" si="21"/>
        <v>370000</v>
      </c>
      <c r="L206" s="100"/>
    </row>
    <row r="207" ht="15.75" customHeight="1">
      <c r="A207" s="17" t="s">
        <v>443</v>
      </c>
      <c r="B207" s="17" t="s">
        <v>390</v>
      </c>
      <c r="C207" s="17" t="s">
        <v>1097</v>
      </c>
      <c r="D207" s="17" t="s">
        <v>30</v>
      </c>
      <c r="E207" s="17" t="s">
        <v>765</v>
      </c>
      <c r="F207" s="87">
        <v>9000.0</v>
      </c>
      <c r="G207" s="100">
        <v>900000.0</v>
      </c>
      <c r="H207" s="17" t="s">
        <v>42</v>
      </c>
      <c r="I207" s="100">
        <v>500000.0</v>
      </c>
      <c r="J207" s="17" t="s">
        <v>42</v>
      </c>
      <c r="K207" s="100">
        <f t="shared" si="21"/>
        <v>400000</v>
      </c>
      <c r="L207" s="100"/>
    </row>
    <row r="208" ht="15.75" customHeight="1">
      <c r="A208" s="17" t="s">
        <v>1124</v>
      </c>
      <c r="B208" s="17" t="s">
        <v>390</v>
      </c>
      <c r="C208" s="17" t="s">
        <v>1097</v>
      </c>
      <c r="D208" s="17" t="s">
        <v>1125</v>
      </c>
      <c r="E208" s="17" t="s">
        <v>1126</v>
      </c>
      <c r="F208" s="87">
        <v>8000.0</v>
      </c>
      <c r="G208" s="100">
        <v>1600000.0</v>
      </c>
      <c r="H208" s="17" t="s">
        <v>44</v>
      </c>
      <c r="I208" s="100">
        <v>700000.0</v>
      </c>
      <c r="J208" s="17" t="s">
        <v>42</v>
      </c>
      <c r="K208" s="100">
        <f t="shared" si="21"/>
        <v>900000</v>
      </c>
      <c r="L208" s="100"/>
      <c r="M208" s="240" t="s">
        <v>1127</v>
      </c>
    </row>
    <row r="209" ht="15.75" customHeight="1">
      <c r="A209" s="17" t="s">
        <v>617</v>
      </c>
      <c r="B209" s="17" t="s">
        <v>390</v>
      </c>
      <c r="C209" s="17" t="s">
        <v>1097</v>
      </c>
      <c r="D209" s="17" t="s">
        <v>85</v>
      </c>
      <c r="E209" s="17" t="s">
        <v>474</v>
      </c>
      <c r="F209" s="87">
        <v>9000.0</v>
      </c>
      <c r="G209" s="100">
        <v>675000.0</v>
      </c>
      <c r="H209" s="17" t="s">
        <v>42</v>
      </c>
      <c r="I209" s="100">
        <v>350000.0</v>
      </c>
      <c r="J209" s="17" t="s">
        <v>42</v>
      </c>
      <c r="K209" s="100">
        <f t="shared" si="21"/>
        <v>325000</v>
      </c>
      <c r="L209" s="100"/>
    </row>
    <row r="210" ht="15.75" customHeight="1">
      <c r="A210" s="17" t="s">
        <v>618</v>
      </c>
      <c r="B210" s="17" t="s">
        <v>390</v>
      </c>
      <c r="C210" s="17" t="s">
        <v>1097</v>
      </c>
      <c r="D210" s="17" t="s">
        <v>37</v>
      </c>
      <c r="E210" s="17" t="s">
        <v>474</v>
      </c>
      <c r="F210" s="87">
        <v>9500.0</v>
      </c>
      <c r="G210" s="100">
        <v>715000.0</v>
      </c>
      <c r="H210" s="17" t="s">
        <v>42</v>
      </c>
      <c r="I210" s="100">
        <v>360000.0</v>
      </c>
      <c r="J210" s="17" t="s">
        <v>42</v>
      </c>
      <c r="K210" s="100">
        <f t="shared" si="21"/>
        <v>355000</v>
      </c>
      <c r="L210" s="100">
        <v>585000.0</v>
      </c>
    </row>
    <row r="211" ht="15.75" customHeight="1">
      <c r="A211" s="17" t="s">
        <v>619</v>
      </c>
      <c r="B211" s="17" t="s">
        <v>390</v>
      </c>
      <c r="C211" s="17" t="s">
        <v>1097</v>
      </c>
      <c r="D211" s="17" t="s">
        <v>383</v>
      </c>
      <c r="E211" s="17" t="s">
        <v>959</v>
      </c>
      <c r="F211" s="87">
        <v>9000.0</v>
      </c>
      <c r="G211" s="100">
        <v>720000.0</v>
      </c>
      <c r="H211" s="17" t="s">
        <v>42</v>
      </c>
      <c r="I211" s="100">
        <v>350000.0</v>
      </c>
      <c r="J211" s="17" t="s">
        <v>42</v>
      </c>
      <c r="K211" s="100">
        <f t="shared" si="21"/>
        <v>370000</v>
      </c>
      <c r="L211" s="100"/>
    </row>
    <row r="212" ht="15.75" customHeight="1">
      <c r="A212" s="17" t="s">
        <v>621</v>
      </c>
      <c r="B212" s="17" t="s">
        <v>390</v>
      </c>
      <c r="C212" s="17" t="s">
        <v>1097</v>
      </c>
      <c r="D212" s="17" t="s">
        <v>96</v>
      </c>
      <c r="E212" s="17" t="s">
        <v>108</v>
      </c>
      <c r="F212" s="87">
        <v>10000.0</v>
      </c>
      <c r="G212" s="100">
        <v>900000.0</v>
      </c>
      <c r="H212" s="17" t="s">
        <v>44</v>
      </c>
      <c r="I212" s="100">
        <v>500000.0</v>
      </c>
      <c r="J212" s="17" t="s">
        <v>42</v>
      </c>
      <c r="K212" s="100">
        <f t="shared" si="21"/>
        <v>400000</v>
      </c>
      <c r="L212" s="100">
        <v>25000.0</v>
      </c>
    </row>
    <row r="213" ht="15.75" customHeight="1">
      <c r="A213" s="17" t="s">
        <v>622</v>
      </c>
      <c r="B213" s="17" t="s">
        <v>390</v>
      </c>
      <c r="C213" s="17" t="s">
        <v>1097</v>
      </c>
      <c r="D213" s="17" t="s">
        <v>383</v>
      </c>
      <c r="E213" s="17" t="s">
        <v>107</v>
      </c>
      <c r="F213" s="87">
        <v>10000.0</v>
      </c>
      <c r="G213" s="100">
        <v>1250000.0</v>
      </c>
      <c r="H213" s="17" t="s">
        <v>42</v>
      </c>
      <c r="I213" s="100">
        <v>690000.0</v>
      </c>
      <c r="J213" s="17" t="s">
        <v>42</v>
      </c>
      <c r="K213" s="100">
        <f t="shared" si="21"/>
        <v>560000</v>
      </c>
      <c r="L213" s="100"/>
      <c r="M213" s="174"/>
      <c r="N213" s="174"/>
    </row>
    <row r="214" ht="15.75" customHeight="1">
      <c r="A214" s="17" t="s">
        <v>1128</v>
      </c>
      <c r="B214" s="17" t="s">
        <v>390</v>
      </c>
      <c r="C214" s="17" t="s">
        <v>1097</v>
      </c>
      <c r="D214" s="17" t="s">
        <v>383</v>
      </c>
      <c r="E214" s="17" t="s">
        <v>1120</v>
      </c>
      <c r="F214" s="87">
        <v>9000.0</v>
      </c>
      <c r="G214" s="100">
        <v>700000.0</v>
      </c>
      <c r="H214" s="17" t="s">
        <v>42</v>
      </c>
      <c r="I214" s="100">
        <v>375000.0</v>
      </c>
      <c r="J214" s="17" t="s">
        <v>42</v>
      </c>
      <c r="K214" s="100">
        <f t="shared" si="21"/>
        <v>325000</v>
      </c>
      <c r="L214" s="100"/>
    </row>
    <row r="215" ht="15.75" customHeight="1">
      <c r="A215" s="17"/>
      <c r="B215" s="17"/>
      <c r="C215" s="17"/>
      <c r="D215" s="17"/>
      <c r="E215" s="17"/>
      <c r="F215" s="7"/>
      <c r="G215" s="7"/>
      <c r="H215" s="7"/>
      <c r="I215" s="7"/>
      <c r="J215" s="7"/>
      <c r="K215" s="52">
        <f t="shared" ref="K215:L215" si="22">SUM(K192:K214)</f>
        <v>9505000</v>
      </c>
      <c r="L215" s="30">
        <f t="shared" si="22"/>
        <v>1039000</v>
      </c>
    </row>
    <row r="216" ht="15.75" customHeight="1">
      <c r="A216" s="17"/>
      <c r="B216" s="17"/>
      <c r="C216" s="17"/>
      <c r="D216" s="17"/>
      <c r="E216" s="17"/>
      <c r="F216" s="7"/>
      <c r="G216" s="7"/>
      <c r="H216" s="7"/>
      <c r="I216" s="7"/>
      <c r="J216" s="7"/>
      <c r="K216" s="33">
        <f>K215-L215</f>
        <v>8466000</v>
      </c>
      <c r="L216" s="202"/>
    </row>
    <row r="217" ht="15.75" customHeight="1">
      <c r="A217" s="17"/>
      <c r="B217" s="17"/>
      <c r="C217" s="17"/>
      <c r="D217" s="17"/>
      <c r="E217" s="17"/>
      <c r="F217" s="7"/>
      <c r="G217" s="7"/>
      <c r="H217" s="7"/>
      <c r="I217" s="7"/>
      <c r="J217" s="7"/>
      <c r="K217" s="7"/>
      <c r="L217" s="7"/>
    </row>
    <row r="218" ht="24.0" customHeight="1">
      <c r="A218" s="89" t="s">
        <v>0</v>
      </c>
      <c r="B218" s="89" t="s">
        <v>1</v>
      </c>
      <c r="C218" s="89" t="s">
        <v>2</v>
      </c>
      <c r="D218" s="90" t="s">
        <v>3</v>
      </c>
      <c r="E218" s="89" t="s">
        <v>4</v>
      </c>
      <c r="F218" s="91" t="s">
        <v>5</v>
      </c>
      <c r="G218" s="92" t="s">
        <v>6</v>
      </c>
      <c r="H218" s="92" t="s">
        <v>39</v>
      </c>
      <c r="I218" s="91" t="s">
        <v>7</v>
      </c>
      <c r="J218" s="91" t="s">
        <v>39</v>
      </c>
      <c r="K218" s="92" t="s">
        <v>8</v>
      </c>
      <c r="L218" s="92" t="s">
        <v>9</v>
      </c>
    </row>
    <row r="219" ht="15.75" customHeight="1">
      <c r="A219" s="17" t="s">
        <v>139</v>
      </c>
      <c r="B219" s="17" t="s">
        <v>390</v>
      </c>
      <c r="C219" s="17" t="s">
        <v>1097</v>
      </c>
      <c r="D219" s="17" t="s">
        <v>45</v>
      </c>
      <c r="E219" s="17" t="s">
        <v>103</v>
      </c>
      <c r="F219" s="87">
        <v>9000.0</v>
      </c>
      <c r="G219" s="100">
        <v>675000.0</v>
      </c>
      <c r="H219" s="58" t="s">
        <v>44</v>
      </c>
      <c r="I219" s="100">
        <v>375000.0</v>
      </c>
      <c r="J219" s="17" t="s">
        <v>42</v>
      </c>
      <c r="K219" s="100">
        <f t="shared" ref="K219:K242" si="23">G219-I219</f>
        <v>300000</v>
      </c>
      <c r="L219" s="7"/>
    </row>
    <row r="220" ht="15.75" customHeight="1">
      <c r="A220" s="17" t="s">
        <v>141</v>
      </c>
      <c r="B220" s="17" t="s">
        <v>390</v>
      </c>
      <c r="C220" s="17" t="s">
        <v>1097</v>
      </c>
      <c r="D220" s="17" t="s">
        <v>45</v>
      </c>
      <c r="E220" s="17" t="s">
        <v>1129</v>
      </c>
      <c r="F220" s="87">
        <v>9000.0</v>
      </c>
      <c r="G220" s="100">
        <v>900000.0</v>
      </c>
      <c r="H220" s="17" t="s">
        <v>42</v>
      </c>
      <c r="I220" s="100">
        <v>550000.0</v>
      </c>
      <c r="J220" s="17" t="s">
        <v>42</v>
      </c>
      <c r="K220" s="100">
        <f t="shared" si="23"/>
        <v>350000</v>
      </c>
      <c r="L220" s="7"/>
    </row>
    <row r="221" ht="15.75" customHeight="1">
      <c r="A221" s="17" t="s">
        <v>815</v>
      </c>
      <c r="B221" s="17" t="s">
        <v>390</v>
      </c>
      <c r="C221" s="17" t="s">
        <v>1097</v>
      </c>
      <c r="D221" s="17" t="s">
        <v>45</v>
      </c>
      <c r="E221" s="17" t="s">
        <v>1130</v>
      </c>
      <c r="F221" s="87">
        <v>9000.0</v>
      </c>
      <c r="G221" s="100">
        <v>1450000.0</v>
      </c>
      <c r="H221" s="17" t="s">
        <v>42</v>
      </c>
      <c r="I221" s="100">
        <v>950000.0</v>
      </c>
      <c r="J221" s="17" t="s">
        <v>42</v>
      </c>
      <c r="K221" s="100">
        <f t="shared" si="23"/>
        <v>500000</v>
      </c>
      <c r="L221" s="7"/>
    </row>
    <row r="222" ht="15.75" customHeight="1">
      <c r="A222" s="17" t="s">
        <v>143</v>
      </c>
      <c r="B222" s="17" t="s">
        <v>390</v>
      </c>
      <c r="C222" s="17" t="s">
        <v>1097</v>
      </c>
      <c r="D222" s="17" t="s">
        <v>45</v>
      </c>
      <c r="E222" s="17" t="s">
        <v>103</v>
      </c>
      <c r="F222" s="87">
        <v>9000.0</v>
      </c>
      <c r="G222" s="100">
        <v>675000.0</v>
      </c>
      <c r="H222" s="58" t="s">
        <v>44</v>
      </c>
      <c r="I222" s="100">
        <v>425000.0</v>
      </c>
      <c r="J222" s="17" t="s">
        <v>42</v>
      </c>
      <c r="K222" s="100">
        <f t="shared" si="23"/>
        <v>250000</v>
      </c>
      <c r="L222" s="7"/>
    </row>
    <row r="223" ht="15.75" customHeight="1">
      <c r="A223" s="17" t="s">
        <v>144</v>
      </c>
      <c r="B223" s="17" t="s">
        <v>390</v>
      </c>
      <c r="C223" s="17" t="s">
        <v>1097</v>
      </c>
      <c r="D223" s="17" t="s">
        <v>45</v>
      </c>
      <c r="E223" s="17" t="s">
        <v>763</v>
      </c>
      <c r="F223" s="87">
        <v>9000.0</v>
      </c>
      <c r="G223" s="100">
        <v>1400000.0</v>
      </c>
      <c r="H223" s="17" t="s">
        <v>42</v>
      </c>
      <c r="I223" s="100">
        <v>900000.0</v>
      </c>
      <c r="J223" s="17" t="s">
        <v>42</v>
      </c>
      <c r="K223" s="100">
        <f t="shared" si="23"/>
        <v>500000</v>
      </c>
      <c r="L223" s="7"/>
      <c r="M223" s="22" t="s">
        <v>1131</v>
      </c>
      <c r="N223" s="22"/>
      <c r="O223" s="22"/>
    </row>
    <row r="224" ht="15.75" customHeight="1">
      <c r="A224" s="17" t="s">
        <v>740</v>
      </c>
      <c r="B224" s="17" t="s">
        <v>390</v>
      </c>
      <c r="C224" s="17" t="s">
        <v>1097</v>
      </c>
      <c r="D224" s="17" t="s">
        <v>45</v>
      </c>
      <c r="E224" s="17" t="s">
        <v>1132</v>
      </c>
      <c r="F224" s="87">
        <v>9000.0</v>
      </c>
      <c r="G224" s="100">
        <v>810000.0</v>
      </c>
      <c r="H224" s="58" t="s">
        <v>44</v>
      </c>
      <c r="I224" s="100">
        <v>500000.0</v>
      </c>
      <c r="J224" s="17" t="s">
        <v>42</v>
      </c>
      <c r="K224" s="100">
        <f t="shared" si="23"/>
        <v>310000</v>
      </c>
      <c r="L224" s="7"/>
      <c r="M224" s="22" t="s">
        <v>1133</v>
      </c>
    </row>
    <row r="225" ht="15.75" customHeight="1">
      <c r="A225" s="17" t="s">
        <v>741</v>
      </c>
      <c r="B225" s="17" t="s">
        <v>390</v>
      </c>
      <c r="C225" s="17" t="s">
        <v>1097</v>
      </c>
      <c r="D225" s="17" t="s">
        <v>45</v>
      </c>
      <c r="E225" s="17" t="s">
        <v>763</v>
      </c>
      <c r="F225" s="87">
        <v>9000.0</v>
      </c>
      <c r="G225" s="100">
        <v>1400000.0</v>
      </c>
      <c r="H225" s="17" t="s">
        <v>42</v>
      </c>
      <c r="I225" s="100">
        <v>900000.0</v>
      </c>
      <c r="J225" s="17" t="s">
        <v>42</v>
      </c>
      <c r="K225" s="100">
        <f t="shared" si="23"/>
        <v>500000</v>
      </c>
      <c r="L225" s="100">
        <v>570000.0</v>
      </c>
    </row>
    <row r="226" ht="15.75" customHeight="1">
      <c r="A226" s="17" t="s">
        <v>742</v>
      </c>
      <c r="B226" s="17" t="s">
        <v>390</v>
      </c>
      <c r="C226" s="17" t="s">
        <v>1097</v>
      </c>
      <c r="D226" s="17"/>
      <c r="E226" s="17"/>
      <c r="F226" s="7"/>
      <c r="G226" s="100"/>
      <c r="H226" s="100"/>
      <c r="I226" s="100"/>
      <c r="J226" s="100"/>
      <c r="K226" s="100">
        <f t="shared" si="23"/>
        <v>0</v>
      </c>
      <c r="L226" s="100">
        <v>4150000.0</v>
      </c>
    </row>
    <row r="227" ht="15.75" customHeight="1">
      <c r="A227" s="17" t="s">
        <v>743</v>
      </c>
      <c r="B227" s="17" t="s">
        <v>390</v>
      </c>
      <c r="C227" s="17" t="s">
        <v>1097</v>
      </c>
      <c r="D227" s="17" t="s">
        <v>45</v>
      </c>
      <c r="E227" s="17" t="s">
        <v>1130</v>
      </c>
      <c r="F227" s="87">
        <v>9000.0</v>
      </c>
      <c r="G227" s="100">
        <v>1450000.0</v>
      </c>
      <c r="H227" s="17" t="s">
        <v>42</v>
      </c>
      <c r="I227" s="100">
        <v>950000.0</v>
      </c>
      <c r="J227" s="17" t="s">
        <v>42</v>
      </c>
      <c r="K227" s="100">
        <f t="shared" si="23"/>
        <v>500000</v>
      </c>
      <c r="L227" s="100">
        <v>710000.0</v>
      </c>
    </row>
    <row r="228" ht="15.75" customHeight="1">
      <c r="A228" s="17" t="s">
        <v>1134</v>
      </c>
      <c r="B228" s="17" t="s">
        <v>390</v>
      </c>
      <c r="C228" s="17" t="s">
        <v>1097</v>
      </c>
      <c r="D228" s="17" t="s">
        <v>45</v>
      </c>
      <c r="E228" s="17" t="s">
        <v>161</v>
      </c>
      <c r="F228" s="87">
        <v>9000.0</v>
      </c>
      <c r="G228" s="100">
        <v>1215000.0</v>
      </c>
      <c r="H228" s="17" t="s">
        <v>44</v>
      </c>
      <c r="I228" s="100">
        <v>750000.0</v>
      </c>
      <c r="J228" s="17" t="s">
        <v>42</v>
      </c>
      <c r="K228" s="100">
        <f t="shared" si="23"/>
        <v>465000</v>
      </c>
      <c r="L228" s="7"/>
    </row>
    <row r="229" ht="14.25" customHeight="1">
      <c r="A229" s="17" t="s">
        <v>744</v>
      </c>
      <c r="B229" s="17" t="s">
        <v>390</v>
      </c>
      <c r="C229" s="17" t="s">
        <v>1097</v>
      </c>
      <c r="D229" s="17" t="s">
        <v>40</v>
      </c>
      <c r="E229" s="17" t="s">
        <v>108</v>
      </c>
      <c r="F229" s="87">
        <v>10000.0</v>
      </c>
      <c r="G229" s="100">
        <v>900000.0</v>
      </c>
      <c r="H229" s="17" t="s">
        <v>44</v>
      </c>
      <c r="I229" s="100">
        <v>500000.0</v>
      </c>
      <c r="J229" s="17" t="s">
        <v>42</v>
      </c>
      <c r="K229" s="100">
        <f t="shared" si="23"/>
        <v>400000</v>
      </c>
      <c r="L229" s="7"/>
    </row>
    <row r="230" ht="15.75" customHeight="1">
      <c r="A230" s="17" t="s">
        <v>153</v>
      </c>
      <c r="B230" s="17" t="s">
        <v>390</v>
      </c>
      <c r="C230" s="17" t="s">
        <v>1097</v>
      </c>
      <c r="D230" s="17" t="s">
        <v>40</v>
      </c>
      <c r="E230" s="17" t="s">
        <v>76</v>
      </c>
      <c r="F230" s="87">
        <v>9000.0</v>
      </c>
      <c r="G230" s="100">
        <v>1350000.0</v>
      </c>
      <c r="H230" s="17" t="s">
        <v>42</v>
      </c>
      <c r="I230" s="100">
        <v>875000.0</v>
      </c>
      <c r="J230" s="17" t="s">
        <v>42</v>
      </c>
      <c r="K230" s="100">
        <f t="shared" si="23"/>
        <v>475000</v>
      </c>
      <c r="L230" s="7"/>
      <c r="M230" s="168"/>
    </row>
    <row r="231" ht="15.75" customHeight="1">
      <c r="A231" s="17" t="s">
        <v>459</v>
      </c>
      <c r="B231" s="17" t="s">
        <v>390</v>
      </c>
      <c r="C231" s="17" t="s">
        <v>1097</v>
      </c>
      <c r="D231" s="17" t="s">
        <v>92</v>
      </c>
      <c r="E231" s="17" t="s">
        <v>623</v>
      </c>
      <c r="F231" s="87">
        <v>9000.0</v>
      </c>
      <c r="G231" s="100">
        <v>765000.0</v>
      </c>
      <c r="H231" s="17" t="s">
        <v>44</v>
      </c>
      <c r="I231" s="100">
        <v>400000.0</v>
      </c>
      <c r="J231" s="17" t="s">
        <v>42</v>
      </c>
      <c r="K231" s="100">
        <f t="shared" si="23"/>
        <v>365000</v>
      </c>
      <c r="L231" s="7"/>
    </row>
    <row r="232" ht="15.75" customHeight="1">
      <c r="A232" s="17" t="s">
        <v>460</v>
      </c>
      <c r="B232" s="17" t="s">
        <v>390</v>
      </c>
      <c r="C232" s="17" t="s">
        <v>1097</v>
      </c>
      <c r="D232" s="17" t="s">
        <v>45</v>
      </c>
      <c r="E232" s="17" t="s">
        <v>763</v>
      </c>
      <c r="F232" s="87">
        <v>9000.0</v>
      </c>
      <c r="G232" s="100">
        <v>1400000.0</v>
      </c>
      <c r="H232" s="17" t="s">
        <v>42</v>
      </c>
      <c r="I232" s="100">
        <v>950000.0</v>
      </c>
      <c r="J232" s="17" t="s">
        <v>42</v>
      </c>
      <c r="K232" s="100">
        <f t="shared" si="23"/>
        <v>450000</v>
      </c>
      <c r="L232" s="7"/>
      <c r="M232" s="174"/>
    </row>
    <row r="233" ht="15.75" customHeight="1">
      <c r="A233" s="17" t="s">
        <v>155</v>
      </c>
      <c r="B233" s="17" t="s">
        <v>390</v>
      </c>
      <c r="C233" s="17" t="s">
        <v>1097</v>
      </c>
      <c r="D233" s="17" t="s">
        <v>45</v>
      </c>
      <c r="E233" s="17" t="s">
        <v>763</v>
      </c>
      <c r="F233" s="87">
        <v>9000.0</v>
      </c>
      <c r="G233" s="100">
        <v>1400000.0</v>
      </c>
      <c r="H233" s="17" t="s">
        <v>42</v>
      </c>
      <c r="I233" s="100">
        <v>950000.0</v>
      </c>
      <c r="J233" s="17" t="s">
        <v>42</v>
      </c>
      <c r="K233" s="100">
        <f t="shared" si="23"/>
        <v>450000</v>
      </c>
      <c r="L233" s="100">
        <v>1140000.0</v>
      </c>
    </row>
    <row r="234" ht="15.75" customHeight="1">
      <c r="A234" s="17" t="s">
        <v>156</v>
      </c>
      <c r="B234" s="17" t="s">
        <v>390</v>
      </c>
      <c r="C234" s="17" t="s">
        <v>1097</v>
      </c>
      <c r="D234" s="17" t="s">
        <v>45</v>
      </c>
      <c r="E234" s="17" t="s">
        <v>103</v>
      </c>
      <c r="F234" s="87">
        <v>9000.0</v>
      </c>
      <c r="G234" s="100">
        <v>675000.0</v>
      </c>
      <c r="H234" s="17" t="s">
        <v>44</v>
      </c>
      <c r="I234" s="100">
        <v>425000.0</v>
      </c>
      <c r="J234" s="17" t="s">
        <v>42</v>
      </c>
      <c r="K234" s="100">
        <f t="shared" si="23"/>
        <v>250000</v>
      </c>
      <c r="L234" s="7"/>
    </row>
    <row r="235" ht="15.75" customHeight="1">
      <c r="A235" s="17" t="s">
        <v>158</v>
      </c>
      <c r="B235" s="17" t="s">
        <v>390</v>
      </c>
      <c r="C235" s="17" t="s">
        <v>1097</v>
      </c>
      <c r="D235" s="17" t="s">
        <v>45</v>
      </c>
      <c r="E235" s="17" t="s">
        <v>1135</v>
      </c>
      <c r="F235" s="87">
        <v>9000.0</v>
      </c>
      <c r="G235" s="100">
        <v>700000.0</v>
      </c>
      <c r="H235" s="17" t="s">
        <v>42</v>
      </c>
      <c r="I235" s="100">
        <v>450000.0</v>
      </c>
      <c r="J235" s="17" t="s">
        <v>42</v>
      </c>
      <c r="K235" s="100">
        <f t="shared" si="23"/>
        <v>250000</v>
      </c>
      <c r="L235" s="100">
        <v>50000.0</v>
      </c>
    </row>
    <row r="236" ht="15.75" customHeight="1">
      <c r="A236" s="17" t="s">
        <v>159</v>
      </c>
      <c r="B236" s="17" t="s">
        <v>390</v>
      </c>
      <c r="C236" s="17" t="s">
        <v>1097</v>
      </c>
      <c r="D236" s="17" t="s">
        <v>92</v>
      </c>
      <c r="E236" s="17" t="s">
        <v>43</v>
      </c>
      <c r="F236" s="87">
        <v>10000.0</v>
      </c>
      <c r="G236" s="100">
        <v>1500000.0</v>
      </c>
      <c r="H236" s="17" t="s">
        <v>42</v>
      </c>
      <c r="I236" s="100">
        <v>850000.0</v>
      </c>
      <c r="J236" s="17" t="s">
        <v>42</v>
      </c>
      <c r="K236" s="100">
        <f t="shared" si="23"/>
        <v>650000</v>
      </c>
      <c r="L236" s="7"/>
    </row>
    <row r="237" ht="15.75" customHeight="1">
      <c r="A237" s="17" t="s">
        <v>160</v>
      </c>
      <c r="B237" s="17" t="s">
        <v>390</v>
      </c>
      <c r="C237" s="17" t="s">
        <v>1097</v>
      </c>
      <c r="D237" s="17" t="s">
        <v>30</v>
      </c>
      <c r="E237" s="17" t="s">
        <v>107</v>
      </c>
      <c r="F237" s="87">
        <v>9000.0</v>
      </c>
      <c r="G237" s="100">
        <v>1125000.0</v>
      </c>
      <c r="H237" s="17" t="s">
        <v>42</v>
      </c>
      <c r="I237" s="100">
        <v>640000.0</v>
      </c>
      <c r="J237" s="17" t="s">
        <v>42</v>
      </c>
      <c r="K237" s="100">
        <f t="shared" si="23"/>
        <v>485000</v>
      </c>
      <c r="L237" s="7"/>
    </row>
    <row r="238" ht="15.75" customHeight="1">
      <c r="A238" s="17" t="s">
        <v>162</v>
      </c>
      <c r="B238" s="17" t="s">
        <v>390</v>
      </c>
      <c r="C238" s="17" t="s">
        <v>1097</v>
      </c>
      <c r="D238" s="17" t="s">
        <v>45</v>
      </c>
      <c r="E238" s="17" t="s">
        <v>627</v>
      </c>
      <c r="F238" s="87">
        <v>8000.0</v>
      </c>
      <c r="G238" s="100">
        <v>800000.0</v>
      </c>
      <c r="H238" s="17" t="s">
        <v>44</v>
      </c>
      <c r="I238" s="100">
        <v>400000.0</v>
      </c>
      <c r="J238" s="17" t="s">
        <v>42</v>
      </c>
      <c r="K238" s="100">
        <f t="shared" si="23"/>
        <v>400000</v>
      </c>
      <c r="L238" s="7"/>
    </row>
    <row r="239" ht="15.75" customHeight="1">
      <c r="A239" s="17" t="s">
        <v>163</v>
      </c>
      <c r="B239" s="17" t="s">
        <v>390</v>
      </c>
      <c r="C239" s="17" t="s">
        <v>1097</v>
      </c>
      <c r="D239" s="17" t="s">
        <v>40</v>
      </c>
      <c r="E239" s="17" t="s">
        <v>43</v>
      </c>
      <c r="F239" s="87">
        <v>9000.0</v>
      </c>
      <c r="G239" s="100">
        <v>1350000.0</v>
      </c>
      <c r="H239" s="17" t="s">
        <v>44</v>
      </c>
      <c r="I239" s="100">
        <v>800000.0</v>
      </c>
      <c r="J239" s="17" t="s">
        <v>42</v>
      </c>
      <c r="K239" s="100">
        <f t="shared" si="23"/>
        <v>550000</v>
      </c>
      <c r="L239" s="7"/>
    </row>
    <row r="240" ht="15.75" customHeight="1">
      <c r="A240" s="17" t="s">
        <v>164</v>
      </c>
      <c r="B240" s="17" t="s">
        <v>390</v>
      </c>
      <c r="C240" s="17" t="s">
        <v>1097</v>
      </c>
      <c r="D240" s="17" t="s">
        <v>30</v>
      </c>
      <c r="E240" s="17" t="s">
        <v>763</v>
      </c>
      <c r="F240" s="87">
        <v>9000.0</v>
      </c>
      <c r="G240" s="100">
        <v>1395000.0</v>
      </c>
      <c r="H240" s="17" t="s">
        <v>42</v>
      </c>
      <c r="I240" s="100">
        <v>950000.0</v>
      </c>
      <c r="J240" s="17" t="s">
        <v>42</v>
      </c>
      <c r="K240" s="100">
        <f t="shared" si="23"/>
        <v>445000</v>
      </c>
      <c r="L240" s="7"/>
    </row>
    <row r="241" ht="15.75" customHeight="1">
      <c r="A241" s="17" t="s">
        <v>166</v>
      </c>
      <c r="B241" s="17" t="s">
        <v>390</v>
      </c>
      <c r="C241" s="17" t="s">
        <v>1097</v>
      </c>
      <c r="D241" s="17" t="s">
        <v>30</v>
      </c>
      <c r="E241" s="17" t="s">
        <v>763</v>
      </c>
      <c r="F241" s="87">
        <v>9000.0</v>
      </c>
      <c r="G241" s="100">
        <v>1395000.0</v>
      </c>
      <c r="H241" s="17" t="s">
        <v>42</v>
      </c>
      <c r="I241" s="100">
        <v>900000.0</v>
      </c>
      <c r="J241" s="17" t="s">
        <v>44</v>
      </c>
      <c r="K241" s="100">
        <f t="shared" si="23"/>
        <v>495000</v>
      </c>
      <c r="L241" s="7"/>
    </row>
    <row r="242" ht="15.75" customHeight="1">
      <c r="A242" s="17" t="s">
        <v>464</v>
      </c>
      <c r="B242" s="17" t="s">
        <v>390</v>
      </c>
      <c r="C242" s="17" t="s">
        <v>1097</v>
      </c>
      <c r="D242" s="17" t="s">
        <v>71</v>
      </c>
      <c r="E242" s="17" t="s">
        <v>474</v>
      </c>
      <c r="F242" s="87">
        <v>10000.0</v>
      </c>
      <c r="G242" s="100">
        <v>750000.0</v>
      </c>
      <c r="H242" s="17" t="s">
        <v>42</v>
      </c>
      <c r="I242" s="100">
        <v>375000.0</v>
      </c>
      <c r="J242" s="17" t="s">
        <v>42</v>
      </c>
      <c r="K242" s="100">
        <f t="shared" si="23"/>
        <v>375000</v>
      </c>
      <c r="L242" s="7"/>
    </row>
    <row r="243" ht="15.75" customHeight="1">
      <c r="A243" s="17"/>
      <c r="B243" s="17"/>
      <c r="C243" s="17"/>
      <c r="D243" s="17"/>
      <c r="E243" s="17"/>
      <c r="F243" s="7"/>
      <c r="G243" s="100"/>
      <c r="H243" s="100"/>
      <c r="I243" s="100"/>
      <c r="J243" s="100"/>
      <c r="K243" s="52">
        <f>SUM(K218:K242)</f>
        <v>9715000</v>
      </c>
      <c r="L243" s="30">
        <f>SUM(L218:L233)</f>
        <v>6570000</v>
      </c>
    </row>
    <row r="244" ht="15.75" customHeight="1">
      <c r="A244" s="169"/>
      <c r="B244" s="169"/>
      <c r="C244" s="169"/>
      <c r="D244" s="169"/>
      <c r="E244" s="169"/>
      <c r="G244" s="410"/>
      <c r="H244" s="410"/>
      <c r="I244" s="410"/>
      <c r="J244" s="410"/>
      <c r="K244" s="33">
        <f>K243-L243</f>
        <v>3145000</v>
      </c>
      <c r="L244" s="202"/>
    </row>
    <row r="245" ht="15.75" customHeight="1">
      <c r="A245" s="169"/>
      <c r="B245" s="169"/>
      <c r="C245" s="169"/>
      <c r="D245" s="169"/>
      <c r="E245" s="169"/>
      <c r="G245" s="410"/>
      <c r="H245" s="410"/>
      <c r="I245" s="410"/>
      <c r="J245" s="410"/>
      <c r="K245" s="410"/>
    </row>
    <row r="246" ht="24.0" customHeight="1">
      <c r="A246" s="89" t="s">
        <v>0</v>
      </c>
      <c r="B246" s="89" t="s">
        <v>1</v>
      </c>
      <c r="C246" s="89" t="s">
        <v>2</v>
      </c>
      <c r="D246" s="90" t="s">
        <v>3</v>
      </c>
      <c r="E246" s="89" t="s">
        <v>4</v>
      </c>
      <c r="F246" s="91" t="s">
        <v>5</v>
      </c>
      <c r="G246" s="92" t="s">
        <v>6</v>
      </c>
      <c r="H246" s="92" t="s">
        <v>39</v>
      </c>
      <c r="I246" s="91" t="s">
        <v>7</v>
      </c>
      <c r="J246" s="91" t="s">
        <v>39</v>
      </c>
      <c r="K246" s="92" t="s">
        <v>8</v>
      </c>
      <c r="L246" s="92" t="s">
        <v>9</v>
      </c>
    </row>
    <row r="247" ht="15.75" customHeight="1">
      <c r="A247" s="17" t="s">
        <v>168</v>
      </c>
      <c r="B247" s="17" t="s">
        <v>390</v>
      </c>
      <c r="C247" s="17" t="s">
        <v>1097</v>
      </c>
      <c r="D247" s="17" t="s">
        <v>40</v>
      </c>
      <c r="E247" s="17" t="s">
        <v>434</v>
      </c>
      <c r="F247" s="87">
        <v>9000.0</v>
      </c>
      <c r="G247" s="58">
        <v>1035000.0</v>
      </c>
      <c r="H247" s="60" t="s">
        <v>42</v>
      </c>
      <c r="I247" s="58">
        <v>600000.0</v>
      </c>
      <c r="J247" s="17" t="s">
        <v>44</v>
      </c>
      <c r="K247" s="58">
        <f t="shared" ref="K247:K265" si="24">G247-I247</f>
        <v>435000</v>
      </c>
      <c r="L247" s="58">
        <v>0.0</v>
      </c>
    </row>
    <row r="248" ht="15.75" customHeight="1">
      <c r="A248" s="17" t="s">
        <v>169</v>
      </c>
      <c r="B248" s="17" t="s">
        <v>390</v>
      </c>
      <c r="C248" s="17" t="s">
        <v>1097</v>
      </c>
      <c r="D248" s="17" t="s">
        <v>30</v>
      </c>
      <c r="E248" s="17" t="s">
        <v>1136</v>
      </c>
      <c r="F248" s="87">
        <v>9000.0</v>
      </c>
      <c r="G248" s="58">
        <v>675000.0</v>
      </c>
      <c r="H248" s="17" t="s">
        <v>44</v>
      </c>
      <c r="I248" s="58">
        <v>375000.0</v>
      </c>
      <c r="J248" s="60" t="s">
        <v>42</v>
      </c>
      <c r="K248" s="58">
        <f t="shared" si="24"/>
        <v>300000</v>
      </c>
      <c r="L248" s="58">
        <v>0.0</v>
      </c>
    </row>
    <row r="249" ht="15.75" customHeight="1">
      <c r="A249" s="17" t="s">
        <v>171</v>
      </c>
      <c r="B249" s="17" t="s">
        <v>390</v>
      </c>
      <c r="C249" s="17" t="s">
        <v>1097</v>
      </c>
      <c r="D249" s="17" t="s">
        <v>383</v>
      </c>
      <c r="E249" s="17" t="s">
        <v>103</v>
      </c>
      <c r="F249" s="87">
        <v>10000.0</v>
      </c>
      <c r="G249" s="58">
        <v>750000.0</v>
      </c>
      <c r="H249" s="17" t="s">
        <v>44</v>
      </c>
      <c r="I249" s="58">
        <v>475000.0</v>
      </c>
      <c r="J249" s="60" t="s">
        <v>42</v>
      </c>
      <c r="K249" s="58">
        <f t="shared" si="24"/>
        <v>275000</v>
      </c>
      <c r="L249" s="58">
        <v>0.0</v>
      </c>
    </row>
    <row r="250" ht="15.75" customHeight="1">
      <c r="A250" s="17" t="s">
        <v>173</v>
      </c>
      <c r="B250" s="17" t="s">
        <v>390</v>
      </c>
      <c r="C250" s="17" t="s">
        <v>1097</v>
      </c>
      <c r="D250" s="17" t="s">
        <v>40</v>
      </c>
      <c r="E250" s="17" t="s">
        <v>59</v>
      </c>
      <c r="F250" s="87">
        <v>9000.0</v>
      </c>
      <c r="G250" s="58">
        <v>720000.0</v>
      </c>
      <c r="H250" s="17" t="s">
        <v>44</v>
      </c>
      <c r="I250" s="58">
        <v>350000.0</v>
      </c>
      <c r="J250" s="60" t="s">
        <v>42</v>
      </c>
      <c r="K250" s="58">
        <f t="shared" si="24"/>
        <v>370000</v>
      </c>
      <c r="L250" s="58">
        <v>0.0</v>
      </c>
    </row>
    <row r="251" ht="15.75" customHeight="1">
      <c r="A251" s="17" t="s">
        <v>174</v>
      </c>
      <c r="B251" s="17" t="s">
        <v>390</v>
      </c>
      <c r="C251" s="17" t="s">
        <v>1097</v>
      </c>
      <c r="D251" s="17" t="s">
        <v>40</v>
      </c>
      <c r="E251" s="17" t="s">
        <v>108</v>
      </c>
      <c r="F251" s="87">
        <v>10000.0</v>
      </c>
      <c r="G251" s="58">
        <v>900000.0</v>
      </c>
      <c r="H251" s="17" t="s">
        <v>44</v>
      </c>
      <c r="I251" s="58">
        <v>500000.0</v>
      </c>
      <c r="J251" s="60" t="s">
        <v>42</v>
      </c>
      <c r="K251" s="58">
        <f t="shared" si="24"/>
        <v>400000</v>
      </c>
      <c r="L251" s="58">
        <v>0.0</v>
      </c>
    </row>
    <row r="252" ht="15.75" customHeight="1">
      <c r="A252" s="17" t="s">
        <v>635</v>
      </c>
      <c r="B252" s="17" t="s">
        <v>390</v>
      </c>
      <c r="C252" s="17" t="s">
        <v>1097</v>
      </c>
      <c r="D252" s="17" t="s">
        <v>40</v>
      </c>
      <c r="E252" s="17" t="s">
        <v>821</v>
      </c>
      <c r="F252" s="87">
        <v>9000.0</v>
      </c>
      <c r="G252" s="58">
        <v>1400000.0</v>
      </c>
      <c r="H252" s="60" t="s">
        <v>42</v>
      </c>
      <c r="I252" s="58">
        <v>850000.0</v>
      </c>
      <c r="J252" s="60" t="s">
        <v>42</v>
      </c>
      <c r="K252" s="58">
        <f t="shared" si="24"/>
        <v>550000</v>
      </c>
      <c r="L252" s="58">
        <v>0.0</v>
      </c>
    </row>
    <row r="253" ht="15.75" customHeight="1">
      <c r="A253" s="17" t="s">
        <v>177</v>
      </c>
      <c r="B253" s="17" t="s">
        <v>390</v>
      </c>
      <c r="C253" s="17" t="s">
        <v>1097</v>
      </c>
      <c r="D253" s="17" t="s">
        <v>40</v>
      </c>
      <c r="E253" s="17" t="s">
        <v>103</v>
      </c>
      <c r="F253" s="87">
        <v>10000.0</v>
      </c>
      <c r="G253" s="58">
        <v>750000.0</v>
      </c>
      <c r="H253" s="17" t="s">
        <v>44</v>
      </c>
      <c r="I253" s="58">
        <v>425000.0</v>
      </c>
      <c r="J253" s="60" t="s">
        <v>42</v>
      </c>
      <c r="K253" s="58">
        <f t="shared" si="24"/>
        <v>325000</v>
      </c>
      <c r="L253" s="58">
        <v>0.0</v>
      </c>
      <c r="M253" s="174"/>
    </row>
    <row r="254" ht="15.75" customHeight="1">
      <c r="A254" s="17" t="s">
        <v>179</v>
      </c>
      <c r="B254" s="17" t="s">
        <v>390</v>
      </c>
      <c r="C254" s="17" t="s">
        <v>1097</v>
      </c>
      <c r="D254" s="17" t="s">
        <v>40</v>
      </c>
      <c r="E254" s="17" t="s">
        <v>107</v>
      </c>
      <c r="F254" s="87">
        <v>9000.0</v>
      </c>
      <c r="G254" s="58">
        <v>1125000.0</v>
      </c>
      <c r="H254" s="60" t="s">
        <v>42</v>
      </c>
      <c r="I254" s="58">
        <v>640000.0</v>
      </c>
      <c r="J254" s="60" t="s">
        <v>42</v>
      </c>
      <c r="K254" s="58">
        <f t="shared" si="24"/>
        <v>485000</v>
      </c>
      <c r="L254" s="58">
        <v>0.0</v>
      </c>
    </row>
    <row r="255" ht="15.75" customHeight="1">
      <c r="A255" s="17" t="s">
        <v>180</v>
      </c>
      <c r="B255" s="17" t="s">
        <v>390</v>
      </c>
      <c r="C255" s="17" t="s">
        <v>1097</v>
      </c>
      <c r="D255" s="17" t="s">
        <v>71</v>
      </c>
      <c r="E255" s="17" t="s">
        <v>94</v>
      </c>
      <c r="F255" s="87">
        <v>9000.0</v>
      </c>
      <c r="G255" s="58">
        <v>1200000.0</v>
      </c>
      <c r="H255" s="60" t="s">
        <v>42</v>
      </c>
      <c r="I255" s="58">
        <v>690000.0</v>
      </c>
      <c r="J255" s="60" t="s">
        <v>42</v>
      </c>
      <c r="K255" s="58">
        <f t="shared" si="24"/>
        <v>510000</v>
      </c>
      <c r="L255" s="58">
        <v>0.0</v>
      </c>
    </row>
    <row r="256" ht="15.75" customHeight="1">
      <c r="A256" s="17" t="s">
        <v>181</v>
      </c>
      <c r="B256" s="17" t="s">
        <v>390</v>
      </c>
      <c r="C256" s="17" t="s">
        <v>1097</v>
      </c>
      <c r="D256" s="17" t="s">
        <v>40</v>
      </c>
      <c r="E256" s="17" t="s">
        <v>103</v>
      </c>
      <c r="F256" s="87">
        <v>10000.0</v>
      </c>
      <c r="G256" s="58">
        <v>750000.0</v>
      </c>
      <c r="H256" s="17" t="s">
        <v>44</v>
      </c>
      <c r="I256" s="58">
        <v>425000.0</v>
      </c>
      <c r="J256" s="60" t="s">
        <v>42</v>
      </c>
      <c r="K256" s="58">
        <f t="shared" si="24"/>
        <v>325000</v>
      </c>
      <c r="L256" s="58">
        <v>0.0</v>
      </c>
    </row>
    <row r="257" ht="15.75" customHeight="1">
      <c r="A257" s="17" t="s">
        <v>183</v>
      </c>
      <c r="B257" s="17" t="s">
        <v>390</v>
      </c>
      <c r="C257" s="17" t="s">
        <v>1097</v>
      </c>
      <c r="D257" s="17" t="s">
        <v>383</v>
      </c>
      <c r="E257" s="17" t="s">
        <v>449</v>
      </c>
      <c r="F257" s="87">
        <v>9000.0</v>
      </c>
      <c r="G257" s="58">
        <v>900000.0</v>
      </c>
      <c r="H257" s="60" t="s">
        <v>42</v>
      </c>
      <c r="I257" s="58">
        <v>400000.0</v>
      </c>
      <c r="J257" s="60" t="s">
        <v>42</v>
      </c>
      <c r="K257" s="58">
        <f t="shared" si="24"/>
        <v>500000</v>
      </c>
      <c r="L257" s="58">
        <v>0.0</v>
      </c>
    </row>
    <row r="258" ht="15.75" customHeight="1">
      <c r="A258" s="17" t="s">
        <v>185</v>
      </c>
      <c r="B258" s="17" t="s">
        <v>390</v>
      </c>
      <c r="C258" s="17" t="s">
        <v>1097</v>
      </c>
      <c r="D258" s="17" t="s">
        <v>40</v>
      </c>
      <c r="E258" s="17" t="s">
        <v>84</v>
      </c>
      <c r="F258" s="87">
        <v>9000.0</v>
      </c>
      <c r="G258" s="58">
        <v>1125000.0</v>
      </c>
      <c r="H258" s="60" t="s">
        <v>42</v>
      </c>
      <c r="I258" s="58">
        <v>640000.0</v>
      </c>
      <c r="J258" s="60" t="s">
        <v>42</v>
      </c>
      <c r="K258" s="58">
        <f t="shared" si="24"/>
        <v>485000</v>
      </c>
      <c r="L258" s="58">
        <v>0.0</v>
      </c>
    </row>
    <row r="259" ht="15.75" customHeight="1">
      <c r="A259" s="17" t="s">
        <v>469</v>
      </c>
      <c r="B259" s="17" t="s">
        <v>390</v>
      </c>
      <c r="C259" s="17" t="s">
        <v>1097</v>
      </c>
      <c r="D259" s="17" t="s">
        <v>40</v>
      </c>
      <c r="E259" s="17" t="s">
        <v>821</v>
      </c>
      <c r="F259" s="87">
        <v>9000.0</v>
      </c>
      <c r="G259" s="58">
        <v>1400000.0</v>
      </c>
      <c r="H259" s="17" t="s">
        <v>44</v>
      </c>
      <c r="I259" s="58">
        <v>850000.0</v>
      </c>
      <c r="J259" s="60" t="s">
        <v>42</v>
      </c>
      <c r="K259" s="58">
        <f t="shared" si="24"/>
        <v>550000</v>
      </c>
      <c r="L259" s="58">
        <v>525000.0</v>
      </c>
    </row>
    <row r="260" ht="15.75" customHeight="1">
      <c r="A260" s="17" t="s">
        <v>186</v>
      </c>
      <c r="B260" s="17" t="s">
        <v>390</v>
      </c>
      <c r="C260" s="17" t="s">
        <v>1097</v>
      </c>
      <c r="D260" s="17" t="s">
        <v>532</v>
      </c>
      <c r="E260" s="17" t="s">
        <v>449</v>
      </c>
      <c r="F260" s="87">
        <v>9000.0</v>
      </c>
      <c r="G260" s="58">
        <v>720000.0</v>
      </c>
      <c r="H260" s="17" t="s">
        <v>44</v>
      </c>
      <c r="I260" s="58">
        <v>350000.0</v>
      </c>
      <c r="J260" s="60" t="s">
        <v>42</v>
      </c>
      <c r="K260" s="58">
        <f t="shared" si="24"/>
        <v>370000</v>
      </c>
      <c r="L260" s="58">
        <v>632000.0</v>
      </c>
      <c r="M260" s="174"/>
    </row>
    <row r="261" ht="15.75" customHeight="1">
      <c r="A261" s="17" t="s">
        <v>186</v>
      </c>
      <c r="B261" s="17" t="s">
        <v>390</v>
      </c>
      <c r="C261" s="17" t="s">
        <v>1097</v>
      </c>
      <c r="D261" s="17" t="s">
        <v>1137</v>
      </c>
      <c r="E261" s="17" t="s">
        <v>1138</v>
      </c>
      <c r="F261" s="87">
        <v>540.0</v>
      </c>
      <c r="G261" s="58">
        <v>740000.0</v>
      </c>
      <c r="H261" s="17" t="s">
        <v>42</v>
      </c>
      <c r="I261" s="58">
        <v>200000.0</v>
      </c>
      <c r="J261" s="60" t="s">
        <v>42</v>
      </c>
      <c r="K261" s="58">
        <f t="shared" si="24"/>
        <v>540000</v>
      </c>
      <c r="L261" s="58">
        <v>0.0</v>
      </c>
      <c r="M261" s="174"/>
    </row>
    <row r="262" ht="15.75" customHeight="1">
      <c r="A262" s="17" t="s">
        <v>187</v>
      </c>
      <c r="B262" s="17" t="s">
        <v>390</v>
      </c>
      <c r="C262" s="17" t="s">
        <v>1097</v>
      </c>
      <c r="D262" s="17" t="s">
        <v>532</v>
      </c>
      <c r="E262" s="17" t="s">
        <v>449</v>
      </c>
      <c r="F262" s="87">
        <v>9000.0</v>
      </c>
      <c r="G262" s="58">
        <v>900000.0</v>
      </c>
      <c r="H262" s="17" t="s">
        <v>44</v>
      </c>
      <c r="I262" s="58">
        <v>350000.0</v>
      </c>
      <c r="J262" s="60" t="s">
        <v>42</v>
      </c>
      <c r="K262" s="58">
        <f t="shared" si="24"/>
        <v>550000</v>
      </c>
      <c r="L262" s="58">
        <v>0.0</v>
      </c>
      <c r="M262" s="174"/>
    </row>
    <row r="263" ht="15.75" customHeight="1">
      <c r="A263" s="17" t="s">
        <v>189</v>
      </c>
      <c r="B263" s="17" t="s">
        <v>390</v>
      </c>
      <c r="C263" s="17" t="s">
        <v>1097</v>
      </c>
      <c r="D263" s="17" t="s">
        <v>872</v>
      </c>
      <c r="E263" s="17" t="s">
        <v>627</v>
      </c>
      <c r="F263" s="87">
        <v>8000.0</v>
      </c>
      <c r="G263" s="58">
        <v>700000.0</v>
      </c>
      <c r="H263" s="17" t="s">
        <v>44</v>
      </c>
      <c r="I263" s="58">
        <v>400000.0</v>
      </c>
      <c r="J263" s="17" t="s">
        <v>44</v>
      </c>
      <c r="K263" s="58">
        <f t="shared" si="24"/>
        <v>300000</v>
      </c>
      <c r="L263" s="58">
        <v>0.0</v>
      </c>
      <c r="M263" s="174"/>
    </row>
    <row r="264" ht="15.75" customHeight="1">
      <c r="A264" s="17" t="s">
        <v>190</v>
      </c>
      <c r="B264" s="17" t="s">
        <v>390</v>
      </c>
      <c r="C264" s="17" t="s">
        <v>1097</v>
      </c>
      <c r="D264" s="17" t="s">
        <v>383</v>
      </c>
      <c r="E264" s="17" t="s">
        <v>547</v>
      </c>
      <c r="F264" s="87">
        <v>9000.0</v>
      </c>
      <c r="G264" s="58">
        <v>1200000.0</v>
      </c>
      <c r="H264" s="173"/>
      <c r="I264" s="58">
        <v>690000.0</v>
      </c>
      <c r="J264" s="17" t="s">
        <v>42</v>
      </c>
      <c r="K264" s="58">
        <f t="shared" si="24"/>
        <v>510000</v>
      </c>
      <c r="L264" s="58">
        <v>0.0</v>
      </c>
      <c r="M264" s="240" t="s">
        <v>1139</v>
      </c>
    </row>
    <row r="265" ht="15.75" customHeight="1">
      <c r="A265" s="17" t="s">
        <v>193</v>
      </c>
      <c r="B265" s="17" t="s">
        <v>390</v>
      </c>
      <c r="C265" s="17" t="s">
        <v>1097</v>
      </c>
      <c r="D265" s="17" t="s">
        <v>40</v>
      </c>
      <c r="E265" s="17" t="s">
        <v>473</v>
      </c>
      <c r="F265" s="87">
        <v>9000.0</v>
      </c>
      <c r="G265" s="58">
        <v>1035000.0</v>
      </c>
      <c r="H265" s="173"/>
      <c r="I265" s="58">
        <v>600000.0</v>
      </c>
      <c r="J265" s="193"/>
      <c r="K265" s="58">
        <f t="shared" si="24"/>
        <v>435000</v>
      </c>
      <c r="L265" s="58">
        <v>1465000.0</v>
      </c>
    </row>
    <row r="266" ht="15.75" customHeight="1">
      <c r="A266" s="169"/>
      <c r="B266" s="169"/>
      <c r="C266" s="169"/>
      <c r="D266" s="17"/>
      <c r="E266" s="17"/>
      <c r="F266" s="7"/>
      <c r="G266" s="7"/>
      <c r="K266" s="52">
        <f t="shared" ref="K266:L266" si="25">SUM(K247:K265)</f>
        <v>8215000</v>
      </c>
      <c r="L266" s="30">
        <f t="shared" si="25"/>
        <v>2622000</v>
      </c>
    </row>
    <row r="267" ht="15.75" customHeight="1">
      <c r="A267" s="169"/>
      <c r="B267" s="169"/>
      <c r="C267" s="169"/>
      <c r="D267" s="17"/>
      <c r="E267" s="17"/>
      <c r="F267" s="7"/>
      <c r="G267" s="7"/>
      <c r="K267" s="33">
        <f>K266-L266</f>
        <v>5593000</v>
      </c>
      <c r="L267" s="202"/>
    </row>
    <row r="268" ht="15.75" customHeight="1">
      <c r="A268" s="169"/>
      <c r="B268" s="169"/>
      <c r="C268" s="169"/>
      <c r="D268" s="17"/>
      <c r="E268" s="17"/>
      <c r="F268" s="7"/>
      <c r="G268" s="7"/>
    </row>
    <row r="269" ht="26.25" customHeight="1">
      <c r="A269" s="89" t="s">
        <v>0</v>
      </c>
      <c r="B269" s="89" t="s">
        <v>1</v>
      </c>
      <c r="C269" s="89" t="s">
        <v>2</v>
      </c>
      <c r="D269" s="90" t="s">
        <v>3</v>
      </c>
      <c r="E269" s="89" t="s">
        <v>4</v>
      </c>
      <c r="F269" s="91" t="s">
        <v>5</v>
      </c>
      <c r="G269" s="92" t="s">
        <v>6</v>
      </c>
      <c r="H269" s="92" t="s">
        <v>39</v>
      </c>
      <c r="I269" s="91" t="s">
        <v>7</v>
      </c>
      <c r="J269" s="91" t="s">
        <v>39</v>
      </c>
      <c r="K269" s="92" t="s">
        <v>8</v>
      </c>
      <c r="L269" s="92" t="s">
        <v>9</v>
      </c>
    </row>
    <row r="270" ht="15.75" customHeight="1">
      <c r="A270" s="86">
        <v>45537.0</v>
      </c>
      <c r="B270" s="17" t="s">
        <v>390</v>
      </c>
      <c r="C270" s="17" t="s">
        <v>1097</v>
      </c>
      <c r="D270" s="17" t="s">
        <v>37</v>
      </c>
      <c r="E270" s="17" t="s">
        <v>43</v>
      </c>
      <c r="F270" s="87">
        <v>10000.0</v>
      </c>
      <c r="G270" s="100">
        <v>1500000.0</v>
      </c>
      <c r="H270" s="17" t="s">
        <v>44</v>
      </c>
      <c r="I270" s="100">
        <v>850000.0</v>
      </c>
      <c r="J270" s="100"/>
      <c r="K270" s="100">
        <f t="shared" ref="K270:K281" si="26">G270-I270</f>
        <v>650000</v>
      </c>
      <c r="L270" s="100"/>
    </row>
    <row r="271" ht="15.75" customHeight="1">
      <c r="A271" s="86">
        <v>45538.0</v>
      </c>
      <c r="B271" s="17" t="s">
        <v>390</v>
      </c>
      <c r="C271" s="17" t="s">
        <v>1097</v>
      </c>
      <c r="D271" s="17" t="s">
        <v>30</v>
      </c>
      <c r="E271" s="17" t="s">
        <v>55</v>
      </c>
      <c r="F271" s="87">
        <v>9000.0</v>
      </c>
      <c r="G271" s="100">
        <v>1305000.0</v>
      </c>
      <c r="H271" s="17" t="s">
        <v>44</v>
      </c>
      <c r="I271" s="100">
        <v>725000.0</v>
      </c>
      <c r="J271" s="100"/>
      <c r="K271" s="100">
        <f t="shared" si="26"/>
        <v>580000</v>
      </c>
      <c r="L271" s="100"/>
      <c r="M271" s="174"/>
    </row>
    <row r="272" ht="15.75" customHeight="1">
      <c r="A272" s="86">
        <v>45539.0</v>
      </c>
      <c r="B272" s="17" t="s">
        <v>390</v>
      </c>
      <c r="C272" s="17" t="s">
        <v>1097</v>
      </c>
      <c r="D272" s="17" t="s">
        <v>30</v>
      </c>
      <c r="E272" s="17" t="s">
        <v>118</v>
      </c>
      <c r="F272" s="87">
        <v>8500.0</v>
      </c>
      <c r="G272" s="100">
        <v>935000.0</v>
      </c>
      <c r="H272" s="60" t="s">
        <v>44</v>
      </c>
      <c r="I272" s="100">
        <v>550000.0</v>
      </c>
      <c r="J272" s="17" t="s">
        <v>42</v>
      </c>
      <c r="K272" s="100">
        <f t="shared" si="26"/>
        <v>385000</v>
      </c>
      <c r="L272" s="100"/>
      <c r="M272" s="174" t="s">
        <v>1140</v>
      </c>
    </row>
    <row r="273" ht="15.75" customHeight="1">
      <c r="A273" s="86">
        <v>45540.0</v>
      </c>
      <c r="B273" s="17" t="s">
        <v>390</v>
      </c>
      <c r="C273" s="17" t="s">
        <v>1097</v>
      </c>
      <c r="D273" s="17" t="s">
        <v>1141</v>
      </c>
      <c r="E273" s="17" t="s">
        <v>474</v>
      </c>
      <c r="F273" s="87">
        <v>9000.0</v>
      </c>
      <c r="G273" s="100">
        <v>675000.0</v>
      </c>
      <c r="H273" s="17" t="s">
        <v>42</v>
      </c>
      <c r="I273" s="100">
        <v>350000.0</v>
      </c>
      <c r="J273" s="17" t="s">
        <v>42</v>
      </c>
      <c r="K273" s="100">
        <f t="shared" si="26"/>
        <v>325000</v>
      </c>
      <c r="L273" s="100"/>
    </row>
    <row r="274" ht="15.75" customHeight="1">
      <c r="A274" s="86">
        <v>45541.0</v>
      </c>
      <c r="B274" s="17" t="s">
        <v>390</v>
      </c>
      <c r="C274" s="17" t="s">
        <v>1097</v>
      </c>
      <c r="D274" s="17" t="s">
        <v>30</v>
      </c>
      <c r="E274" s="17" t="s">
        <v>840</v>
      </c>
      <c r="F274" s="87">
        <v>9000.0</v>
      </c>
      <c r="G274" s="100">
        <v>900000.0</v>
      </c>
      <c r="H274" s="60" t="s">
        <v>44</v>
      </c>
      <c r="I274" s="100">
        <v>350000.0</v>
      </c>
      <c r="J274" s="17" t="s">
        <v>42</v>
      </c>
      <c r="K274" s="100">
        <f t="shared" si="26"/>
        <v>550000</v>
      </c>
      <c r="L274" s="100"/>
    </row>
    <row r="275" ht="15.75" customHeight="1">
      <c r="A275" s="86">
        <v>45542.0</v>
      </c>
      <c r="B275" s="17" t="s">
        <v>390</v>
      </c>
      <c r="C275" s="17" t="s">
        <v>1097</v>
      </c>
      <c r="D275" s="17" t="s">
        <v>37</v>
      </c>
      <c r="E275" s="17" t="s">
        <v>43</v>
      </c>
      <c r="F275" s="87">
        <v>10000.0</v>
      </c>
      <c r="G275" s="100">
        <v>1500000.0</v>
      </c>
      <c r="H275" s="60" t="s">
        <v>44</v>
      </c>
      <c r="I275" s="100">
        <v>850000.0</v>
      </c>
      <c r="J275" s="17" t="s">
        <v>42</v>
      </c>
      <c r="K275" s="100">
        <f t="shared" si="26"/>
        <v>650000</v>
      </c>
      <c r="L275" s="100">
        <v>261000.0</v>
      </c>
    </row>
    <row r="276" ht="15.75" customHeight="1">
      <c r="A276" s="86">
        <v>45544.0</v>
      </c>
      <c r="B276" s="17" t="s">
        <v>390</v>
      </c>
      <c r="C276" s="17" t="s">
        <v>1097</v>
      </c>
      <c r="D276" s="17" t="s">
        <v>30</v>
      </c>
      <c r="E276" s="17" t="s">
        <v>474</v>
      </c>
      <c r="F276" s="87">
        <v>9000.0</v>
      </c>
      <c r="G276" s="100">
        <v>675000.0</v>
      </c>
      <c r="H276" s="17" t="s">
        <v>42</v>
      </c>
      <c r="I276" s="100">
        <v>350000.0</v>
      </c>
      <c r="J276" s="17" t="s">
        <v>42</v>
      </c>
      <c r="K276" s="100">
        <f t="shared" si="26"/>
        <v>325000</v>
      </c>
      <c r="L276" s="100"/>
    </row>
    <row r="277" ht="15.75" customHeight="1">
      <c r="A277" s="86">
        <v>45545.0</v>
      </c>
      <c r="B277" s="17" t="s">
        <v>390</v>
      </c>
      <c r="C277" s="17" t="s">
        <v>1097</v>
      </c>
      <c r="D277" s="17" t="s">
        <v>71</v>
      </c>
      <c r="E277" s="17" t="s">
        <v>94</v>
      </c>
      <c r="F277" s="87">
        <v>8500.0</v>
      </c>
      <c r="G277" s="100">
        <v>1200000.0</v>
      </c>
      <c r="H277" s="100"/>
      <c r="I277" s="100">
        <v>640000.0</v>
      </c>
      <c r="J277" s="17" t="s">
        <v>42</v>
      </c>
      <c r="K277" s="100">
        <f t="shared" si="26"/>
        <v>560000</v>
      </c>
      <c r="L277" s="100"/>
    </row>
    <row r="278" ht="15.75" customHeight="1">
      <c r="A278" s="86">
        <v>45546.0</v>
      </c>
      <c r="B278" s="17" t="s">
        <v>390</v>
      </c>
      <c r="C278" s="17" t="s">
        <v>1097</v>
      </c>
      <c r="D278" s="17" t="s">
        <v>40</v>
      </c>
      <c r="E278" s="17" t="s">
        <v>547</v>
      </c>
      <c r="F278" s="87">
        <v>9000.0</v>
      </c>
      <c r="G278" s="100">
        <v>1200000.0</v>
      </c>
      <c r="H278" s="100"/>
      <c r="I278" s="100">
        <v>640000.0</v>
      </c>
      <c r="J278" s="100"/>
      <c r="K278" s="100">
        <f t="shared" si="26"/>
        <v>560000</v>
      </c>
      <c r="L278" s="100"/>
    </row>
    <row r="279" ht="15.75" customHeight="1">
      <c r="A279" s="86">
        <v>45548.0</v>
      </c>
      <c r="B279" s="17" t="s">
        <v>390</v>
      </c>
      <c r="C279" s="17" t="s">
        <v>1097</v>
      </c>
      <c r="D279" s="17" t="s">
        <v>123</v>
      </c>
      <c r="E279" s="17" t="s">
        <v>109</v>
      </c>
      <c r="F279" s="87">
        <v>9000.0</v>
      </c>
      <c r="G279" s="100">
        <v>720000.0</v>
      </c>
      <c r="H279" s="100"/>
      <c r="I279" s="100">
        <v>350000.0</v>
      </c>
      <c r="J279" s="100"/>
      <c r="K279" s="100">
        <f t="shared" si="26"/>
        <v>370000</v>
      </c>
      <c r="L279" s="100"/>
    </row>
    <row r="280" ht="15.75" customHeight="1">
      <c r="A280" s="86">
        <v>45549.0</v>
      </c>
      <c r="B280" s="17" t="s">
        <v>390</v>
      </c>
      <c r="C280" s="17" t="s">
        <v>1097</v>
      </c>
      <c r="D280" s="17" t="s">
        <v>40</v>
      </c>
      <c r="E280" s="17" t="s">
        <v>84</v>
      </c>
      <c r="F280" s="87">
        <v>9000.0</v>
      </c>
      <c r="G280" s="100">
        <v>1125000.0</v>
      </c>
      <c r="H280" s="100"/>
      <c r="I280" s="100">
        <v>640000.0</v>
      </c>
      <c r="J280" s="100"/>
      <c r="K280" s="100">
        <f t="shared" si="26"/>
        <v>485000</v>
      </c>
      <c r="L280" s="100"/>
    </row>
    <row r="281" ht="15.75" customHeight="1">
      <c r="A281" s="86"/>
      <c r="B281" s="17"/>
      <c r="C281" s="17"/>
      <c r="D281" s="17"/>
      <c r="E281" s="17"/>
      <c r="F281" s="87"/>
      <c r="G281" s="100"/>
      <c r="H281" s="100"/>
      <c r="I281" s="100"/>
      <c r="J281" s="100"/>
      <c r="K281" s="100">
        <f t="shared" si="26"/>
        <v>0</v>
      </c>
      <c r="L281" s="100"/>
    </row>
    <row r="282" ht="15.75" customHeight="1">
      <c r="A282" s="17"/>
      <c r="B282" s="17"/>
      <c r="C282" s="17"/>
      <c r="D282" s="17"/>
      <c r="E282" s="17"/>
      <c r="F282" s="87"/>
      <c r="G282" s="100"/>
      <c r="H282" s="100"/>
      <c r="I282" s="100"/>
      <c r="J282" s="100"/>
      <c r="K282" s="52">
        <f t="shared" ref="K282:L282" si="27">SUM(K269:K281)</f>
        <v>5440000</v>
      </c>
      <c r="L282" s="30">
        <f t="shared" si="27"/>
        <v>261000</v>
      </c>
    </row>
    <row r="283" ht="15.75" customHeight="1">
      <c r="A283" s="17"/>
      <c r="B283" s="17"/>
      <c r="C283" s="17"/>
      <c r="D283" s="17"/>
      <c r="E283" s="17"/>
      <c r="F283" s="87"/>
      <c r="G283" s="100"/>
      <c r="H283" s="100"/>
      <c r="I283" s="100"/>
      <c r="J283" s="100"/>
      <c r="K283" s="33">
        <f>K282-L282</f>
        <v>5179000</v>
      </c>
      <c r="L283" s="202"/>
    </row>
    <row r="284" ht="15.75" customHeight="1">
      <c r="A284" s="169"/>
      <c r="B284" s="169"/>
      <c r="C284" s="169"/>
      <c r="D284" s="169"/>
      <c r="E284" s="169"/>
      <c r="F284" s="87"/>
    </row>
    <row r="285" ht="15.75" customHeight="1">
      <c r="A285" s="169"/>
      <c r="B285" s="169"/>
      <c r="C285" s="169"/>
      <c r="D285" s="169"/>
      <c r="E285" s="169"/>
      <c r="F285" s="87"/>
    </row>
    <row r="286" ht="15.75" customHeight="1">
      <c r="A286" s="169"/>
      <c r="B286" s="169"/>
      <c r="C286" s="169"/>
      <c r="D286" s="169"/>
      <c r="E286" s="169"/>
      <c r="F286" s="87"/>
    </row>
    <row r="287" ht="15.75" customHeight="1">
      <c r="A287" s="169"/>
      <c r="B287" s="169"/>
      <c r="C287" s="169"/>
      <c r="D287" s="169"/>
      <c r="E287" s="169"/>
    </row>
    <row r="288" ht="15.75" customHeight="1">
      <c r="A288" s="169"/>
      <c r="B288" s="169"/>
      <c r="C288" s="169"/>
      <c r="D288" s="169"/>
      <c r="E288" s="169"/>
    </row>
    <row r="289" ht="15.75" customHeight="1">
      <c r="A289" s="169"/>
      <c r="B289" s="169"/>
      <c r="C289" s="169"/>
      <c r="D289" s="169"/>
      <c r="E289" s="169"/>
    </row>
    <row r="290" ht="15.75" customHeight="1">
      <c r="A290" s="169"/>
      <c r="B290" s="169"/>
      <c r="C290" s="169"/>
      <c r="D290" s="169"/>
      <c r="E290" s="169"/>
    </row>
    <row r="291" ht="15.75" customHeight="1">
      <c r="A291" s="169"/>
      <c r="B291" s="169"/>
      <c r="C291" s="169"/>
      <c r="D291" s="169"/>
      <c r="E291" s="169"/>
    </row>
    <row r="292" ht="15.75" customHeight="1">
      <c r="A292" s="169"/>
      <c r="B292" s="169"/>
      <c r="C292" s="169"/>
      <c r="D292" s="169"/>
      <c r="E292" s="169"/>
    </row>
    <row r="293" ht="15.75" customHeight="1">
      <c r="A293" s="169"/>
      <c r="B293" s="169"/>
      <c r="C293" s="169"/>
      <c r="D293" s="169"/>
      <c r="E293" s="169"/>
    </row>
    <row r="294" ht="15.75" customHeight="1">
      <c r="A294" s="169"/>
      <c r="B294" s="169"/>
      <c r="C294" s="169"/>
      <c r="D294" s="169"/>
      <c r="E294" s="169"/>
    </row>
    <row r="295" ht="15.75" customHeight="1">
      <c r="A295" s="169"/>
      <c r="B295" s="169"/>
      <c r="C295" s="169"/>
      <c r="D295" s="169"/>
      <c r="E295" s="169"/>
    </row>
    <row r="296" ht="15.75" customHeight="1">
      <c r="A296" s="169"/>
      <c r="B296" s="169"/>
      <c r="C296" s="169"/>
      <c r="D296" s="169"/>
      <c r="E296" s="169"/>
    </row>
    <row r="297" ht="15.75" customHeight="1">
      <c r="A297" s="169"/>
      <c r="B297" s="169"/>
      <c r="C297" s="169"/>
      <c r="D297" s="169"/>
      <c r="E297" s="169"/>
    </row>
    <row r="298" ht="15.75" customHeight="1">
      <c r="A298" s="169"/>
      <c r="B298" s="169"/>
      <c r="C298" s="169"/>
      <c r="D298" s="169"/>
      <c r="E298" s="169"/>
    </row>
    <row r="299" ht="15.75" customHeight="1">
      <c r="A299" s="169"/>
      <c r="B299" s="169"/>
      <c r="C299" s="169"/>
      <c r="D299" s="169"/>
      <c r="E299" s="169"/>
    </row>
    <row r="300" ht="15.75" customHeight="1">
      <c r="A300" s="169"/>
      <c r="B300" s="169"/>
      <c r="C300" s="169"/>
      <c r="D300" s="169"/>
      <c r="E300" s="169"/>
    </row>
    <row r="301" ht="15.75" customHeight="1">
      <c r="A301" s="169"/>
      <c r="B301" s="169"/>
      <c r="C301" s="169"/>
      <c r="D301" s="169"/>
      <c r="E301" s="169"/>
    </row>
    <row r="302" ht="15.75" customHeight="1">
      <c r="A302" s="169"/>
      <c r="B302" s="169"/>
      <c r="C302" s="169"/>
      <c r="D302" s="169"/>
      <c r="E302" s="169"/>
    </row>
    <row r="303" ht="15.75" customHeight="1">
      <c r="A303" s="169"/>
      <c r="B303" s="169"/>
      <c r="C303" s="169"/>
      <c r="D303" s="169"/>
      <c r="E303" s="169"/>
    </row>
    <row r="304" ht="15.75" customHeight="1">
      <c r="A304" s="169"/>
      <c r="B304" s="169"/>
      <c r="C304" s="169"/>
      <c r="D304" s="169"/>
      <c r="E304" s="169"/>
    </row>
    <row r="305" ht="15.75" customHeight="1">
      <c r="A305" s="169"/>
      <c r="B305" s="169"/>
      <c r="C305" s="169"/>
      <c r="D305" s="169"/>
      <c r="E305" s="169"/>
    </row>
    <row r="306" ht="15.75" customHeight="1">
      <c r="A306" s="169"/>
      <c r="B306" s="169"/>
      <c r="C306" s="169"/>
      <c r="D306" s="169"/>
      <c r="E306" s="169"/>
    </row>
    <row r="307" ht="15.75" customHeight="1">
      <c r="A307" s="169"/>
      <c r="B307" s="169"/>
      <c r="C307" s="169"/>
      <c r="D307" s="169"/>
      <c r="E307" s="169"/>
    </row>
    <row r="308" ht="15.75" customHeight="1">
      <c r="A308" s="169"/>
      <c r="B308" s="169"/>
      <c r="C308" s="169"/>
      <c r="D308" s="169"/>
      <c r="E308" s="169"/>
    </row>
    <row r="309" ht="15.75" customHeight="1">
      <c r="A309" s="169"/>
      <c r="B309" s="169"/>
      <c r="C309" s="169"/>
      <c r="D309" s="169"/>
      <c r="E309" s="169"/>
    </row>
    <row r="310" ht="15.75" customHeight="1">
      <c r="A310" s="169"/>
      <c r="B310" s="169"/>
      <c r="C310" s="169"/>
      <c r="D310" s="169"/>
      <c r="E310" s="169"/>
    </row>
    <row r="311" ht="15.75" customHeight="1">
      <c r="A311" s="169"/>
      <c r="B311" s="169"/>
      <c r="C311" s="169"/>
      <c r="D311" s="169"/>
      <c r="E311" s="169"/>
    </row>
    <row r="312" ht="15.75" customHeight="1">
      <c r="A312" s="169"/>
      <c r="B312" s="169"/>
      <c r="C312" s="169"/>
      <c r="D312" s="169"/>
      <c r="E312" s="169"/>
    </row>
    <row r="313" ht="15.75" customHeight="1">
      <c r="A313" s="169"/>
      <c r="B313" s="169"/>
      <c r="C313" s="169"/>
      <c r="D313" s="169"/>
      <c r="E313" s="169"/>
    </row>
    <row r="314" ht="15.75" customHeight="1">
      <c r="A314" s="169"/>
      <c r="B314" s="169"/>
      <c r="C314" s="169"/>
      <c r="D314" s="169"/>
      <c r="E314" s="169"/>
    </row>
    <row r="315" ht="15.75" customHeight="1">
      <c r="A315" s="169"/>
      <c r="B315" s="169"/>
      <c r="C315" s="169"/>
      <c r="D315" s="169"/>
      <c r="E315" s="169"/>
    </row>
    <row r="316" ht="15.75" customHeight="1">
      <c r="A316" s="169"/>
      <c r="B316" s="169"/>
      <c r="C316" s="169"/>
      <c r="D316" s="169"/>
      <c r="E316" s="169"/>
    </row>
    <row r="317" ht="15.75" customHeight="1">
      <c r="A317" s="169"/>
      <c r="B317" s="169"/>
      <c r="C317" s="169"/>
      <c r="D317" s="169"/>
      <c r="E317" s="169"/>
    </row>
    <row r="318" ht="15.75" customHeight="1">
      <c r="A318" s="169"/>
      <c r="B318" s="169"/>
      <c r="C318" s="169"/>
      <c r="D318" s="169"/>
      <c r="E318" s="169"/>
    </row>
    <row r="319" ht="15.75" customHeight="1">
      <c r="A319" s="169"/>
      <c r="B319" s="169"/>
      <c r="C319" s="169"/>
      <c r="D319" s="169"/>
      <c r="E319" s="169"/>
    </row>
    <row r="320" ht="15.75" customHeight="1">
      <c r="A320" s="169"/>
      <c r="B320" s="169"/>
      <c r="C320" s="169"/>
      <c r="D320" s="169"/>
      <c r="E320" s="169"/>
    </row>
    <row r="321" ht="15.75" customHeight="1">
      <c r="A321" s="169"/>
      <c r="B321" s="169"/>
      <c r="C321" s="169"/>
      <c r="D321" s="169"/>
      <c r="E321" s="169"/>
    </row>
    <row r="322" ht="15.75" customHeight="1">
      <c r="A322" s="169"/>
      <c r="B322" s="169"/>
      <c r="C322" s="169"/>
      <c r="D322" s="169"/>
      <c r="E322" s="169"/>
    </row>
    <row r="323" ht="15.75" customHeight="1">
      <c r="A323" s="169"/>
      <c r="B323" s="169"/>
      <c r="C323" s="169"/>
      <c r="D323" s="169"/>
      <c r="E323" s="169"/>
    </row>
    <row r="324" ht="15.75" customHeight="1">
      <c r="A324" s="169"/>
      <c r="B324" s="169"/>
      <c r="C324" s="169"/>
      <c r="D324" s="169"/>
      <c r="E324" s="169"/>
    </row>
    <row r="325" ht="15.75" customHeight="1">
      <c r="A325" s="169"/>
      <c r="B325" s="169"/>
      <c r="C325" s="169"/>
      <c r="D325" s="169"/>
      <c r="E325" s="169"/>
    </row>
    <row r="326" ht="15.75" customHeight="1">
      <c r="A326" s="169"/>
      <c r="B326" s="169"/>
      <c r="C326" s="169"/>
      <c r="D326" s="169"/>
      <c r="E326" s="169"/>
    </row>
    <row r="327" ht="15.75" customHeight="1">
      <c r="A327" s="169"/>
      <c r="B327" s="169"/>
      <c r="C327" s="169"/>
      <c r="D327" s="169"/>
      <c r="E327" s="169"/>
    </row>
    <row r="328" ht="15.75" customHeight="1">
      <c r="A328" s="169"/>
      <c r="B328" s="169"/>
      <c r="C328" s="169"/>
      <c r="D328" s="169"/>
      <c r="E328" s="169"/>
    </row>
    <row r="329" ht="15.75" customHeight="1">
      <c r="A329" s="169"/>
      <c r="B329" s="169"/>
      <c r="C329" s="169"/>
      <c r="D329" s="169"/>
      <c r="E329" s="169"/>
    </row>
    <row r="330" ht="15.75" customHeight="1">
      <c r="A330" s="169"/>
      <c r="B330" s="169"/>
      <c r="C330" s="169"/>
      <c r="D330" s="169"/>
      <c r="E330" s="169"/>
    </row>
    <row r="331" ht="15.75" customHeight="1">
      <c r="A331" s="169"/>
      <c r="B331" s="169"/>
      <c r="C331" s="169"/>
      <c r="D331" s="169"/>
      <c r="E331" s="169"/>
    </row>
    <row r="332" ht="15.75" customHeight="1">
      <c r="A332" s="169"/>
      <c r="B332" s="169"/>
      <c r="C332" s="169"/>
      <c r="D332" s="169"/>
      <c r="E332" s="169"/>
    </row>
    <row r="333" ht="15.75" customHeight="1">
      <c r="A333" s="169"/>
      <c r="B333" s="169"/>
      <c r="C333" s="169"/>
      <c r="D333" s="169"/>
      <c r="E333" s="169"/>
    </row>
    <row r="334" ht="15.75" customHeight="1">
      <c r="A334" s="169"/>
      <c r="B334" s="169"/>
      <c r="C334" s="169"/>
      <c r="D334" s="169"/>
      <c r="E334" s="169"/>
    </row>
    <row r="335" ht="15.75" customHeight="1">
      <c r="A335" s="169"/>
      <c r="B335" s="169"/>
      <c r="C335" s="169"/>
      <c r="D335" s="169"/>
      <c r="E335" s="169"/>
    </row>
    <row r="336" ht="15.75" customHeight="1">
      <c r="A336" s="169"/>
      <c r="B336" s="169"/>
      <c r="C336" s="169"/>
      <c r="D336" s="169"/>
      <c r="E336" s="169"/>
    </row>
    <row r="337" ht="15.75" customHeight="1">
      <c r="A337" s="169"/>
      <c r="B337" s="169"/>
      <c r="C337" s="169"/>
      <c r="D337" s="169"/>
      <c r="E337" s="169"/>
    </row>
    <row r="338" ht="15.75" customHeight="1">
      <c r="A338" s="169"/>
      <c r="B338" s="169"/>
      <c r="C338" s="169"/>
      <c r="D338" s="169"/>
      <c r="E338" s="169"/>
    </row>
    <row r="339" ht="15.75" customHeight="1">
      <c r="A339" s="169"/>
      <c r="B339" s="169"/>
      <c r="C339" s="169"/>
      <c r="D339" s="169"/>
      <c r="E339" s="169"/>
    </row>
    <row r="340" ht="15.75" customHeight="1">
      <c r="A340" s="169"/>
      <c r="B340" s="169"/>
      <c r="C340" s="169"/>
      <c r="D340" s="169"/>
      <c r="E340" s="169"/>
    </row>
    <row r="341" ht="15.75" customHeight="1">
      <c r="A341" s="169"/>
      <c r="B341" s="169"/>
      <c r="C341" s="169"/>
      <c r="D341" s="169"/>
      <c r="E341" s="169"/>
    </row>
    <row r="342" ht="15.75" customHeight="1">
      <c r="A342" s="169"/>
      <c r="B342" s="169"/>
      <c r="C342" s="169"/>
      <c r="D342" s="169"/>
      <c r="E342" s="169"/>
    </row>
    <row r="343" ht="15.75" customHeight="1">
      <c r="A343" s="169"/>
      <c r="B343" s="169"/>
      <c r="C343" s="169"/>
      <c r="D343" s="169"/>
      <c r="E343" s="169"/>
    </row>
    <row r="344" ht="15.75" customHeight="1">
      <c r="A344" s="169"/>
      <c r="B344" s="169"/>
      <c r="C344" s="169"/>
      <c r="D344" s="169"/>
      <c r="E344" s="169"/>
    </row>
    <row r="345" ht="15.75" customHeight="1">
      <c r="A345" s="169"/>
      <c r="B345" s="169"/>
      <c r="C345" s="169"/>
      <c r="D345" s="169"/>
      <c r="E345" s="169"/>
    </row>
    <row r="346" ht="15.75" customHeight="1">
      <c r="A346" s="169"/>
      <c r="B346" s="169"/>
      <c r="C346" s="169"/>
      <c r="D346" s="169"/>
      <c r="E346" s="169"/>
    </row>
    <row r="347" ht="15.75" customHeight="1">
      <c r="A347" s="169"/>
      <c r="B347" s="169"/>
      <c r="C347" s="169"/>
      <c r="D347" s="169"/>
      <c r="E347" s="169"/>
    </row>
    <row r="348" ht="15.75" customHeight="1">
      <c r="A348" s="169"/>
      <c r="B348" s="169"/>
      <c r="C348" s="169"/>
      <c r="D348" s="169"/>
      <c r="E348" s="169"/>
    </row>
    <row r="349" ht="15.75" customHeight="1">
      <c r="A349" s="169"/>
      <c r="B349" s="169"/>
      <c r="C349" s="169"/>
      <c r="D349" s="169"/>
      <c r="E349" s="169"/>
    </row>
    <row r="350" ht="15.75" customHeight="1">
      <c r="A350" s="169"/>
      <c r="B350" s="169"/>
      <c r="C350" s="169"/>
      <c r="D350" s="169"/>
      <c r="E350" s="169"/>
    </row>
    <row r="351" ht="15.75" customHeight="1">
      <c r="A351" s="169"/>
      <c r="B351" s="169"/>
      <c r="C351" s="169"/>
      <c r="D351" s="169"/>
      <c r="E351" s="169"/>
    </row>
    <row r="352" ht="15.75" customHeight="1">
      <c r="A352" s="169"/>
      <c r="B352" s="169"/>
      <c r="C352" s="169"/>
      <c r="D352" s="169"/>
      <c r="E352" s="169"/>
    </row>
    <row r="353" ht="15.75" customHeight="1">
      <c r="A353" s="169"/>
      <c r="B353" s="169"/>
      <c r="C353" s="169"/>
      <c r="D353" s="169"/>
      <c r="E353" s="169"/>
    </row>
    <row r="354" ht="15.75" customHeight="1">
      <c r="A354" s="169"/>
      <c r="B354" s="169"/>
      <c r="C354" s="169"/>
      <c r="D354" s="169"/>
      <c r="E354" s="169"/>
    </row>
    <row r="355" ht="15.75" customHeight="1">
      <c r="A355" s="169"/>
      <c r="B355" s="169"/>
      <c r="C355" s="169"/>
      <c r="D355" s="169"/>
      <c r="E355" s="169"/>
    </row>
    <row r="356" ht="15.75" customHeight="1">
      <c r="A356" s="169"/>
      <c r="B356" s="169"/>
      <c r="C356" s="169"/>
      <c r="D356" s="169"/>
      <c r="E356" s="169"/>
    </row>
    <row r="357" ht="15.75" customHeight="1">
      <c r="A357" s="169"/>
      <c r="B357" s="169"/>
      <c r="C357" s="169"/>
      <c r="D357" s="169"/>
      <c r="E357" s="169"/>
    </row>
    <row r="358" ht="15.75" customHeight="1">
      <c r="A358" s="169"/>
      <c r="B358" s="169"/>
      <c r="C358" s="169"/>
      <c r="D358" s="169"/>
      <c r="E358" s="169"/>
    </row>
    <row r="359" ht="15.75" customHeight="1">
      <c r="A359" s="169"/>
      <c r="B359" s="169"/>
      <c r="C359" s="169"/>
      <c r="D359" s="169"/>
      <c r="E359" s="169"/>
    </row>
    <row r="360" ht="15.75" customHeight="1">
      <c r="A360" s="169"/>
      <c r="B360" s="169"/>
      <c r="C360" s="169"/>
      <c r="D360" s="169"/>
      <c r="E360" s="169"/>
    </row>
    <row r="361" ht="15.75" customHeight="1">
      <c r="A361" s="169"/>
      <c r="B361" s="169"/>
      <c r="C361" s="169"/>
      <c r="D361" s="169"/>
      <c r="E361" s="169"/>
    </row>
    <row r="362" ht="15.75" customHeight="1">
      <c r="A362" s="169"/>
      <c r="B362" s="169"/>
      <c r="C362" s="169"/>
      <c r="D362" s="169"/>
      <c r="E362" s="169"/>
    </row>
    <row r="363" ht="15.75" customHeight="1">
      <c r="A363" s="169"/>
      <c r="B363" s="169"/>
      <c r="C363" s="169"/>
      <c r="D363" s="169"/>
      <c r="E363" s="169"/>
    </row>
    <row r="364" ht="15.75" customHeight="1">
      <c r="A364" s="169"/>
      <c r="B364" s="169"/>
      <c r="C364" s="169"/>
      <c r="D364" s="169"/>
      <c r="E364" s="169"/>
    </row>
    <row r="365" ht="15.75" customHeight="1">
      <c r="A365" s="169"/>
      <c r="B365" s="169"/>
      <c r="C365" s="169"/>
      <c r="D365" s="169"/>
      <c r="E365" s="169"/>
    </row>
    <row r="366" ht="15.75" customHeight="1">
      <c r="A366" s="169"/>
      <c r="B366" s="169"/>
      <c r="C366" s="169"/>
      <c r="D366" s="169"/>
      <c r="E366" s="169"/>
    </row>
    <row r="367" ht="15.75" customHeight="1">
      <c r="A367" s="169"/>
      <c r="B367" s="169"/>
      <c r="C367" s="169"/>
      <c r="D367" s="169"/>
      <c r="E367" s="169"/>
    </row>
    <row r="368" ht="15.75" customHeight="1">
      <c r="A368" s="169"/>
      <c r="B368" s="169"/>
      <c r="C368" s="169"/>
      <c r="D368" s="169"/>
      <c r="E368" s="169"/>
    </row>
    <row r="369" ht="15.75" customHeight="1">
      <c r="A369" s="169"/>
      <c r="B369" s="169"/>
      <c r="C369" s="169"/>
      <c r="D369" s="169"/>
      <c r="E369" s="169"/>
    </row>
    <row r="370" ht="15.75" customHeight="1">
      <c r="A370" s="169"/>
      <c r="B370" s="169"/>
      <c r="C370" s="169"/>
      <c r="D370" s="169"/>
      <c r="E370" s="169"/>
    </row>
    <row r="371" ht="15.75" customHeight="1">
      <c r="A371" s="169"/>
      <c r="B371" s="169"/>
      <c r="C371" s="169"/>
      <c r="D371" s="169"/>
      <c r="E371" s="169"/>
    </row>
    <row r="372" ht="15.75" customHeight="1">
      <c r="A372" s="169"/>
      <c r="B372" s="169"/>
      <c r="C372" s="169"/>
      <c r="D372" s="169"/>
      <c r="E372" s="169"/>
    </row>
    <row r="373" ht="15.75" customHeight="1">
      <c r="A373" s="169"/>
      <c r="B373" s="169"/>
      <c r="C373" s="169"/>
      <c r="D373" s="169"/>
      <c r="E373" s="169"/>
    </row>
    <row r="374" ht="15.75" customHeight="1">
      <c r="A374" s="169"/>
      <c r="B374" s="169"/>
      <c r="C374" s="169"/>
      <c r="D374" s="169"/>
      <c r="E374" s="169"/>
    </row>
    <row r="375" ht="15.75" customHeight="1">
      <c r="A375" s="169"/>
      <c r="B375" s="169"/>
      <c r="C375" s="169"/>
      <c r="D375" s="169"/>
      <c r="E375" s="169"/>
    </row>
    <row r="376" ht="15.75" customHeight="1">
      <c r="A376" s="169"/>
      <c r="B376" s="169"/>
      <c r="C376" s="169"/>
      <c r="D376" s="169"/>
      <c r="E376" s="169"/>
    </row>
    <row r="377" ht="15.75" customHeight="1">
      <c r="A377" s="169"/>
      <c r="B377" s="169"/>
      <c r="C377" s="169"/>
      <c r="D377" s="169"/>
      <c r="E377" s="169"/>
    </row>
    <row r="378" ht="15.75" customHeight="1">
      <c r="A378" s="169"/>
      <c r="B378" s="169"/>
      <c r="C378" s="169"/>
      <c r="D378" s="169"/>
      <c r="E378" s="169"/>
    </row>
    <row r="379" ht="15.75" customHeight="1">
      <c r="A379" s="169"/>
      <c r="B379" s="169"/>
      <c r="C379" s="169"/>
      <c r="D379" s="169"/>
      <c r="E379" s="169"/>
    </row>
    <row r="380" ht="15.75" customHeight="1">
      <c r="A380" s="169"/>
      <c r="B380" s="169"/>
      <c r="C380" s="169"/>
      <c r="D380" s="169"/>
      <c r="E380" s="169"/>
    </row>
    <row r="381" ht="15.75" customHeight="1">
      <c r="A381" s="169"/>
      <c r="B381" s="169"/>
      <c r="C381" s="169"/>
      <c r="D381" s="169"/>
      <c r="E381" s="169"/>
    </row>
    <row r="382" ht="15.75" customHeight="1">
      <c r="A382" s="169"/>
      <c r="B382" s="169"/>
      <c r="C382" s="169"/>
      <c r="D382" s="169"/>
      <c r="E382" s="169"/>
    </row>
    <row r="383" ht="15.75" customHeight="1">
      <c r="A383" s="169"/>
      <c r="B383" s="169"/>
      <c r="C383" s="169"/>
      <c r="D383" s="169"/>
      <c r="E383" s="169"/>
    </row>
    <row r="384" ht="15.75" customHeight="1">
      <c r="A384" s="169"/>
      <c r="B384" s="169"/>
      <c r="C384" s="169"/>
      <c r="D384" s="169"/>
      <c r="E384" s="169"/>
    </row>
    <row r="385" ht="15.75" customHeight="1">
      <c r="A385" s="169"/>
      <c r="B385" s="169"/>
      <c r="C385" s="169"/>
      <c r="D385" s="169"/>
      <c r="E385" s="169"/>
    </row>
    <row r="386" ht="15.75" customHeight="1">
      <c r="A386" s="169"/>
      <c r="B386" s="169"/>
      <c r="C386" s="169"/>
      <c r="D386" s="169"/>
      <c r="E386" s="169"/>
    </row>
    <row r="387" ht="15.75" customHeight="1">
      <c r="A387" s="169"/>
      <c r="B387" s="169"/>
      <c r="C387" s="169"/>
      <c r="D387" s="169"/>
      <c r="E387" s="169"/>
    </row>
    <row r="388" ht="15.75" customHeight="1">
      <c r="A388" s="169"/>
      <c r="B388" s="169"/>
      <c r="C388" s="169"/>
      <c r="D388" s="169"/>
      <c r="E388" s="169"/>
    </row>
    <row r="389" ht="15.75" customHeight="1">
      <c r="A389" s="169"/>
      <c r="B389" s="169"/>
      <c r="C389" s="169"/>
      <c r="D389" s="169"/>
      <c r="E389" s="169"/>
    </row>
    <row r="390" ht="15.75" customHeight="1">
      <c r="A390" s="169"/>
      <c r="B390" s="169"/>
      <c r="C390" s="169"/>
      <c r="D390" s="169"/>
      <c r="E390" s="169"/>
    </row>
    <row r="391" ht="15.75" customHeight="1">
      <c r="A391" s="169"/>
      <c r="B391" s="169"/>
      <c r="C391" s="169"/>
      <c r="D391" s="169"/>
      <c r="E391" s="169"/>
    </row>
    <row r="392" ht="15.75" customHeight="1">
      <c r="A392" s="169"/>
      <c r="B392" s="169"/>
      <c r="C392" s="169"/>
      <c r="D392" s="169"/>
      <c r="E392" s="169"/>
    </row>
    <row r="393" ht="15.75" customHeight="1">
      <c r="A393" s="169"/>
      <c r="B393" s="169"/>
      <c r="C393" s="169"/>
      <c r="D393" s="169"/>
      <c r="E393" s="169"/>
    </row>
    <row r="394" ht="15.75" customHeight="1">
      <c r="A394" s="169"/>
      <c r="B394" s="169"/>
      <c r="C394" s="169"/>
      <c r="D394" s="169"/>
      <c r="E394" s="169"/>
    </row>
    <row r="395" ht="15.75" customHeight="1">
      <c r="A395" s="169"/>
      <c r="B395" s="169"/>
      <c r="C395" s="169"/>
      <c r="D395" s="169"/>
      <c r="E395" s="169"/>
    </row>
    <row r="396" ht="15.75" customHeight="1">
      <c r="A396" s="169"/>
      <c r="B396" s="169"/>
      <c r="C396" s="169"/>
      <c r="D396" s="169"/>
      <c r="E396" s="169"/>
    </row>
    <row r="397" ht="15.75" customHeight="1">
      <c r="A397" s="169"/>
      <c r="B397" s="169"/>
      <c r="C397" s="169"/>
      <c r="D397" s="169"/>
      <c r="E397" s="169"/>
    </row>
    <row r="398" ht="15.75" customHeight="1">
      <c r="A398" s="169"/>
      <c r="B398" s="169"/>
      <c r="C398" s="169"/>
      <c r="D398" s="169"/>
      <c r="E398" s="169"/>
    </row>
    <row r="399" ht="15.75" customHeight="1">
      <c r="A399" s="169"/>
      <c r="B399" s="169"/>
      <c r="C399" s="169"/>
      <c r="D399" s="169"/>
      <c r="E399" s="169"/>
    </row>
    <row r="400" ht="15.75" customHeight="1">
      <c r="A400" s="169"/>
      <c r="B400" s="169"/>
      <c r="C400" s="169"/>
      <c r="D400" s="169"/>
      <c r="E400" s="169"/>
    </row>
    <row r="401" ht="15.75" customHeight="1">
      <c r="A401" s="169"/>
      <c r="B401" s="169"/>
      <c r="C401" s="169"/>
      <c r="D401" s="169"/>
      <c r="E401" s="169"/>
    </row>
    <row r="402" ht="15.75" customHeight="1">
      <c r="A402" s="169"/>
      <c r="B402" s="169"/>
      <c r="C402" s="169"/>
      <c r="D402" s="169"/>
      <c r="E402" s="169"/>
    </row>
    <row r="403" ht="15.75" customHeight="1">
      <c r="A403" s="169"/>
      <c r="B403" s="169"/>
      <c r="C403" s="169"/>
      <c r="D403" s="169"/>
      <c r="E403" s="169"/>
    </row>
    <row r="404" ht="15.75" customHeight="1">
      <c r="A404" s="169"/>
      <c r="B404" s="169"/>
      <c r="C404" s="169"/>
      <c r="D404" s="169"/>
      <c r="E404" s="169"/>
    </row>
    <row r="405" ht="15.75" customHeight="1">
      <c r="A405" s="169"/>
      <c r="B405" s="169"/>
      <c r="C405" s="169"/>
      <c r="D405" s="169"/>
      <c r="E405" s="169"/>
    </row>
    <row r="406" ht="15.75" customHeight="1">
      <c r="A406" s="169"/>
      <c r="B406" s="169"/>
      <c r="C406" s="169"/>
      <c r="D406" s="169"/>
      <c r="E406" s="169"/>
    </row>
    <row r="407" ht="15.75" customHeight="1">
      <c r="A407" s="169"/>
      <c r="B407" s="169"/>
      <c r="C407" s="169"/>
      <c r="D407" s="169"/>
      <c r="E407" s="169"/>
    </row>
    <row r="408" ht="15.75" customHeight="1">
      <c r="A408" s="169"/>
      <c r="B408" s="169"/>
      <c r="C408" s="169"/>
      <c r="D408" s="169"/>
      <c r="E408" s="169"/>
    </row>
    <row r="409" ht="15.75" customHeight="1">
      <c r="A409" s="169"/>
      <c r="B409" s="169"/>
      <c r="C409" s="169"/>
      <c r="D409" s="169"/>
      <c r="E409" s="169"/>
    </row>
    <row r="410" ht="15.75" customHeight="1">
      <c r="A410" s="169"/>
      <c r="B410" s="169"/>
      <c r="C410" s="169"/>
      <c r="D410" s="169"/>
      <c r="E410" s="169"/>
    </row>
    <row r="411" ht="15.75" customHeight="1">
      <c r="A411" s="169"/>
      <c r="B411" s="169"/>
      <c r="C411" s="169"/>
      <c r="D411" s="169"/>
      <c r="E411" s="169"/>
    </row>
    <row r="412" ht="15.75" customHeight="1">
      <c r="A412" s="169"/>
      <c r="B412" s="169"/>
      <c r="C412" s="169"/>
      <c r="D412" s="169"/>
      <c r="E412" s="169"/>
    </row>
    <row r="413" ht="15.75" customHeight="1">
      <c r="A413" s="169"/>
      <c r="B413" s="169"/>
      <c r="C413" s="169"/>
      <c r="D413" s="169"/>
      <c r="E413" s="169"/>
    </row>
    <row r="414" ht="15.75" customHeight="1">
      <c r="A414" s="169"/>
      <c r="B414" s="169"/>
      <c r="C414" s="169"/>
      <c r="D414" s="169"/>
      <c r="E414" s="169"/>
    </row>
    <row r="415" ht="15.75" customHeight="1">
      <c r="A415" s="169"/>
      <c r="B415" s="169"/>
      <c r="C415" s="169"/>
      <c r="D415" s="169"/>
      <c r="E415" s="169"/>
    </row>
    <row r="416" ht="15.75" customHeight="1">
      <c r="A416" s="169"/>
      <c r="B416" s="169"/>
      <c r="C416" s="169"/>
      <c r="D416" s="169"/>
      <c r="E416" s="169"/>
    </row>
    <row r="417" ht="15.75" customHeight="1">
      <c r="A417" s="169"/>
      <c r="B417" s="169"/>
      <c r="C417" s="169"/>
      <c r="D417" s="169"/>
      <c r="E417" s="169"/>
    </row>
    <row r="418" ht="15.75" customHeight="1">
      <c r="A418" s="169"/>
      <c r="B418" s="169"/>
      <c r="C418" s="169"/>
      <c r="D418" s="169"/>
      <c r="E418" s="169"/>
    </row>
    <row r="419" ht="15.75" customHeight="1">
      <c r="A419" s="169"/>
      <c r="B419" s="169"/>
      <c r="C419" s="169"/>
      <c r="D419" s="169"/>
      <c r="E419" s="169"/>
    </row>
    <row r="420" ht="15.75" customHeight="1">
      <c r="A420" s="169"/>
      <c r="B420" s="169"/>
      <c r="C420" s="169"/>
      <c r="D420" s="169"/>
      <c r="E420" s="169"/>
    </row>
    <row r="421" ht="15.75" customHeight="1">
      <c r="A421" s="169"/>
      <c r="B421" s="169"/>
      <c r="C421" s="169"/>
      <c r="D421" s="169"/>
      <c r="E421" s="169"/>
    </row>
    <row r="422" ht="15.75" customHeight="1">
      <c r="A422" s="169"/>
      <c r="B422" s="169"/>
      <c r="C422" s="169"/>
      <c r="D422" s="169"/>
      <c r="E422" s="169"/>
    </row>
    <row r="423" ht="15.75" customHeight="1">
      <c r="A423" s="169"/>
      <c r="B423" s="169"/>
      <c r="C423" s="169"/>
      <c r="D423" s="169"/>
      <c r="E423" s="169"/>
    </row>
    <row r="424" ht="15.75" customHeight="1">
      <c r="A424" s="169"/>
      <c r="B424" s="169"/>
      <c r="C424" s="169"/>
      <c r="D424" s="169"/>
      <c r="E424" s="169"/>
    </row>
    <row r="425" ht="15.75" customHeight="1">
      <c r="A425" s="169"/>
      <c r="B425" s="169"/>
      <c r="C425" s="169"/>
      <c r="D425" s="169"/>
      <c r="E425" s="169"/>
    </row>
    <row r="426" ht="15.75" customHeight="1">
      <c r="A426" s="169"/>
      <c r="B426" s="169"/>
      <c r="C426" s="169"/>
      <c r="D426" s="169"/>
      <c r="E426" s="169"/>
    </row>
    <row r="427" ht="15.75" customHeight="1">
      <c r="A427" s="169"/>
      <c r="B427" s="169"/>
      <c r="C427" s="169"/>
      <c r="D427" s="169"/>
      <c r="E427" s="169"/>
    </row>
    <row r="428" ht="15.75" customHeight="1">
      <c r="A428" s="169"/>
      <c r="B428" s="169"/>
      <c r="C428" s="169"/>
      <c r="D428" s="169"/>
      <c r="E428" s="169"/>
    </row>
    <row r="429" ht="15.75" customHeight="1">
      <c r="A429" s="169"/>
      <c r="B429" s="169"/>
      <c r="C429" s="169"/>
      <c r="D429" s="169"/>
      <c r="E429" s="169"/>
    </row>
    <row r="430" ht="15.75" customHeight="1">
      <c r="A430" s="169"/>
      <c r="B430" s="169"/>
      <c r="C430" s="169"/>
      <c r="D430" s="169"/>
      <c r="E430" s="169"/>
    </row>
    <row r="431" ht="15.75" customHeight="1">
      <c r="A431" s="169"/>
      <c r="B431" s="169"/>
      <c r="C431" s="169"/>
      <c r="D431" s="169"/>
      <c r="E431" s="169"/>
    </row>
    <row r="432" ht="15.75" customHeight="1">
      <c r="A432" s="169"/>
      <c r="B432" s="169"/>
      <c r="C432" s="169"/>
      <c r="D432" s="169"/>
      <c r="E432" s="169"/>
    </row>
    <row r="433" ht="15.75" customHeight="1">
      <c r="A433" s="169"/>
      <c r="B433" s="169"/>
      <c r="C433" s="169"/>
      <c r="D433" s="169"/>
      <c r="E433" s="169"/>
    </row>
    <row r="434" ht="15.75" customHeight="1">
      <c r="A434" s="169"/>
      <c r="B434" s="169"/>
      <c r="C434" s="169"/>
      <c r="D434" s="169"/>
      <c r="E434" s="169"/>
    </row>
    <row r="435" ht="15.75" customHeight="1">
      <c r="A435" s="169"/>
      <c r="B435" s="169"/>
      <c r="C435" s="169"/>
      <c r="D435" s="169"/>
      <c r="E435" s="169"/>
    </row>
    <row r="436" ht="15.75" customHeight="1">
      <c r="A436" s="169"/>
      <c r="B436" s="169"/>
      <c r="C436" s="169"/>
      <c r="D436" s="169"/>
      <c r="E436" s="169"/>
    </row>
    <row r="437" ht="15.75" customHeight="1">
      <c r="A437" s="169"/>
      <c r="B437" s="169"/>
      <c r="C437" s="169"/>
      <c r="D437" s="169"/>
      <c r="E437" s="169"/>
    </row>
    <row r="438" ht="15.75" customHeight="1">
      <c r="A438" s="169"/>
      <c r="B438" s="169"/>
      <c r="C438" s="169"/>
      <c r="D438" s="169"/>
      <c r="E438" s="169"/>
    </row>
    <row r="439" ht="15.75" customHeight="1">
      <c r="A439" s="169"/>
      <c r="B439" s="169"/>
      <c r="C439" s="169"/>
      <c r="D439" s="169"/>
      <c r="E439" s="169"/>
    </row>
    <row r="440" ht="15.75" customHeight="1">
      <c r="A440" s="169"/>
      <c r="B440" s="169"/>
      <c r="C440" s="169"/>
      <c r="D440" s="169"/>
      <c r="E440" s="169"/>
    </row>
    <row r="441" ht="15.75" customHeight="1">
      <c r="A441" s="169"/>
      <c r="B441" s="169"/>
      <c r="C441" s="169"/>
      <c r="D441" s="169"/>
      <c r="E441" s="169"/>
    </row>
    <row r="442" ht="15.75" customHeight="1">
      <c r="A442" s="169"/>
      <c r="B442" s="169"/>
      <c r="C442" s="169"/>
      <c r="D442" s="169"/>
      <c r="E442" s="169"/>
    </row>
    <row r="443" ht="15.75" customHeight="1">
      <c r="A443" s="169"/>
      <c r="B443" s="169"/>
      <c r="C443" s="169"/>
      <c r="D443" s="169"/>
      <c r="E443" s="169"/>
    </row>
    <row r="444" ht="15.75" customHeight="1">
      <c r="A444" s="169"/>
      <c r="B444" s="169"/>
      <c r="C444" s="169"/>
      <c r="D444" s="169"/>
      <c r="E444" s="169"/>
    </row>
    <row r="445" ht="15.75" customHeight="1">
      <c r="A445" s="169"/>
      <c r="B445" s="169"/>
      <c r="C445" s="169"/>
      <c r="D445" s="169"/>
      <c r="E445" s="169"/>
    </row>
    <row r="446" ht="15.75" customHeight="1">
      <c r="A446" s="169"/>
      <c r="B446" s="169"/>
      <c r="C446" s="169"/>
      <c r="D446" s="169"/>
      <c r="E446" s="169"/>
    </row>
    <row r="447" ht="15.75" customHeight="1">
      <c r="A447" s="169"/>
      <c r="B447" s="169"/>
      <c r="C447" s="169"/>
      <c r="D447" s="169"/>
      <c r="E447" s="169"/>
    </row>
    <row r="448" ht="15.75" customHeight="1">
      <c r="A448" s="169"/>
      <c r="B448" s="169"/>
      <c r="C448" s="169"/>
      <c r="D448" s="169"/>
      <c r="E448" s="169"/>
    </row>
    <row r="449" ht="15.75" customHeight="1">
      <c r="A449" s="169"/>
      <c r="B449" s="169"/>
      <c r="C449" s="169"/>
      <c r="D449" s="169"/>
      <c r="E449" s="169"/>
    </row>
    <row r="450" ht="15.75" customHeight="1">
      <c r="A450" s="169"/>
      <c r="B450" s="169"/>
      <c r="C450" s="169"/>
      <c r="D450" s="169"/>
      <c r="E450" s="169"/>
    </row>
    <row r="451" ht="15.75" customHeight="1">
      <c r="A451" s="169"/>
      <c r="B451" s="169"/>
      <c r="C451" s="169"/>
      <c r="D451" s="169"/>
      <c r="E451" s="169"/>
    </row>
    <row r="452" ht="15.75" customHeight="1">
      <c r="A452" s="169"/>
      <c r="B452" s="169"/>
      <c r="C452" s="169"/>
      <c r="D452" s="169"/>
      <c r="E452" s="169"/>
    </row>
    <row r="453" ht="15.75" customHeight="1">
      <c r="A453" s="169"/>
      <c r="B453" s="169"/>
      <c r="C453" s="169"/>
      <c r="D453" s="169"/>
      <c r="E453" s="169"/>
    </row>
    <row r="454" ht="15.75" customHeight="1">
      <c r="A454" s="169"/>
      <c r="B454" s="169"/>
      <c r="C454" s="169"/>
      <c r="D454" s="169"/>
      <c r="E454" s="169"/>
    </row>
    <row r="455" ht="15.75" customHeight="1">
      <c r="A455" s="169"/>
      <c r="B455" s="169"/>
      <c r="C455" s="169"/>
      <c r="D455" s="169"/>
      <c r="E455" s="169"/>
    </row>
    <row r="456" ht="15.75" customHeight="1">
      <c r="A456" s="169"/>
      <c r="B456" s="169"/>
      <c r="C456" s="169"/>
      <c r="D456" s="169"/>
      <c r="E456" s="169"/>
    </row>
    <row r="457" ht="15.75" customHeight="1">
      <c r="A457" s="169"/>
      <c r="B457" s="169"/>
      <c r="C457" s="169"/>
      <c r="D457" s="169"/>
      <c r="E457" s="169"/>
    </row>
    <row r="458" ht="15.75" customHeight="1">
      <c r="A458" s="169"/>
      <c r="B458" s="169"/>
      <c r="C458" s="169"/>
      <c r="D458" s="169"/>
      <c r="E458" s="169"/>
    </row>
    <row r="459" ht="15.75" customHeight="1">
      <c r="A459" s="169"/>
      <c r="B459" s="169"/>
      <c r="C459" s="169"/>
      <c r="D459" s="169"/>
      <c r="E459" s="169"/>
    </row>
    <row r="460" ht="15.75" customHeight="1">
      <c r="A460" s="169"/>
      <c r="B460" s="169"/>
      <c r="C460" s="169"/>
      <c r="D460" s="169"/>
      <c r="E460" s="169"/>
    </row>
    <row r="461" ht="15.75" customHeight="1">
      <c r="A461" s="169"/>
      <c r="B461" s="169"/>
      <c r="C461" s="169"/>
      <c r="D461" s="169"/>
      <c r="E461" s="169"/>
    </row>
    <row r="462" ht="15.75" customHeight="1">
      <c r="A462" s="169"/>
      <c r="B462" s="169"/>
      <c r="C462" s="169"/>
      <c r="D462" s="169"/>
      <c r="E462" s="169"/>
    </row>
    <row r="463" ht="15.75" customHeight="1">
      <c r="A463" s="169"/>
      <c r="B463" s="169"/>
      <c r="C463" s="169"/>
      <c r="D463" s="169"/>
      <c r="E463" s="169"/>
    </row>
    <row r="464" ht="15.75" customHeight="1">
      <c r="A464" s="169"/>
      <c r="B464" s="169"/>
      <c r="C464" s="169"/>
      <c r="D464" s="169"/>
      <c r="E464" s="169"/>
    </row>
    <row r="465" ht="15.75" customHeight="1">
      <c r="A465" s="169"/>
      <c r="B465" s="169"/>
      <c r="C465" s="169"/>
      <c r="D465" s="169"/>
      <c r="E465" s="169"/>
    </row>
    <row r="466" ht="15.75" customHeight="1">
      <c r="A466" s="169"/>
      <c r="B466" s="169"/>
      <c r="C466" s="169"/>
      <c r="D466" s="169"/>
      <c r="E466" s="169"/>
    </row>
    <row r="467" ht="15.75" customHeight="1">
      <c r="A467" s="169"/>
      <c r="B467" s="169"/>
      <c r="C467" s="169"/>
      <c r="D467" s="169"/>
      <c r="E467" s="169"/>
    </row>
    <row r="468" ht="15.75" customHeight="1">
      <c r="A468" s="169"/>
      <c r="B468" s="169"/>
      <c r="C468" s="169"/>
      <c r="D468" s="169"/>
      <c r="E468" s="169"/>
    </row>
    <row r="469" ht="15.75" customHeight="1">
      <c r="A469" s="169"/>
      <c r="B469" s="169"/>
      <c r="C469" s="169"/>
      <c r="D469" s="169"/>
      <c r="E469" s="169"/>
    </row>
    <row r="470" ht="15.75" customHeight="1">
      <c r="A470" s="169"/>
      <c r="B470" s="169"/>
      <c r="C470" s="169"/>
      <c r="D470" s="169"/>
      <c r="E470" s="169"/>
    </row>
    <row r="471" ht="15.75" customHeight="1">
      <c r="A471" s="169"/>
      <c r="B471" s="169"/>
      <c r="C471" s="169"/>
      <c r="D471" s="169"/>
      <c r="E471" s="169"/>
    </row>
    <row r="472" ht="15.75" customHeight="1">
      <c r="A472" s="169"/>
      <c r="B472" s="169"/>
      <c r="C472" s="169"/>
      <c r="D472" s="169"/>
      <c r="E472" s="169"/>
    </row>
    <row r="473" ht="15.75" customHeight="1">
      <c r="A473" s="169"/>
      <c r="B473" s="169"/>
      <c r="C473" s="169"/>
      <c r="D473" s="169"/>
      <c r="E473" s="169"/>
    </row>
    <row r="474" ht="15.75" customHeight="1">
      <c r="A474" s="169"/>
      <c r="B474" s="169"/>
      <c r="C474" s="169"/>
      <c r="D474" s="169"/>
      <c r="E474" s="169"/>
    </row>
    <row r="475" ht="15.75" customHeight="1">
      <c r="A475" s="169"/>
      <c r="B475" s="169"/>
      <c r="C475" s="169"/>
      <c r="D475" s="169"/>
      <c r="E475" s="169"/>
    </row>
    <row r="476" ht="15.75" customHeight="1">
      <c r="A476" s="169"/>
      <c r="B476" s="169"/>
      <c r="C476" s="169"/>
      <c r="D476" s="169"/>
      <c r="E476" s="169"/>
    </row>
    <row r="477" ht="15.75" customHeight="1">
      <c r="A477" s="169"/>
      <c r="B477" s="169"/>
      <c r="C477" s="169"/>
      <c r="D477" s="169"/>
      <c r="E477" s="169"/>
    </row>
    <row r="478" ht="15.75" customHeight="1">
      <c r="A478" s="169"/>
      <c r="B478" s="169"/>
      <c r="C478" s="169"/>
      <c r="D478" s="169"/>
      <c r="E478" s="169"/>
    </row>
    <row r="479" ht="15.75" customHeight="1">
      <c r="A479" s="169"/>
      <c r="B479" s="169"/>
      <c r="C479" s="169"/>
      <c r="D479" s="169"/>
      <c r="E479" s="169"/>
    </row>
    <row r="480" ht="15.75" customHeight="1">
      <c r="A480" s="169"/>
      <c r="B480" s="169"/>
      <c r="C480" s="169"/>
      <c r="D480" s="169"/>
      <c r="E480" s="169"/>
    </row>
    <row r="481" ht="15.75" customHeight="1">
      <c r="A481" s="169"/>
      <c r="B481" s="169"/>
      <c r="C481" s="169"/>
      <c r="D481" s="169"/>
      <c r="E481" s="169"/>
    </row>
    <row r="482" ht="15.75" customHeight="1">
      <c r="A482" s="169"/>
      <c r="B482" s="169"/>
      <c r="C482" s="169"/>
      <c r="D482" s="169"/>
      <c r="E482" s="169"/>
    </row>
    <row r="483" ht="15.75" customHeight="1">
      <c r="A483" s="169"/>
      <c r="B483" s="169"/>
      <c r="C483" s="169"/>
      <c r="D483" s="169"/>
      <c r="E483" s="169"/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69:$L$169"/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86"/>
    <col customWidth="1" min="3" max="3" width="15.86"/>
    <col customWidth="1" min="4" max="4" width="12.29"/>
    <col customWidth="1" min="5" max="5" width="26.86"/>
    <col customWidth="1" min="6" max="6" width="13.86"/>
    <col customWidth="1" min="7" max="7" width="19.14"/>
    <col customWidth="1" min="8" max="8" width="13.29"/>
    <col customWidth="1" min="9" max="9" width="16.29"/>
    <col customWidth="1" min="10" max="10" width="8.71"/>
    <col customWidth="1" min="11" max="11" width="15.29"/>
    <col customWidth="1" min="12" max="12" width="16.71"/>
    <col customWidth="1" min="13" max="17" width="8.71"/>
  </cols>
  <sheetData>
    <row r="1" ht="31.5" customHeight="1">
      <c r="A1" s="89" t="s">
        <v>0</v>
      </c>
      <c r="B1" s="89" t="s">
        <v>1</v>
      </c>
      <c r="C1" s="89" t="s">
        <v>2</v>
      </c>
      <c r="D1" s="90" t="s">
        <v>3</v>
      </c>
      <c r="E1" s="89" t="s">
        <v>4</v>
      </c>
      <c r="F1" s="91" t="s">
        <v>5</v>
      </c>
      <c r="G1" s="92" t="s">
        <v>6</v>
      </c>
      <c r="H1" s="91" t="s">
        <v>39</v>
      </c>
      <c r="I1" s="91" t="s">
        <v>7</v>
      </c>
      <c r="J1" s="91" t="s">
        <v>39</v>
      </c>
      <c r="K1" s="92" t="s">
        <v>8</v>
      </c>
      <c r="L1" s="92" t="s">
        <v>9</v>
      </c>
    </row>
    <row r="2">
      <c r="A2" s="17" t="s">
        <v>742</v>
      </c>
      <c r="B2" s="17" t="s">
        <v>1142</v>
      </c>
      <c r="C2" s="17" t="s">
        <v>1143</v>
      </c>
      <c r="D2" s="17" t="s">
        <v>50</v>
      </c>
      <c r="E2" s="17" t="s">
        <v>434</v>
      </c>
      <c r="F2" s="87">
        <v>9000.0</v>
      </c>
      <c r="G2" s="100">
        <v>1035000.0</v>
      </c>
      <c r="H2" s="17" t="s">
        <v>42</v>
      </c>
      <c r="I2" s="100">
        <v>600000.0</v>
      </c>
      <c r="J2" s="17" t="s">
        <v>42</v>
      </c>
      <c r="K2" s="100">
        <f t="shared" ref="K2:K20" si="1">G2-I2</f>
        <v>435000</v>
      </c>
      <c r="L2" s="100">
        <v>3015000.0</v>
      </c>
    </row>
    <row r="3">
      <c r="A3" s="17" t="s">
        <v>743</v>
      </c>
      <c r="B3" s="17" t="s">
        <v>1142</v>
      </c>
      <c r="C3" s="17" t="s">
        <v>1143</v>
      </c>
      <c r="D3" s="17" t="s">
        <v>40</v>
      </c>
      <c r="E3" s="17" t="s">
        <v>41</v>
      </c>
      <c r="F3" s="87">
        <v>9000.0</v>
      </c>
      <c r="G3" s="100">
        <v>1450000.0</v>
      </c>
      <c r="H3" s="17" t="s">
        <v>44</v>
      </c>
      <c r="I3" s="100">
        <v>900000.0</v>
      </c>
      <c r="J3" s="17" t="s">
        <v>42</v>
      </c>
      <c r="K3" s="100">
        <f t="shared" si="1"/>
        <v>550000</v>
      </c>
      <c r="L3" s="100">
        <v>120000.0</v>
      </c>
    </row>
    <row r="4">
      <c r="A4" s="17" t="s">
        <v>1134</v>
      </c>
      <c r="B4" s="17" t="s">
        <v>1142</v>
      </c>
      <c r="C4" s="17" t="s">
        <v>1143</v>
      </c>
      <c r="D4" s="17" t="s">
        <v>40</v>
      </c>
      <c r="E4" s="17" t="s">
        <v>54</v>
      </c>
      <c r="F4" s="87">
        <v>9000.0</v>
      </c>
      <c r="G4" s="100">
        <v>1200000.0</v>
      </c>
      <c r="H4" s="17" t="s">
        <v>42</v>
      </c>
      <c r="I4" s="100">
        <v>640000.0</v>
      </c>
      <c r="J4" s="17" t="s">
        <v>42</v>
      </c>
      <c r="K4" s="100">
        <f t="shared" si="1"/>
        <v>560000</v>
      </c>
      <c r="L4" s="7"/>
    </row>
    <row r="5">
      <c r="A5" s="17" t="s">
        <v>744</v>
      </c>
      <c r="B5" s="17" t="s">
        <v>1142</v>
      </c>
      <c r="C5" s="17" t="s">
        <v>1143</v>
      </c>
      <c r="D5" s="17" t="s">
        <v>40</v>
      </c>
      <c r="E5" s="17" t="s">
        <v>474</v>
      </c>
      <c r="F5" s="87">
        <v>10000.0</v>
      </c>
      <c r="G5" s="100">
        <v>750000.0</v>
      </c>
      <c r="H5" s="17" t="s">
        <v>42</v>
      </c>
      <c r="I5" s="100">
        <v>375000.0</v>
      </c>
      <c r="J5" s="17" t="s">
        <v>42</v>
      </c>
      <c r="K5" s="100">
        <f t="shared" si="1"/>
        <v>375000</v>
      </c>
      <c r="L5" s="7"/>
    </row>
    <row r="6">
      <c r="A6" s="17" t="s">
        <v>153</v>
      </c>
      <c r="B6" s="17" t="s">
        <v>1142</v>
      </c>
      <c r="C6" s="17" t="s">
        <v>1143</v>
      </c>
      <c r="D6" s="17" t="s">
        <v>40</v>
      </c>
      <c r="E6" s="17" t="s">
        <v>613</v>
      </c>
      <c r="F6" s="87">
        <v>9000.0</v>
      </c>
      <c r="G6" s="100">
        <v>1305000.0</v>
      </c>
      <c r="H6" s="17" t="s">
        <v>44</v>
      </c>
      <c r="I6" s="100">
        <v>750000.0</v>
      </c>
      <c r="J6" s="17" t="s">
        <v>44</v>
      </c>
      <c r="K6" s="100">
        <f t="shared" si="1"/>
        <v>555000</v>
      </c>
      <c r="L6" s="7"/>
    </row>
    <row r="7">
      <c r="A7" s="17" t="s">
        <v>458</v>
      </c>
      <c r="B7" s="17" t="s">
        <v>1142</v>
      </c>
      <c r="C7" s="17" t="s">
        <v>1143</v>
      </c>
      <c r="D7" s="17" t="s">
        <v>40</v>
      </c>
      <c r="E7" s="17" t="s">
        <v>43</v>
      </c>
      <c r="F7" s="87">
        <v>9000.0</v>
      </c>
      <c r="G7" s="100">
        <v>1350000.0</v>
      </c>
      <c r="H7" s="17" t="s">
        <v>44</v>
      </c>
      <c r="I7" s="100">
        <v>800000.0</v>
      </c>
      <c r="J7" s="17" t="s">
        <v>42</v>
      </c>
      <c r="K7" s="100">
        <f t="shared" si="1"/>
        <v>550000</v>
      </c>
      <c r="L7" s="100">
        <v>1823000.0</v>
      </c>
    </row>
    <row r="8">
      <c r="A8" s="17" t="s">
        <v>459</v>
      </c>
      <c r="B8" s="17" t="s">
        <v>1142</v>
      </c>
      <c r="C8" s="17" t="s">
        <v>1143</v>
      </c>
      <c r="D8" s="17" t="s">
        <v>40</v>
      </c>
      <c r="E8" s="17" t="s">
        <v>474</v>
      </c>
      <c r="F8" s="87">
        <v>9000.0</v>
      </c>
      <c r="G8" s="100">
        <v>675000.0</v>
      </c>
      <c r="H8" s="17" t="s">
        <v>42</v>
      </c>
      <c r="I8" s="100">
        <v>350000.0</v>
      </c>
      <c r="J8" s="17" t="s">
        <v>42</v>
      </c>
      <c r="K8" s="100">
        <f t="shared" si="1"/>
        <v>325000</v>
      </c>
      <c r="L8" s="7"/>
    </row>
    <row r="9">
      <c r="A9" s="17" t="s">
        <v>460</v>
      </c>
      <c r="B9" s="17" t="s">
        <v>1142</v>
      </c>
      <c r="C9" s="17" t="s">
        <v>1143</v>
      </c>
      <c r="D9" s="17" t="s">
        <v>92</v>
      </c>
      <c r="E9" s="17" t="s">
        <v>474</v>
      </c>
      <c r="F9" s="87">
        <v>9000.0</v>
      </c>
      <c r="G9" s="100">
        <v>750000.0</v>
      </c>
      <c r="H9" s="17" t="s">
        <v>42</v>
      </c>
      <c r="I9" s="100">
        <v>375000.0</v>
      </c>
      <c r="J9" s="17" t="s">
        <v>42</v>
      </c>
      <c r="K9" s="100">
        <f t="shared" si="1"/>
        <v>375000</v>
      </c>
      <c r="L9" s="7"/>
    </row>
    <row r="10">
      <c r="A10" s="17" t="s">
        <v>155</v>
      </c>
      <c r="B10" s="17" t="s">
        <v>1142</v>
      </c>
      <c r="C10" s="17" t="s">
        <v>1143</v>
      </c>
      <c r="D10" s="17" t="s">
        <v>40</v>
      </c>
      <c r="E10" s="17" t="s">
        <v>94</v>
      </c>
      <c r="F10" s="87">
        <v>9000.0</v>
      </c>
      <c r="G10" s="100">
        <v>1200000.0</v>
      </c>
      <c r="H10" s="17" t="s">
        <v>42</v>
      </c>
      <c r="I10" s="100">
        <v>690000.0</v>
      </c>
      <c r="J10" s="17" t="s">
        <v>42</v>
      </c>
      <c r="K10" s="100">
        <f t="shared" si="1"/>
        <v>510000</v>
      </c>
      <c r="L10" s="7"/>
    </row>
    <row r="11">
      <c r="A11" s="17" t="s">
        <v>156</v>
      </c>
      <c r="B11" s="17" t="s">
        <v>1142</v>
      </c>
      <c r="C11" s="17" t="s">
        <v>1143</v>
      </c>
      <c r="D11" s="17" t="s">
        <v>30</v>
      </c>
      <c r="E11" s="17" t="s">
        <v>474</v>
      </c>
      <c r="F11" s="87">
        <v>9000.0</v>
      </c>
      <c r="G11" s="100">
        <v>720000.0</v>
      </c>
      <c r="H11" s="17" t="s">
        <v>44</v>
      </c>
      <c r="I11" s="100">
        <v>350000.0</v>
      </c>
      <c r="J11" s="17" t="s">
        <v>42</v>
      </c>
      <c r="K11" s="100">
        <f t="shared" si="1"/>
        <v>370000</v>
      </c>
      <c r="L11" s="100">
        <v>60000.0</v>
      </c>
    </row>
    <row r="12">
      <c r="A12" s="17" t="s">
        <v>158</v>
      </c>
      <c r="B12" s="17" t="s">
        <v>1142</v>
      </c>
      <c r="C12" s="17" t="s">
        <v>1143</v>
      </c>
      <c r="D12" s="17" t="s">
        <v>71</v>
      </c>
      <c r="E12" s="17" t="s">
        <v>840</v>
      </c>
      <c r="F12" s="87">
        <v>9000.0</v>
      </c>
      <c r="G12" s="100">
        <v>900000.0</v>
      </c>
      <c r="H12" s="17" t="s">
        <v>44</v>
      </c>
      <c r="I12" s="100">
        <v>350000.0</v>
      </c>
      <c r="J12" s="17" t="s">
        <v>42</v>
      </c>
      <c r="K12" s="100">
        <f t="shared" si="1"/>
        <v>550000</v>
      </c>
      <c r="L12" s="7"/>
    </row>
    <row r="13">
      <c r="A13" s="17" t="s">
        <v>159</v>
      </c>
      <c r="B13" s="17" t="s">
        <v>1142</v>
      </c>
      <c r="C13" s="17" t="s">
        <v>1143</v>
      </c>
      <c r="D13" s="17" t="s">
        <v>92</v>
      </c>
      <c r="E13" s="17" t="s">
        <v>1144</v>
      </c>
      <c r="F13" s="87">
        <v>9000.0</v>
      </c>
      <c r="G13" s="100">
        <v>700000.0</v>
      </c>
      <c r="H13" s="17" t="s">
        <v>42</v>
      </c>
      <c r="I13" s="100">
        <v>400000.0</v>
      </c>
      <c r="J13" s="17" t="s">
        <v>42</v>
      </c>
      <c r="K13" s="100">
        <f t="shared" si="1"/>
        <v>300000</v>
      </c>
      <c r="L13" s="7"/>
    </row>
    <row r="14">
      <c r="A14" s="17" t="s">
        <v>160</v>
      </c>
      <c r="B14" s="17" t="s">
        <v>1142</v>
      </c>
      <c r="C14" s="17" t="s">
        <v>1143</v>
      </c>
      <c r="D14" s="17" t="s">
        <v>40</v>
      </c>
      <c r="E14" s="17" t="s">
        <v>54</v>
      </c>
      <c r="F14" s="87">
        <v>9000.0</v>
      </c>
      <c r="G14" s="100">
        <v>1200000.0</v>
      </c>
      <c r="H14" s="17" t="s">
        <v>42</v>
      </c>
      <c r="I14" s="100">
        <v>640000.0</v>
      </c>
      <c r="J14" s="17" t="s">
        <v>42</v>
      </c>
      <c r="K14" s="100">
        <f t="shared" si="1"/>
        <v>560000</v>
      </c>
      <c r="L14" s="100">
        <v>98000.0</v>
      </c>
      <c r="M14" s="168" t="s">
        <v>1145</v>
      </c>
    </row>
    <row r="15">
      <c r="A15" s="17" t="s">
        <v>162</v>
      </c>
      <c r="B15" s="17" t="s">
        <v>1142</v>
      </c>
      <c r="C15" s="17" t="s">
        <v>1143</v>
      </c>
      <c r="D15" s="17" t="s">
        <v>92</v>
      </c>
      <c r="E15" s="17" t="s">
        <v>474</v>
      </c>
      <c r="F15" s="87">
        <v>9000.0</v>
      </c>
      <c r="G15" s="100">
        <v>675000.0</v>
      </c>
      <c r="H15" s="17" t="s">
        <v>42</v>
      </c>
      <c r="I15" s="100">
        <v>350000.0</v>
      </c>
      <c r="J15" s="17" t="s">
        <v>42</v>
      </c>
      <c r="K15" s="100">
        <f t="shared" si="1"/>
        <v>325000</v>
      </c>
      <c r="L15" s="7"/>
    </row>
    <row r="16">
      <c r="A16" s="17" t="s">
        <v>163</v>
      </c>
      <c r="B16" s="17" t="s">
        <v>1142</v>
      </c>
      <c r="C16" s="17" t="s">
        <v>1143</v>
      </c>
      <c r="D16" s="17" t="s">
        <v>85</v>
      </c>
      <c r="E16" s="17" t="s">
        <v>434</v>
      </c>
      <c r="F16" s="87">
        <v>9000.0</v>
      </c>
      <c r="G16" s="100">
        <v>1125000.0</v>
      </c>
      <c r="H16" s="17" t="s">
        <v>42</v>
      </c>
      <c r="I16" s="100">
        <v>640000.0</v>
      </c>
      <c r="J16" s="17" t="s">
        <v>42</v>
      </c>
      <c r="K16" s="100">
        <f t="shared" si="1"/>
        <v>485000</v>
      </c>
      <c r="L16" s="7"/>
    </row>
    <row r="17">
      <c r="A17" s="17" t="s">
        <v>164</v>
      </c>
      <c r="B17" s="17" t="s">
        <v>1142</v>
      </c>
      <c r="C17" s="17" t="s">
        <v>1143</v>
      </c>
      <c r="D17" s="17" t="s">
        <v>85</v>
      </c>
      <c r="E17" s="17" t="s">
        <v>474</v>
      </c>
      <c r="F17" s="87">
        <v>9000.0</v>
      </c>
      <c r="G17" s="100">
        <v>675000.0</v>
      </c>
      <c r="H17" s="17" t="s">
        <v>42</v>
      </c>
      <c r="I17" s="100">
        <v>350000.0</v>
      </c>
      <c r="J17" s="17" t="s">
        <v>42</v>
      </c>
      <c r="K17" s="100">
        <f t="shared" si="1"/>
        <v>325000</v>
      </c>
      <c r="L17" s="7"/>
    </row>
    <row r="18">
      <c r="A18" s="17" t="s">
        <v>164</v>
      </c>
      <c r="B18" s="17" t="s">
        <v>1142</v>
      </c>
      <c r="C18" s="17" t="s">
        <v>1143</v>
      </c>
      <c r="D18" s="17" t="s">
        <v>85</v>
      </c>
      <c r="E18" s="17" t="s">
        <v>161</v>
      </c>
      <c r="F18" s="87">
        <v>9000.0</v>
      </c>
      <c r="G18" s="100">
        <v>1215000.0</v>
      </c>
      <c r="H18" s="17" t="s">
        <v>44</v>
      </c>
      <c r="I18" s="100">
        <v>700000.0</v>
      </c>
      <c r="J18" s="17" t="s">
        <v>42</v>
      </c>
      <c r="K18" s="100">
        <f t="shared" si="1"/>
        <v>515000</v>
      </c>
      <c r="L18" s="7"/>
    </row>
    <row r="19">
      <c r="A19" s="17" t="s">
        <v>166</v>
      </c>
      <c r="B19" s="17" t="s">
        <v>1142</v>
      </c>
      <c r="C19" s="17" t="s">
        <v>1143</v>
      </c>
      <c r="D19" s="17" t="s">
        <v>85</v>
      </c>
      <c r="E19" s="17" t="s">
        <v>109</v>
      </c>
      <c r="F19" s="87">
        <v>9000.0</v>
      </c>
      <c r="G19" s="100">
        <v>720000.0</v>
      </c>
      <c r="H19" s="17" t="s">
        <v>42</v>
      </c>
      <c r="I19" s="100">
        <v>350000.0</v>
      </c>
      <c r="J19" s="17" t="s">
        <v>42</v>
      </c>
      <c r="K19" s="100">
        <f t="shared" si="1"/>
        <v>370000</v>
      </c>
      <c r="L19" s="7"/>
    </row>
    <row r="20">
      <c r="A20" s="17" t="s">
        <v>464</v>
      </c>
      <c r="B20" s="17" t="s">
        <v>1142</v>
      </c>
      <c r="C20" s="17" t="s">
        <v>1143</v>
      </c>
      <c r="D20" s="17" t="s">
        <v>40</v>
      </c>
      <c r="E20" s="17" t="s">
        <v>474</v>
      </c>
      <c r="F20" s="87">
        <v>10000.0</v>
      </c>
      <c r="G20" s="100">
        <v>750000.0</v>
      </c>
      <c r="H20" s="17" t="s">
        <v>42</v>
      </c>
      <c r="I20" s="100">
        <v>375000.0</v>
      </c>
      <c r="J20" s="17" t="s">
        <v>42</v>
      </c>
      <c r="K20" s="100">
        <f t="shared" si="1"/>
        <v>375000</v>
      </c>
      <c r="L20" s="100">
        <v>1480000.0</v>
      </c>
    </row>
    <row r="21" ht="15.75" customHeight="1">
      <c r="A21" s="7"/>
      <c r="B21" s="7"/>
      <c r="C21" s="7"/>
      <c r="D21" s="7"/>
      <c r="E21" s="7"/>
      <c r="F21" s="7"/>
      <c r="G21" s="100"/>
      <c r="H21" s="7"/>
      <c r="I21" s="100"/>
      <c r="J21" s="7"/>
      <c r="K21" s="307">
        <f t="shared" ref="K21:L21" si="2">SUM(K2:K20)</f>
        <v>8410000</v>
      </c>
      <c r="L21" s="423">
        <f t="shared" si="2"/>
        <v>6596000</v>
      </c>
    </row>
    <row r="22" ht="15.75" customHeight="1">
      <c r="A22" s="7"/>
      <c r="B22" s="7"/>
      <c r="C22" s="7"/>
      <c r="D22" s="7"/>
      <c r="E22" s="7"/>
      <c r="F22" s="7"/>
      <c r="G22" s="100"/>
      <c r="H22" s="7"/>
      <c r="I22" s="100"/>
      <c r="J22" s="7"/>
      <c r="K22" s="309">
        <f>K21-L21</f>
        <v>1814000</v>
      </c>
      <c r="L22" s="61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100"/>
      <c r="J23" s="7"/>
      <c r="K23" s="7"/>
      <c r="L23" s="7"/>
    </row>
    <row r="24" ht="15.75" customHeight="1">
      <c r="A24" s="89" t="s">
        <v>0</v>
      </c>
      <c r="B24" s="89" t="s">
        <v>1</v>
      </c>
      <c r="C24" s="89" t="s">
        <v>2</v>
      </c>
      <c r="D24" s="90" t="s">
        <v>3</v>
      </c>
      <c r="E24" s="89" t="s">
        <v>4</v>
      </c>
      <c r="F24" s="91" t="s">
        <v>5</v>
      </c>
      <c r="G24" s="92" t="s">
        <v>6</v>
      </c>
      <c r="H24" s="92" t="s">
        <v>39</v>
      </c>
      <c r="I24" s="91" t="s">
        <v>7</v>
      </c>
      <c r="J24" s="91" t="s">
        <v>39</v>
      </c>
      <c r="K24" s="92" t="s">
        <v>8</v>
      </c>
      <c r="L24" s="92" t="s">
        <v>9</v>
      </c>
    </row>
    <row r="25" ht="15.75" customHeight="1">
      <c r="A25" s="17" t="s">
        <v>171</v>
      </c>
      <c r="B25" s="17" t="s">
        <v>1142</v>
      </c>
      <c r="C25" s="17" t="s">
        <v>1143</v>
      </c>
      <c r="D25" s="17" t="s">
        <v>30</v>
      </c>
      <c r="E25" s="17" t="s">
        <v>94</v>
      </c>
      <c r="F25" s="87">
        <v>8500.0</v>
      </c>
      <c r="G25" s="58">
        <v>1200000.0</v>
      </c>
      <c r="H25" s="17" t="s">
        <v>42</v>
      </c>
      <c r="I25" s="58">
        <v>640000.0</v>
      </c>
      <c r="J25" s="17" t="s">
        <v>42</v>
      </c>
      <c r="K25" s="58">
        <f t="shared" ref="K25:K37" si="3">G25-I25</f>
        <v>560000</v>
      </c>
      <c r="L25" s="58">
        <v>0.0</v>
      </c>
    </row>
    <row r="26" ht="15.75" customHeight="1">
      <c r="A26" s="17" t="s">
        <v>174</v>
      </c>
      <c r="B26" s="17" t="s">
        <v>1142</v>
      </c>
      <c r="C26" s="17" t="s">
        <v>1143</v>
      </c>
      <c r="D26" s="17" t="s">
        <v>37</v>
      </c>
      <c r="E26" s="17" t="s">
        <v>1144</v>
      </c>
      <c r="F26" s="87">
        <v>9000.0</v>
      </c>
      <c r="G26" s="58">
        <v>700000.0</v>
      </c>
      <c r="H26" s="17" t="s">
        <v>42</v>
      </c>
      <c r="I26" s="58">
        <v>400000.0</v>
      </c>
      <c r="J26" s="17" t="s">
        <v>42</v>
      </c>
      <c r="K26" s="58">
        <f t="shared" si="3"/>
        <v>300000</v>
      </c>
      <c r="L26" s="58">
        <v>0.0</v>
      </c>
    </row>
    <row r="27" ht="15.75" customHeight="1">
      <c r="A27" s="17" t="s">
        <v>635</v>
      </c>
      <c r="B27" s="17" t="s">
        <v>1142</v>
      </c>
      <c r="C27" s="17" t="s">
        <v>1143</v>
      </c>
      <c r="D27" s="17" t="s">
        <v>40</v>
      </c>
      <c r="E27" s="17" t="s">
        <v>397</v>
      </c>
      <c r="F27" s="87">
        <v>9000.0</v>
      </c>
      <c r="G27" s="58">
        <v>900000.0</v>
      </c>
      <c r="H27" s="17" t="s">
        <v>44</v>
      </c>
      <c r="I27" s="58">
        <v>450000.0</v>
      </c>
      <c r="J27" s="17" t="s">
        <v>42</v>
      </c>
      <c r="K27" s="58">
        <f t="shared" si="3"/>
        <v>450000</v>
      </c>
      <c r="L27" s="58">
        <v>596000.0</v>
      </c>
    </row>
    <row r="28" ht="15.75" customHeight="1">
      <c r="A28" s="17" t="s">
        <v>177</v>
      </c>
      <c r="B28" s="17" t="s">
        <v>1142</v>
      </c>
      <c r="C28" s="17" t="s">
        <v>1143</v>
      </c>
      <c r="D28" s="17" t="s">
        <v>217</v>
      </c>
      <c r="E28" s="17" t="s">
        <v>627</v>
      </c>
      <c r="F28" s="87">
        <v>9000.0</v>
      </c>
      <c r="G28" s="58">
        <v>900000.0</v>
      </c>
      <c r="H28" s="17" t="s">
        <v>44</v>
      </c>
      <c r="I28" s="58">
        <v>400000.0</v>
      </c>
      <c r="J28" s="60" t="s">
        <v>42</v>
      </c>
      <c r="K28" s="58">
        <f t="shared" si="3"/>
        <v>500000</v>
      </c>
      <c r="L28" s="58">
        <v>0.0</v>
      </c>
    </row>
    <row r="29" ht="15.75" customHeight="1">
      <c r="A29" s="17" t="s">
        <v>179</v>
      </c>
      <c r="B29" s="17" t="s">
        <v>1142</v>
      </c>
      <c r="C29" s="17" t="s">
        <v>1143</v>
      </c>
      <c r="D29" s="17" t="s">
        <v>30</v>
      </c>
      <c r="E29" s="17" t="s">
        <v>105</v>
      </c>
      <c r="F29" s="87">
        <v>9000.0</v>
      </c>
      <c r="G29" s="58">
        <v>675000.0</v>
      </c>
      <c r="H29" s="17" t="s">
        <v>42</v>
      </c>
      <c r="I29" s="58">
        <v>350000.0</v>
      </c>
      <c r="J29" s="60" t="s">
        <v>42</v>
      </c>
      <c r="K29" s="58">
        <f t="shared" si="3"/>
        <v>325000</v>
      </c>
      <c r="L29" s="58">
        <v>0.0</v>
      </c>
    </row>
    <row r="30" ht="15.75" customHeight="1">
      <c r="A30" s="17" t="s">
        <v>183</v>
      </c>
      <c r="B30" s="17" t="s">
        <v>1142</v>
      </c>
      <c r="C30" s="17" t="s">
        <v>1143</v>
      </c>
      <c r="D30" s="17" t="s">
        <v>40</v>
      </c>
      <c r="E30" s="17" t="s">
        <v>199</v>
      </c>
      <c r="F30" s="87">
        <v>9000.0</v>
      </c>
      <c r="G30" s="58">
        <v>1125000.0</v>
      </c>
      <c r="H30" s="17" t="s">
        <v>42</v>
      </c>
      <c r="I30" s="58">
        <v>640000.0</v>
      </c>
      <c r="J30" s="60" t="s">
        <v>42</v>
      </c>
      <c r="K30" s="58">
        <f t="shared" si="3"/>
        <v>485000</v>
      </c>
      <c r="L30" s="58">
        <v>0.0</v>
      </c>
    </row>
    <row r="31" ht="15.75" customHeight="1">
      <c r="A31" s="17" t="s">
        <v>185</v>
      </c>
      <c r="B31" s="17" t="s">
        <v>1142</v>
      </c>
      <c r="C31" s="17" t="s">
        <v>1143</v>
      </c>
      <c r="D31" s="17" t="s">
        <v>71</v>
      </c>
      <c r="E31" s="17" t="s">
        <v>477</v>
      </c>
      <c r="F31" s="87">
        <v>9000.0</v>
      </c>
      <c r="G31" s="58">
        <v>900000.0</v>
      </c>
      <c r="H31" s="199" t="s">
        <v>44</v>
      </c>
      <c r="I31" s="58">
        <v>350000.0</v>
      </c>
      <c r="J31" s="17" t="s">
        <v>42</v>
      </c>
      <c r="K31" s="58">
        <f t="shared" si="3"/>
        <v>550000</v>
      </c>
      <c r="L31" s="58">
        <v>0.0</v>
      </c>
      <c r="M31" s="424"/>
      <c r="N31" s="424"/>
      <c r="O31" s="424"/>
      <c r="P31" s="424"/>
      <c r="Q31" s="424"/>
    </row>
    <row r="32" ht="15.75" customHeight="1">
      <c r="A32" s="17" t="s">
        <v>469</v>
      </c>
      <c r="B32" s="17" t="s">
        <v>1142</v>
      </c>
      <c r="C32" s="17" t="s">
        <v>1143</v>
      </c>
      <c r="D32" s="17" t="s">
        <v>1146</v>
      </c>
      <c r="E32" s="97" t="s">
        <v>100</v>
      </c>
      <c r="F32" s="87">
        <v>0.0</v>
      </c>
      <c r="G32" s="58">
        <v>700000.0</v>
      </c>
      <c r="H32" s="199" t="s">
        <v>44</v>
      </c>
      <c r="I32" s="58">
        <v>450000.0</v>
      </c>
      <c r="J32" s="17" t="s">
        <v>42</v>
      </c>
      <c r="K32" s="58">
        <f t="shared" si="3"/>
        <v>250000</v>
      </c>
      <c r="L32" s="58">
        <v>0.0</v>
      </c>
      <c r="M32" s="425"/>
      <c r="N32" s="424"/>
      <c r="O32" s="424"/>
      <c r="P32" s="424"/>
      <c r="Q32" s="424"/>
    </row>
    <row r="33" ht="15.75" customHeight="1">
      <c r="A33" s="17" t="s">
        <v>470</v>
      </c>
      <c r="B33" s="17" t="s">
        <v>1142</v>
      </c>
      <c r="C33" s="17" t="s">
        <v>1143</v>
      </c>
      <c r="D33" s="17" t="s">
        <v>40</v>
      </c>
      <c r="E33" s="17" t="s">
        <v>199</v>
      </c>
      <c r="F33" s="87">
        <v>9000.0</v>
      </c>
      <c r="G33" s="58">
        <v>1035000.0</v>
      </c>
      <c r="H33" s="17" t="s">
        <v>42</v>
      </c>
      <c r="I33" s="58">
        <v>600000.0</v>
      </c>
      <c r="J33" s="17" t="s">
        <v>42</v>
      </c>
      <c r="K33" s="58">
        <f t="shared" si="3"/>
        <v>435000</v>
      </c>
      <c r="L33" s="58">
        <v>897000.0</v>
      </c>
    </row>
    <row r="34" ht="15.75" customHeight="1">
      <c r="A34" s="17" t="s">
        <v>189</v>
      </c>
      <c r="B34" s="17" t="s">
        <v>1142</v>
      </c>
      <c r="C34" s="17" t="s">
        <v>1143</v>
      </c>
      <c r="D34" s="17" t="s">
        <v>1147</v>
      </c>
      <c r="E34" s="17" t="s">
        <v>109</v>
      </c>
      <c r="F34" s="87">
        <v>9000.0</v>
      </c>
      <c r="G34" s="58">
        <v>720000.0</v>
      </c>
      <c r="H34" s="17" t="s">
        <v>42</v>
      </c>
      <c r="I34" s="58">
        <v>350000.0</v>
      </c>
      <c r="J34" s="17" t="s">
        <v>42</v>
      </c>
      <c r="K34" s="58">
        <f t="shared" si="3"/>
        <v>370000</v>
      </c>
      <c r="L34" s="58">
        <v>0.0</v>
      </c>
    </row>
    <row r="35" ht="15.75" customHeight="1">
      <c r="A35" s="17" t="s">
        <v>189</v>
      </c>
      <c r="B35" s="17" t="s">
        <v>1142</v>
      </c>
      <c r="C35" s="17" t="s">
        <v>1143</v>
      </c>
      <c r="D35" s="17" t="s">
        <v>40</v>
      </c>
      <c r="E35" s="17" t="s">
        <v>199</v>
      </c>
      <c r="F35" s="87">
        <v>9000.0</v>
      </c>
      <c r="G35" s="58">
        <v>1125000.0</v>
      </c>
      <c r="H35" s="17" t="s">
        <v>42</v>
      </c>
      <c r="I35" s="58">
        <v>640000.0</v>
      </c>
      <c r="J35" s="17" t="s">
        <v>42</v>
      </c>
      <c r="K35" s="58">
        <f t="shared" si="3"/>
        <v>485000</v>
      </c>
      <c r="L35" s="58">
        <v>0.0</v>
      </c>
    </row>
    <row r="36" ht="15.75" customHeight="1">
      <c r="A36" s="17" t="s">
        <v>192</v>
      </c>
      <c r="B36" s="17" t="s">
        <v>1142</v>
      </c>
      <c r="C36" s="17" t="s">
        <v>1143</v>
      </c>
      <c r="D36" s="17" t="s">
        <v>123</v>
      </c>
      <c r="E36" s="17" t="s">
        <v>109</v>
      </c>
      <c r="F36" s="87">
        <v>9000.0</v>
      </c>
      <c r="G36" s="58">
        <v>720000.0</v>
      </c>
      <c r="H36" s="17" t="s">
        <v>42</v>
      </c>
      <c r="I36" s="58">
        <v>350000.0</v>
      </c>
      <c r="J36" s="17" t="s">
        <v>42</v>
      </c>
      <c r="K36" s="58">
        <f t="shared" si="3"/>
        <v>370000</v>
      </c>
      <c r="L36" s="58">
        <v>1135000.0</v>
      </c>
    </row>
    <row r="37" ht="15.75" customHeight="1">
      <c r="A37" s="17" t="s">
        <v>195</v>
      </c>
      <c r="B37" s="17" t="s">
        <v>1142</v>
      </c>
      <c r="C37" s="17" t="s">
        <v>1143</v>
      </c>
      <c r="D37" s="17" t="s">
        <v>96</v>
      </c>
      <c r="E37" s="17" t="s">
        <v>199</v>
      </c>
      <c r="F37" s="87">
        <v>9000.0</v>
      </c>
      <c r="G37" s="58">
        <v>1125000.0</v>
      </c>
      <c r="H37" s="17" t="s">
        <v>42</v>
      </c>
      <c r="I37" s="58">
        <v>640000.0</v>
      </c>
      <c r="J37" s="17" t="s">
        <v>42</v>
      </c>
      <c r="K37" s="58">
        <f t="shared" si="3"/>
        <v>485000</v>
      </c>
      <c r="L37" s="58">
        <v>0.0</v>
      </c>
      <c r="M37" s="174"/>
    </row>
    <row r="38" ht="15.75" customHeight="1">
      <c r="A38" s="17"/>
      <c r="D38" s="7"/>
      <c r="E38" s="7"/>
      <c r="K38" s="52">
        <f t="shared" ref="K38:L38" si="4">SUM(K25:K37)</f>
        <v>5565000</v>
      </c>
      <c r="L38" s="30">
        <f t="shared" si="4"/>
        <v>2628000</v>
      </c>
    </row>
    <row r="39" ht="15.75" customHeight="1">
      <c r="D39" s="7"/>
      <c r="E39" s="7"/>
      <c r="K39" s="33">
        <f>K38-L38</f>
        <v>2937000</v>
      </c>
      <c r="L39" s="202"/>
    </row>
    <row r="40" ht="15.75" customHeight="1"/>
    <row r="41" ht="15.75" customHeight="1">
      <c r="A41" s="89" t="s">
        <v>0</v>
      </c>
      <c r="B41" s="89" t="s">
        <v>1</v>
      </c>
      <c r="C41" s="89" t="s">
        <v>2</v>
      </c>
      <c r="D41" s="90" t="s">
        <v>3</v>
      </c>
      <c r="E41" s="89" t="s">
        <v>4</v>
      </c>
      <c r="F41" s="91" t="s">
        <v>5</v>
      </c>
      <c r="G41" s="92" t="s">
        <v>6</v>
      </c>
      <c r="H41" s="92" t="s">
        <v>39</v>
      </c>
      <c r="I41" s="91" t="s">
        <v>7</v>
      </c>
      <c r="J41" s="91" t="s">
        <v>39</v>
      </c>
      <c r="K41" s="92" t="s">
        <v>8</v>
      </c>
      <c r="L41" s="92" t="s">
        <v>9</v>
      </c>
    </row>
    <row r="42" ht="15.75" customHeight="1">
      <c r="A42" s="86">
        <v>45537.0</v>
      </c>
      <c r="B42" s="17" t="s">
        <v>1142</v>
      </c>
      <c r="C42" s="17" t="s">
        <v>1148</v>
      </c>
      <c r="D42" s="17" t="s">
        <v>30</v>
      </c>
      <c r="E42" s="17" t="s">
        <v>959</v>
      </c>
      <c r="F42" s="87">
        <v>9000.0</v>
      </c>
      <c r="G42" s="100">
        <v>720000.0</v>
      </c>
      <c r="H42" s="17" t="s">
        <v>42</v>
      </c>
      <c r="I42" s="100">
        <v>350000.0</v>
      </c>
      <c r="J42" s="17" t="s">
        <v>42</v>
      </c>
      <c r="K42" s="100">
        <f t="shared" ref="K42:K49" si="5">G42-I42</f>
        <v>370000</v>
      </c>
      <c r="L42" s="100">
        <v>425000.0</v>
      </c>
      <c r="M42" s="240" t="s">
        <v>1149</v>
      </c>
    </row>
    <row r="43" ht="15.75" customHeight="1">
      <c r="A43" s="17"/>
      <c r="B43" s="17"/>
      <c r="C43" s="17"/>
      <c r="D43" s="17"/>
      <c r="E43" s="7"/>
      <c r="F43" s="7"/>
      <c r="G43" s="100"/>
      <c r="H43" s="100"/>
      <c r="I43" s="100"/>
      <c r="J43" s="100"/>
      <c r="K43" s="100">
        <f t="shared" si="5"/>
        <v>0</v>
      </c>
      <c r="L43" s="100"/>
    </row>
    <row r="44" ht="15.75" customHeight="1">
      <c r="A44" s="17"/>
      <c r="B44" s="17"/>
      <c r="C44" s="17"/>
      <c r="D44" s="17"/>
      <c r="E44" s="7"/>
      <c r="F44" s="7"/>
      <c r="G44" s="100"/>
      <c r="H44" s="100"/>
      <c r="I44" s="100"/>
      <c r="J44" s="100"/>
      <c r="K44" s="100">
        <f t="shared" si="5"/>
        <v>0</v>
      </c>
      <c r="L44" s="100"/>
    </row>
    <row r="45" ht="15.75" customHeight="1">
      <c r="A45" s="17"/>
      <c r="B45" s="17"/>
      <c r="C45" s="17"/>
      <c r="D45" s="17"/>
      <c r="E45" s="7"/>
      <c r="F45" s="7"/>
      <c r="G45" s="100"/>
      <c r="H45" s="100"/>
      <c r="I45" s="100"/>
      <c r="J45" s="100"/>
      <c r="K45" s="100">
        <f t="shared" si="5"/>
        <v>0</v>
      </c>
      <c r="L45" s="100"/>
    </row>
    <row r="46" ht="15.75" customHeight="1">
      <c r="A46" s="17"/>
      <c r="B46" s="17"/>
      <c r="C46" s="17"/>
      <c r="D46" s="17"/>
      <c r="E46" s="7"/>
      <c r="F46" s="7"/>
      <c r="G46" s="100"/>
      <c r="H46" s="100"/>
      <c r="I46" s="100"/>
      <c r="J46" s="100"/>
      <c r="K46" s="100">
        <f t="shared" si="5"/>
        <v>0</v>
      </c>
      <c r="L46" s="100"/>
    </row>
    <row r="47" ht="15.75" customHeight="1">
      <c r="A47" s="17"/>
      <c r="B47" s="17"/>
      <c r="C47" s="17"/>
      <c r="D47" s="17"/>
      <c r="E47" s="7"/>
      <c r="F47" s="7"/>
      <c r="G47" s="100"/>
      <c r="H47" s="100"/>
      <c r="I47" s="100"/>
      <c r="J47" s="100"/>
      <c r="K47" s="100">
        <f t="shared" si="5"/>
        <v>0</v>
      </c>
      <c r="L47" s="100"/>
    </row>
    <row r="48" ht="15.75" customHeight="1">
      <c r="A48" s="17"/>
      <c r="B48" s="17"/>
      <c r="C48" s="17"/>
      <c r="D48" s="17"/>
      <c r="E48" s="7"/>
      <c r="F48" s="7"/>
      <c r="G48" s="100"/>
      <c r="H48" s="100"/>
      <c r="I48" s="100"/>
      <c r="J48" s="100"/>
      <c r="K48" s="100">
        <f t="shared" si="5"/>
        <v>0</v>
      </c>
      <c r="L48" s="100"/>
    </row>
    <row r="49" ht="15.75" customHeight="1">
      <c r="A49" s="7"/>
      <c r="B49" s="7"/>
      <c r="C49" s="7"/>
      <c r="D49" s="7"/>
      <c r="E49" s="7"/>
      <c r="F49" s="7"/>
      <c r="G49" s="100"/>
      <c r="H49" s="100"/>
      <c r="I49" s="100"/>
      <c r="J49" s="100"/>
      <c r="K49" s="100">
        <f t="shared" si="5"/>
        <v>0</v>
      </c>
      <c r="L49" s="100"/>
    </row>
    <row r="50" ht="15.75" customHeight="1">
      <c r="A50" s="7"/>
      <c r="B50" s="7"/>
      <c r="C50" s="7"/>
      <c r="D50" s="7"/>
      <c r="E50" s="7"/>
      <c r="F50" s="7"/>
      <c r="G50" s="100"/>
      <c r="H50" s="100"/>
      <c r="I50" s="100"/>
      <c r="J50" s="100"/>
      <c r="K50" s="100" t="s">
        <v>24</v>
      </c>
      <c r="L50" s="100"/>
    </row>
    <row r="51" ht="15.75" customHeight="1">
      <c r="A51" s="7"/>
      <c r="B51" s="7"/>
      <c r="C51" s="7"/>
      <c r="D51" s="7"/>
      <c r="E51" s="7"/>
      <c r="F51" s="7"/>
      <c r="G51" s="100"/>
      <c r="H51" s="100"/>
      <c r="I51" s="100"/>
      <c r="J51" s="100"/>
      <c r="K51" s="100">
        <f t="shared" ref="K51:K52" si="6">G51-I51</f>
        <v>0</v>
      </c>
      <c r="L51" s="100"/>
    </row>
    <row r="52" ht="15.75" customHeight="1">
      <c r="A52" s="7"/>
      <c r="B52" s="7"/>
      <c r="C52" s="7"/>
      <c r="D52" s="7"/>
      <c r="E52" s="7"/>
      <c r="F52" s="7"/>
      <c r="G52" s="100"/>
      <c r="H52" s="100"/>
      <c r="I52" s="100"/>
      <c r="J52" s="100"/>
      <c r="K52" s="100">
        <f t="shared" si="6"/>
        <v>0</v>
      </c>
      <c r="L52" s="100"/>
    </row>
    <row r="53" ht="15.75" customHeight="1">
      <c r="A53" s="7"/>
      <c r="B53" s="7"/>
      <c r="C53" s="7"/>
      <c r="D53" s="7"/>
      <c r="E53" s="7"/>
      <c r="F53" s="7"/>
      <c r="G53" s="100"/>
      <c r="H53" s="100"/>
      <c r="I53" s="100"/>
      <c r="J53" s="100"/>
      <c r="K53" s="52">
        <f t="shared" ref="K53:L53" si="7">SUM(K40:K52)</f>
        <v>370000</v>
      </c>
      <c r="L53" s="30">
        <f t="shared" si="7"/>
        <v>425000</v>
      </c>
    </row>
    <row r="54" ht="15.75" customHeight="1">
      <c r="A54" s="7"/>
      <c r="B54" s="7"/>
      <c r="C54" s="7"/>
      <c r="D54" s="7"/>
      <c r="E54" s="7"/>
      <c r="F54" s="7"/>
      <c r="G54" s="100"/>
      <c r="H54" s="100"/>
      <c r="I54" s="100"/>
      <c r="J54" s="100"/>
      <c r="K54" s="33">
        <f>K53-L53</f>
        <v>-55000</v>
      </c>
      <c r="L54" s="202"/>
    </row>
    <row r="55" ht="15.75" customHeight="1">
      <c r="G55" s="410"/>
      <c r="H55" s="410"/>
      <c r="I55" s="410"/>
      <c r="J55" s="410"/>
      <c r="K55" s="410"/>
      <c r="L55" s="4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13.86"/>
    <col customWidth="1" min="4" max="4" width="17.57"/>
    <col customWidth="1" min="5" max="5" width="22.0"/>
    <col customWidth="1" min="6" max="6" width="17.86"/>
    <col customWidth="1" min="7" max="7" width="17.14"/>
    <col customWidth="1" min="8" max="8" width="8.71"/>
    <col customWidth="1" min="9" max="9" width="12.71"/>
    <col customWidth="1" min="10" max="10" width="8.71"/>
    <col customWidth="1" min="11" max="11" width="17.29"/>
    <col customWidth="1" min="12" max="12" width="13.71"/>
  </cols>
  <sheetData>
    <row r="1" ht="29.25" customHeight="1">
      <c r="A1" s="89" t="s">
        <v>0</v>
      </c>
      <c r="B1" s="89" t="s">
        <v>1</v>
      </c>
      <c r="C1" s="89" t="s">
        <v>2</v>
      </c>
      <c r="D1" s="90" t="s">
        <v>3</v>
      </c>
      <c r="E1" s="89" t="s">
        <v>4</v>
      </c>
      <c r="F1" s="91" t="s">
        <v>5</v>
      </c>
      <c r="G1" s="92" t="s">
        <v>6</v>
      </c>
      <c r="H1" s="92" t="s">
        <v>39</v>
      </c>
      <c r="I1" s="91" t="s">
        <v>7</v>
      </c>
      <c r="J1" s="91" t="s">
        <v>39</v>
      </c>
      <c r="K1" s="92" t="s">
        <v>8</v>
      </c>
      <c r="L1" s="92" t="s">
        <v>9</v>
      </c>
    </row>
    <row r="2">
      <c r="A2" s="86">
        <v>45458.0</v>
      </c>
      <c r="B2" s="17" t="s">
        <v>134</v>
      </c>
      <c r="C2" s="17" t="s">
        <v>843</v>
      </c>
      <c r="D2" s="17" t="s">
        <v>30</v>
      </c>
      <c r="E2" s="17" t="s">
        <v>52</v>
      </c>
      <c r="F2" s="87">
        <v>9000.0</v>
      </c>
      <c r="G2" s="58">
        <v>1170000.0</v>
      </c>
      <c r="H2" s="58" t="s">
        <v>42</v>
      </c>
      <c r="I2" s="60">
        <v>640000.0</v>
      </c>
      <c r="J2" s="58" t="s">
        <v>42</v>
      </c>
      <c r="K2" s="58">
        <f t="shared" ref="K2:K3" si="1">G2-I2</f>
        <v>530000</v>
      </c>
      <c r="L2" s="61">
        <v>900000.0</v>
      </c>
    </row>
    <row r="3">
      <c r="A3" s="86" t="s">
        <v>1150</v>
      </c>
      <c r="B3" s="17" t="s">
        <v>134</v>
      </c>
      <c r="C3" s="17"/>
      <c r="D3" s="17"/>
      <c r="E3" s="17"/>
      <c r="F3" s="87"/>
      <c r="G3" s="58"/>
      <c r="H3" s="58"/>
      <c r="I3" s="60"/>
      <c r="J3" s="58"/>
      <c r="K3" s="58">
        <f t="shared" si="1"/>
        <v>0</v>
      </c>
      <c r="L3" s="61">
        <v>526000.0</v>
      </c>
    </row>
    <row r="4">
      <c r="H4" s="169"/>
      <c r="K4" s="52">
        <f t="shared" ref="K4:L4" si="2">SUM(K2:K3)</f>
        <v>530000</v>
      </c>
      <c r="L4" s="30">
        <f t="shared" si="2"/>
        <v>1426000</v>
      </c>
    </row>
    <row r="5">
      <c r="H5" s="169"/>
      <c r="K5" s="33">
        <f>K4-L4</f>
        <v>-896000</v>
      </c>
      <c r="L5" s="202"/>
    </row>
    <row r="6">
      <c r="H6" s="169"/>
    </row>
    <row r="7" ht="27.0" customHeight="1">
      <c r="A7" s="89" t="s">
        <v>0</v>
      </c>
      <c r="B7" s="89" t="s">
        <v>1</v>
      </c>
      <c r="C7" s="89" t="s">
        <v>2</v>
      </c>
      <c r="D7" s="90" t="s">
        <v>3</v>
      </c>
      <c r="E7" s="89" t="s">
        <v>4</v>
      </c>
      <c r="F7" s="91" t="s">
        <v>5</v>
      </c>
      <c r="G7" s="92" t="s">
        <v>6</v>
      </c>
      <c r="H7" s="92" t="s">
        <v>39</v>
      </c>
      <c r="I7" s="91" t="s">
        <v>7</v>
      </c>
      <c r="J7" s="91" t="s">
        <v>39</v>
      </c>
      <c r="K7" s="92" t="s">
        <v>8</v>
      </c>
      <c r="L7" s="92" t="s">
        <v>9</v>
      </c>
    </row>
    <row r="8">
      <c r="A8" s="86">
        <v>45523.0</v>
      </c>
      <c r="B8" s="17" t="s">
        <v>844</v>
      </c>
      <c r="C8" s="17" t="s">
        <v>1151</v>
      </c>
      <c r="D8" s="17" t="s">
        <v>217</v>
      </c>
      <c r="E8" s="17" t="s">
        <v>627</v>
      </c>
      <c r="F8" s="87">
        <v>8000.0</v>
      </c>
      <c r="G8" s="100">
        <v>700000.0</v>
      </c>
      <c r="H8" s="199" t="s">
        <v>44</v>
      </c>
      <c r="I8" s="100">
        <v>400000.0</v>
      </c>
      <c r="J8" s="199" t="s">
        <v>44</v>
      </c>
      <c r="K8" s="100">
        <f t="shared" ref="K8:K9" si="3">G8-I8</f>
        <v>300000</v>
      </c>
      <c r="L8" s="7"/>
    </row>
    <row r="9">
      <c r="A9" s="86">
        <v>45525.0</v>
      </c>
      <c r="B9" s="17" t="s">
        <v>844</v>
      </c>
      <c r="C9" s="17" t="s">
        <v>1151</v>
      </c>
      <c r="D9" s="17" t="s">
        <v>217</v>
      </c>
      <c r="E9" s="17" t="s">
        <v>627</v>
      </c>
      <c r="F9" s="87">
        <v>8000.0</v>
      </c>
      <c r="G9" s="100"/>
      <c r="H9" s="199"/>
      <c r="I9" s="100">
        <v>400000.0</v>
      </c>
      <c r="J9" s="199" t="s">
        <v>44</v>
      </c>
      <c r="K9" s="100">
        <f t="shared" si="3"/>
        <v>-400000</v>
      </c>
      <c r="L9" s="94" t="s">
        <v>1152</v>
      </c>
    </row>
    <row r="10">
      <c r="A10" s="7"/>
      <c r="B10" s="7"/>
      <c r="C10" s="7"/>
      <c r="D10" s="7"/>
      <c r="E10" s="7"/>
      <c r="F10" s="7"/>
      <c r="G10" s="7"/>
      <c r="H10" s="17"/>
      <c r="I10" s="7"/>
      <c r="J10" s="7"/>
      <c r="K10" s="52">
        <f t="shared" ref="K10:L10" si="4">SUM(K8:K9)</f>
        <v>-100000</v>
      </c>
      <c r="L10" s="30">
        <f t="shared" si="4"/>
        <v>0</v>
      </c>
    </row>
    <row r="11">
      <c r="A11" s="7"/>
      <c r="B11" s="7"/>
      <c r="C11" s="7"/>
      <c r="D11" s="7"/>
      <c r="E11" s="7"/>
      <c r="F11" s="7"/>
      <c r="G11" s="7"/>
      <c r="H11" s="17"/>
      <c r="I11" s="7"/>
      <c r="J11" s="7"/>
      <c r="K11" s="33">
        <f>K10-L10</f>
        <v>-100000</v>
      </c>
      <c r="L11" s="202"/>
    </row>
    <row r="12">
      <c r="A12" s="7"/>
      <c r="B12" s="7"/>
      <c r="C12" s="7"/>
      <c r="D12" s="7"/>
      <c r="E12" s="7"/>
      <c r="F12" s="7"/>
      <c r="G12" s="7"/>
      <c r="H12" s="17"/>
      <c r="I12" s="7"/>
      <c r="J12" s="7"/>
      <c r="K12" s="7"/>
      <c r="L12" s="7"/>
    </row>
    <row r="13" ht="24.0" customHeight="1">
      <c r="A13" s="89" t="s">
        <v>0</v>
      </c>
      <c r="B13" s="89" t="s">
        <v>1</v>
      </c>
      <c r="C13" s="89" t="s">
        <v>2</v>
      </c>
      <c r="D13" s="90" t="s">
        <v>3</v>
      </c>
      <c r="E13" s="89" t="s">
        <v>4</v>
      </c>
      <c r="F13" s="91" t="s">
        <v>5</v>
      </c>
      <c r="G13" s="92" t="s">
        <v>6</v>
      </c>
      <c r="H13" s="92" t="s">
        <v>39</v>
      </c>
      <c r="I13" s="91" t="s">
        <v>7</v>
      </c>
      <c r="J13" s="91" t="s">
        <v>39</v>
      </c>
      <c r="K13" s="92" t="s">
        <v>8</v>
      </c>
      <c r="L13" s="92" t="s">
        <v>9</v>
      </c>
    </row>
    <row r="14">
      <c r="A14" s="86">
        <v>45554.0</v>
      </c>
      <c r="B14" s="17" t="s">
        <v>844</v>
      </c>
      <c r="C14" s="17" t="s">
        <v>1151</v>
      </c>
      <c r="D14" s="17" t="s">
        <v>37</v>
      </c>
      <c r="E14" s="17" t="s">
        <v>108</v>
      </c>
      <c r="F14" s="87">
        <v>10000.0</v>
      </c>
      <c r="G14" s="100">
        <v>900000.0</v>
      </c>
      <c r="H14" s="199" t="s">
        <v>44</v>
      </c>
      <c r="I14" s="100">
        <v>500000.0</v>
      </c>
      <c r="J14" s="58" t="s">
        <v>42</v>
      </c>
      <c r="K14" s="100">
        <f t="shared" ref="K14:K18" si="5">G14-I14</f>
        <v>400000</v>
      </c>
      <c r="L14" s="61">
        <v>5812000.0</v>
      </c>
    </row>
    <row r="15">
      <c r="A15" s="86">
        <v>45555.0</v>
      </c>
      <c r="B15" s="17" t="s">
        <v>844</v>
      </c>
      <c r="C15" s="17" t="s">
        <v>1151</v>
      </c>
      <c r="D15" s="17" t="s">
        <v>30</v>
      </c>
      <c r="E15" s="17" t="s">
        <v>449</v>
      </c>
      <c r="F15" s="87">
        <v>9000.0</v>
      </c>
      <c r="G15" s="100">
        <v>720000.0</v>
      </c>
      <c r="H15" s="199" t="s">
        <v>44</v>
      </c>
      <c r="I15" s="100">
        <v>350000.0</v>
      </c>
      <c r="J15" s="17" t="s">
        <v>42</v>
      </c>
      <c r="K15" s="100">
        <f t="shared" si="5"/>
        <v>370000</v>
      </c>
      <c r="L15" s="7"/>
    </row>
    <row r="16">
      <c r="A16" s="86">
        <v>45556.0</v>
      </c>
      <c r="B16" s="17" t="s">
        <v>844</v>
      </c>
      <c r="C16" s="17" t="s">
        <v>1151</v>
      </c>
      <c r="D16" s="17" t="s">
        <v>40</v>
      </c>
      <c r="E16" s="17" t="s">
        <v>84</v>
      </c>
      <c r="F16" s="87">
        <v>9000.0</v>
      </c>
      <c r="G16" s="100">
        <v>1125000.0</v>
      </c>
      <c r="H16" s="17" t="s">
        <v>42</v>
      </c>
      <c r="I16" s="100">
        <v>640000.0</v>
      </c>
      <c r="J16" s="17" t="s">
        <v>44</v>
      </c>
      <c r="K16" s="100">
        <f t="shared" si="5"/>
        <v>485000</v>
      </c>
      <c r="L16" s="7"/>
    </row>
    <row r="17">
      <c r="A17" s="86">
        <v>45558.0</v>
      </c>
      <c r="B17" s="17" t="s">
        <v>844</v>
      </c>
      <c r="C17" s="17" t="s">
        <v>1151</v>
      </c>
      <c r="D17" s="17" t="s">
        <v>30</v>
      </c>
      <c r="E17" s="17" t="s">
        <v>491</v>
      </c>
      <c r="F17" s="87">
        <v>9000.0</v>
      </c>
      <c r="G17" s="223">
        <v>765000.0</v>
      </c>
      <c r="H17" s="426" t="s">
        <v>44</v>
      </c>
      <c r="I17" s="223">
        <v>425000.0</v>
      </c>
      <c r="J17" s="7"/>
      <c r="K17" s="100">
        <f t="shared" si="5"/>
        <v>340000</v>
      </c>
      <c r="L17" s="7"/>
    </row>
    <row r="18">
      <c r="A18" s="86">
        <v>45559.0</v>
      </c>
      <c r="B18" s="17" t="s">
        <v>844</v>
      </c>
      <c r="C18" s="17" t="s">
        <v>604</v>
      </c>
      <c r="D18" s="17" t="s">
        <v>123</v>
      </c>
      <c r="E18" s="17" t="s">
        <v>109</v>
      </c>
      <c r="F18" s="87">
        <v>9000.0</v>
      </c>
      <c r="G18" s="100">
        <v>720000.0</v>
      </c>
      <c r="H18" s="17"/>
      <c r="I18" s="100">
        <v>350000.0</v>
      </c>
      <c r="J18" s="7"/>
      <c r="K18" s="100">
        <f t="shared" si="5"/>
        <v>370000</v>
      </c>
      <c r="L18" s="7"/>
    </row>
    <row r="19">
      <c r="A19" s="427" t="s">
        <v>1153</v>
      </c>
      <c r="L19" s="7"/>
    </row>
    <row r="20">
      <c r="A20" s="7"/>
      <c r="B20" s="7"/>
      <c r="C20" s="7"/>
      <c r="D20" s="7"/>
      <c r="E20" s="7"/>
      <c r="F20" s="87">
        <v>0.0</v>
      </c>
      <c r="G20" s="100">
        <v>0.0</v>
      </c>
      <c r="H20" s="17"/>
      <c r="I20" s="100">
        <v>0.0</v>
      </c>
      <c r="J20" s="7"/>
      <c r="K20" s="100">
        <f t="shared" ref="K20:K30" si="6">G20-I20</f>
        <v>0</v>
      </c>
      <c r="L20" s="7"/>
    </row>
    <row r="21" ht="15.75" customHeight="1">
      <c r="A21" s="7"/>
      <c r="B21" s="7"/>
      <c r="C21" s="7"/>
      <c r="D21" s="7"/>
      <c r="E21" s="7"/>
      <c r="F21" s="87">
        <v>0.0</v>
      </c>
      <c r="G21" s="100">
        <v>0.0</v>
      </c>
      <c r="H21" s="17"/>
      <c r="I21" s="100">
        <v>0.0</v>
      </c>
      <c r="J21" s="7"/>
      <c r="K21" s="100">
        <f t="shared" si="6"/>
        <v>0</v>
      </c>
      <c r="L21" s="7"/>
    </row>
    <row r="22" ht="15.75" customHeight="1">
      <c r="A22" s="7"/>
      <c r="B22" s="7"/>
      <c r="C22" s="7"/>
      <c r="D22" s="7"/>
      <c r="E22" s="7"/>
      <c r="F22" s="87">
        <v>0.0</v>
      </c>
      <c r="G22" s="100">
        <v>0.0</v>
      </c>
      <c r="H22" s="17"/>
      <c r="I22" s="100">
        <v>0.0</v>
      </c>
      <c r="J22" s="7"/>
      <c r="K22" s="100">
        <f t="shared" si="6"/>
        <v>0</v>
      </c>
      <c r="L22" s="7"/>
    </row>
    <row r="23" ht="15.75" customHeight="1">
      <c r="F23" s="87">
        <v>0.0</v>
      </c>
      <c r="G23" s="100">
        <v>0.0</v>
      </c>
      <c r="H23" s="169"/>
      <c r="I23" s="100">
        <v>0.0</v>
      </c>
      <c r="K23" s="100">
        <f t="shared" si="6"/>
        <v>0</v>
      </c>
    </row>
    <row r="24" ht="15.75" customHeight="1">
      <c r="F24" s="87">
        <v>0.0</v>
      </c>
      <c r="G24" s="100">
        <v>0.0</v>
      </c>
      <c r="H24" s="169"/>
      <c r="I24" s="100">
        <v>0.0</v>
      </c>
      <c r="K24" s="100">
        <f t="shared" si="6"/>
        <v>0</v>
      </c>
    </row>
    <row r="25" ht="15.75" customHeight="1">
      <c r="F25" s="87">
        <v>0.0</v>
      </c>
      <c r="G25" s="100">
        <v>0.0</v>
      </c>
      <c r="H25" s="169"/>
      <c r="I25" s="100">
        <v>0.0</v>
      </c>
      <c r="K25" s="100">
        <f t="shared" si="6"/>
        <v>0</v>
      </c>
    </row>
    <row r="26" ht="15.75" customHeight="1">
      <c r="F26" s="87">
        <v>0.0</v>
      </c>
      <c r="G26" s="100">
        <v>0.0</v>
      </c>
      <c r="H26" s="169"/>
      <c r="I26" s="100">
        <v>0.0</v>
      </c>
      <c r="K26" s="100">
        <f t="shared" si="6"/>
        <v>0</v>
      </c>
    </row>
    <row r="27" ht="15.75" customHeight="1">
      <c r="F27" s="87">
        <v>0.0</v>
      </c>
      <c r="G27" s="100">
        <v>0.0</v>
      </c>
      <c r="H27" s="169"/>
      <c r="I27" s="100">
        <v>0.0</v>
      </c>
      <c r="K27" s="100">
        <f t="shared" si="6"/>
        <v>0</v>
      </c>
    </row>
    <row r="28" ht="15.75" customHeight="1">
      <c r="F28" s="87">
        <v>0.0</v>
      </c>
      <c r="G28" s="100">
        <v>0.0</v>
      </c>
      <c r="H28" s="169"/>
      <c r="I28" s="100">
        <v>0.0</v>
      </c>
      <c r="K28" s="100">
        <f t="shared" si="6"/>
        <v>0</v>
      </c>
    </row>
    <row r="29" ht="15.75" customHeight="1">
      <c r="F29" s="87">
        <v>0.0</v>
      </c>
      <c r="G29" s="100">
        <v>0.0</v>
      </c>
      <c r="H29" s="169"/>
      <c r="I29" s="100">
        <v>0.0</v>
      </c>
      <c r="K29" s="100">
        <f t="shared" si="6"/>
        <v>0</v>
      </c>
    </row>
    <row r="30" ht="15.75" customHeight="1">
      <c r="F30" s="87">
        <v>0.0</v>
      </c>
      <c r="G30" s="100">
        <v>0.0</v>
      </c>
      <c r="H30" s="169"/>
      <c r="I30" s="100">
        <v>0.0</v>
      </c>
      <c r="K30" s="100">
        <f t="shared" si="6"/>
        <v>0</v>
      </c>
    </row>
    <row r="31" ht="15.75" customHeight="1">
      <c r="H31" s="169"/>
      <c r="K31" s="52">
        <f t="shared" ref="K31:L31" si="7">SUM(K13:K30)</f>
        <v>1965000</v>
      </c>
      <c r="L31" s="30">
        <f t="shared" si="7"/>
        <v>5812000</v>
      </c>
    </row>
    <row r="32" ht="15.75" customHeight="1">
      <c r="H32" s="169"/>
      <c r="K32" s="33">
        <f>K31-L31</f>
        <v>-3847000</v>
      </c>
      <c r="L32" s="202"/>
    </row>
    <row r="33" ht="15.75" customHeight="1">
      <c r="H33" s="169"/>
    </row>
    <row r="34" ht="15.75" customHeight="1">
      <c r="H34" s="169"/>
    </row>
    <row r="35" ht="15.75" customHeight="1">
      <c r="H35" s="169"/>
    </row>
    <row r="36" ht="15.75" customHeight="1">
      <c r="H36" s="169"/>
    </row>
    <row r="37" ht="15.75" customHeight="1">
      <c r="H37" s="169"/>
    </row>
    <row r="38" ht="15.75" customHeight="1">
      <c r="H38" s="169"/>
    </row>
    <row r="39" ht="15.75" customHeight="1">
      <c r="H39" s="169"/>
    </row>
    <row r="40" ht="15.75" customHeight="1">
      <c r="H40" s="169"/>
    </row>
    <row r="41" ht="15.75" customHeight="1">
      <c r="H41" s="169"/>
    </row>
    <row r="42" ht="15.75" customHeight="1">
      <c r="H42" s="169"/>
    </row>
    <row r="43" ht="15.75" customHeight="1">
      <c r="H43" s="169"/>
    </row>
    <row r="44" ht="15.75" customHeight="1">
      <c r="H44" s="169"/>
    </row>
    <row r="45" ht="15.75" customHeight="1">
      <c r="H45" s="169"/>
    </row>
    <row r="46" ht="15.75" customHeight="1">
      <c r="H46" s="169"/>
    </row>
    <row r="47" ht="15.75" customHeight="1">
      <c r="H47" s="169"/>
    </row>
    <row r="48" ht="15.75" customHeight="1">
      <c r="H48" s="169"/>
    </row>
    <row r="49" ht="15.75" customHeight="1">
      <c r="H49" s="169"/>
    </row>
    <row r="50" ht="15.75" customHeight="1">
      <c r="H50" s="169"/>
    </row>
    <row r="51" ht="15.75" customHeight="1">
      <c r="H51" s="169"/>
    </row>
    <row r="52" ht="15.75" customHeight="1">
      <c r="H52" s="169"/>
    </row>
    <row r="53" ht="15.75" customHeight="1">
      <c r="H53" s="169"/>
    </row>
    <row r="54" ht="15.75" customHeight="1">
      <c r="H54" s="169"/>
    </row>
    <row r="55" ht="15.75" customHeight="1">
      <c r="H55" s="169"/>
    </row>
    <row r="56" ht="15.75" customHeight="1">
      <c r="H56" s="169"/>
    </row>
    <row r="57" ht="15.75" customHeight="1">
      <c r="H57" s="169"/>
    </row>
    <row r="58" ht="15.75" customHeight="1">
      <c r="H58" s="169"/>
    </row>
    <row r="59" ht="15.75" customHeight="1">
      <c r="H59" s="169"/>
    </row>
    <row r="60" ht="15.75" customHeight="1">
      <c r="H60" s="169"/>
    </row>
    <row r="61" ht="15.75" customHeight="1">
      <c r="H61" s="169"/>
    </row>
    <row r="62" ht="15.75" customHeight="1">
      <c r="H62" s="169"/>
    </row>
    <row r="63" ht="15.75" customHeight="1">
      <c r="H63" s="169"/>
    </row>
    <row r="64" ht="15.75" customHeight="1">
      <c r="H64" s="169"/>
    </row>
    <row r="65" ht="15.75" customHeight="1">
      <c r="H65" s="169"/>
    </row>
    <row r="66" ht="15.75" customHeight="1">
      <c r="H66" s="169"/>
    </row>
    <row r="67" ht="15.75" customHeight="1">
      <c r="H67" s="169"/>
    </row>
    <row r="68" ht="15.75" customHeight="1">
      <c r="H68" s="169"/>
    </row>
    <row r="69" ht="15.75" customHeight="1">
      <c r="H69" s="169"/>
    </row>
    <row r="70" ht="15.75" customHeight="1">
      <c r="H70" s="169"/>
    </row>
    <row r="71" ht="15.75" customHeight="1">
      <c r="H71" s="169"/>
    </row>
    <row r="72" ht="15.75" customHeight="1">
      <c r="H72" s="169"/>
    </row>
    <row r="73" ht="15.75" customHeight="1">
      <c r="H73" s="169"/>
    </row>
    <row r="74" ht="15.75" customHeight="1">
      <c r="H74" s="169"/>
    </row>
    <row r="75" ht="15.75" customHeight="1">
      <c r="H75" s="169"/>
    </row>
    <row r="76" ht="15.75" customHeight="1">
      <c r="H76" s="169"/>
    </row>
    <row r="77" ht="15.75" customHeight="1">
      <c r="H77" s="169"/>
    </row>
    <row r="78" ht="15.75" customHeight="1">
      <c r="H78" s="169"/>
    </row>
    <row r="79" ht="15.75" customHeight="1">
      <c r="H79" s="169"/>
    </row>
    <row r="80" ht="15.75" customHeight="1">
      <c r="H80" s="169"/>
    </row>
    <row r="81" ht="15.75" customHeight="1">
      <c r="H81" s="169"/>
    </row>
    <row r="82" ht="15.75" customHeight="1">
      <c r="H82" s="169"/>
    </row>
    <row r="83" ht="15.75" customHeight="1">
      <c r="H83" s="169"/>
    </row>
    <row r="84" ht="15.75" customHeight="1">
      <c r="H84" s="169"/>
    </row>
    <row r="85" ht="15.75" customHeight="1">
      <c r="H85" s="169"/>
    </row>
    <row r="86" ht="15.75" customHeight="1">
      <c r="H86" s="169"/>
    </row>
    <row r="87" ht="15.75" customHeight="1">
      <c r="H87" s="169"/>
    </row>
    <row r="88" ht="15.75" customHeight="1">
      <c r="H88" s="169"/>
    </row>
    <row r="89" ht="15.75" customHeight="1">
      <c r="H89" s="169"/>
    </row>
    <row r="90" ht="15.75" customHeight="1">
      <c r="H90" s="169"/>
    </row>
    <row r="91" ht="15.75" customHeight="1">
      <c r="H91" s="169"/>
    </row>
    <row r="92" ht="15.75" customHeight="1">
      <c r="H92" s="169"/>
    </row>
    <row r="93" ht="15.75" customHeight="1">
      <c r="H93" s="169"/>
    </row>
    <row r="94" ht="15.75" customHeight="1">
      <c r="H94" s="169"/>
    </row>
    <row r="95" ht="15.75" customHeight="1">
      <c r="H95" s="169"/>
    </row>
    <row r="96" ht="15.75" customHeight="1">
      <c r="H96" s="169"/>
    </row>
    <row r="97" ht="15.75" customHeight="1">
      <c r="H97" s="169"/>
    </row>
    <row r="98" ht="15.75" customHeight="1">
      <c r="H98" s="169"/>
    </row>
    <row r="99" ht="15.75" customHeight="1">
      <c r="H99" s="169"/>
    </row>
    <row r="100" ht="15.75" customHeight="1">
      <c r="H100" s="169"/>
    </row>
    <row r="101" ht="15.75" customHeight="1">
      <c r="H101" s="169"/>
    </row>
    <row r="102" ht="15.75" customHeight="1">
      <c r="H102" s="169"/>
    </row>
    <row r="103" ht="15.75" customHeight="1">
      <c r="H103" s="169"/>
    </row>
    <row r="104" ht="15.75" customHeight="1">
      <c r="H104" s="169"/>
    </row>
    <row r="105" ht="15.75" customHeight="1">
      <c r="H105" s="169"/>
    </row>
    <row r="106" ht="15.75" customHeight="1">
      <c r="H106" s="169"/>
    </row>
    <row r="107" ht="15.75" customHeight="1">
      <c r="H107" s="169"/>
    </row>
    <row r="108" ht="15.75" customHeight="1">
      <c r="H108" s="169"/>
    </row>
    <row r="109" ht="15.75" customHeight="1">
      <c r="H109" s="169"/>
    </row>
    <row r="110" ht="15.75" customHeight="1">
      <c r="H110" s="169"/>
    </row>
    <row r="111" ht="15.75" customHeight="1">
      <c r="H111" s="169"/>
    </row>
    <row r="112" ht="15.75" customHeight="1">
      <c r="H112" s="169"/>
    </row>
    <row r="113" ht="15.75" customHeight="1">
      <c r="H113" s="169"/>
    </row>
    <row r="114" ht="15.75" customHeight="1">
      <c r="H114" s="169"/>
    </row>
    <row r="115" ht="15.75" customHeight="1">
      <c r="H115" s="169"/>
    </row>
    <row r="116" ht="15.75" customHeight="1">
      <c r="H116" s="169"/>
    </row>
    <row r="117" ht="15.75" customHeight="1">
      <c r="H117" s="169"/>
    </row>
    <row r="118" ht="15.75" customHeight="1">
      <c r="H118" s="169"/>
    </row>
    <row r="119" ht="15.75" customHeight="1">
      <c r="H119" s="169"/>
    </row>
    <row r="120" ht="15.75" customHeight="1">
      <c r="H120" s="169"/>
    </row>
    <row r="121" ht="15.75" customHeight="1">
      <c r="H121" s="169"/>
    </row>
    <row r="122" ht="15.75" customHeight="1">
      <c r="H122" s="169"/>
    </row>
    <row r="123" ht="15.75" customHeight="1">
      <c r="H123" s="169"/>
    </row>
    <row r="124" ht="15.75" customHeight="1">
      <c r="H124" s="169"/>
    </row>
    <row r="125" ht="15.75" customHeight="1">
      <c r="H125" s="169"/>
    </row>
    <row r="126" ht="15.75" customHeight="1">
      <c r="H126" s="169"/>
    </row>
    <row r="127" ht="15.75" customHeight="1">
      <c r="H127" s="169"/>
    </row>
    <row r="128" ht="15.75" customHeight="1">
      <c r="H128" s="169"/>
    </row>
    <row r="129" ht="15.75" customHeight="1">
      <c r="H129" s="169"/>
    </row>
    <row r="130" ht="15.75" customHeight="1">
      <c r="H130" s="169"/>
    </row>
    <row r="131" ht="15.75" customHeight="1">
      <c r="H131" s="169"/>
    </row>
    <row r="132" ht="15.75" customHeight="1">
      <c r="H132" s="169"/>
    </row>
    <row r="133" ht="15.75" customHeight="1">
      <c r="H133" s="169"/>
    </row>
    <row r="134" ht="15.75" customHeight="1">
      <c r="H134" s="169"/>
    </row>
    <row r="135" ht="15.75" customHeight="1">
      <c r="H135" s="169"/>
    </row>
    <row r="136" ht="15.75" customHeight="1">
      <c r="H136" s="169"/>
    </row>
    <row r="137" ht="15.75" customHeight="1">
      <c r="H137" s="169"/>
    </row>
    <row r="138" ht="15.75" customHeight="1">
      <c r="H138" s="169"/>
    </row>
    <row r="139" ht="15.75" customHeight="1">
      <c r="H139" s="169"/>
    </row>
    <row r="140" ht="15.75" customHeight="1">
      <c r="H140" s="169"/>
    </row>
    <row r="141" ht="15.75" customHeight="1">
      <c r="H141" s="169"/>
    </row>
    <row r="142" ht="15.75" customHeight="1">
      <c r="H142" s="169"/>
    </row>
    <row r="143" ht="15.75" customHeight="1">
      <c r="H143" s="169"/>
    </row>
    <row r="144" ht="15.75" customHeight="1">
      <c r="H144" s="169"/>
    </row>
    <row r="145" ht="15.75" customHeight="1">
      <c r="H145" s="169"/>
    </row>
    <row r="146" ht="15.75" customHeight="1">
      <c r="H146" s="169"/>
    </row>
    <row r="147" ht="15.75" customHeight="1">
      <c r="H147" s="169"/>
    </row>
    <row r="148" ht="15.75" customHeight="1">
      <c r="H148" s="169"/>
    </row>
    <row r="149" ht="15.75" customHeight="1">
      <c r="H149" s="169"/>
    </row>
    <row r="150" ht="15.75" customHeight="1">
      <c r="H150" s="169"/>
    </row>
    <row r="151" ht="15.75" customHeight="1">
      <c r="H151" s="169"/>
    </row>
    <row r="152" ht="15.75" customHeight="1">
      <c r="H152" s="169"/>
    </row>
    <row r="153" ht="15.75" customHeight="1">
      <c r="H153" s="169"/>
    </row>
    <row r="154" ht="15.75" customHeight="1">
      <c r="H154" s="169"/>
    </row>
    <row r="155" ht="15.75" customHeight="1">
      <c r="H155" s="169"/>
    </row>
    <row r="156" ht="15.75" customHeight="1">
      <c r="H156" s="169"/>
    </row>
    <row r="157" ht="15.75" customHeight="1">
      <c r="H157" s="169"/>
    </row>
    <row r="158" ht="15.75" customHeight="1">
      <c r="H158" s="169"/>
    </row>
    <row r="159" ht="15.75" customHeight="1">
      <c r="H159" s="169"/>
    </row>
    <row r="160" ht="15.75" customHeight="1">
      <c r="H160" s="169"/>
    </row>
    <row r="161" ht="15.75" customHeight="1">
      <c r="H161" s="169"/>
    </row>
    <row r="162" ht="15.75" customHeight="1">
      <c r="H162" s="169"/>
    </row>
    <row r="163" ht="15.75" customHeight="1">
      <c r="H163" s="169"/>
    </row>
    <row r="164" ht="15.75" customHeight="1">
      <c r="H164" s="169"/>
    </row>
    <row r="165" ht="15.75" customHeight="1">
      <c r="H165" s="169"/>
    </row>
    <row r="166" ht="15.75" customHeight="1">
      <c r="H166" s="169"/>
    </row>
    <row r="167" ht="15.75" customHeight="1">
      <c r="H167" s="169"/>
    </row>
    <row r="168" ht="15.75" customHeight="1">
      <c r="H168" s="169"/>
    </row>
    <row r="169" ht="15.75" customHeight="1">
      <c r="H169" s="169"/>
    </row>
    <row r="170" ht="15.75" customHeight="1">
      <c r="H170" s="169"/>
    </row>
    <row r="171" ht="15.75" customHeight="1">
      <c r="H171" s="169"/>
    </row>
    <row r="172" ht="15.75" customHeight="1">
      <c r="H172" s="169"/>
    </row>
    <row r="173" ht="15.75" customHeight="1">
      <c r="H173" s="169"/>
    </row>
    <row r="174" ht="15.75" customHeight="1">
      <c r="H174" s="169"/>
    </row>
    <row r="175" ht="15.75" customHeight="1">
      <c r="H175" s="169"/>
    </row>
    <row r="176" ht="15.75" customHeight="1">
      <c r="H176" s="169"/>
    </row>
    <row r="177" ht="15.75" customHeight="1">
      <c r="H177" s="169"/>
    </row>
    <row r="178" ht="15.75" customHeight="1">
      <c r="H178" s="169"/>
    </row>
    <row r="179" ht="15.75" customHeight="1">
      <c r="H179" s="169"/>
    </row>
    <row r="180" ht="15.75" customHeight="1">
      <c r="H180" s="169"/>
    </row>
    <row r="181" ht="15.75" customHeight="1">
      <c r="H181" s="169"/>
    </row>
    <row r="182" ht="15.75" customHeight="1">
      <c r="H182" s="169"/>
    </row>
    <row r="183" ht="15.75" customHeight="1">
      <c r="H183" s="169"/>
    </row>
    <row r="184" ht="15.75" customHeight="1">
      <c r="H184" s="169"/>
    </row>
    <row r="185" ht="15.75" customHeight="1">
      <c r="H185" s="169"/>
    </row>
    <row r="186" ht="15.75" customHeight="1">
      <c r="H186" s="169"/>
    </row>
    <row r="187" ht="15.75" customHeight="1">
      <c r="H187" s="169"/>
    </row>
    <row r="188" ht="15.75" customHeight="1">
      <c r="H188" s="169"/>
    </row>
    <row r="189" ht="15.75" customHeight="1">
      <c r="H189" s="169"/>
    </row>
    <row r="190" ht="15.75" customHeight="1">
      <c r="H190" s="169"/>
    </row>
    <row r="191" ht="15.75" customHeight="1">
      <c r="H191" s="169"/>
    </row>
    <row r="192" ht="15.75" customHeight="1">
      <c r="H192" s="169"/>
    </row>
    <row r="193" ht="15.75" customHeight="1">
      <c r="H193" s="169"/>
    </row>
    <row r="194" ht="15.75" customHeight="1">
      <c r="H194" s="169"/>
    </row>
    <row r="195" ht="15.75" customHeight="1">
      <c r="H195" s="169"/>
    </row>
    <row r="196" ht="15.75" customHeight="1">
      <c r="H196" s="169"/>
    </row>
    <row r="197" ht="15.75" customHeight="1">
      <c r="H197" s="169"/>
    </row>
    <row r="198" ht="15.75" customHeight="1">
      <c r="H198" s="169"/>
    </row>
    <row r="199" ht="15.75" customHeight="1">
      <c r="H199" s="169"/>
    </row>
    <row r="200" ht="15.75" customHeight="1">
      <c r="H200" s="169"/>
    </row>
    <row r="201" ht="15.75" customHeight="1">
      <c r="H201" s="169"/>
    </row>
    <row r="202" ht="15.75" customHeight="1">
      <c r="H202" s="169"/>
    </row>
    <row r="203" ht="15.75" customHeight="1">
      <c r="H203" s="169"/>
    </row>
    <row r="204" ht="15.75" customHeight="1">
      <c r="H204" s="169"/>
    </row>
    <row r="205" ht="15.75" customHeight="1">
      <c r="H205" s="169"/>
    </row>
    <row r="206" ht="15.75" customHeight="1">
      <c r="H206" s="169"/>
    </row>
    <row r="207" ht="15.75" customHeight="1">
      <c r="H207" s="169"/>
    </row>
    <row r="208" ht="15.75" customHeight="1">
      <c r="H208" s="169"/>
    </row>
    <row r="209" ht="15.75" customHeight="1">
      <c r="H209" s="169"/>
    </row>
    <row r="210" ht="15.75" customHeight="1">
      <c r="H210" s="169"/>
    </row>
    <row r="211" ht="15.75" customHeight="1">
      <c r="H211" s="169"/>
    </row>
    <row r="212" ht="15.75" customHeight="1">
      <c r="H212" s="169"/>
    </row>
    <row r="213" ht="15.75" customHeight="1">
      <c r="H213" s="169"/>
    </row>
    <row r="214" ht="15.75" customHeight="1">
      <c r="H214" s="169"/>
    </row>
    <row r="215" ht="15.75" customHeight="1">
      <c r="H215" s="169"/>
    </row>
    <row r="216" ht="15.75" customHeight="1">
      <c r="H216" s="169"/>
    </row>
    <row r="217" ht="15.75" customHeight="1">
      <c r="H217" s="169"/>
    </row>
    <row r="218" ht="15.75" customHeight="1">
      <c r="H218" s="169"/>
    </row>
    <row r="219" ht="15.75" customHeight="1">
      <c r="H219" s="169"/>
    </row>
    <row r="220" ht="15.75" customHeight="1">
      <c r="H220" s="169"/>
    </row>
    <row r="221" ht="15.75" customHeight="1">
      <c r="H221" s="169"/>
    </row>
    <row r="222" ht="15.75" customHeight="1">
      <c r="H222" s="169"/>
    </row>
    <row r="223" ht="15.75" customHeight="1">
      <c r="H223" s="169"/>
    </row>
    <row r="224" ht="15.75" customHeight="1">
      <c r="H224" s="169"/>
    </row>
    <row r="225" ht="15.75" customHeight="1">
      <c r="H225" s="169"/>
    </row>
    <row r="226" ht="15.75" customHeight="1">
      <c r="H226" s="169"/>
    </row>
    <row r="227" ht="15.75" customHeight="1">
      <c r="H227" s="169"/>
    </row>
    <row r="228" ht="15.75" customHeight="1">
      <c r="H228" s="169"/>
    </row>
    <row r="229" ht="15.75" customHeight="1">
      <c r="H229" s="169"/>
    </row>
    <row r="230" ht="15.75" customHeight="1">
      <c r="H230" s="169"/>
    </row>
    <row r="231" ht="15.75" customHeight="1">
      <c r="H231" s="169"/>
    </row>
    <row r="232" ht="15.75" customHeight="1">
      <c r="H232" s="16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mergeCells count="1">
    <mergeCell ref="A19:K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2024-12-06T08:09:33Z</dcterms:created>
  <dc:creator>USER</dc:creator>
</cp:coreProperties>
</file>